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yce\Desktop\Website for MNM\"/>
    </mc:Choice>
  </mc:AlternateContent>
  <xr:revisionPtr revIDLastSave="0" documentId="13_ncr:1_{635941E1-987E-463E-9AA9-B7A06C902831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Entry" sheetId="1" r:id="rId1"/>
    <sheet name="Data" sheetId="2" r:id="rId2"/>
    <sheet name="Players" sheetId="3" r:id="rId3"/>
    <sheet name="Checks" sheetId="4" r:id="rId4"/>
  </sheets>
  <definedNames>
    <definedName name="Game_Day">Checks!$B$7</definedName>
    <definedName name="LastAddCount" hidden="1">44</definedName>
    <definedName name="LastAddFirst" hidden="1">2285</definedName>
    <definedName name="PlayerList">Players[Name]</definedName>
    <definedName name="Pod_Max">Checks!$B$5</definedName>
    <definedName name="Pod_Min">Checks!$B$4</definedName>
    <definedName name="Round_Max">Checks!$B$6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29" i="2" l="1"/>
  <c r="I2329" i="2"/>
  <c r="J2329" i="2"/>
  <c r="K2329" i="2"/>
  <c r="O2329" i="2"/>
  <c r="G2328" i="2"/>
  <c r="I2328" i="2"/>
  <c r="J2328" i="2"/>
  <c r="K2328" i="2"/>
  <c r="O2328" i="2"/>
  <c r="G2327" i="2"/>
  <c r="I2327" i="2"/>
  <c r="J2327" i="2"/>
  <c r="K2327" i="2"/>
  <c r="O2327" i="2"/>
  <c r="G2326" i="2"/>
  <c r="I2326" i="2"/>
  <c r="J2326" i="2"/>
  <c r="K2326" i="2"/>
  <c r="O2326" i="2"/>
  <c r="G2325" i="2"/>
  <c r="I2325" i="2"/>
  <c r="J2325" i="2"/>
  <c r="K2325" i="2"/>
  <c r="O2325" i="2"/>
  <c r="G2324" i="2"/>
  <c r="I2324" i="2"/>
  <c r="J2324" i="2"/>
  <c r="K2324" i="2"/>
  <c r="O2324" i="2"/>
  <c r="G2323" i="2"/>
  <c r="H2323" i="2" s="1"/>
  <c r="M2323" i="2" s="1"/>
  <c r="N2323" i="2" s="1"/>
  <c r="I2323" i="2"/>
  <c r="J2323" i="2"/>
  <c r="K2323" i="2"/>
  <c r="O2323" i="2"/>
  <c r="G2322" i="2"/>
  <c r="I2322" i="2"/>
  <c r="J2322" i="2"/>
  <c r="K2322" i="2"/>
  <c r="O2322" i="2"/>
  <c r="G2321" i="2"/>
  <c r="I2321" i="2"/>
  <c r="J2321" i="2"/>
  <c r="K2321" i="2"/>
  <c r="O2321" i="2"/>
  <c r="G2320" i="2"/>
  <c r="I2320" i="2"/>
  <c r="J2320" i="2"/>
  <c r="K2320" i="2"/>
  <c r="O2320" i="2"/>
  <c r="G2319" i="2"/>
  <c r="I2319" i="2"/>
  <c r="J2319" i="2"/>
  <c r="K2319" i="2"/>
  <c r="O2319" i="2"/>
  <c r="G2318" i="2"/>
  <c r="H2318" i="2" s="1"/>
  <c r="M2318" i="2" s="1"/>
  <c r="N2318" i="2" s="1"/>
  <c r="I2318" i="2"/>
  <c r="J2318" i="2"/>
  <c r="K2318" i="2"/>
  <c r="O2318" i="2"/>
  <c r="G2317" i="2"/>
  <c r="I2317" i="2"/>
  <c r="J2317" i="2"/>
  <c r="K2317" i="2"/>
  <c r="O2317" i="2"/>
  <c r="G2316" i="2"/>
  <c r="I2316" i="2"/>
  <c r="J2316" i="2"/>
  <c r="K2316" i="2"/>
  <c r="O2316" i="2"/>
  <c r="G2315" i="2"/>
  <c r="I2315" i="2"/>
  <c r="J2315" i="2"/>
  <c r="K2315" i="2"/>
  <c r="O2315" i="2"/>
  <c r="G2314" i="2"/>
  <c r="I2314" i="2"/>
  <c r="J2314" i="2"/>
  <c r="K2314" i="2"/>
  <c r="O2314" i="2"/>
  <c r="G2313" i="2"/>
  <c r="H2313" i="2" s="1"/>
  <c r="M2313" i="2" s="1"/>
  <c r="N2313" i="2" s="1"/>
  <c r="I2313" i="2"/>
  <c r="J2313" i="2"/>
  <c r="K2313" i="2"/>
  <c r="O2313" i="2"/>
  <c r="G2312" i="2"/>
  <c r="I2312" i="2"/>
  <c r="J2312" i="2"/>
  <c r="K2312" i="2"/>
  <c r="O2312" i="2"/>
  <c r="G2311" i="2"/>
  <c r="I2311" i="2"/>
  <c r="J2311" i="2"/>
  <c r="K2311" i="2"/>
  <c r="O2311" i="2"/>
  <c r="G2310" i="2"/>
  <c r="I2310" i="2"/>
  <c r="J2310" i="2"/>
  <c r="K2310" i="2"/>
  <c r="O2310" i="2"/>
  <c r="G2309" i="2"/>
  <c r="I2309" i="2"/>
  <c r="J2309" i="2"/>
  <c r="K2309" i="2"/>
  <c r="O2309" i="2"/>
  <c r="G2308" i="2"/>
  <c r="H2308" i="2" s="1"/>
  <c r="M2308" i="2" s="1"/>
  <c r="N2308" i="2" s="1"/>
  <c r="I2308" i="2"/>
  <c r="J2308" i="2"/>
  <c r="K2308" i="2"/>
  <c r="O2308" i="2"/>
  <c r="G2307" i="2"/>
  <c r="I2307" i="2"/>
  <c r="J2307" i="2"/>
  <c r="K2307" i="2"/>
  <c r="O2307" i="2"/>
  <c r="G2306" i="2"/>
  <c r="I2306" i="2"/>
  <c r="J2306" i="2"/>
  <c r="K2306" i="2"/>
  <c r="O2306" i="2"/>
  <c r="G2305" i="2"/>
  <c r="I2305" i="2"/>
  <c r="J2305" i="2"/>
  <c r="K2305" i="2"/>
  <c r="O2305" i="2"/>
  <c r="G2304" i="2"/>
  <c r="I2304" i="2"/>
  <c r="J2304" i="2"/>
  <c r="K2304" i="2"/>
  <c r="O2304" i="2"/>
  <c r="G2303" i="2"/>
  <c r="I2303" i="2"/>
  <c r="J2303" i="2"/>
  <c r="K2303" i="2"/>
  <c r="O2303" i="2"/>
  <c r="G2302" i="2"/>
  <c r="I2302" i="2"/>
  <c r="J2302" i="2"/>
  <c r="K2302" i="2"/>
  <c r="O2302" i="2"/>
  <c r="G2301" i="2"/>
  <c r="I2301" i="2"/>
  <c r="J2301" i="2"/>
  <c r="K2301" i="2"/>
  <c r="O2301" i="2"/>
  <c r="G2300" i="2"/>
  <c r="H2300" i="2" s="1"/>
  <c r="M2300" i="2" s="1"/>
  <c r="N2300" i="2" s="1"/>
  <c r="I2300" i="2"/>
  <c r="J2300" i="2"/>
  <c r="K2300" i="2"/>
  <c r="O2300" i="2"/>
  <c r="G2299" i="2"/>
  <c r="I2299" i="2"/>
  <c r="J2299" i="2"/>
  <c r="K2299" i="2"/>
  <c r="O2299" i="2"/>
  <c r="G2298" i="2"/>
  <c r="I2298" i="2"/>
  <c r="J2298" i="2"/>
  <c r="K2298" i="2"/>
  <c r="O2298" i="2"/>
  <c r="G2297" i="2"/>
  <c r="I2297" i="2"/>
  <c r="J2297" i="2"/>
  <c r="K2297" i="2"/>
  <c r="O2297" i="2"/>
  <c r="G2296" i="2"/>
  <c r="H2296" i="2" s="1"/>
  <c r="M2296" i="2" s="1"/>
  <c r="N2296" i="2" s="1"/>
  <c r="I2296" i="2"/>
  <c r="J2296" i="2"/>
  <c r="K2296" i="2"/>
  <c r="O2296" i="2"/>
  <c r="G2295" i="2"/>
  <c r="I2295" i="2"/>
  <c r="J2295" i="2"/>
  <c r="K2295" i="2"/>
  <c r="O2295" i="2"/>
  <c r="G2294" i="2"/>
  <c r="I2294" i="2"/>
  <c r="J2294" i="2"/>
  <c r="K2294" i="2"/>
  <c r="O2294" i="2"/>
  <c r="G2293" i="2"/>
  <c r="I2293" i="2"/>
  <c r="J2293" i="2"/>
  <c r="K2293" i="2"/>
  <c r="O2293" i="2"/>
  <c r="G2292" i="2"/>
  <c r="I2292" i="2"/>
  <c r="J2292" i="2"/>
  <c r="K2292" i="2"/>
  <c r="O2292" i="2"/>
  <c r="G2291" i="2"/>
  <c r="I2291" i="2"/>
  <c r="J2291" i="2"/>
  <c r="K2291" i="2"/>
  <c r="O2291" i="2"/>
  <c r="G2290" i="2"/>
  <c r="I2290" i="2"/>
  <c r="J2290" i="2"/>
  <c r="K2290" i="2"/>
  <c r="O2290" i="2"/>
  <c r="G2289" i="2"/>
  <c r="H2289" i="2" s="1"/>
  <c r="M2289" i="2" s="1"/>
  <c r="N2289" i="2" s="1"/>
  <c r="I2289" i="2"/>
  <c r="J2289" i="2"/>
  <c r="K2289" i="2"/>
  <c r="O2289" i="2"/>
  <c r="G2288" i="2"/>
  <c r="I2288" i="2"/>
  <c r="J2288" i="2"/>
  <c r="K2288" i="2"/>
  <c r="O2288" i="2"/>
  <c r="G2287" i="2"/>
  <c r="I2287" i="2"/>
  <c r="J2287" i="2"/>
  <c r="K2287" i="2"/>
  <c r="O2287" i="2"/>
  <c r="G2286" i="2"/>
  <c r="I2286" i="2"/>
  <c r="J2286" i="2"/>
  <c r="K2286" i="2"/>
  <c r="O2286" i="2"/>
  <c r="A34" i="4"/>
  <c r="A14" i="4"/>
  <c r="B13" i="4"/>
  <c r="B11" i="4"/>
  <c r="D5" i="4"/>
  <c r="G70" i="3"/>
  <c r="O337" i="2" s="1"/>
  <c r="E70" i="3"/>
  <c r="B70" i="3"/>
  <c r="G69" i="3"/>
  <c r="O479" i="2" s="1"/>
  <c r="E69" i="3"/>
  <c r="B69" i="3"/>
  <c r="G68" i="3"/>
  <c r="O49" i="2" s="1"/>
  <c r="E68" i="3"/>
  <c r="B68" i="3"/>
  <c r="G67" i="3"/>
  <c r="O1487" i="2" s="1"/>
  <c r="E67" i="3"/>
  <c r="B67" i="3"/>
  <c r="G66" i="3"/>
  <c r="E66" i="3"/>
  <c r="B66" i="3"/>
  <c r="G65" i="3"/>
  <c r="E65" i="3"/>
  <c r="B65" i="3"/>
  <c r="G64" i="3"/>
  <c r="E64" i="3"/>
  <c r="B64" i="3"/>
  <c r="G63" i="3"/>
  <c r="E63" i="3"/>
  <c r="B63" i="3"/>
  <c r="G62" i="3"/>
  <c r="E62" i="3"/>
  <c r="B62" i="3"/>
  <c r="G61" i="3"/>
  <c r="E61" i="3"/>
  <c r="B61" i="3"/>
  <c r="G60" i="3"/>
  <c r="O1632" i="2" s="1"/>
  <c r="E60" i="3"/>
  <c r="B60" i="3"/>
  <c r="G59" i="3"/>
  <c r="E59" i="3"/>
  <c r="B59" i="3"/>
  <c r="G58" i="3"/>
  <c r="E58" i="3"/>
  <c r="B58" i="3"/>
  <c r="G57" i="3"/>
  <c r="O187" i="2" s="1"/>
  <c r="E57" i="3"/>
  <c r="B57" i="3"/>
  <c r="G56" i="3"/>
  <c r="E56" i="3"/>
  <c r="B56" i="3"/>
  <c r="G55" i="3"/>
  <c r="O2196" i="2" s="1"/>
  <c r="E55" i="3"/>
  <c r="B55" i="3"/>
  <c r="G54" i="3"/>
  <c r="E54" i="3"/>
  <c r="B54" i="3"/>
  <c r="G53" i="3"/>
  <c r="E53" i="3"/>
  <c r="B53" i="3"/>
  <c r="G52" i="3"/>
  <c r="E52" i="3"/>
  <c r="B52" i="3"/>
  <c r="G51" i="3"/>
  <c r="E51" i="3"/>
  <c r="B51" i="3"/>
  <c r="G50" i="3"/>
  <c r="E50" i="3"/>
  <c r="B50" i="3"/>
  <c r="G49" i="3"/>
  <c r="E49" i="3"/>
  <c r="B49" i="3"/>
  <c r="G48" i="3"/>
  <c r="E48" i="3"/>
  <c r="B48" i="3"/>
  <c r="G47" i="3"/>
  <c r="E47" i="3"/>
  <c r="B47" i="3"/>
  <c r="G46" i="3"/>
  <c r="E46" i="3"/>
  <c r="B46" i="3"/>
  <c r="G45" i="3"/>
  <c r="E45" i="3"/>
  <c r="B45" i="3"/>
  <c r="G44" i="3"/>
  <c r="E44" i="3"/>
  <c r="B44" i="3"/>
  <c r="G43" i="3"/>
  <c r="E43" i="3"/>
  <c r="B43" i="3"/>
  <c r="G42" i="3"/>
  <c r="E42" i="3"/>
  <c r="B42" i="3"/>
  <c r="G41" i="3"/>
  <c r="O1047" i="2" s="1"/>
  <c r="E41" i="3"/>
  <c r="B41" i="3"/>
  <c r="G40" i="3"/>
  <c r="E40" i="3"/>
  <c r="B40" i="3"/>
  <c r="G39" i="3"/>
  <c r="O2193" i="2" s="1"/>
  <c r="E39" i="3"/>
  <c r="B39" i="3"/>
  <c r="G38" i="3"/>
  <c r="E38" i="3"/>
  <c r="B38" i="3"/>
  <c r="G37" i="3"/>
  <c r="E37" i="3"/>
  <c r="B37" i="3"/>
  <c r="G36" i="3"/>
  <c r="E36" i="3"/>
  <c r="B36" i="3"/>
  <c r="G35" i="3"/>
  <c r="E35" i="3"/>
  <c r="B35" i="3"/>
  <c r="G34" i="3"/>
  <c r="E34" i="3"/>
  <c r="B34" i="3"/>
  <c r="G33" i="3"/>
  <c r="E33" i="3"/>
  <c r="B33" i="3"/>
  <c r="G32" i="3"/>
  <c r="E32" i="3"/>
  <c r="B32" i="3"/>
  <c r="G31" i="3"/>
  <c r="E31" i="3"/>
  <c r="B31" i="3"/>
  <c r="G30" i="3"/>
  <c r="E30" i="3"/>
  <c r="B30" i="3"/>
  <c r="G29" i="3"/>
  <c r="E29" i="3"/>
  <c r="B29" i="3"/>
  <c r="G28" i="3"/>
  <c r="E28" i="3"/>
  <c r="B28" i="3"/>
  <c r="G27" i="3"/>
  <c r="O2199" i="2" s="1"/>
  <c r="E27" i="3"/>
  <c r="B27" i="3"/>
  <c r="G26" i="3"/>
  <c r="E26" i="3"/>
  <c r="B26" i="3"/>
  <c r="G25" i="3"/>
  <c r="O1052" i="2" s="1"/>
  <c r="E25" i="3"/>
  <c r="B25" i="3"/>
  <c r="G24" i="3"/>
  <c r="E24" i="3"/>
  <c r="B24" i="3"/>
  <c r="G23" i="3"/>
  <c r="E23" i="3"/>
  <c r="B23" i="3"/>
  <c r="G22" i="3"/>
  <c r="E22" i="3"/>
  <c r="B22" i="3"/>
  <c r="G21" i="3"/>
  <c r="E21" i="3"/>
  <c r="B21" i="3"/>
  <c r="G20" i="3"/>
  <c r="E20" i="3"/>
  <c r="B20" i="3"/>
  <c r="G19" i="3"/>
  <c r="E19" i="3"/>
  <c r="B19" i="3"/>
  <c r="G18" i="3"/>
  <c r="E18" i="3"/>
  <c r="B18" i="3"/>
  <c r="G17" i="3"/>
  <c r="E17" i="3"/>
  <c r="B17" i="3"/>
  <c r="G16" i="3"/>
  <c r="E16" i="3"/>
  <c r="B16" i="3"/>
  <c r="G15" i="3"/>
  <c r="E15" i="3"/>
  <c r="B15" i="3"/>
  <c r="G14" i="3"/>
  <c r="E14" i="3"/>
  <c r="B14" i="3"/>
  <c r="G13" i="3"/>
  <c r="E13" i="3"/>
  <c r="B13" i="3"/>
  <c r="G12" i="3"/>
  <c r="E12" i="3"/>
  <c r="B12" i="3"/>
  <c r="G11" i="3"/>
  <c r="E11" i="3"/>
  <c r="B11" i="3"/>
  <c r="G10" i="3"/>
  <c r="E10" i="3"/>
  <c r="B10" i="3"/>
  <c r="G9" i="3"/>
  <c r="E9" i="3"/>
  <c r="B9" i="3"/>
  <c r="G8" i="3"/>
  <c r="O1620" i="2" s="1"/>
  <c r="E8" i="3"/>
  <c r="B8" i="3"/>
  <c r="G7" i="3"/>
  <c r="E7" i="3"/>
  <c r="B7" i="3"/>
  <c r="G6" i="3"/>
  <c r="E6" i="3"/>
  <c r="B6" i="3"/>
  <c r="G5" i="3"/>
  <c r="E5" i="3"/>
  <c r="B5" i="3"/>
  <c r="G4" i="3"/>
  <c r="E4" i="3"/>
  <c r="B4" i="3"/>
  <c r="G3" i="3"/>
  <c r="E3" i="3"/>
  <c r="B3" i="3"/>
  <c r="G2" i="3"/>
  <c r="E2" i="3"/>
  <c r="B15" i="4" s="1"/>
  <c r="B2" i="3"/>
  <c r="O2285" i="2"/>
  <c r="K2285" i="2"/>
  <c r="J2285" i="2"/>
  <c r="I2285" i="2"/>
  <c r="G2285" i="2"/>
  <c r="O2284" i="2"/>
  <c r="K2284" i="2"/>
  <c r="J2284" i="2"/>
  <c r="I2284" i="2"/>
  <c r="G2284" i="2"/>
  <c r="O2283" i="2"/>
  <c r="K2283" i="2"/>
  <c r="J2283" i="2"/>
  <c r="I2283" i="2"/>
  <c r="G2283" i="2"/>
  <c r="O2282" i="2"/>
  <c r="K2282" i="2"/>
  <c r="J2282" i="2"/>
  <c r="I2282" i="2"/>
  <c r="G2282" i="2"/>
  <c r="O2281" i="2"/>
  <c r="K2281" i="2"/>
  <c r="J2281" i="2"/>
  <c r="I2281" i="2"/>
  <c r="G2281" i="2"/>
  <c r="O2280" i="2"/>
  <c r="K2280" i="2"/>
  <c r="J2280" i="2"/>
  <c r="I2280" i="2"/>
  <c r="G2280" i="2"/>
  <c r="O2279" i="2"/>
  <c r="K2279" i="2"/>
  <c r="J2279" i="2"/>
  <c r="I2279" i="2"/>
  <c r="G2279" i="2"/>
  <c r="O2278" i="2"/>
  <c r="K2278" i="2"/>
  <c r="J2278" i="2"/>
  <c r="I2278" i="2"/>
  <c r="G2278" i="2"/>
  <c r="O2277" i="2"/>
  <c r="K2277" i="2"/>
  <c r="J2277" i="2"/>
  <c r="I2277" i="2"/>
  <c r="G2277" i="2"/>
  <c r="O2276" i="2"/>
  <c r="K2276" i="2"/>
  <c r="J2276" i="2"/>
  <c r="I2276" i="2"/>
  <c r="G2276" i="2"/>
  <c r="O2275" i="2"/>
  <c r="K2275" i="2"/>
  <c r="J2275" i="2"/>
  <c r="I2275" i="2"/>
  <c r="G2275" i="2"/>
  <c r="O2274" i="2"/>
  <c r="K2274" i="2"/>
  <c r="J2274" i="2"/>
  <c r="I2274" i="2"/>
  <c r="G2274" i="2"/>
  <c r="H2274" i="2" s="1"/>
  <c r="M2274" i="2" s="1"/>
  <c r="N2274" i="2" s="1"/>
  <c r="O2273" i="2"/>
  <c r="K2273" i="2"/>
  <c r="J2273" i="2"/>
  <c r="I2273" i="2"/>
  <c r="G2273" i="2"/>
  <c r="H2273" i="2" s="1"/>
  <c r="M2273" i="2" s="1"/>
  <c r="N2273" i="2" s="1"/>
  <c r="O2272" i="2"/>
  <c r="K2272" i="2"/>
  <c r="J2272" i="2"/>
  <c r="I2272" i="2"/>
  <c r="G2272" i="2"/>
  <c r="H2272" i="2" s="1"/>
  <c r="M2272" i="2" s="1"/>
  <c r="N2272" i="2" s="1"/>
  <c r="O2271" i="2"/>
  <c r="K2271" i="2"/>
  <c r="J2271" i="2"/>
  <c r="I2271" i="2"/>
  <c r="G2271" i="2"/>
  <c r="H2271" i="2" s="1"/>
  <c r="M2271" i="2" s="1"/>
  <c r="N2271" i="2" s="1"/>
  <c r="O2270" i="2"/>
  <c r="K2270" i="2"/>
  <c r="J2270" i="2"/>
  <c r="I2270" i="2"/>
  <c r="G2270" i="2"/>
  <c r="H2270" i="2" s="1"/>
  <c r="M2270" i="2" s="1"/>
  <c r="N2270" i="2" s="1"/>
  <c r="O2269" i="2"/>
  <c r="K2269" i="2"/>
  <c r="J2269" i="2"/>
  <c r="I2269" i="2"/>
  <c r="G2269" i="2"/>
  <c r="H2269" i="2" s="1"/>
  <c r="M2269" i="2" s="1"/>
  <c r="N2269" i="2" s="1"/>
  <c r="O2268" i="2"/>
  <c r="K2268" i="2"/>
  <c r="J2268" i="2"/>
  <c r="I2268" i="2"/>
  <c r="G2268" i="2"/>
  <c r="H2268" i="2" s="1"/>
  <c r="M2268" i="2" s="1"/>
  <c r="N2268" i="2" s="1"/>
  <c r="O2267" i="2"/>
  <c r="K2267" i="2"/>
  <c r="J2267" i="2"/>
  <c r="I2267" i="2"/>
  <c r="G2267" i="2"/>
  <c r="H2267" i="2" s="1"/>
  <c r="M2267" i="2" s="1"/>
  <c r="N2267" i="2" s="1"/>
  <c r="O2266" i="2"/>
  <c r="K2266" i="2"/>
  <c r="J2266" i="2"/>
  <c r="I2266" i="2"/>
  <c r="G2266" i="2"/>
  <c r="H2266" i="2" s="1"/>
  <c r="M2266" i="2" s="1"/>
  <c r="N2266" i="2" s="1"/>
  <c r="O2265" i="2"/>
  <c r="K2265" i="2"/>
  <c r="J2265" i="2"/>
  <c r="I2265" i="2"/>
  <c r="G2265" i="2"/>
  <c r="H2265" i="2" s="1"/>
  <c r="M2265" i="2" s="1"/>
  <c r="N2265" i="2" s="1"/>
  <c r="O2264" i="2"/>
  <c r="K2264" i="2"/>
  <c r="J2264" i="2"/>
  <c r="I2264" i="2"/>
  <c r="G2264" i="2"/>
  <c r="H2264" i="2" s="1"/>
  <c r="M2264" i="2" s="1"/>
  <c r="N2264" i="2" s="1"/>
  <c r="O2263" i="2"/>
  <c r="K2263" i="2"/>
  <c r="J2263" i="2"/>
  <c r="I2263" i="2"/>
  <c r="G2263" i="2"/>
  <c r="H2263" i="2" s="1"/>
  <c r="M2263" i="2" s="1"/>
  <c r="N2263" i="2" s="1"/>
  <c r="O2262" i="2"/>
  <c r="K2262" i="2"/>
  <c r="J2262" i="2"/>
  <c r="I2262" i="2"/>
  <c r="G2262" i="2"/>
  <c r="H2262" i="2" s="1"/>
  <c r="M2262" i="2" s="1"/>
  <c r="N2262" i="2" s="1"/>
  <c r="O2261" i="2"/>
  <c r="K2261" i="2"/>
  <c r="J2261" i="2"/>
  <c r="I2261" i="2"/>
  <c r="G2261" i="2"/>
  <c r="H2261" i="2" s="1"/>
  <c r="M2261" i="2" s="1"/>
  <c r="N2261" i="2" s="1"/>
  <c r="O2260" i="2"/>
  <c r="K2260" i="2"/>
  <c r="J2260" i="2"/>
  <c r="I2260" i="2"/>
  <c r="G2260" i="2"/>
  <c r="H2260" i="2" s="1"/>
  <c r="M2260" i="2" s="1"/>
  <c r="N2260" i="2" s="1"/>
  <c r="O2259" i="2"/>
  <c r="K2259" i="2"/>
  <c r="J2259" i="2"/>
  <c r="I2259" i="2"/>
  <c r="G2259" i="2"/>
  <c r="H2259" i="2" s="1"/>
  <c r="M2259" i="2" s="1"/>
  <c r="N2259" i="2" s="1"/>
  <c r="O2258" i="2"/>
  <c r="K2258" i="2"/>
  <c r="J2258" i="2"/>
  <c r="I2258" i="2"/>
  <c r="G2258" i="2"/>
  <c r="H2258" i="2" s="1"/>
  <c r="M2258" i="2" s="1"/>
  <c r="N2258" i="2" s="1"/>
  <c r="O2257" i="2"/>
  <c r="K2257" i="2"/>
  <c r="J2257" i="2"/>
  <c r="I2257" i="2"/>
  <c r="G2257" i="2"/>
  <c r="O2256" i="2"/>
  <c r="K2256" i="2"/>
  <c r="J2256" i="2"/>
  <c r="I2256" i="2"/>
  <c r="G2256" i="2"/>
  <c r="O2255" i="2"/>
  <c r="K2255" i="2"/>
  <c r="J2255" i="2"/>
  <c r="I2255" i="2"/>
  <c r="G2255" i="2"/>
  <c r="O2254" i="2"/>
  <c r="K2254" i="2"/>
  <c r="J2254" i="2"/>
  <c r="I2254" i="2"/>
  <c r="G2254" i="2"/>
  <c r="O2253" i="2"/>
  <c r="K2253" i="2"/>
  <c r="J2253" i="2"/>
  <c r="I2253" i="2"/>
  <c r="G2253" i="2"/>
  <c r="O2252" i="2"/>
  <c r="K2252" i="2"/>
  <c r="J2252" i="2"/>
  <c r="I2252" i="2"/>
  <c r="G2252" i="2"/>
  <c r="O2251" i="2"/>
  <c r="K2251" i="2"/>
  <c r="J2251" i="2"/>
  <c r="I2251" i="2"/>
  <c r="G2251" i="2"/>
  <c r="O2250" i="2"/>
  <c r="K2250" i="2"/>
  <c r="J2250" i="2"/>
  <c r="I2250" i="2"/>
  <c r="G2250" i="2"/>
  <c r="O2249" i="2"/>
  <c r="K2249" i="2"/>
  <c r="J2249" i="2"/>
  <c r="I2249" i="2"/>
  <c r="G2249" i="2"/>
  <c r="O2248" i="2"/>
  <c r="K2248" i="2"/>
  <c r="J2248" i="2"/>
  <c r="I2248" i="2"/>
  <c r="G2248" i="2"/>
  <c r="O2247" i="2"/>
  <c r="K2247" i="2"/>
  <c r="J2247" i="2"/>
  <c r="I2247" i="2"/>
  <c r="G2247" i="2"/>
  <c r="O2246" i="2"/>
  <c r="K2246" i="2"/>
  <c r="J2246" i="2"/>
  <c r="I2246" i="2"/>
  <c r="G2246" i="2"/>
  <c r="O2245" i="2"/>
  <c r="K2245" i="2"/>
  <c r="J2245" i="2"/>
  <c r="I2245" i="2"/>
  <c r="G2245" i="2"/>
  <c r="O2244" i="2"/>
  <c r="K2244" i="2"/>
  <c r="J2244" i="2"/>
  <c r="I2244" i="2"/>
  <c r="G2244" i="2"/>
  <c r="O2243" i="2"/>
  <c r="K2243" i="2"/>
  <c r="J2243" i="2"/>
  <c r="I2243" i="2"/>
  <c r="G2243" i="2"/>
  <c r="O2242" i="2"/>
  <c r="K2242" i="2"/>
  <c r="J2242" i="2"/>
  <c r="I2242" i="2"/>
  <c r="G2242" i="2"/>
  <c r="O2241" i="2"/>
  <c r="K2241" i="2"/>
  <c r="J2241" i="2"/>
  <c r="I2241" i="2"/>
  <c r="G2241" i="2"/>
  <c r="O2240" i="2"/>
  <c r="K2240" i="2"/>
  <c r="J2240" i="2"/>
  <c r="I2240" i="2"/>
  <c r="G2240" i="2"/>
  <c r="O2239" i="2"/>
  <c r="K2239" i="2"/>
  <c r="J2239" i="2"/>
  <c r="I2239" i="2"/>
  <c r="G2239" i="2"/>
  <c r="O2238" i="2"/>
  <c r="K2238" i="2"/>
  <c r="J2238" i="2"/>
  <c r="I2238" i="2"/>
  <c r="G2238" i="2"/>
  <c r="O2237" i="2"/>
  <c r="K2237" i="2"/>
  <c r="J2237" i="2"/>
  <c r="I2237" i="2"/>
  <c r="G2237" i="2"/>
  <c r="O2236" i="2"/>
  <c r="K2236" i="2"/>
  <c r="J2236" i="2"/>
  <c r="I2236" i="2"/>
  <c r="G2236" i="2"/>
  <c r="O2235" i="2"/>
  <c r="K2235" i="2"/>
  <c r="J2235" i="2"/>
  <c r="I2235" i="2"/>
  <c r="G2235" i="2"/>
  <c r="O2234" i="2"/>
  <c r="K2234" i="2"/>
  <c r="J2234" i="2"/>
  <c r="I2234" i="2"/>
  <c r="G2234" i="2"/>
  <c r="O2233" i="2"/>
  <c r="K2233" i="2"/>
  <c r="J2233" i="2"/>
  <c r="I2233" i="2"/>
  <c r="G2233" i="2"/>
  <c r="O2232" i="2"/>
  <c r="K2232" i="2"/>
  <c r="J2232" i="2"/>
  <c r="I2232" i="2"/>
  <c r="G2232" i="2"/>
  <c r="O2231" i="2"/>
  <c r="K2231" i="2"/>
  <c r="J2231" i="2"/>
  <c r="I2231" i="2"/>
  <c r="G2231" i="2"/>
  <c r="O2230" i="2"/>
  <c r="K2230" i="2"/>
  <c r="J2230" i="2"/>
  <c r="I2230" i="2"/>
  <c r="G2230" i="2"/>
  <c r="O2229" i="2"/>
  <c r="K2229" i="2"/>
  <c r="J2229" i="2"/>
  <c r="I2229" i="2"/>
  <c r="G2229" i="2"/>
  <c r="O2228" i="2"/>
  <c r="K2228" i="2"/>
  <c r="J2228" i="2"/>
  <c r="I2228" i="2"/>
  <c r="G2228" i="2"/>
  <c r="O2227" i="2"/>
  <c r="K2227" i="2"/>
  <c r="J2227" i="2"/>
  <c r="I2227" i="2"/>
  <c r="G2227" i="2"/>
  <c r="O2226" i="2"/>
  <c r="K2226" i="2"/>
  <c r="J2226" i="2"/>
  <c r="I2226" i="2"/>
  <c r="G2226" i="2"/>
  <c r="O2225" i="2"/>
  <c r="K2225" i="2"/>
  <c r="J2225" i="2"/>
  <c r="I2225" i="2"/>
  <c r="G2225" i="2"/>
  <c r="O2224" i="2"/>
  <c r="K2224" i="2"/>
  <c r="J2224" i="2"/>
  <c r="I2224" i="2"/>
  <c r="G2224" i="2"/>
  <c r="O2223" i="2"/>
  <c r="K2223" i="2"/>
  <c r="J2223" i="2"/>
  <c r="I2223" i="2"/>
  <c r="G2223" i="2"/>
  <c r="O2222" i="2"/>
  <c r="K2222" i="2"/>
  <c r="J2222" i="2"/>
  <c r="I2222" i="2"/>
  <c r="G2222" i="2"/>
  <c r="O2221" i="2"/>
  <c r="K2221" i="2"/>
  <c r="J2221" i="2"/>
  <c r="I2221" i="2"/>
  <c r="G2221" i="2"/>
  <c r="O2220" i="2"/>
  <c r="K2220" i="2"/>
  <c r="J2220" i="2"/>
  <c r="I2220" i="2"/>
  <c r="G2220" i="2"/>
  <c r="O2219" i="2"/>
  <c r="K2219" i="2"/>
  <c r="J2219" i="2"/>
  <c r="I2219" i="2"/>
  <c r="G2219" i="2"/>
  <c r="O2218" i="2"/>
  <c r="K2218" i="2"/>
  <c r="J2218" i="2"/>
  <c r="I2218" i="2"/>
  <c r="G2218" i="2"/>
  <c r="O2217" i="2"/>
  <c r="K2217" i="2"/>
  <c r="J2217" i="2"/>
  <c r="I2217" i="2"/>
  <c r="G2217" i="2"/>
  <c r="O2216" i="2"/>
  <c r="K2216" i="2"/>
  <c r="J2216" i="2"/>
  <c r="I2216" i="2"/>
  <c r="G2216" i="2"/>
  <c r="O2215" i="2"/>
  <c r="K2215" i="2"/>
  <c r="J2215" i="2"/>
  <c r="I2215" i="2"/>
  <c r="G2215" i="2"/>
  <c r="O2214" i="2"/>
  <c r="K2214" i="2"/>
  <c r="J2214" i="2"/>
  <c r="I2214" i="2"/>
  <c r="G2214" i="2"/>
  <c r="O2213" i="2"/>
  <c r="K2213" i="2"/>
  <c r="J2213" i="2"/>
  <c r="I2213" i="2"/>
  <c r="G2213" i="2"/>
  <c r="O2212" i="2"/>
  <c r="K2212" i="2"/>
  <c r="J2212" i="2"/>
  <c r="I2212" i="2"/>
  <c r="G2212" i="2"/>
  <c r="O2211" i="2"/>
  <c r="K2211" i="2"/>
  <c r="J2211" i="2"/>
  <c r="I2211" i="2"/>
  <c r="G2211" i="2"/>
  <c r="O2210" i="2"/>
  <c r="K2210" i="2"/>
  <c r="J2210" i="2"/>
  <c r="I2210" i="2"/>
  <c r="G2210" i="2"/>
  <c r="O2209" i="2"/>
  <c r="K2209" i="2"/>
  <c r="J2209" i="2"/>
  <c r="I2209" i="2"/>
  <c r="G2209" i="2"/>
  <c r="K2208" i="2"/>
  <c r="J2208" i="2"/>
  <c r="I2208" i="2"/>
  <c r="G2208" i="2"/>
  <c r="K2207" i="2"/>
  <c r="J2207" i="2"/>
  <c r="I2207" i="2"/>
  <c r="G2207" i="2"/>
  <c r="K2206" i="2"/>
  <c r="J2206" i="2"/>
  <c r="I2206" i="2"/>
  <c r="G2206" i="2"/>
  <c r="K2205" i="2"/>
  <c r="J2205" i="2"/>
  <c r="I2205" i="2"/>
  <c r="G2205" i="2"/>
  <c r="K2204" i="2"/>
  <c r="J2204" i="2"/>
  <c r="I2204" i="2"/>
  <c r="G2204" i="2"/>
  <c r="K2203" i="2"/>
  <c r="J2203" i="2"/>
  <c r="I2203" i="2"/>
  <c r="G2203" i="2"/>
  <c r="K2202" i="2"/>
  <c r="J2202" i="2"/>
  <c r="I2202" i="2"/>
  <c r="G2202" i="2"/>
  <c r="K2201" i="2"/>
  <c r="J2201" i="2"/>
  <c r="I2201" i="2"/>
  <c r="G2201" i="2"/>
  <c r="K2200" i="2"/>
  <c r="J2200" i="2"/>
  <c r="I2200" i="2"/>
  <c r="G2200" i="2"/>
  <c r="K2199" i="2"/>
  <c r="J2199" i="2"/>
  <c r="I2199" i="2"/>
  <c r="G2199" i="2"/>
  <c r="K2198" i="2"/>
  <c r="J2198" i="2"/>
  <c r="I2198" i="2"/>
  <c r="G2198" i="2"/>
  <c r="K2197" i="2"/>
  <c r="J2197" i="2"/>
  <c r="I2197" i="2"/>
  <c r="G2197" i="2"/>
  <c r="K2196" i="2"/>
  <c r="J2196" i="2"/>
  <c r="I2196" i="2"/>
  <c r="G2196" i="2"/>
  <c r="K2195" i="2"/>
  <c r="J2195" i="2"/>
  <c r="I2195" i="2"/>
  <c r="G2195" i="2"/>
  <c r="K2194" i="2"/>
  <c r="J2194" i="2"/>
  <c r="I2194" i="2"/>
  <c r="G2194" i="2"/>
  <c r="K2193" i="2"/>
  <c r="J2193" i="2"/>
  <c r="I2193" i="2"/>
  <c r="G2193" i="2"/>
  <c r="K2192" i="2"/>
  <c r="J2192" i="2"/>
  <c r="I2192" i="2"/>
  <c r="G2192" i="2"/>
  <c r="K2191" i="2"/>
  <c r="J2191" i="2"/>
  <c r="I2191" i="2"/>
  <c r="G2191" i="2"/>
  <c r="O2190" i="2"/>
  <c r="K2190" i="2"/>
  <c r="J2190" i="2"/>
  <c r="I2190" i="2"/>
  <c r="G2190" i="2"/>
  <c r="K2189" i="2"/>
  <c r="J2189" i="2"/>
  <c r="I2189" i="2"/>
  <c r="G2189" i="2"/>
  <c r="O2188" i="2"/>
  <c r="K2188" i="2"/>
  <c r="J2188" i="2"/>
  <c r="I2188" i="2"/>
  <c r="G2188" i="2"/>
  <c r="K2187" i="2"/>
  <c r="J2187" i="2"/>
  <c r="I2187" i="2"/>
  <c r="G2187" i="2"/>
  <c r="O2186" i="2"/>
  <c r="K2186" i="2"/>
  <c r="J2186" i="2"/>
  <c r="I2186" i="2"/>
  <c r="G2186" i="2"/>
  <c r="O2185" i="2"/>
  <c r="K2185" i="2"/>
  <c r="J2185" i="2"/>
  <c r="I2185" i="2"/>
  <c r="G2185" i="2"/>
  <c r="K2184" i="2"/>
  <c r="J2184" i="2"/>
  <c r="I2184" i="2"/>
  <c r="G2184" i="2"/>
  <c r="K2183" i="2"/>
  <c r="J2183" i="2"/>
  <c r="I2183" i="2"/>
  <c r="G2183" i="2"/>
  <c r="O2182" i="2"/>
  <c r="K2182" i="2"/>
  <c r="J2182" i="2"/>
  <c r="I2182" i="2"/>
  <c r="G2182" i="2"/>
  <c r="O2181" i="2"/>
  <c r="K2181" i="2"/>
  <c r="J2181" i="2"/>
  <c r="I2181" i="2"/>
  <c r="G2181" i="2"/>
  <c r="O2180" i="2"/>
  <c r="K2180" i="2"/>
  <c r="J2180" i="2"/>
  <c r="I2180" i="2"/>
  <c r="G2180" i="2"/>
  <c r="O2179" i="2"/>
  <c r="K2179" i="2"/>
  <c r="J2179" i="2"/>
  <c r="I2179" i="2"/>
  <c r="G2179" i="2"/>
  <c r="O2178" i="2"/>
  <c r="K2178" i="2"/>
  <c r="J2178" i="2"/>
  <c r="I2178" i="2"/>
  <c r="G2178" i="2"/>
  <c r="O2177" i="2"/>
  <c r="K2177" i="2"/>
  <c r="J2177" i="2"/>
  <c r="I2177" i="2"/>
  <c r="G2177" i="2"/>
  <c r="O2176" i="2"/>
  <c r="K2176" i="2"/>
  <c r="J2176" i="2"/>
  <c r="I2176" i="2"/>
  <c r="G2176" i="2"/>
  <c r="O2175" i="2"/>
  <c r="K2175" i="2"/>
  <c r="J2175" i="2"/>
  <c r="I2175" i="2"/>
  <c r="G2175" i="2"/>
  <c r="O2174" i="2"/>
  <c r="K2174" i="2"/>
  <c r="J2174" i="2"/>
  <c r="I2174" i="2"/>
  <c r="G2174" i="2"/>
  <c r="O2173" i="2"/>
  <c r="K2173" i="2"/>
  <c r="J2173" i="2"/>
  <c r="I2173" i="2"/>
  <c r="G2173" i="2"/>
  <c r="O2172" i="2"/>
  <c r="K2172" i="2"/>
  <c r="J2172" i="2"/>
  <c r="I2172" i="2"/>
  <c r="G2172" i="2"/>
  <c r="O2171" i="2"/>
  <c r="K2171" i="2"/>
  <c r="J2171" i="2"/>
  <c r="I2171" i="2"/>
  <c r="G2171" i="2"/>
  <c r="O2170" i="2"/>
  <c r="K2170" i="2"/>
  <c r="J2170" i="2"/>
  <c r="I2170" i="2"/>
  <c r="G2170" i="2"/>
  <c r="O2169" i="2"/>
  <c r="K2169" i="2"/>
  <c r="J2169" i="2"/>
  <c r="I2169" i="2"/>
  <c r="G2169" i="2"/>
  <c r="O2168" i="2"/>
  <c r="K2168" i="2"/>
  <c r="J2168" i="2"/>
  <c r="I2168" i="2"/>
  <c r="G2168" i="2"/>
  <c r="O2167" i="2"/>
  <c r="K2167" i="2"/>
  <c r="J2167" i="2"/>
  <c r="I2167" i="2"/>
  <c r="G2167" i="2"/>
  <c r="O2166" i="2"/>
  <c r="K2166" i="2"/>
  <c r="J2166" i="2"/>
  <c r="I2166" i="2"/>
  <c r="G2166" i="2"/>
  <c r="O2165" i="2"/>
  <c r="K2165" i="2"/>
  <c r="J2165" i="2"/>
  <c r="I2165" i="2"/>
  <c r="G2165" i="2"/>
  <c r="O2164" i="2"/>
  <c r="K2164" i="2"/>
  <c r="J2164" i="2"/>
  <c r="I2164" i="2"/>
  <c r="G2164" i="2"/>
  <c r="O2163" i="2"/>
  <c r="K2163" i="2"/>
  <c r="J2163" i="2"/>
  <c r="I2163" i="2"/>
  <c r="G2163" i="2"/>
  <c r="O2162" i="2"/>
  <c r="K2162" i="2"/>
  <c r="J2162" i="2"/>
  <c r="I2162" i="2"/>
  <c r="G2162" i="2"/>
  <c r="O2161" i="2"/>
  <c r="K2161" i="2"/>
  <c r="J2161" i="2"/>
  <c r="I2161" i="2"/>
  <c r="G2161" i="2"/>
  <c r="O2160" i="2"/>
  <c r="K2160" i="2"/>
  <c r="J2160" i="2"/>
  <c r="I2160" i="2"/>
  <c r="G2160" i="2"/>
  <c r="O2159" i="2"/>
  <c r="K2159" i="2"/>
  <c r="J2159" i="2"/>
  <c r="I2159" i="2"/>
  <c r="G2159" i="2"/>
  <c r="O2158" i="2"/>
  <c r="K2158" i="2"/>
  <c r="J2158" i="2"/>
  <c r="I2158" i="2"/>
  <c r="G2158" i="2"/>
  <c r="O2157" i="2"/>
  <c r="K2157" i="2"/>
  <c r="J2157" i="2"/>
  <c r="I2157" i="2"/>
  <c r="G2157" i="2"/>
  <c r="O2156" i="2"/>
  <c r="K2156" i="2"/>
  <c r="J2156" i="2"/>
  <c r="I2156" i="2"/>
  <c r="G2156" i="2"/>
  <c r="O2155" i="2"/>
  <c r="K2155" i="2"/>
  <c r="J2155" i="2"/>
  <c r="I2155" i="2"/>
  <c r="G2155" i="2"/>
  <c r="O2154" i="2"/>
  <c r="K2154" i="2"/>
  <c r="J2154" i="2"/>
  <c r="I2154" i="2"/>
  <c r="G2154" i="2"/>
  <c r="O2153" i="2"/>
  <c r="K2153" i="2"/>
  <c r="J2153" i="2"/>
  <c r="I2153" i="2"/>
  <c r="G2153" i="2"/>
  <c r="O2152" i="2"/>
  <c r="K2152" i="2"/>
  <c r="J2152" i="2"/>
  <c r="I2152" i="2"/>
  <c r="G2152" i="2"/>
  <c r="O2151" i="2"/>
  <c r="K2151" i="2"/>
  <c r="J2151" i="2"/>
  <c r="I2151" i="2"/>
  <c r="G2151" i="2"/>
  <c r="O2150" i="2"/>
  <c r="K2150" i="2"/>
  <c r="J2150" i="2"/>
  <c r="I2150" i="2"/>
  <c r="G2150" i="2"/>
  <c r="O2149" i="2"/>
  <c r="K2149" i="2"/>
  <c r="J2149" i="2"/>
  <c r="I2149" i="2"/>
  <c r="G2149" i="2"/>
  <c r="O2148" i="2"/>
  <c r="K2148" i="2"/>
  <c r="J2148" i="2"/>
  <c r="I2148" i="2"/>
  <c r="G2148" i="2"/>
  <c r="O2147" i="2"/>
  <c r="K2147" i="2"/>
  <c r="J2147" i="2"/>
  <c r="I2147" i="2"/>
  <c r="G2147" i="2"/>
  <c r="O2146" i="2"/>
  <c r="K2146" i="2"/>
  <c r="J2146" i="2"/>
  <c r="I2146" i="2"/>
  <c r="G2146" i="2"/>
  <c r="O2145" i="2"/>
  <c r="K2145" i="2"/>
  <c r="J2145" i="2"/>
  <c r="I2145" i="2"/>
  <c r="G2145" i="2"/>
  <c r="O2144" i="2"/>
  <c r="K2144" i="2"/>
  <c r="J2144" i="2"/>
  <c r="I2144" i="2"/>
  <c r="G2144" i="2"/>
  <c r="O2143" i="2"/>
  <c r="K2143" i="2"/>
  <c r="J2143" i="2"/>
  <c r="I2143" i="2"/>
  <c r="G2143" i="2"/>
  <c r="O2142" i="2"/>
  <c r="K2142" i="2"/>
  <c r="J2142" i="2"/>
  <c r="I2142" i="2"/>
  <c r="G2142" i="2"/>
  <c r="O2141" i="2"/>
  <c r="K2141" i="2"/>
  <c r="J2141" i="2"/>
  <c r="I2141" i="2"/>
  <c r="G2141" i="2"/>
  <c r="O2140" i="2"/>
  <c r="K2140" i="2"/>
  <c r="J2140" i="2"/>
  <c r="I2140" i="2"/>
  <c r="G2140" i="2"/>
  <c r="O2139" i="2"/>
  <c r="K2139" i="2"/>
  <c r="J2139" i="2"/>
  <c r="I2139" i="2"/>
  <c r="G2139" i="2"/>
  <c r="O2138" i="2"/>
  <c r="K2138" i="2"/>
  <c r="J2138" i="2"/>
  <c r="I2138" i="2"/>
  <c r="G2138" i="2"/>
  <c r="O2137" i="2"/>
  <c r="K2137" i="2"/>
  <c r="J2137" i="2"/>
  <c r="I2137" i="2"/>
  <c r="G2137" i="2"/>
  <c r="O2136" i="2"/>
  <c r="K2136" i="2"/>
  <c r="J2136" i="2"/>
  <c r="I2136" i="2"/>
  <c r="G2136" i="2"/>
  <c r="O2135" i="2"/>
  <c r="K2135" i="2"/>
  <c r="J2135" i="2"/>
  <c r="I2135" i="2"/>
  <c r="G2135" i="2"/>
  <c r="O2134" i="2"/>
  <c r="K2134" i="2"/>
  <c r="J2134" i="2"/>
  <c r="I2134" i="2"/>
  <c r="G2134" i="2"/>
  <c r="O2133" i="2"/>
  <c r="K2133" i="2"/>
  <c r="J2133" i="2"/>
  <c r="I2133" i="2"/>
  <c r="G2133" i="2"/>
  <c r="O2132" i="2"/>
  <c r="K2132" i="2"/>
  <c r="J2132" i="2"/>
  <c r="I2132" i="2"/>
  <c r="G2132" i="2"/>
  <c r="O2131" i="2"/>
  <c r="K2131" i="2"/>
  <c r="J2131" i="2"/>
  <c r="I2131" i="2"/>
  <c r="G2131" i="2"/>
  <c r="O2130" i="2"/>
  <c r="K2130" i="2"/>
  <c r="J2130" i="2"/>
  <c r="I2130" i="2"/>
  <c r="G2130" i="2"/>
  <c r="O2129" i="2"/>
  <c r="K2129" i="2"/>
  <c r="J2129" i="2"/>
  <c r="I2129" i="2"/>
  <c r="G2129" i="2"/>
  <c r="O2128" i="2"/>
  <c r="K2128" i="2"/>
  <c r="J2128" i="2"/>
  <c r="I2128" i="2"/>
  <c r="G2128" i="2"/>
  <c r="O2127" i="2"/>
  <c r="K2127" i="2"/>
  <c r="J2127" i="2"/>
  <c r="I2127" i="2"/>
  <c r="G2127" i="2"/>
  <c r="O2126" i="2"/>
  <c r="K2126" i="2"/>
  <c r="J2126" i="2"/>
  <c r="I2126" i="2"/>
  <c r="G2126" i="2"/>
  <c r="O2125" i="2"/>
  <c r="K2125" i="2"/>
  <c r="J2125" i="2"/>
  <c r="I2125" i="2"/>
  <c r="G2125" i="2"/>
  <c r="O2124" i="2"/>
  <c r="K2124" i="2"/>
  <c r="J2124" i="2"/>
  <c r="I2124" i="2"/>
  <c r="G2124" i="2"/>
  <c r="O2123" i="2"/>
  <c r="K2123" i="2"/>
  <c r="J2123" i="2"/>
  <c r="I2123" i="2"/>
  <c r="G2123" i="2"/>
  <c r="O2122" i="2"/>
  <c r="K2122" i="2"/>
  <c r="J2122" i="2"/>
  <c r="I2122" i="2"/>
  <c r="G2122" i="2"/>
  <c r="O2121" i="2"/>
  <c r="K2121" i="2"/>
  <c r="J2121" i="2"/>
  <c r="I2121" i="2"/>
  <c r="G2121" i="2"/>
  <c r="O2120" i="2"/>
  <c r="K2120" i="2"/>
  <c r="J2120" i="2"/>
  <c r="I2120" i="2"/>
  <c r="G2120" i="2"/>
  <c r="O2119" i="2"/>
  <c r="K2119" i="2"/>
  <c r="J2119" i="2"/>
  <c r="I2119" i="2"/>
  <c r="G2119" i="2"/>
  <c r="O2118" i="2"/>
  <c r="K2118" i="2"/>
  <c r="J2118" i="2"/>
  <c r="I2118" i="2"/>
  <c r="G2118" i="2"/>
  <c r="O2117" i="2"/>
  <c r="K2117" i="2"/>
  <c r="J2117" i="2"/>
  <c r="I2117" i="2"/>
  <c r="G2117" i="2"/>
  <c r="O2116" i="2"/>
  <c r="K2116" i="2"/>
  <c r="J2116" i="2"/>
  <c r="I2116" i="2"/>
  <c r="G2116" i="2"/>
  <c r="O2115" i="2"/>
  <c r="K2115" i="2"/>
  <c r="J2115" i="2"/>
  <c r="I2115" i="2"/>
  <c r="G2115" i="2"/>
  <c r="O2114" i="2"/>
  <c r="K2114" i="2"/>
  <c r="J2114" i="2"/>
  <c r="I2114" i="2"/>
  <c r="G2114" i="2"/>
  <c r="O2113" i="2"/>
  <c r="K2113" i="2"/>
  <c r="J2113" i="2"/>
  <c r="I2113" i="2"/>
  <c r="G2113" i="2"/>
  <c r="O2112" i="2"/>
  <c r="K2112" i="2"/>
  <c r="J2112" i="2"/>
  <c r="I2112" i="2"/>
  <c r="G2112" i="2"/>
  <c r="O2111" i="2"/>
  <c r="K2111" i="2"/>
  <c r="J2111" i="2"/>
  <c r="I2111" i="2"/>
  <c r="G2111" i="2"/>
  <c r="O2110" i="2"/>
  <c r="K2110" i="2"/>
  <c r="J2110" i="2"/>
  <c r="I2110" i="2"/>
  <c r="G2110" i="2"/>
  <c r="O2109" i="2"/>
  <c r="K2109" i="2"/>
  <c r="J2109" i="2"/>
  <c r="I2109" i="2"/>
  <c r="G2109" i="2"/>
  <c r="O2108" i="2"/>
  <c r="K2108" i="2"/>
  <c r="J2108" i="2"/>
  <c r="I2108" i="2"/>
  <c r="G2108" i="2"/>
  <c r="O2107" i="2"/>
  <c r="K2107" i="2"/>
  <c r="J2107" i="2"/>
  <c r="I2107" i="2"/>
  <c r="G2107" i="2"/>
  <c r="O2106" i="2"/>
  <c r="K2106" i="2"/>
  <c r="J2106" i="2"/>
  <c r="I2106" i="2"/>
  <c r="G2106" i="2"/>
  <c r="O2105" i="2"/>
  <c r="K2105" i="2"/>
  <c r="J2105" i="2"/>
  <c r="I2105" i="2"/>
  <c r="G2105" i="2"/>
  <c r="O2104" i="2"/>
  <c r="K2104" i="2"/>
  <c r="J2104" i="2"/>
  <c r="I2104" i="2"/>
  <c r="G2104" i="2"/>
  <c r="O2103" i="2"/>
  <c r="K2103" i="2"/>
  <c r="J2103" i="2"/>
  <c r="I2103" i="2"/>
  <c r="G2103" i="2"/>
  <c r="O2102" i="2"/>
  <c r="K2102" i="2"/>
  <c r="J2102" i="2"/>
  <c r="I2102" i="2"/>
  <c r="G2102" i="2"/>
  <c r="O2101" i="2"/>
  <c r="K2101" i="2"/>
  <c r="J2101" i="2"/>
  <c r="I2101" i="2"/>
  <c r="G2101" i="2"/>
  <c r="O2100" i="2"/>
  <c r="K2100" i="2"/>
  <c r="J2100" i="2"/>
  <c r="I2100" i="2"/>
  <c r="G2100" i="2"/>
  <c r="O2099" i="2"/>
  <c r="K2099" i="2"/>
  <c r="J2099" i="2"/>
  <c r="I2099" i="2"/>
  <c r="G2099" i="2"/>
  <c r="O2098" i="2"/>
  <c r="K2098" i="2"/>
  <c r="J2098" i="2"/>
  <c r="I2098" i="2"/>
  <c r="G2098" i="2"/>
  <c r="O2097" i="2"/>
  <c r="K2097" i="2"/>
  <c r="J2097" i="2"/>
  <c r="I2097" i="2"/>
  <c r="G2097" i="2"/>
  <c r="O2096" i="2"/>
  <c r="K2096" i="2"/>
  <c r="J2096" i="2"/>
  <c r="I2096" i="2"/>
  <c r="G2096" i="2"/>
  <c r="O2095" i="2"/>
  <c r="K2095" i="2"/>
  <c r="J2095" i="2"/>
  <c r="I2095" i="2"/>
  <c r="G2095" i="2"/>
  <c r="O2094" i="2"/>
  <c r="K2094" i="2"/>
  <c r="J2094" i="2"/>
  <c r="I2094" i="2"/>
  <c r="G2094" i="2"/>
  <c r="O2093" i="2"/>
  <c r="K2093" i="2"/>
  <c r="J2093" i="2"/>
  <c r="I2093" i="2"/>
  <c r="G2093" i="2"/>
  <c r="O2092" i="2"/>
  <c r="K2092" i="2"/>
  <c r="J2092" i="2"/>
  <c r="I2092" i="2"/>
  <c r="G2092" i="2"/>
  <c r="O2091" i="2"/>
  <c r="K2091" i="2"/>
  <c r="J2091" i="2"/>
  <c r="I2091" i="2"/>
  <c r="G2091" i="2"/>
  <c r="O2090" i="2"/>
  <c r="K2090" i="2"/>
  <c r="J2090" i="2"/>
  <c r="I2090" i="2"/>
  <c r="G2090" i="2"/>
  <c r="O2089" i="2"/>
  <c r="K2089" i="2"/>
  <c r="J2089" i="2"/>
  <c r="I2089" i="2"/>
  <c r="G2089" i="2"/>
  <c r="O2088" i="2"/>
  <c r="K2088" i="2"/>
  <c r="J2088" i="2"/>
  <c r="I2088" i="2"/>
  <c r="G2088" i="2"/>
  <c r="O2087" i="2"/>
  <c r="K2087" i="2"/>
  <c r="J2087" i="2"/>
  <c r="I2087" i="2"/>
  <c r="G2087" i="2"/>
  <c r="O2086" i="2"/>
  <c r="K2086" i="2"/>
  <c r="J2086" i="2"/>
  <c r="I2086" i="2"/>
  <c r="G2086" i="2"/>
  <c r="O2085" i="2"/>
  <c r="K2085" i="2"/>
  <c r="J2085" i="2"/>
  <c r="I2085" i="2"/>
  <c r="G2085" i="2"/>
  <c r="O2084" i="2"/>
  <c r="K2084" i="2"/>
  <c r="J2084" i="2"/>
  <c r="I2084" i="2"/>
  <c r="G2084" i="2"/>
  <c r="O2083" i="2"/>
  <c r="K2083" i="2"/>
  <c r="J2083" i="2"/>
  <c r="I2083" i="2"/>
  <c r="G2083" i="2"/>
  <c r="O2082" i="2"/>
  <c r="K2082" i="2"/>
  <c r="J2082" i="2"/>
  <c r="I2082" i="2"/>
  <c r="G2082" i="2"/>
  <c r="O2081" i="2"/>
  <c r="K2081" i="2"/>
  <c r="J2081" i="2"/>
  <c r="I2081" i="2"/>
  <c r="G2081" i="2"/>
  <c r="O2080" i="2"/>
  <c r="K2080" i="2"/>
  <c r="J2080" i="2"/>
  <c r="I2080" i="2"/>
  <c r="G2080" i="2"/>
  <c r="O2079" i="2"/>
  <c r="K2079" i="2"/>
  <c r="J2079" i="2"/>
  <c r="I2079" i="2"/>
  <c r="G2079" i="2"/>
  <c r="O2078" i="2"/>
  <c r="K2078" i="2"/>
  <c r="J2078" i="2"/>
  <c r="I2078" i="2"/>
  <c r="G2078" i="2"/>
  <c r="O2077" i="2"/>
  <c r="K2077" i="2"/>
  <c r="J2077" i="2"/>
  <c r="I2077" i="2"/>
  <c r="G2077" i="2"/>
  <c r="O2076" i="2"/>
  <c r="K2076" i="2"/>
  <c r="J2076" i="2"/>
  <c r="I2076" i="2"/>
  <c r="G2076" i="2"/>
  <c r="O2075" i="2"/>
  <c r="K2075" i="2"/>
  <c r="J2075" i="2"/>
  <c r="I2075" i="2"/>
  <c r="G2075" i="2"/>
  <c r="O2074" i="2"/>
  <c r="K2074" i="2"/>
  <c r="J2074" i="2"/>
  <c r="I2074" i="2"/>
  <c r="G2074" i="2"/>
  <c r="O2073" i="2"/>
  <c r="K2073" i="2"/>
  <c r="J2073" i="2"/>
  <c r="I2073" i="2"/>
  <c r="G2073" i="2"/>
  <c r="O2072" i="2"/>
  <c r="K2072" i="2"/>
  <c r="J2072" i="2"/>
  <c r="I2072" i="2"/>
  <c r="G2072" i="2"/>
  <c r="O2071" i="2"/>
  <c r="K2071" i="2"/>
  <c r="J2071" i="2"/>
  <c r="I2071" i="2"/>
  <c r="G2071" i="2"/>
  <c r="O2070" i="2"/>
  <c r="K2070" i="2"/>
  <c r="J2070" i="2"/>
  <c r="I2070" i="2"/>
  <c r="G2070" i="2"/>
  <c r="O2069" i="2"/>
  <c r="K2069" i="2"/>
  <c r="J2069" i="2"/>
  <c r="I2069" i="2"/>
  <c r="G2069" i="2"/>
  <c r="O2068" i="2"/>
  <c r="K2068" i="2"/>
  <c r="J2068" i="2"/>
  <c r="I2068" i="2"/>
  <c r="G2068" i="2"/>
  <c r="O2067" i="2"/>
  <c r="K2067" i="2"/>
  <c r="J2067" i="2"/>
  <c r="I2067" i="2"/>
  <c r="G2067" i="2"/>
  <c r="O2066" i="2"/>
  <c r="K2066" i="2"/>
  <c r="J2066" i="2"/>
  <c r="I2066" i="2"/>
  <c r="G2066" i="2"/>
  <c r="O2065" i="2"/>
  <c r="K2065" i="2"/>
  <c r="J2065" i="2"/>
  <c r="I2065" i="2"/>
  <c r="G2065" i="2"/>
  <c r="K2064" i="2"/>
  <c r="J2064" i="2"/>
  <c r="I2064" i="2"/>
  <c r="G2064" i="2"/>
  <c r="O2063" i="2"/>
  <c r="K2063" i="2"/>
  <c r="J2063" i="2"/>
  <c r="I2063" i="2"/>
  <c r="G2063" i="2"/>
  <c r="O2062" i="2"/>
  <c r="K2062" i="2"/>
  <c r="J2062" i="2"/>
  <c r="I2062" i="2"/>
  <c r="G2062" i="2"/>
  <c r="O2061" i="2"/>
  <c r="K2061" i="2"/>
  <c r="J2061" i="2"/>
  <c r="I2061" i="2"/>
  <c r="G2061" i="2"/>
  <c r="O2060" i="2"/>
  <c r="K2060" i="2"/>
  <c r="J2060" i="2"/>
  <c r="I2060" i="2"/>
  <c r="G2060" i="2"/>
  <c r="O2059" i="2"/>
  <c r="K2059" i="2"/>
  <c r="J2059" i="2"/>
  <c r="I2059" i="2"/>
  <c r="G2059" i="2"/>
  <c r="O2058" i="2"/>
  <c r="K2058" i="2"/>
  <c r="J2058" i="2"/>
  <c r="I2058" i="2"/>
  <c r="G2058" i="2"/>
  <c r="O2057" i="2"/>
  <c r="K2057" i="2"/>
  <c r="J2057" i="2"/>
  <c r="I2057" i="2"/>
  <c r="G2057" i="2"/>
  <c r="O2056" i="2"/>
  <c r="K2056" i="2"/>
  <c r="J2056" i="2"/>
  <c r="I2056" i="2"/>
  <c r="G2056" i="2"/>
  <c r="O2055" i="2"/>
  <c r="K2055" i="2"/>
  <c r="J2055" i="2"/>
  <c r="I2055" i="2"/>
  <c r="G2055" i="2"/>
  <c r="O2054" i="2"/>
  <c r="K2054" i="2"/>
  <c r="J2054" i="2"/>
  <c r="I2054" i="2"/>
  <c r="G2054" i="2"/>
  <c r="O2053" i="2"/>
  <c r="K2053" i="2"/>
  <c r="J2053" i="2"/>
  <c r="I2053" i="2"/>
  <c r="G2053" i="2"/>
  <c r="O2052" i="2"/>
  <c r="K2052" i="2"/>
  <c r="J2052" i="2"/>
  <c r="I2052" i="2"/>
  <c r="G2052" i="2"/>
  <c r="O2051" i="2"/>
  <c r="K2051" i="2"/>
  <c r="J2051" i="2"/>
  <c r="I2051" i="2"/>
  <c r="G2051" i="2"/>
  <c r="O2050" i="2"/>
  <c r="K2050" i="2"/>
  <c r="J2050" i="2"/>
  <c r="I2050" i="2"/>
  <c r="G2050" i="2"/>
  <c r="O2049" i="2"/>
  <c r="K2049" i="2"/>
  <c r="J2049" i="2"/>
  <c r="I2049" i="2"/>
  <c r="G2049" i="2"/>
  <c r="O2048" i="2"/>
  <c r="K2048" i="2"/>
  <c r="J2048" i="2"/>
  <c r="I2048" i="2"/>
  <c r="G2048" i="2"/>
  <c r="O2047" i="2"/>
  <c r="K2047" i="2"/>
  <c r="J2047" i="2"/>
  <c r="I2047" i="2"/>
  <c r="G2047" i="2"/>
  <c r="O2046" i="2"/>
  <c r="K2046" i="2"/>
  <c r="J2046" i="2"/>
  <c r="I2046" i="2"/>
  <c r="G2046" i="2"/>
  <c r="O2045" i="2"/>
  <c r="K2045" i="2"/>
  <c r="J2045" i="2"/>
  <c r="I2045" i="2"/>
  <c r="G2045" i="2"/>
  <c r="O2044" i="2"/>
  <c r="K2044" i="2"/>
  <c r="J2044" i="2"/>
  <c r="I2044" i="2"/>
  <c r="G2044" i="2"/>
  <c r="O2043" i="2"/>
  <c r="K2043" i="2"/>
  <c r="J2043" i="2"/>
  <c r="I2043" i="2"/>
  <c r="G2043" i="2"/>
  <c r="O2042" i="2"/>
  <c r="K2042" i="2"/>
  <c r="J2042" i="2"/>
  <c r="I2042" i="2"/>
  <c r="G2042" i="2"/>
  <c r="O2041" i="2"/>
  <c r="K2041" i="2"/>
  <c r="J2041" i="2"/>
  <c r="I2041" i="2"/>
  <c r="G2041" i="2"/>
  <c r="O2040" i="2"/>
  <c r="K2040" i="2"/>
  <c r="J2040" i="2"/>
  <c r="I2040" i="2"/>
  <c r="G2040" i="2"/>
  <c r="O2039" i="2"/>
  <c r="K2039" i="2"/>
  <c r="J2039" i="2"/>
  <c r="I2039" i="2"/>
  <c r="G2039" i="2"/>
  <c r="O2038" i="2"/>
  <c r="K2038" i="2"/>
  <c r="J2038" i="2"/>
  <c r="I2038" i="2"/>
  <c r="G2038" i="2"/>
  <c r="O2037" i="2"/>
  <c r="K2037" i="2"/>
  <c r="J2037" i="2"/>
  <c r="I2037" i="2"/>
  <c r="G2037" i="2"/>
  <c r="O2036" i="2"/>
  <c r="K2036" i="2"/>
  <c r="J2036" i="2"/>
  <c r="I2036" i="2"/>
  <c r="G2036" i="2"/>
  <c r="O2035" i="2"/>
  <c r="K2035" i="2"/>
  <c r="J2035" i="2"/>
  <c r="I2035" i="2"/>
  <c r="G2035" i="2"/>
  <c r="O2034" i="2"/>
  <c r="K2034" i="2"/>
  <c r="J2034" i="2"/>
  <c r="I2034" i="2"/>
  <c r="G2034" i="2"/>
  <c r="O2033" i="2"/>
  <c r="K2033" i="2"/>
  <c r="J2033" i="2"/>
  <c r="I2033" i="2"/>
  <c r="G2033" i="2"/>
  <c r="O2032" i="2"/>
  <c r="K2032" i="2"/>
  <c r="J2032" i="2"/>
  <c r="I2032" i="2"/>
  <c r="G2032" i="2"/>
  <c r="O2031" i="2"/>
  <c r="K2031" i="2"/>
  <c r="J2031" i="2"/>
  <c r="I2031" i="2"/>
  <c r="G2031" i="2"/>
  <c r="O2030" i="2"/>
  <c r="K2030" i="2"/>
  <c r="J2030" i="2"/>
  <c r="I2030" i="2"/>
  <c r="G2030" i="2"/>
  <c r="O2029" i="2"/>
  <c r="K2029" i="2"/>
  <c r="J2029" i="2"/>
  <c r="I2029" i="2"/>
  <c r="G2029" i="2"/>
  <c r="O2028" i="2"/>
  <c r="K2028" i="2"/>
  <c r="J2028" i="2"/>
  <c r="I2028" i="2"/>
  <c r="G2028" i="2"/>
  <c r="O2027" i="2"/>
  <c r="K2027" i="2"/>
  <c r="J2027" i="2"/>
  <c r="I2027" i="2"/>
  <c r="G2027" i="2"/>
  <c r="O2026" i="2"/>
  <c r="K2026" i="2"/>
  <c r="J2026" i="2"/>
  <c r="I2026" i="2"/>
  <c r="G2026" i="2"/>
  <c r="O2025" i="2"/>
  <c r="K2025" i="2"/>
  <c r="J2025" i="2"/>
  <c r="I2025" i="2"/>
  <c r="G2025" i="2"/>
  <c r="O2024" i="2"/>
  <c r="K2024" i="2"/>
  <c r="J2024" i="2"/>
  <c r="I2024" i="2"/>
  <c r="G2024" i="2"/>
  <c r="O2023" i="2"/>
  <c r="K2023" i="2"/>
  <c r="J2023" i="2"/>
  <c r="I2023" i="2"/>
  <c r="G2023" i="2"/>
  <c r="O2022" i="2"/>
  <c r="K2022" i="2"/>
  <c r="J2022" i="2"/>
  <c r="I2022" i="2"/>
  <c r="G2022" i="2"/>
  <c r="O2021" i="2"/>
  <c r="K2021" i="2"/>
  <c r="J2021" i="2"/>
  <c r="I2021" i="2"/>
  <c r="G2021" i="2"/>
  <c r="O2020" i="2"/>
  <c r="K2020" i="2"/>
  <c r="J2020" i="2"/>
  <c r="I2020" i="2"/>
  <c r="G2020" i="2"/>
  <c r="O2019" i="2"/>
  <c r="K2019" i="2"/>
  <c r="J2019" i="2"/>
  <c r="I2019" i="2"/>
  <c r="G2019" i="2"/>
  <c r="O2018" i="2"/>
  <c r="K2018" i="2"/>
  <c r="J2018" i="2"/>
  <c r="I2018" i="2"/>
  <c r="G2018" i="2"/>
  <c r="O2017" i="2"/>
  <c r="K2017" i="2"/>
  <c r="J2017" i="2"/>
  <c r="I2017" i="2"/>
  <c r="G2017" i="2"/>
  <c r="O2016" i="2"/>
  <c r="K2016" i="2"/>
  <c r="J2016" i="2"/>
  <c r="I2016" i="2"/>
  <c r="G2016" i="2"/>
  <c r="O2015" i="2"/>
  <c r="K2015" i="2"/>
  <c r="J2015" i="2"/>
  <c r="I2015" i="2"/>
  <c r="G2015" i="2"/>
  <c r="O2014" i="2"/>
  <c r="K2014" i="2"/>
  <c r="J2014" i="2"/>
  <c r="I2014" i="2"/>
  <c r="G2014" i="2"/>
  <c r="O2013" i="2"/>
  <c r="K2013" i="2"/>
  <c r="J2013" i="2"/>
  <c r="I2013" i="2"/>
  <c r="G2013" i="2"/>
  <c r="O2012" i="2"/>
  <c r="K2012" i="2"/>
  <c r="J2012" i="2"/>
  <c r="I2012" i="2"/>
  <c r="G2012" i="2"/>
  <c r="O2011" i="2"/>
  <c r="K2011" i="2"/>
  <c r="J2011" i="2"/>
  <c r="I2011" i="2"/>
  <c r="G2011" i="2"/>
  <c r="O2010" i="2"/>
  <c r="K2010" i="2"/>
  <c r="J2010" i="2"/>
  <c r="I2010" i="2"/>
  <c r="G2010" i="2"/>
  <c r="O2009" i="2"/>
  <c r="K2009" i="2"/>
  <c r="J2009" i="2"/>
  <c r="I2009" i="2"/>
  <c r="G2009" i="2"/>
  <c r="O2008" i="2"/>
  <c r="K2008" i="2"/>
  <c r="J2008" i="2"/>
  <c r="I2008" i="2"/>
  <c r="G2008" i="2"/>
  <c r="O2007" i="2"/>
  <c r="K2007" i="2"/>
  <c r="J2007" i="2"/>
  <c r="I2007" i="2"/>
  <c r="G2007" i="2"/>
  <c r="O2006" i="2"/>
  <c r="K2006" i="2"/>
  <c r="J2006" i="2"/>
  <c r="I2006" i="2"/>
  <c r="G2006" i="2"/>
  <c r="O2005" i="2"/>
  <c r="K2005" i="2"/>
  <c r="J2005" i="2"/>
  <c r="I2005" i="2"/>
  <c r="G2005" i="2"/>
  <c r="O2004" i="2"/>
  <c r="K2004" i="2"/>
  <c r="J2004" i="2"/>
  <c r="I2004" i="2"/>
  <c r="G2004" i="2"/>
  <c r="O2003" i="2"/>
  <c r="K2003" i="2"/>
  <c r="J2003" i="2"/>
  <c r="I2003" i="2"/>
  <c r="G2003" i="2"/>
  <c r="O2002" i="2"/>
  <c r="K2002" i="2"/>
  <c r="J2002" i="2"/>
  <c r="I2002" i="2"/>
  <c r="G2002" i="2"/>
  <c r="O2001" i="2"/>
  <c r="K2001" i="2"/>
  <c r="J2001" i="2"/>
  <c r="I2001" i="2"/>
  <c r="G2001" i="2"/>
  <c r="O2000" i="2"/>
  <c r="K2000" i="2"/>
  <c r="J2000" i="2"/>
  <c r="I2000" i="2"/>
  <c r="G2000" i="2"/>
  <c r="O1999" i="2"/>
  <c r="K1999" i="2"/>
  <c r="J1999" i="2"/>
  <c r="I1999" i="2"/>
  <c r="G1999" i="2"/>
  <c r="O1998" i="2"/>
  <c r="K1998" i="2"/>
  <c r="J1998" i="2"/>
  <c r="I1998" i="2"/>
  <c r="G1998" i="2"/>
  <c r="O1997" i="2"/>
  <c r="K1997" i="2"/>
  <c r="J1997" i="2"/>
  <c r="I1997" i="2"/>
  <c r="G1997" i="2"/>
  <c r="O1996" i="2"/>
  <c r="K1996" i="2"/>
  <c r="J1996" i="2"/>
  <c r="I1996" i="2"/>
  <c r="G1996" i="2"/>
  <c r="O1995" i="2"/>
  <c r="K1995" i="2"/>
  <c r="J1995" i="2"/>
  <c r="I1995" i="2"/>
  <c r="G1995" i="2"/>
  <c r="O1994" i="2"/>
  <c r="K1994" i="2"/>
  <c r="J1994" i="2"/>
  <c r="I1994" i="2"/>
  <c r="G1994" i="2"/>
  <c r="O1993" i="2"/>
  <c r="K1993" i="2"/>
  <c r="J1993" i="2"/>
  <c r="I1993" i="2"/>
  <c r="G1993" i="2"/>
  <c r="O1992" i="2"/>
  <c r="K1992" i="2"/>
  <c r="J1992" i="2"/>
  <c r="I1992" i="2"/>
  <c r="G1992" i="2"/>
  <c r="O1991" i="2"/>
  <c r="K1991" i="2"/>
  <c r="J1991" i="2"/>
  <c r="I1991" i="2"/>
  <c r="G1991" i="2"/>
  <c r="O1990" i="2"/>
  <c r="K1990" i="2"/>
  <c r="J1990" i="2"/>
  <c r="I1990" i="2"/>
  <c r="G1990" i="2"/>
  <c r="O1989" i="2"/>
  <c r="K1989" i="2"/>
  <c r="J1989" i="2"/>
  <c r="I1989" i="2"/>
  <c r="G1989" i="2"/>
  <c r="O1988" i="2"/>
  <c r="K1988" i="2"/>
  <c r="J1988" i="2"/>
  <c r="I1988" i="2"/>
  <c r="G1988" i="2"/>
  <c r="O1987" i="2"/>
  <c r="K1987" i="2"/>
  <c r="J1987" i="2"/>
  <c r="I1987" i="2"/>
  <c r="G1987" i="2"/>
  <c r="O1986" i="2"/>
  <c r="K1986" i="2"/>
  <c r="J1986" i="2"/>
  <c r="I1986" i="2"/>
  <c r="G1986" i="2"/>
  <c r="O1985" i="2"/>
  <c r="K1985" i="2"/>
  <c r="J1985" i="2"/>
  <c r="I1985" i="2"/>
  <c r="G1985" i="2"/>
  <c r="O1984" i="2"/>
  <c r="K1984" i="2"/>
  <c r="J1984" i="2"/>
  <c r="I1984" i="2"/>
  <c r="G1984" i="2"/>
  <c r="O1983" i="2"/>
  <c r="K1983" i="2"/>
  <c r="J1983" i="2"/>
  <c r="I1983" i="2"/>
  <c r="G1983" i="2"/>
  <c r="O1982" i="2"/>
  <c r="K1982" i="2"/>
  <c r="J1982" i="2"/>
  <c r="I1982" i="2"/>
  <c r="G1982" i="2"/>
  <c r="O1981" i="2"/>
  <c r="K1981" i="2"/>
  <c r="J1981" i="2"/>
  <c r="I1981" i="2"/>
  <c r="G1981" i="2"/>
  <c r="O1980" i="2"/>
  <c r="K1980" i="2"/>
  <c r="J1980" i="2"/>
  <c r="I1980" i="2"/>
  <c r="G1980" i="2"/>
  <c r="O1979" i="2"/>
  <c r="K1979" i="2"/>
  <c r="J1979" i="2"/>
  <c r="I1979" i="2"/>
  <c r="G1979" i="2"/>
  <c r="O1978" i="2"/>
  <c r="K1978" i="2"/>
  <c r="J1978" i="2"/>
  <c r="I1978" i="2"/>
  <c r="G1978" i="2"/>
  <c r="O1977" i="2"/>
  <c r="K1977" i="2"/>
  <c r="J1977" i="2"/>
  <c r="I1977" i="2"/>
  <c r="G1977" i="2"/>
  <c r="O1976" i="2"/>
  <c r="K1976" i="2"/>
  <c r="J1976" i="2"/>
  <c r="I1976" i="2"/>
  <c r="G1976" i="2"/>
  <c r="O1975" i="2"/>
  <c r="K1975" i="2"/>
  <c r="J1975" i="2"/>
  <c r="I1975" i="2"/>
  <c r="G1975" i="2"/>
  <c r="O1974" i="2"/>
  <c r="K1974" i="2"/>
  <c r="J1974" i="2"/>
  <c r="I1974" i="2"/>
  <c r="G1974" i="2"/>
  <c r="O1973" i="2"/>
  <c r="K1973" i="2"/>
  <c r="J1973" i="2"/>
  <c r="I1973" i="2"/>
  <c r="G1973" i="2"/>
  <c r="O1972" i="2"/>
  <c r="K1972" i="2"/>
  <c r="J1972" i="2"/>
  <c r="I1972" i="2"/>
  <c r="G1972" i="2"/>
  <c r="O1971" i="2"/>
  <c r="K1971" i="2"/>
  <c r="J1971" i="2"/>
  <c r="I1971" i="2"/>
  <c r="G1971" i="2"/>
  <c r="O1970" i="2"/>
  <c r="K1970" i="2"/>
  <c r="J1970" i="2"/>
  <c r="I1970" i="2"/>
  <c r="G1970" i="2"/>
  <c r="O1969" i="2"/>
  <c r="K1969" i="2"/>
  <c r="J1969" i="2"/>
  <c r="I1969" i="2"/>
  <c r="G1969" i="2"/>
  <c r="O1968" i="2"/>
  <c r="K1968" i="2"/>
  <c r="J1968" i="2"/>
  <c r="I1968" i="2"/>
  <c r="G1968" i="2"/>
  <c r="O1967" i="2"/>
  <c r="K1967" i="2"/>
  <c r="J1967" i="2"/>
  <c r="I1967" i="2"/>
  <c r="G1967" i="2"/>
  <c r="O1966" i="2"/>
  <c r="K1966" i="2"/>
  <c r="J1966" i="2"/>
  <c r="I1966" i="2"/>
  <c r="G1966" i="2"/>
  <c r="O1965" i="2"/>
  <c r="K1965" i="2"/>
  <c r="J1965" i="2"/>
  <c r="I1965" i="2"/>
  <c r="G1965" i="2"/>
  <c r="O1964" i="2"/>
  <c r="K1964" i="2"/>
  <c r="J1964" i="2"/>
  <c r="I1964" i="2"/>
  <c r="G1964" i="2"/>
  <c r="O1963" i="2"/>
  <c r="K1963" i="2"/>
  <c r="J1963" i="2"/>
  <c r="I1963" i="2"/>
  <c r="G1963" i="2"/>
  <c r="O1962" i="2"/>
  <c r="K1962" i="2"/>
  <c r="J1962" i="2"/>
  <c r="I1962" i="2"/>
  <c r="G1962" i="2"/>
  <c r="O1961" i="2"/>
  <c r="K1961" i="2"/>
  <c r="J1961" i="2"/>
  <c r="I1961" i="2"/>
  <c r="G1961" i="2"/>
  <c r="O1960" i="2"/>
  <c r="K1960" i="2"/>
  <c r="J1960" i="2"/>
  <c r="I1960" i="2"/>
  <c r="G1960" i="2"/>
  <c r="O1959" i="2"/>
  <c r="K1959" i="2"/>
  <c r="J1959" i="2"/>
  <c r="I1959" i="2"/>
  <c r="G1959" i="2"/>
  <c r="O1958" i="2"/>
  <c r="K1958" i="2"/>
  <c r="J1958" i="2"/>
  <c r="I1958" i="2"/>
  <c r="G1958" i="2"/>
  <c r="O1957" i="2"/>
  <c r="K1957" i="2"/>
  <c r="J1957" i="2"/>
  <c r="I1957" i="2"/>
  <c r="G1957" i="2"/>
  <c r="O1956" i="2"/>
  <c r="K1956" i="2"/>
  <c r="J1956" i="2"/>
  <c r="I1956" i="2"/>
  <c r="G1956" i="2"/>
  <c r="O1955" i="2"/>
  <c r="K1955" i="2"/>
  <c r="J1955" i="2"/>
  <c r="I1955" i="2"/>
  <c r="G1955" i="2"/>
  <c r="O1954" i="2"/>
  <c r="K1954" i="2"/>
  <c r="J1954" i="2"/>
  <c r="I1954" i="2"/>
  <c r="G1954" i="2"/>
  <c r="O1953" i="2"/>
  <c r="K1953" i="2"/>
  <c r="J1953" i="2"/>
  <c r="I1953" i="2"/>
  <c r="G1953" i="2"/>
  <c r="O1952" i="2"/>
  <c r="K1952" i="2"/>
  <c r="J1952" i="2"/>
  <c r="I1952" i="2"/>
  <c r="G1952" i="2"/>
  <c r="O1951" i="2"/>
  <c r="K1951" i="2"/>
  <c r="J1951" i="2"/>
  <c r="I1951" i="2"/>
  <c r="G1951" i="2"/>
  <c r="O1950" i="2"/>
  <c r="K1950" i="2"/>
  <c r="J1950" i="2"/>
  <c r="I1950" i="2"/>
  <c r="G1950" i="2"/>
  <c r="O1949" i="2"/>
  <c r="K1949" i="2"/>
  <c r="J1949" i="2"/>
  <c r="I1949" i="2"/>
  <c r="G1949" i="2"/>
  <c r="O1948" i="2"/>
  <c r="K1948" i="2"/>
  <c r="J1948" i="2"/>
  <c r="I1948" i="2"/>
  <c r="G1948" i="2"/>
  <c r="O1947" i="2"/>
  <c r="K1947" i="2"/>
  <c r="J1947" i="2"/>
  <c r="I1947" i="2"/>
  <c r="G1947" i="2"/>
  <c r="O1946" i="2"/>
  <c r="K1946" i="2"/>
  <c r="J1946" i="2"/>
  <c r="I1946" i="2"/>
  <c r="G1946" i="2"/>
  <c r="O1945" i="2"/>
  <c r="K1945" i="2"/>
  <c r="J1945" i="2"/>
  <c r="I1945" i="2"/>
  <c r="G1945" i="2"/>
  <c r="O1944" i="2"/>
  <c r="K1944" i="2"/>
  <c r="J1944" i="2"/>
  <c r="I1944" i="2"/>
  <c r="G1944" i="2"/>
  <c r="O1943" i="2"/>
  <c r="K1943" i="2"/>
  <c r="J1943" i="2"/>
  <c r="I1943" i="2"/>
  <c r="G1943" i="2"/>
  <c r="O1942" i="2"/>
  <c r="K1942" i="2"/>
  <c r="J1942" i="2"/>
  <c r="I1942" i="2"/>
  <c r="G1942" i="2"/>
  <c r="O1941" i="2"/>
  <c r="K1941" i="2"/>
  <c r="J1941" i="2"/>
  <c r="I1941" i="2"/>
  <c r="G1941" i="2"/>
  <c r="O1940" i="2"/>
  <c r="K1940" i="2"/>
  <c r="J1940" i="2"/>
  <c r="I1940" i="2"/>
  <c r="G1940" i="2"/>
  <c r="O1939" i="2"/>
  <c r="K1939" i="2"/>
  <c r="J1939" i="2"/>
  <c r="I1939" i="2"/>
  <c r="G1939" i="2"/>
  <c r="O1938" i="2"/>
  <c r="K1938" i="2"/>
  <c r="J1938" i="2"/>
  <c r="I1938" i="2"/>
  <c r="G1938" i="2"/>
  <c r="O1937" i="2"/>
  <c r="K1937" i="2"/>
  <c r="J1937" i="2"/>
  <c r="I1937" i="2"/>
  <c r="G1937" i="2"/>
  <c r="O1936" i="2"/>
  <c r="K1936" i="2"/>
  <c r="J1936" i="2"/>
  <c r="I1936" i="2"/>
  <c r="G1936" i="2"/>
  <c r="O1935" i="2"/>
  <c r="K1935" i="2"/>
  <c r="J1935" i="2"/>
  <c r="I1935" i="2"/>
  <c r="G1935" i="2"/>
  <c r="O1934" i="2"/>
  <c r="K1934" i="2"/>
  <c r="J1934" i="2"/>
  <c r="I1934" i="2"/>
  <c r="G1934" i="2"/>
  <c r="O1933" i="2"/>
  <c r="K1933" i="2"/>
  <c r="J1933" i="2"/>
  <c r="I1933" i="2"/>
  <c r="G1933" i="2"/>
  <c r="O1932" i="2"/>
  <c r="K1932" i="2"/>
  <c r="J1932" i="2"/>
  <c r="I1932" i="2"/>
  <c r="G1932" i="2"/>
  <c r="O1931" i="2"/>
  <c r="K1931" i="2"/>
  <c r="J1931" i="2"/>
  <c r="I1931" i="2"/>
  <c r="G1931" i="2"/>
  <c r="O1930" i="2"/>
  <c r="K1930" i="2"/>
  <c r="J1930" i="2"/>
  <c r="I1930" i="2"/>
  <c r="G1930" i="2"/>
  <c r="O1929" i="2"/>
  <c r="K1929" i="2"/>
  <c r="J1929" i="2"/>
  <c r="I1929" i="2"/>
  <c r="G1929" i="2"/>
  <c r="O1928" i="2"/>
  <c r="K1928" i="2"/>
  <c r="J1928" i="2"/>
  <c r="I1928" i="2"/>
  <c r="G1928" i="2"/>
  <c r="O1927" i="2"/>
  <c r="K1927" i="2"/>
  <c r="J1927" i="2"/>
  <c r="I1927" i="2"/>
  <c r="G1927" i="2"/>
  <c r="O1926" i="2"/>
  <c r="K1926" i="2"/>
  <c r="J1926" i="2"/>
  <c r="I1926" i="2"/>
  <c r="G1926" i="2"/>
  <c r="O1925" i="2"/>
  <c r="K1925" i="2"/>
  <c r="J1925" i="2"/>
  <c r="I1925" i="2"/>
  <c r="G1925" i="2"/>
  <c r="O1924" i="2"/>
  <c r="K1924" i="2"/>
  <c r="J1924" i="2"/>
  <c r="I1924" i="2"/>
  <c r="G1924" i="2"/>
  <c r="O1923" i="2"/>
  <c r="K1923" i="2"/>
  <c r="J1923" i="2"/>
  <c r="I1923" i="2"/>
  <c r="G1923" i="2"/>
  <c r="O1922" i="2"/>
  <c r="K1922" i="2"/>
  <c r="J1922" i="2"/>
  <c r="I1922" i="2"/>
  <c r="G1922" i="2"/>
  <c r="O1921" i="2"/>
  <c r="K1921" i="2"/>
  <c r="J1921" i="2"/>
  <c r="I1921" i="2"/>
  <c r="G1921" i="2"/>
  <c r="K1920" i="2"/>
  <c r="J1920" i="2"/>
  <c r="I1920" i="2"/>
  <c r="G1920" i="2"/>
  <c r="K1919" i="2"/>
  <c r="J1919" i="2"/>
  <c r="I1919" i="2"/>
  <c r="G1919" i="2"/>
  <c r="K1918" i="2"/>
  <c r="J1918" i="2"/>
  <c r="I1918" i="2"/>
  <c r="G1918" i="2"/>
  <c r="K1917" i="2"/>
  <c r="J1917" i="2"/>
  <c r="I1917" i="2"/>
  <c r="G1917" i="2"/>
  <c r="K1916" i="2"/>
  <c r="J1916" i="2"/>
  <c r="I1916" i="2"/>
  <c r="G1916" i="2"/>
  <c r="K1915" i="2"/>
  <c r="J1915" i="2"/>
  <c r="I1915" i="2"/>
  <c r="G1915" i="2"/>
  <c r="K1914" i="2"/>
  <c r="J1914" i="2"/>
  <c r="I1914" i="2"/>
  <c r="G1914" i="2"/>
  <c r="K1913" i="2"/>
  <c r="J1913" i="2"/>
  <c r="I1913" i="2"/>
  <c r="G1913" i="2"/>
  <c r="K1912" i="2"/>
  <c r="J1912" i="2"/>
  <c r="I1912" i="2"/>
  <c r="G1912" i="2"/>
  <c r="K1911" i="2"/>
  <c r="J1911" i="2"/>
  <c r="I1911" i="2"/>
  <c r="G1911" i="2"/>
  <c r="K1910" i="2"/>
  <c r="J1910" i="2"/>
  <c r="I1910" i="2"/>
  <c r="G1910" i="2"/>
  <c r="K1909" i="2"/>
  <c r="J1909" i="2"/>
  <c r="I1909" i="2"/>
  <c r="G1909" i="2"/>
  <c r="O1908" i="2"/>
  <c r="K1908" i="2"/>
  <c r="J1908" i="2"/>
  <c r="I1908" i="2"/>
  <c r="G1908" i="2"/>
  <c r="O1907" i="2"/>
  <c r="K1907" i="2"/>
  <c r="J1907" i="2"/>
  <c r="I1907" i="2"/>
  <c r="G1907" i="2"/>
  <c r="O1906" i="2"/>
  <c r="K1906" i="2"/>
  <c r="J1906" i="2"/>
  <c r="I1906" i="2"/>
  <c r="G1906" i="2"/>
  <c r="K1905" i="2"/>
  <c r="J1905" i="2"/>
  <c r="I1905" i="2"/>
  <c r="G1905" i="2"/>
  <c r="O1904" i="2"/>
  <c r="K1904" i="2"/>
  <c r="J1904" i="2"/>
  <c r="I1904" i="2"/>
  <c r="G1904" i="2"/>
  <c r="O1903" i="2"/>
  <c r="K1903" i="2"/>
  <c r="J1903" i="2"/>
  <c r="I1903" i="2"/>
  <c r="G1903" i="2"/>
  <c r="O1902" i="2"/>
  <c r="K1902" i="2"/>
  <c r="J1902" i="2"/>
  <c r="I1902" i="2"/>
  <c r="G1902" i="2"/>
  <c r="O1901" i="2"/>
  <c r="K1901" i="2"/>
  <c r="J1901" i="2"/>
  <c r="I1901" i="2"/>
  <c r="G1901" i="2"/>
  <c r="O1900" i="2"/>
  <c r="K1900" i="2"/>
  <c r="J1900" i="2"/>
  <c r="I1900" i="2"/>
  <c r="G1900" i="2"/>
  <c r="O1899" i="2"/>
  <c r="K1899" i="2"/>
  <c r="J1899" i="2"/>
  <c r="I1899" i="2"/>
  <c r="G1899" i="2"/>
  <c r="O1898" i="2"/>
  <c r="K1898" i="2"/>
  <c r="J1898" i="2"/>
  <c r="I1898" i="2"/>
  <c r="G1898" i="2"/>
  <c r="O1897" i="2"/>
  <c r="K1897" i="2"/>
  <c r="J1897" i="2"/>
  <c r="I1897" i="2"/>
  <c r="G1897" i="2"/>
  <c r="O1896" i="2"/>
  <c r="K1896" i="2"/>
  <c r="J1896" i="2"/>
  <c r="I1896" i="2"/>
  <c r="G1896" i="2"/>
  <c r="O1895" i="2"/>
  <c r="K1895" i="2"/>
  <c r="J1895" i="2"/>
  <c r="I1895" i="2"/>
  <c r="G1895" i="2"/>
  <c r="O1894" i="2"/>
  <c r="K1894" i="2"/>
  <c r="J1894" i="2"/>
  <c r="I1894" i="2"/>
  <c r="G1894" i="2"/>
  <c r="O1893" i="2"/>
  <c r="K1893" i="2"/>
  <c r="J1893" i="2"/>
  <c r="I1893" i="2"/>
  <c r="G1893" i="2"/>
  <c r="O1892" i="2"/>
  <c r="K1892" i="2"/>
  <c r="J1892" i="2"/>
  <c r="I1892" i="2"/>
  <c r="G1892" i="2"/>
  <c r="O1891" i="2"/>
  <c r="K1891" i="2"/>
  <c r="J1891" i="2"/>
  <c r="I1891" i="2"/>
  <c r="G1891" i="2"/>
  <c r="O1890" i="2"/>
  <c r="K1890" i="2"/>
  <c r="J1890" i="2"/>
  <c r="I1890" i="2"/>
  <c r="G1890" i="2"/>
  <c r="O1889" i="2"/>
  <c r="K1889" i="2"/>
  <c r="J1889" i="2"/>
  <c r="I1889" i="2"/>
  <c r="G1889" i="2"/>
  <c r="O1888" i="2"/>
  <c r="K1888" i="2"/>
  <c r="J1888" i="2"/>
  <c r="I1888" i="2"/>
  <c r="G1888" i="2"/>
  <c r="O1887" i="2"/>
  <c r="K1887" i="2"/>
  <c r="J1887" i="2"/>
  <c r="I1887" i="2"/>
  <c r="G1887" i="2"/>
  <c r="O1886" i="2"/>
  <c r="K1886" i="2"/>
  <c r="J1886" i="2"/>
  <c r="I1886" i="2"/>
  <c r="G1886" i="2"/>
  <c r="O1885" i="2"/>
  <c r="K1885" i="2"/>
  <c r="J1885" i="2"/>
  <c r="I1885" i="2"/>
  <c r="G1885" i="2"/>
  <c r="O1884" i="2"/>
  <c r="K1884" i="2"/>
  <c r="J1884" i="2"/>
  <c r="I1884" i="2"/>
  <c r="G1884" i="2"/>
  <c r="O1883" i="2"/>
  <c r="K1883" i="2"/>
  <c r="J1883" i="2"/>
  <c r="I1883" i="2"/>
  <c r="G1883" i="2"/>
  <c r="O1882" i="2"/>
  <c r="K1882" i="2"/>
  <c r="J1882" i="2"/>
  <c r="I1882" i="2"/>
  <c r="G1882" i="2"/>
  <c r="O1881" i="2"/>
  <c r="K1881" i="2"/>
  <c r="J1881" i="2"/>
  <c r="I1881" i="2"/>
  <c r="G1881" i="2"/>
  <c r="O1880" i="2"/>
  <c r="K1880" i="2"/>
  <c r="J1880" i="2"/>
  <c r="I1880" i="2"/>
  <c r="G1880" i="2"/>
  <c r="O1879" i="2"/>
  <c r="K1879" i="2"/>
  <c r="J1879" i="2"/>
  <c r="I1879" i="2"/>
  <c r="G1879" i="2"/>
  <c r="O1878" i="2"/>
  <c r="K1878" i="2"/>
  <c r="J1878" i="2"/>
  <c r="I1878" i="2"/>
  <c r="G1878" i="2"/>
  <c r="O1877" i="2"/>
  <c r="K1877" i="2"/>
  <c r="J1877" i="2"/>
  <c r="I1877" i="2"/>
  <c r="G1877" i="2"/>
  <c r="O1876" i="2"/>
  <c r="K1876" i="2"/>
  <c r="J1876" i="2"/>
  <c r="I1876" i="2"/>
  <c r="G1876" i="2"/>
  <c r="O1875" i="2"/>
  <c r="K1875" i="2"/>
  <c r="J1875" i="2"/>
  <c r="I1875" i="2"/>
  <c r="G1875" i="2"/>
  <c r="O1874" i="2"/>
  <c r="K1874" i="2"/>
  <c r="J1874" i="2"/>
  <c r="I1874" i="2"/>
  <c r="G1874" i="2"/>
  <c r="O1873" i="2"/>
  <c r="K1873" i="2"/>
  <c r="J1873" i="2"/>
  <c r="I1873" i="2"/>
  <c r="G1873" i="2"/>
  <c r="O1872" i="2"/>
  <c r="K1872" i="2"/>
  <c r="J1872" i="2"/>
  <c r="I1872" i="2"/>
  <c r="G1872" i="2"/>
  <c r="O1871" i="2"/>
  <c r="K1871" i="2"/>
  <c r="J1871" i="2"/>
  <c r="I1871" i="2"/>
  <c r="G1871" i="2"/>
  <c r="O1870" i="2"/>
  <c r="K1870" i="2"/>
  <c r="J1870" i="2"/>
  <c r="I1870" i="2"/>
  <c r="G1870" i="2"/>
  <c r="O1869" i="2"/>
  <c r="K1869" i="2"/>
  <c r="J1869" i="2"/>
  <c r="I1869" i="2"/>
  <c r="G1869" i="2"/>
  <c r="O1868" i="2"/>
  <c r="K1868" i="2"/>
  <c r="J1868" i="2"/>
  <c r="I1868" i="2"/>
  <c r="G1868" i="2"/>
  <c r="O1867" i="2"/>
  <c r="K1867" i="2"/>
  <c r="J1867" i="2"/>
  <c r="I1867" i="2"/>
  <c r="G1867" i="2"/>
  <c r="O1866" i="2"/>
  <c r="K1866" i="2"/>
  <c r="J1866" i="2"/>
  <c r="I1866" i="2"/>
  <c r="G1866" i="2"/>
  <c r="O1865" i="2"/>
  <c r="K1865" i="2"/>
  <c r="J1865" i="2"/>
  <c r="I1865" i="2"/>
  <c r="G1865" i="2"/>
  <c r="O1864" i="2"/>
  <c r="K1864" i="2"/>
  <c r="J1864" i="2"/>
  <c r="I1864" i="2"/>
  <c r="G1864" i="2"/>
  <c r="O1863" i="2"/>
  <c r="K1863" i="2"/>
  <c r="J1863" i="2"/>
  <c r="I1863" i="2"/>
  <c r="G1863" i="2"/>
  <c r="O1862" i="2"/>
  <c r="K1862" i="2"/>
  <c r="J1862" i="2"/>
  <c r="I1862" i="2"/>
  <c r="G1862" i="2"/>
  <c r="O1861" i="2"/>
  <c r="K1861" i="2"/>
  <c r="J1861" i="2"/>
  <c r="I1861" i="2"/>
  <c r="G1861" i="2"/>
  <c r="O1860" i="2"/>
  <c r="K1860" i="2"/>
  <c r="J1860" i="2"/>
  <c r="I1860" i="2"/>
  <c r="G1860" i="2"/>
  <c r="O1859" i="2"/>
  <c r="K1859" i="2"/>
  <c r="J1859" i="2"/>
  <c r="I1859" i="2"/>
  <c r="G1859" i="2"/>
  <c r="O1858" i="2"/>
  <c r="K1858" i="2"/>
  <c r="J1858" i="2"/>
  <c r="I1858" i="2"/>
  <c r="G1858" i="2"/>
  <c r="O1857" i="2"/>
  <c r="K1857" i="2"/>
  <c r="J1857" i="2"/>
  <c r="I1857" i="2"/>
  <c r="G1857" i="2"/>
  <c r="O1856" i="2"/>
  <c r="K1856" i="2"/>
  <c r="J1856" i="2"/>
  <c r="I1856" i="2"/>
  <c r="G1856" i="2"/>
  <c r="O1855" i="2"/>
  <c r="K1855" i="2"/>
  <c r="J1855" i="2"/>
  <c r="I1855" i="2"/>
  <c r="G1855" i="2"/>
  <c r="O1854" i="2"/>
  <c r="K1854" i="2"/>
  <c r="J1854" i="2"/>
  <c r="I1854" i="2"/>
  <c r="G1854" i="2"/>
  <c r="O1853" i="2"/>
  <c r="K1853" i="2"/>
  <c r="J1853" i="2"/>
  <c r="I1853" i="2"/>
  <c r="G1853" i="2"/>
  <c r="O1852" i="2"/>
  <c r="K1852" i="2"/>
  <c r="J1852" i="2"/>
  <c r="I1852" i="2"/>
  <c r="G1852" i="2"/>
  <c r="O1851" i="2"/>
  <c r="K1851" i="2"/>
  <c r="J1851" i="2"/>
  <c r="I1851" i="2"/>
  <c r="G1851" i="2"/>
  <c r="O1850" i="2"/>
  <c r="K1850" i="2"/>
  <c r="J1850" i="2"/>
  <c r="I1850" i="2"/>
  <c r="G1850" i="2"/>
  <c r="O1849" i="2"/>
  <c r="K1849" i="2"/>
  <c r="J1849" i="2"/>
  <c r="I1849" i="2"/>
  <c r="G1849" i="2"/>
  <c r="O1848" i="2"/>
  <c r="K1848" i="2"/>
  <c r="J1848" i="2"/>
  <c r="I1848" i="2"/>
  <c r="G1848" i="2"/>
  <c r="O1847" i="2"/>
  <c r="K1847" i="2"/>
  <c r="J1847" i="2"/>
  <c r="I1847" i="2"/>
  <c r="G1847" i="2"/>
  <c r="O1846" i="2"/>
  <c r="K1846" i="2"/>
  <c r="J1846" i="2"/>
  <c r="I1846" i="2"/>
  <c r="G1846" i="2"/>
  <c r="O1845" i="2"/>
  <c r="K1845" i="2"/>
  <c r="J1845" i="2"/>
  <c r="I1845" i="2"/>
  <c r="G1845" i="2"/>
  <c r="O1844" i="2"/>
  <c r="K1844" i="2"/>
  <c r="J1844" i="2"/>
  <c r="I1844" i="2"/>
  <c r="G1844" i="2"/>
  <c r="O1843" i="2"/>
  <c r="K1843" i="2"/>
  <c r="J1843" i="2"/>
  <c r="I1843" i="2"/>
  <c r="G1843" i="2"/>
  <c r="O1842" i="2"/>
  <c r="K1842" i="2"/>
  <c r="J1842" i="2"/>
  <c r="I1842" i="2"/>
  <c r="G1842" i="2"/>
  <c r="O1841" i="2"/>
  <c r="K1841" i="2"/>
  <c r="J1841" i="2"/>
  <c r="I1841" i="2"/>
  <c r="G1841" i="2"/>
  <c r="O1840" i="2"/>
  <c r="K1840" i="2"/>
  <c r="J1840" i="2"/>
  <c r="I1840" i="2"/>
  <c r="G1840" i="2"/>
  <c r="O1839" i="2"/>
  <c r="K1839" i="2"/>
  <c r="J1839" i="2"/>
  <c r="I1839" i="2"/>
  <c r="G1839" i="2"/>
  <c r="O1838" i="2"/>
  <c r="K1838" i="2"/>
  <c r="J1838" i="2"/>
  <c r="I1838" i="2"/>
  <c r="G1838" i="2"/>
  <c r="O1837" i="2"/>
  <c r="K1837" i="2"/>
  <c r="J1837" i="2"/>
  <c r="I1837" i="2"/>
  <c r="G1837" i="2"/>
  <c r="O1836" i="2"/>
  <c r="K1836" i="2"/>
  <c r="J1836" i="2"/>
  <c r="I1836" i="2"/>
  <c r="G1836" i="2"/>
  <c r="O1835" i="2"/>
  <c r="K1835" i="2"/>
  <c r="J1835" i="2"/>
  <c r="I1835" i="2"/>
  <c r="G1835" i="2"/>
  <c r="O1834" i="2"/>
  <c r="K1834" i="2"/>
  <c r="J1834" i="2"/>
  <c r="I1834" i="2"/>
  <c r="G1834" i="2"/>
  <c r="O1833" i="2"/>
  <c r="K1833" i="2"/>
  <c r="J1833" i="2"/>
  <c r="I1833" i="2"/>
  <c r="G1833" i="2"/>
  <c r="O1832" i="2"/>
  <c r="K1832" i="2"/>
  <c r="J1832" i="2"/>
  <c r="I1832" i="2"/>
  <c r="G1832" i="2"/>
  <c r="O1831" i="2"/>
  <c r="K1831" i="2"/>
  <c r="J1831" i="2"/>
  <c r="I1831" i="2"/>
  <c r="G1831" i="2"/>
  <c r="O1830" i="2"/>
  <c r="K1830" i="2"/>
  <c r="J1830" i="2"/>
  <c r="I1830" i="2"/>
  <c r="G1830" i="2"/>
  <c r="O1829" i="2"/>
  <c r="K1829" i="2"/>
  <c r="J1829" i="2"/>
  <c r="I1829" i="2"/>
  <c r="G1829" i="2"/>
  <c r="O1828" i="2"/>
  <c r="K1828" i="2"/>
  <c r="J1828" i="2"/>
  <c r="I1828" i="2"/>
  <c r="G1828" i="2"/>
  <c r="O1827" i="2"/>
  <c r="K1827" i="2"/>
  <c r="J1827" i="2"/>
  <c r="I1827" i="2"/>
  <c r="G1827" i="2"/>
  <c r="O1826" i="2"/>
  <c r="K1826" i="2"/>
  <c r="J1826" i="2"/>
  <c r="I1826" i="2"/>
  <c r="G1826" i="2"/>
  <c r="O1825" i="2"/>
  <c r="K1825" i="2"/>
  <c r="J1825" i="2"/>
  <c r="I1825" i="2"/>
  <c r="G1825" i="2"/>
  <c r="O1824" i="2"/>
  <c r="K1824" i="2"/>
  <c r="J1824" i="2"/>
  <c r="I1824" i="2"/>
  <c r="G1824" i="2"/>
  <c r="O1823" i="2"/>
  <c r="K1823" i="2"/>
  <c r="J1823" i="2"/>
  <c r="I1823" i="2"/>
  <c r="G1823" i="2"/>
  <c r="O1822" i="2"/>
  <c r="K1822" i="2"/>
  <c r="J1822" i="2"/>
  <c r="I1822" i="2"/>
  <c r="G1822" i="2"/>
  <c r="O1821" i="2"/>
  <c r="K1821" i="2"/>
  <c r="J1821" i="2"/>
  <c r="I1821" i="2"/>
  <c r="G1821" i="2"/>
  <c r="O1820" i="2"/>
  <c r="K1820" i="2"/>
  <c r="J1820" i="2"/>
  <c r="I1820" i="2"/>
  <c r="G1820" i="2"/>
  <c r="O1819" i="2"/>
  <c r="K1819" i="2"/>
  <c r="J1819" i="2"/>
  <c r="I1819" i="2"/>
  <c r="G1819" i="2"/>
  <c r="O1818" i="2"/>
  <c r="K1818" i="2"/>
  <c r="J1818" i="2"/>
  <c r="I1818" i="2"/>
  <c r="G1818" i="2"/>
  <c r="O1817" i="2"/>
  <c r="K1817" i="2"/>
  <c r="J1817" i="2"/>
  <c r="I1817" i="2"/>
  <c r="G1817" i="2"/>
  <c r="O1816" i="2"/>
  <c r="K1816" i="2"/>
  <c r="J1816" i="2"/>
  <c r="I1816" i="2"/>
  <c r="G1816" i="2"/>
  <c r="O1815" i="2"/>
  <c r="K1815" i="2"/>
  <c r="J1815" i="2"/>
  <c r="I1815" i="2"/>
  <c r="G1815" i="2"/>
  <c r="O1814" i="2"/>
  <c r="K1814" i="2"/>
  <c r="J1814" i="2"/>
  <c r="I1814" i="2"/>
  <c r="G1814" i="2"/>
  <c r="O1813" i="2"/>
  <c r="K1813" i="2"/>
  <c r="J1813" i="2"/>
  <c r="I1813" i="2"/>
  <c r="G1813" i="2"/>
  <c r="O1812" i="2"/>
  <c r="K1812" i="2"/>
  <c r="J1812" i="2"/>
  <c r="I1812" i="2"/>
  <c r="G1812" i="2"/>
  <c r="O1811" i="2"/>
  <c r="K1811" i="2"/>
  <c r="J1811" i="2"/>
  <c r="I1811" i="2"/>
  <c r="G1811" i="2"/>
  <c r="O1810" i="2"/>
  <c r="K1810" i="2"/>
  <c r="J1810" i="2"/>
  <c r="I1810" i="2"/>
  <c r="G1810" i="2"/>
  <c r="O1809" i="2"/>
  <c r="K1809" i="2"/>
  <c r="J1809" i="2"/>
  <c r="I1809" i="2"/>
  <c r="G1809" i="2"/>
  <c r="O1808" i="2"/>
  <c r="K1808" i="2"/>
  <c r="J1808" i="2"/>
  <c r="I1808" i="2"/>
  <c r="G1808" i="2"/>
  <c r="O1807" i="2"/>
  <c r="K1807" i="2"/>
  <c r="J1807" i="2"/>
  <c r="I1807" i="2"/>
  <c r="G1807" i="2"/>
  <c r="O1806" i="2"/>
  <c r="K1806" i="2"/>
  <c r="J1806" i="2"/>
  <c r="I1806" i="2"/>
  <c r="G1806" i="2"/>
  <c r="O1805" i="2"/>
  <c r="K1805" i="2"/>
  <c r="J1805" i="2"/>
  <c r="I1805" i="2"/>
  <c r="G1805" i="2"/>
  <c r="O1804" i="2"/>
  <c r="K1804" i="2"/>
  <c r="J1804" i="2"/>
  <c r="I1804" i="2"/>
  <c r="G1804" i="2"/>
  <c r="O1803" i="2"/>
  <c r="K1803" i="2"/>
  <c r="J1803" i="2"/>
  <c r="I1803" i="2"/>
  <c r="G1803" i="2"/>
  <c r="O1802" i="2"/>
  <c r="K1802" i="2"/>
  <c r="J1802" i="2"/>
  <c r="I1802" i="2"/>
  <c r="G1802" i="2"/>
  <c r="O1801" i="2"/>
  <c r="K1801" i="2"/>
  <c r="J1801" i="2"/>
  <c r="I1801" i="2"/>
  <c r="G1801" i="2"/>
  <c r="O1800" i="2"/>
  <c r="K1800" i="2"/>
  <c r="J1800" i="2"/>
  <c r="I1800" i="2"/>
  <c r="G1800" i="2"/>
  <c r="O1799" i="2"/>
  <c r="K1799" i="2"/>
  <c r="J1799" i="2"/>
  <c r="I1799" i="2"/>
  <c r="G1799" i="2"/>
  <c r="O1798" i="2"/>
  <c r="K1798" i="2"/>
  <c r="J1798" i="2"/>
  <c r="I1798" i="2"/>
  <c r="G1798" i="2"/>
  <c r="O1797" i="2"/>
  <c r="K1797" i="2"/>
  <c r="J1797" i="2"/>
  <c r="I1797" i="2"/>
  <c r="G1797" i="2"/>
  <c r="O1796" i="2"/>
  <c r="K1796" i="2"/>
  <c r="J1796" i="2"/>
  <c r="I1796" i="2"/>
  <c r="G1796" i="2"/>
  <c r="O1795" i="2"/>
  <c r="K1795" i="2"/>
  <c r="J1795" i="2"/>
  <c r="I1795" i="2"/>
  <c r="G1795" i="2"/>
  <c r="O1794" i="2"/>
  <c r="K1794" i="2"/>
  <c r="J1794" i="2"/>
  <c r="I1794" i="2"/>
  <c r="G1794" i="2"/>
  <c r="O1793" i="2"/>
  <c r="K1793" i="2"/>
  <c r="J1793" i="2"/>
  <c r="I1793" i="2"/>
  <c r="G1793" i="2"/>
  <c r="O1792" i="2"/>
  <c r="K1792" i="2"/>
  <c r="J1792" i="2"/>
  <c r="I1792" i="2"/>
  <c r="G1792" i="2"/>
  <c r="O1791" i="2"/>
  <c r="K1791" i="2"/>
  <c r="J1791" i="2"/>
  <c r="I1791" i="2"/>
  <c r="G1791" i="2"/>
  <c r="O1790" i="2"/>
  <c r="K1790" i="2"/>
  <c r="J1790" i="2"/>
  <c r="I1790" i="2"/>
  <c r="G1790" i="2"/>
  <c r="O1789" i="2"/>
  <c r="K1789" i="2"/>
  <c r="J1789" i="2"/>
  <c r="I1789" i="2"/>
  <c r="G1789" i="2"/>
  <c r="O1788" i="2"/>
  <c r="K1788" i="2"/>
  <c r="J1788" i="2"/>
  <c r="I1788" i="2"/>
  <c r="G1788" i="2"/>
  <c r="O1787" i="2"/>
  <c r="K1787" i="2"/>
  <c r="J1787" i="2"/>
  <c r="I1787" i="2"/>
  <c r="G1787" i="2"/>
  <c r="O1786" i="2"/>
  <c r="K1786" i="2"/>
  <c r="J1786" i="2"/>
  <c r="I1786" i="2"/>
  <c r="G1786" i="2"/>
  <c r="O1785" i="2"/>
  <c r="K1785" i="2"/>
  <c r="J1785" i="2"/>
  <c r="I1785" i="2"/>
  <c r="G1785" i="2"/>
  <c r="O1784" i="2"/>
  <c r="K1784" i="2"/>
  <c r="J1784" i="2"/>
  <c r="I1784" i="2"/>
  <c r="G1784" i="2"/>
  <c r="O1783" i="2"/>
  <c r="K1783" i="2"/>
  <c r="J1783" i="2"/>
  <c r="I1783" i="2"/>
  <c r="G1783" i="2"/>
  <c r="O1782" i="2"/>
  <c r="K1782" i="2"/>
  <c r="J1782" i="2"/>
  <c r="I1782" i="2"/>
  <c r="G1782" i="2"/>
  <c r="O1781" i="2"/>
  <c r="K1781" i="2"/>
  <c r="J1781" i="2"/>
  <c r="I1781" i="2"/>
  <c r="G1781" i="2"/>
  <c r="O1780" i="2"/>
  <c r="K1780" i="2"/>
  <c r="J1780" i="2"/>
  <c r="I1780" i="2"/>
  <c r="G1780" i="2"/>
  <c r="O1779" i="2"/>
  <c r="K1779" i="2"/>
  <c r="J1779" i="2"/>
  <c r="I1779" i="2"/>
  <c r="G1779" i="2"/>
  <c r="O1778" i="2"/>
  <c r="K1778" i="2"/>
  <c r="J1778" i="2"/>
  <c r="I1778" i="2"/>
  <c r="G1778" i="2"/>
  <c r="O1777" i="2"/>
  <c r="K1777" i="2"/>
  <c r="J1777" i="2"/>
  <c r="I1777" i="2"/>
  <c r="G1777" i="2"/>
  <c r="K1776" i="2"/>
  <c r="J1776" i="2"/>
  <c r="I1776" i="2"/>
  <c r="G1776" i="2"/>
  <c r="O1775" i="2"/>
  <c r="K1775" i="2"/>
  <c r="J1775" i="2"/>
  <c r="I1775" i="2"/>
  <c r="G1775" i="2"/>
  <c r="K1774" i="2"/>
  <c r="J1774" i="2"/>
  <c r="I1774" i="2"/>
  <c r="G1774" i="2"/>
  <c r="K1773" i="2"/>
  <c r="J1773" i="2"/>
  <c r="I1773" i="2"/>
  <c r="G1773" i="2"/>
  <c r="K1772" i="2"/>
  <c r="J1772" i="2"/>
  <c r="I1772" i="2"/>
  <c r="G1772" i="2"/>
  <c r="K1771" i="2"/>
  <c r="J1771" i="2"/>
  <c r="I1771" i="2"/>
  <c r="G1771" i="2"/>
  <c r="O1770" i="2"/>
  <c r="K1770" i="2"/>
  <c r="J1770" i="2"/>
  <c r="I1770" i="2"/>
  <c r="G1770" i="2"/>
  <c r="K1769" i="2"/>
  <c r="J1769" i="2"/>
  <c r="I1769" i="2"/>
  <c r="G1769" i="2"/>
  <c r="K1768" i="2"/>
  <c r="J1768" i="2"/>
  <c r="I1768" i="2"/>
  <c r="G1768" i="2"/>
  <c r="O1767" i="2"/>
  <c r="K1767" i="2"/>
  <c r="J1767" i="2"/>
  <c r="I1767" i="2"/>
  <c r="G1767" i="2"/>
  <c r="O1766" i="2"/>
  <c r="K1766" i="2"/>
  <c r="J1766" i="2"/>
  <c r="I1766" i="2"/>
  <c r="G1766" i="2"/>
  <c r="K1765" i="2"/>
  <c r="J1765" i="2"/>
  <c r="I1765" i="2"/>
  <c r="G1765" i="2"/>
  <c r="O1764" i="2"/>
  <c r="K1764" i="2"/>
  <c r="J1764" i="2"/>
  <c r="I1764" i="2"/>
  <c r="G1764" i="2"/>
  <c r="K1763" i="2"/>
  <c r="J1763" i="2"/>
  <c r="I1763" i="2"/>
  <c r="G1763" i="2"/>
  <c r="O1762" i="2"/>
  <c r="K1762" i="2"/>
  <c r="J1762" i="2"/>
  <c r="I1762" i="2"/>
  <c r="G1762" i="2"/>
  <c r="O1761" i="2"/>
  <c r="K1761" i="2"/>
  <c r="J1761" i="2"/>
  <c r="I1761" i="2"/>
  <c r="G1761" i="2"/>
  <c r="O1760" i="2"/>
  <c r="K1760" i="2"/>
  <c r="J1760" i="2"/>
  <c r="I1760" i="2"/>
  <c r="G1760" i="2"/>
  <c r="O1759" i="2"/>
  <c r="K1759" i="2"/>
  <c r="J1759" i="2"/>
  <c r="I1759" i="2"/>
  <c r="G1759" i="2"/>
  <c r="O1758" i="2"/>
  <c r="K1758" i="2"/>
  <c r="J1758" i="2"/>
  <c r="I1758" i="2"/>
  <c r="G1758" i="2"/>
  <c r="O1757" i="2"/>
  <c r="K1757" i="2"/>
  <c r="J1757" i="2"/>
  <c r="I1757" i="2"/>
  <c r="G1757" i="2"/>
  <c r="O1756" i="2"/>
  <c r="K1756" i="2"/>
  <c r="J1756" i="2"/>
  <c r="I1756" i="2"/>
  <c r="G1756" i="2"/>
  <c r="O1755" i="2"/>
  <c r="K1755" i="2"/>
  <c r="J1755" i="2"/>
  <c r="I1755" i="2"/>
  <c r="G1755" i="2"/>
  <c r="O1754" i="2"/>
  <c r="K1754" i="2"/>
  <c r="J1754" i="2"/>
  <c r="I1754" i="2"/>
  <c r="G1754" i="2"/>
  <c r="O1753" i="2"/>
  <c r="K1753" i="2"/>
  <c r="J1753" i="2"/>
  <c r="I1753" i="2"/>
  <c r="G1753" i="2"/>
  <c r="O1752" i="2"/>
  <c r="K1752" i="2"/>
  <c r="J1752" i="2"/>
  <c r="I1752" i="2"/>
  <c r="G1752" i="2"/>
  <c r="O1751" i="2"/>
  <c r="K1751" i="2"/>
  <c r="J1751" i="2"/>
  <c r="I1751" i="2"/>
  <c r="G1751" i="2"/>
  <c r="O1750" i="2"/>
  <c r="K1750" i="2"/>
  <c r="J1750" i="2"/>
  <c r="I1750" i="2"/>
  <c r="G1750" i="2"/>
  <c r="O1749" i="2"/>
  <c r="K1749" i="2"/>
  <c r="J1749" i="2"/>
  <c r="I1749" i="2"/>
  <c r="G1749" i="2"/>
  <c r="O1748" i="2"/>
  <c r="K1748" i="2"/>
  <c r="J1748" i="2"/>
  <c r="I1748" i="2"/>
  <c r="G1748" i="2"/>
  <c r="O1747" i="2"/>
  <c r="K1747" i="2"/>
  <c r="J1747" i="2"/>
  <c r="I1747" i="2"/>
  <c r="G1747" i="2"/>
  <c r="O1746" i="2"/>
  <c r="K1746" i="2"/>
  <c r="J1746" i="2"/>
  <c r="I1746" i="2"/>
  <c r="G1746" i="2"/>
  <c r="O1745" i="2"/>
  <c r="K1745" i="2"/>
  <c r="J1745" i="2"/>
  <c r="I1745" i="2"/>
  <c r="G1745" i="2"/>
  <c r="O1744" i="2"/>
  <c r="K1744" i="2"/>
  <c r="J1744" i="2"/>
  <c r="I1744" i="2"/>
  <c r="G1744" i="2"/>
  <c r="O1743" i="2"/>
  <c r="K1743" i="2"/>
  <c r="J1743" i="2"/>
  <c r="I1743" i="2"/>
  <c r="G1743" i="2"/>
  <c r="O1742" i="2"/>
  <c r="K1742" i="2"/>
  <c r="J1742" i="2"/>
  <c r="I1742" i="2"/>
  <c r="G1742" i="2"/>
  <c r="O1741" i="2"/>
  <c r="K1741" i="2"/>
  <c r="J1741" i="2"/>
  <c r="I1741" i="2"/>
  <c r="G1741" i="2"/>
  <c r="O1740" i="2"/>
  <c r="K1740" i="2"/>
  <c r="J1740" i="2"/>
  <c r="I1740" i="2"/>
  <c r="G1740" i="2"/>
  <c r="O1739" i="2"/>
  <c r="K1739" i="2"/>
  <c r="J1739" i="2"/>
  <c r="I1739" i="2"/>
  <c r="G1739" i="2"/>
  <c r="O1738" i="2"/>
  <c r="K1738" i="2"/>
  <c r="J1738" i="2"/>
  <c r="I1738" i="2"/>
  <c r="G1738" i="2"/>
  <c r="O1737" i="2"/>
  <c r="K1737" i="2"/>
  <c r="J1737" i="2"/>
  <c r="I1737" i="2"/>
  <c r="G1737" i="2"/>
  <c r="O1736" i="2"/>
  <c r="K1736" i="2"/>
  <c r="J1736" i="2"/>
  <c r="I1736" i="2"/>
  <c r="G1736" i="2"/>
  <c r="O1735" i="2"/>
  <c r="K1735" i="2"/>
  <c r="J1735" i="2"/>
  <c r="I1735" i="2"/>
  <c r="G1735" i="2"/>
  <c r="O1734" i="2"/>
  <c r="K1734" i="2"/>
  <c r="J1734" i="2"/>
  <c r="I1734" i="2"/>
  <c r="G1734" i="2"/>
  <c r="O1733" i="2"/>
  <c r="K1733" i="2"/>
  <c r="J1733" i="2"/>
  <c r="I1733" i="2"/>
  <c r="G1733" i="2"/>
  <c r="O1732" i="2"/>
  <c r="K1732" i="2"/>
  <c r="J1732" i="2"/>
  <c r="I1732" i="2"/>
  <c r="G1732" i="2"/>
  <c r="O1731" i="2"/>
  <c r="K1731" i="2"/>
  <c r="J1731" i="2"/>
  <c r="I1731" i="2"/>
  <c r="G1731" i="2"/>
  <c r="O1730" i="2"/>
  <c r="K1730" i="2"/>
  <c r="J1730" i="2"/>
  <c r="I1730" i="2"/>
  <c r="G1730" i="2"/>
  <c r="O1729" i="2"/>
  <c r="K1729" i="2"/>
  <c r="J1729" i="2"/>
  <c r="I1729" i="2"/>
  <c r="G1729" i="2"/>
  <c r="O1728" i="2"/>
  <c r="K1728" i="2"/>
  <c r="J1728" i="2"/>
  <c r="I1728" i="2"/>
  <c r="G1728" i="2"/>
  <c r="O1727" i="2"/>
  <c r="K1727" i="2"/>
  <c r="J1727" i="2"/>
  <c r="I1727" i="2"/>
  <c r="G1727" i="2"/>
  <c r="O1726" i="2"/>
  <c r="K1726" i="2"/>
  <c r="J1726" i="2"/>
  <c r="I1726" i="2"/>
  <c r="G1726" i="2"/>
  <c r="O1725" i="2"/>
  <c r="K1725" i="2"/>
  <c r="J1725" i="2"/>
  <c r="I1725" i="2"/>
  <c r="G1725" i="2"/>
  <c r="O1724" i="2"/>
  <c r="K1724" i="2"/>
  <c r="J1724" i="2"/>
  <c r="I1724" i="2"/>
  <c r="G1724" i="2"/>
  <c r="O1723" i="2"/>
  <c r="K1723" i="2"/>
  <c r="J1723" i="2"/>
  <c r="I1723" i="2"/>
  <c r="G1723" i="2"/>
  <c r="O1722" i="2"/>
  <c r="K1722" i="2"/>
  <c r="J1722" i="2"/>
  <c r="I1722" i="2"/>
  <c r="G1722" i="2"/>
  <c r="O1721" i="2"/>
  <c r="K1721" i="2"/>
  <c r="J1721" i="2"/>
  <c r="I1721" i="2"/>
  <c r="G1721" i="2"/>
  <c r="O1720" i="2"/>
  <c r="K1720" i="2"/>
  <c r="J1720" i="2"/>
  <c r="I1720" i="2"/>
  <c r="G1720" i="2"/>
  <c r="O1719" i="2"/>
  <c r="K1719" i="2"/>
  <c r="J1719" i="2"/>
  <c r="I1719" i="2"/>
  <c r="G1719" i="2"/>
  <c r="O1718" i="2"/>
  <c r="K1718" i="2"/>
  <c r="J1718" i="2"/>
  <c r="I1718" i="2"/>
  <c r="G1718" i="2"/>
  <c r="O1717" i="2"/>
  <c r="K1717" i="2"/>
  <c r="J1717" i="2"/>
  <c r="I1717" i="2"/>
  <c r="G1717" i="2"/>
  <c r="O1716" i="2"/>
  <c r="K1716" i="2"/>
  <c r="J1716" i="2"/>
  <c r="I1716" i="2"/>
  <c r="G1716" i="2"/>
  <c r="O1715" i="2"/>
  <c r="K1715" i="2"/>
  <c r="J1715" i="2"/>
  <c r="I1715" i="2"/>
  <c r="G1715" i="2"/>
  <c r="O1714" i="2"/>
  <c r="K1714" i="2"/>
  <c r="J1714" i="2"/>
  <c r="I1714" i="2"/>
  <c r="G1714" i="2"/>
  <c r="O1713" i="2"/>
  <c r="K1713" i="2"/>
  <c r="J1713" i="2"/>
  <c r="I1713" i="2"/>
  <c r="G1713" i="2"/>
  <c r="O1712" i="2"/>
  <c r="K1712" i="2"/>
  <c r="J1712" i="2"/>
  <c r="I1712" i="2"/>
  <c r="G1712" i="2"/>
  <c r="O1711" i="2"/>
  <c r="K1711" i="2"/>
  <c r="J1711" i="2"/>
  <c r="I1711" i="2"/>
  <c r="G1711" i="2"/>
  <c r="O1710" i="2"/>
  <c r="K1710" i="2"/>
  <c r="J1710" i="2"/>
  <c r="I1710" i="2"/>
  <c r="G1710" i="2"/>
  <c r="O1709" i="2"/>
  <c r="K1709" i="2"/>
  <c r="J1709" i="2"/>
  <c r="I1709" i="2"/>
  <c r="G1709" i="2"/>
  <c r="O1708" i="2"/>
  <c r="K1708" i="2"/>
  <c r="J1708" i="2"/>
  <c r="I1708" i="2"/>
  <c r="G1708" i="2"/>
  <c r="O1707" i="2"/>
  <c r="K1707" i="2"/>
  <c r="J1707" i="2"/>
  <c r="I1707" i="2"/>
  <c r="G1707" i="2"/>
  <c r="O1706" i="2"/>
  <c r="K1706" i="2"/>
  <c r="J1706" i="2"/>
  <c r="I1706" i="2"/>
  <c r="G1706" i="2"/>
  <c r="O1705" i="2"/>
  <c r="K1705" i="2"/>
  <c r="J1705" i="2"/>
  <c r="I1705" i="2"/>
  <c r="G1705" i="2"/>
  <c r="O1704" i="2"/>
  <c r="K1704" i="2"/>
  <c r="J1704" i="2"/>
  <c r="I1704" i="2"/>
  <c r="G1704" i="2"/>
  <c r="O1703" i="2"/>
  <c r="K1703" i="2"/>
  <c r="J1703" i="2"/>
  <c r="I1703" i="2"/>
  <c r="G1703" i="2"/>
  <c r="O1702" i="2"/>
  <c r="K1702" i="2"/>
  <c r="J1702" i="2"/>
  <c r="I1702" i="2"/>
  <c r="G1702" i="2"/>
  <c r="O1701" i="2"/>
  <c r="K1701" i="2"/>
  <c r="J1701" i="2"/>
  <c r="I1701" i="2"/>
  <c r="G1701" i="2"/>
  <c r="O1700" i="2"/>
  <c r="K1700" i="2"/>
  <c r="J1700" i="2"/>
  <c r="I1700" i="2"/>
  <c r="G1700" i="2"/>
  <c r="O1699" i="2"/>
  <c r="K1699" i="2"/>
  <c r="J1699" i="2"/>
  <c r="I1699" i="2"/>
  <c r="G1699" i="2"/>
  <c r="O1698" i="2"/>
  <c r="K1698" i="2"/>
  <c r="J1698" i="2"/>
  <c r="I1698" i="2"/>
  <c r="G1698" i="2"/>
  <c r="O1697" i="2"/>
  <c r="K1697" i="2"/>
  <c r="J1697" i="2"/>
  <c r="I1697" i="2"/>
  <c r="G1697" i="2"/>
  <c r="O1696" i="2"/>
  <c r="K1696" i="2"/>
  <c r="J1696" i="2"/>
  <c r="I1696" i="2"/>
  <c r="G1696" i="2"/>
  <c r="O1695" i="2"/>
  <c r="K1695" i="2"/>
  <c r="J1695" i="2"/>
  <c r="I1695" i="2"/>
  <c r="G1695" i="2"/>
  <c r="O1694" i="2"/>
  <c r="K1694" i="2"/>
  <c r="J1694" i="2"/>
  <c r="I1694" i="2"/>
  <c r="G1694" i="2"/>
  <c r="O1693" i="2"/>
  <c r="K1693" i="2"/>
  <c r="J1693" i="2"/>
  <c r="I1693" i="2"/>
  <c r="G1693" i="2"/>
  <c r="O1692" i="2"/>
  <c r="K1692" i="2"/>
  <c r="J1692" i="2"/>
  <c r="I1692" i="2"/>
  <c r="G1692" i="2"/>
  <c r="O1691" i="2"/>
  <c r="K1691" i="2"/>
  <c r="J1691" i="2"/>
  <c r="I1691" i="2"/>
  <c r="G1691" i="2"/>
  <c r="O1690" i="2"/>
  <c r="K1690" i="2"/>
  <c r="J1690" i="2"/>
  <c r="I1690" i="2"/>
  <c r="G1690" i="2"/>
  <c r="O1689" i="2"/>
  <c r="K1689" i="2"/>
  <c r="J1689" i="2"/>
  <c r="I1689" i="2"/>
  <c r="G1689" i="2"/>
  <c r="O1688" i="2"/>
  <c r="K1688" i="2"/>
  <c r="J1688" i="2"/>
  <c r="I1688" i="2"/>
  <c r="G1688" i="2"/>
  <c r="O1687" i="2"/>
  <c r="K1687" i="2"/>
  <c r="J1687" i="2"/>
  <c r="I1687" i="2"/>
  <c r="G1687" i="2"/>
  <c r="O1686" i="2"/>
  <c r="K1686" i="2"/>
  <c r="J1686" i="2"/>
  <c r="I1686" i="2"/>
  <c r="G1686" i="2"/>
  <c r="O1685" i="2"/>
  <c r="K1685" i="2"/>
  <c r="J1685" i="2"/>
  <c r="I1685" i="2"/>
  <c r="G1685" i="2"/>
  <c r="O1684" i="2"/>
  <c r="K1684" i="2"/>
  <c r="J1684" i="2"/>
  <c r="I1684" i="2"/>
  <c r="G1684" i="2"/>
  <c r="O1683" i="2"/>
  <c r="K1683" i="2"/>
  <c r="J1683" i="2"/>
  <c r="I1683" i="2"/>
  <c r="G1683" i="2"/>
  <c r="O1682" i="2"/>
  <c r="K1682" i="2"/>
  <c r="J1682" i="2"/>
  <c r="I1682" i="2"/>
  <c r="G1682" i="2"/>
  <c r="O1681" i="2"/>
  <c r="K1681" i="2"/>
  <c r="J1681" i="2"/>
  <c r="I1681" i="2"/>
  <c r="G1681" i="2"/>
  <c r="O1680" i="2"/>
  <c r="K1680" i="2"/>
  <c r="J1680" i="2"/>
  <c r="I1680" i="2"/>
  <c r="G1680" i="2"/>
  <c r="O1679" i="2"/>
  <c r="K1679" i="2"/>
  <c r="J1679" i="2"/>
  <c r="I1679" i="2"/>
  <c r="G1679" i="2"/>
  <c r="O1678" i="2"/>
  <c r="K1678" i="2"/>
  <c r="J1678" i="2"/>
  <c r="I1678" i="2"/>
  <c r="G1678" i="2"/>
  <c r="O1677" i="2"/>
  <c r="K1677" i="2"/>
  <c r="J1677" i="2"/>
  <c r="I1677" i="2"/>
  <c r="G1677" i="2"/>
  <c r="O1676" i="2"/>
  <c r="K1676" i="2"/>
  <c r="J1676" i="2"/>
  <c r="I1676" i="2"/>
  <c r="G1676" i="2"/>
  <c r="O1675" i="2"/>
  <c r="K1675" i="2"/>
  <c r="J1675" i="2"/>
  <c r="I1675" i="2"/>
  <c r="G1675" i="2"/>
  <c r="O1674" i="2"/>
  <c r="K1674" i="2"/>
  <c r="J1674" i="2"/>
  <c r="I1674" i="2"/>
  <c r="G1674" i="2"/>
  <c r="O1673" i="2"/>
  <c r="K1673" i="2"/>
  <c r="J1673" i="2"/>
  <c r="I1673" i="2"/>
  <c r="G1673" i="2"/>
  <c r="O1672" i="2"/>
  <c r="K1672" i="2"/>
  <c r="J1672" i="2"/>
  <c r="I1672" i="2"/>
  <c r="G1672" i="2"/>
  <c r="O1671" i="2"/>
  <c r="K1671" i="2"/>
  <c r="J1671" i="2"/>
  <c r="I1671" i="2"/>
  <c r="G1671" i="2"/>
  <c r="O1670" i="2"/>
  <c r="K1670" i="2"/>
  <c r="J1670" i="2"/>
  <c r="I1670" i="2"/>
  <c r="G1670" i="2"/>
  <c r="O1669" i="2"/>
  <c r="K1669" i="2"/>
  <c r="J1669" i="2"/>
  <c r="I1669" i="2"/>
  <c r="G1669" i="2"/>
  <c r="O1668" i="2"/>
  <c r="K1668" i="2"/>
  <c r="J1668" i="2"/>
  <c r="I1668" i="2"/>
  <c r="G1668" i="2"/>
  <c r="O1667" i="2"/>
  <c r="K1667" i="2"/>
  <c r="J1667" i="2"/>
  <c r="I1667" i="2"/>
  <c r="G1667" i="2"/>
  <c r="O1666" i="2"/>
  <c r="K1666" i="2"/>
  <c r="J1666" i="2"/>
  <c r="I1666" i="2"/>
  <c r="G1666" i="2"/>
  <c r="O1665" i="2"/>
  <c r="K1665" i="2"/>
  <c r="J1665" i="2"/>
  <c r="I1665" i="2"/>
  <c r="G1665" i="2"/>
  <c r="O1664" i="2"/>
  <c r="K1664" i="2"/>
  <c r="J1664" i="2"/>
  <c r="I1664" i="2"/>
  <c r="G1664" i="2"/>
  <c r="O1663" i="2"/>
  <c r="K1663" i="2"/>
  <c r="J1663" i="2"/>
  <c r="I1663" i="2"/>
  <c r="G1663" i="2"/>
  <c r="O1662" i="2"/>
  <c r="K1662" i="2"/>
  <c r="J1662" i="2"/>
  <c r="I1662" i="2"/>
  <c r="G1662" i="2"/>
  <c r="O1661" i="2"/>
  <c r="K1661" i="2"/>
  <c r="J1661" i="2"/>
  <c r="I1661" i="2"/>
  <c r="G1661" i="2"/>
  <c r="O1660" i="2"/>
  <c r="K1660" i="2"/>
  <c r="J1660" i="2"/>
  <c r="I1660" i="2"/>
  <c r="G1660" i="2"/>
  <c r="O1659" i="2"/>
  <c r="K1659" i="2"/>
  <c r="J1659" i="2"/>
  <c r="I1659" i="2"/>
  <c r="G1659" i="2"/>
  <c r="O1658" i="2"/>
  <c r="K1658" i="2"/>
  <c r="J1658" i="2"/>
  <c r="I1658" i="2"/>
  <c r="G1658" i="2"/>
  <c r="O1657" i="2"/>
  <c r="K1657" i="2"/>
  <c r="J1657" i="2"/>
  <c r="I1657" i="2"/>
  <c r="G1657" i="2"/>
  <c r="O1656" i="2"/>
  <c r="K1656" i="2"/>
  <c r="J1656" i="2"/>
  <c r="I1656" i="2"/>
  <c r="G1656" i="2"/>
  <c r="O1655" i="2"/>
  <c r="K1655" i="2"/>
  <c r="J1655" i="2"/>
  <c r="I1655" i="2"/>
  <c r="G1655" i="2"/>
  <c r="O1654" i="2"/>
  <c r="K1654" i="2"/>
  <c r="J1654" i="2"/>
  <c r="I1654" i="2"/>
  <c r="G1654" i="2"/>
  <c r="O1653" i="2"/>
  <c r="K1653" i="2"/>
  <c r="J1653" i="2"/>
  <c r="I1653" i="2"/>
  <c r="G1653" i="2"/>
  <c r="O1652" i="2"/>
  <c r="K1652" i="2"/>
  <c r="J1652" i="2"/>
  <c r="I1652" i="2"/>
  <c r="G1652" i="2"/>
  <c r="O1651" i="2"/>
  <c r="K1651" i="2"/>
  <c r="J1651" i="2"/>
  <c r="I1651" i="2"/>
  <c r="G1651" i="2"/>
  <c r="O1650" i="2"/>
  <c r="K1650" i="2"/>
  <c r="J1650" i="2"/>
  <c r="I1650" i="2"/>
  <c r="G1650" i="2"/>
  <c r="O1649" i="2"/>
  <c r="K1649" i="2"/>
  <c r="J1649" i="2"/>
  <c r="I1649" i="2"/>
  <c r="G1649" i="2"/>
  <c r="O1648" i="2"/>
  <c r="K1648" i="2"/>
  <c r="J1648" i="2"/>
  <c r="I1648" i="2"/>
  <c r="G1648" i="2"/>
  <c r="O1647" i="2"/>
  <c r="K1647" i="2"/>
  <c r="J1647" i="2"/>
  <c r="I1647" i="2"/>
  <c r="G1647" i="2"/>
  <c r="O1646" i="2"/>
  <c r="K1646" i="2"/>
  <c r="J1646" i="2"/>
  <c r="I1646" i="2"/>
  <c r="G1646" i="2"/>
  <c r="O1645" i="2"/>
  <c r="K1645" i="2"/>
  <c r="J1645" i="2"/>
  <c r="I1645" i="2"/>
  <c r="G1645" i="2"/>
  <c r="O1644" i="2"/>
  <c r="K1644" i="2"/>
  <c r="J1644" i="2"/>
  <c r="I1644" i="2"/>
  <c r="G1644" i="2"/>
  <c r="O1643" i="2"/>
  <c r="K1643" i="2"/>
  <c r="J1643" i="2"/>
  <c r="I1643" i="2"/>
  <c r="G1643" i="2"/>
  <c r="O1642" i="2"/>
  <c r="K1642" i="2"/>
  <c r="J1642" i="2"/>
  <c r="I1642" i="2"/>
  <c r="G1642" i="2"/>
  <c r="O1641" i="2"/>
  <c r="K1641" i="2"/>
  <c r="J1641" i="2"/>
  <c r="I1641" i="2"/>
  <c r="G1641" i="2"/>
  <c r="O1640" i="2"/>
  <c r="K1640" i="2"/>
  <c r="J1640" i="2"/>
  <c r="I1640" i="2"/>
  <c r="G1640" i="2"/>
  <c r="O1639" i="2"/>
  <c r="K1639" i="2"/>
  <c r="J1639" i="2"/>
  <c r="I1639" i="2"/>
  <c r="G1639" i="2"/>
  <c r="O1638" i="2"/>
  <c r="K1638" i="2"/>
  <c r="J1638" i="2"/>
  <c r="I1638" i="2"/>
  <c r="G1638" i="2"/>
  <c r="O1637" i="2"/>
  <c r="K1637" i="2"/>
  <c r="J1637" i="2"/>
  <c r="I1637" i="2"/>
  <c r="G1637" i="2"/>
  <c r="O1636" i="2"/>
  <c r="K1636" i="2"/>
  <c r="J1636" i="2"/>
  <c r="I1636" i="2"/>
  <c r="G1636" i="2"/>
  <c r="O1635" i="2"/>
  <c r="K1635" i="2"/>
  <c r="J1635" i="2"/>
  <c r="I1635" i="2"/>
  <c r="G1635" i="2"/>
  <c r="O1634" i="2"/>
  <c r="K1634" i="2"/>
  <c r="J1634" i="2"/>
  <c r="I1634" i="2"/>
  <c r="G1634" i="2"/>
  <c r="K1633" i="2"/>
  <c r="J1633" i="2"/>
  <c r="I1633" i="2"/>
  <c r="G1633" i="2"/>
  <c r="K1632" i="2"/>
  <c r="J1632" i="2"/>
  <c r="I1632" i="2"/>
  <c r="G1632" i="2"/>
  <c r="K1631" i="2"/>
  <c r="J1631" i="2"/>
  <c r="I1631" i="2"/>
  <c r="G1631" i="2"/>
  <c r="K1630" i="2"/>
  <c r="J1630" i="2"/>
  <c r="I1630" i="2"/>
  <c r="G1630" i="2"/>
  <c r="K1629" i="2"/>
  <c r="J1629" i="2"/>
  <c r="I1629" i="2"/>
  <c r="G1629" i="2"/>
  <c r="K1628" i="2"/>
  <c r="J1628" i="2"/>
  <c r="I1628" i="2"/>
  <c r="G1628" i="2"/>
  <c r="K1627" i="2"/>
  <c r="J1627" i="2"/>
  <c r="I1627" i="2"/>
  <c r="G1627" i="2"/>
  <c r="K1626" i="2"/>
  <c r="J1626" i="2"/>
  <c r="I1626" i="2"/>
  <c r="G1626" i="2"/>
  <c r="O1625" i="2"/>
  <c r="K1625" i="2"/>
  <c r="J1625" i="2"/>
  <c r="I1625" i="2"/>
  <c r="G1625" i="2"/>
  <c r="O1624" i="2"/>
  <c r="K1624" i="2"/>
  <c r="J1624" i="2"/>
  <c r="I1624" i="2"/>
  <c r="G1624" i="2"/>
  <c r="K1623" i="2"/>
  <c r="J1623" i="2"/>
  <c r="I1623" i="2"/>
  <c r="G1623" i="2"/>
  <c r="K1622" i="2"/>
  <c r="J1622" i="2"/>
  <c r="I1622" i="2"/>
  <c r="G1622" i="2"/>
  <c r="K1621" i="2"/>
  <c r="J1621" i="2"/>
  <c r="I1621" i="2"/>
  <c r="G1621" i="2"/>
  <c r="K1620" i="2"/>
  <c r="J1620" i="2"/>
  <c r="I1620" i="2"/>
  <c r="G1620" i="2"/>
  <c r="O1619" i="2"/>
  <c r="K1619" i="2"/>
  <c r="J1619" i="2"/>
  <c r="I1619" i="2"/>
  <c r="G1619" i="2"/>
  <c r="O1618" i="2"/>
  <c r="K1618" i="2"/>
  <c r="J1618" i="2"/>
  <c r="I1618" i="2"/>
  <c r="G1618" i="2"/>
  <c r="O1617" i="2"/>
  <c r="K1617" i="2"/>
  <c r="J1617" i="2"/>
  <c r="I1617" i="2"/>
  <c r="G1617" i="2"/>
  <c r="K1616" i="2"/>
  <c r="J1616" i="2"/>
  <c r="I1616" i="2"/>
  <c r="G1616" i="2"/>
  <c r="K1615" i="2"/>
  <c r="J1615" i="2"/>
  <c r="I1615" i="2"/>
  <c r="G1615" i="2"/>
  <c r="O1614" i="2"/>
  <c r="K1614" i="2"/>
  <c r="J1614" i="2"/>
  <c r="I1614" i="2"/>
  <c r="G1614" i="2"/>
  <c r="O1613" i="2"/>
  <c r="K1613" i="2"/>
  <c r="J1613" i="2"/>
  <c r="I1613" i="2"/>
  <c r="G1613" i="2"/>
  <c r="O1612" i="2"/>
  <c r="K1612" i="2"/>
  <c r="J1612" i="2"/>
  <c r="I1612" i="2"/>
  <c r="G1612" i="2"/>
  <c r="O1611" i="2"/>
  <c r="K1611" i="2"/>
  <c r="J1611" i="2"/>
  <c r="I1611" i="2"/>
  <c r="G1611" i="2"/>
  <c r="O1610" i="2"/>
  <c r="K1610" i="2"/>
  <c r="J1610" i="2"/>
  <c r="I1610" i="2"/>
  <c r="G1610" i="2"/>
  <c r="O1609" i="2"/>
  <c r="K1609" i="2"/>
  <c r="J1609" i="2"/>
  <c r="I1609" i="2"/>
  <c r="G1609" i="2"/>
  <c r="O1608" i="2"/>
  <c r="K1608" i="2"/>
  <c r="J1608" i="2"/>
  <c r="I1608" i="2"/>
  <c r="G1608" i="2"/>
  <c r="O1607" i="2"/>
  <c r="K1607" i="2"/>
  <c r="J1607" i="2"/>
  <c r="I1607" i="2"/>
  <c r="G1607" i="2"/>
  <c r="O1606" i="2"/>
  <c r="K1606" i="2"/>
  <c r="J1606" i="2"/>
  <c r="I1606" i="2"/>
  <c r="G1606" i="2"/>
  <c r="O1605" i="2"/>
  <c r="K1605" i="2"/>
  <c r="J1605" i="2"/>
  <c r="I1605" i="2"/>
  <c r="G1605" i="2"/>
  <c r="O1604" i="2"/>
  <c r="K1604" i="2"/>
  <c r="J1604" i="2"/>
  <c r="I1604" i="2"/>
  <c r="G1604" i="2"/>
  <c r="O1603" i="2"/>
  <c r="K1603" i="2"/>
  <c r="J1603" i="2"/>
  <c r="I1603" i="2"/>
  <c r="G1603" i="2"/>
  <c r="O1602" i="2"/>
  <c r="K1602" i="2"/>
  <c r="J1602" i="2"/>
  <c r="I1602" i="2"/>
  <c r="G1602" i="2"/>
  <c r="O1601" i="2"/>
  <c r="K1601" i="2"/>
  <c r="J1601" i="2"/>
  <c r="I1601" i="2"/>
  <c r="G1601" i="2"/>
  <c r="O1600" i="2"/>
  <c r="K1600" i="2"/>
  <c r="J1600" i="2"/>
  <c r="I1600" i="2"/>
  <c r="G1600" i="2"/>
  <c r="O1599" i="2"/>
  <c r="K1599" i="2"/>
  <c r="J1599" i="2"/>
  <c r="I1599" i="2"/>
  <c r="G1599" i="2"/>
  <c r="O1598" i="2"/>
  <c r="K1598" i="2"/>
  <c r="J1598" i="2"/>
  <c r="I1598" i="2"/>
  <c r="G1598" i="2"/>
  <c r="O1597" i="2"/>
  <c r="K1597" i="2"/>
  <c r="J1597" i="2"/>
  <c r="I1597" i="2"/>
  <c r="G1597" i="2"/>
  <c r="O1596" i="2"/>
  <c r="K1596" i="2"/>
  <c r="J1596" i="2"/>
  <c r="I1596" i="2"/>
  <c r="G1596" i="2"/>
  <c r="O1595" i="2"/>
  <c r="K1595" i="2"/>
  <c r="J1595" i="2"/>
  <c r="I1595" i="2"/>
  <c r="G1595" i="2"/>
  <c r="O1594" i="2"/>
  <c r="K1594" i="2"/>
  <c r="J1594" i="2"/>
  <c r="I1594" i="2"/>
  <c r="G1594" i="2"/>
  <c r="O1593" i="2"/>
  <c r="K1593" i="2"/>
  <c r="J1593" i="2"/>
  <c r="I1593" i="2"/>
  <c r="G1593" i="2"/>
  <c r="O1592" i="2"/>
  <c r="K1592" i="2"/>
  <c r="J1592" i="2"/>
  <c r="I1592" i="2"/>
  <c r="G1592" i="2"/>
  <c r="O1591" i="2"/>
  <c r="K1591" i="2"/>
  <c r="J1591" i="2"/>
  <c r="I1591" i="2"/>
  <c r="G1591" i="2"/>
  <c r="O1590" i="2"/>
  <c r="K1590" i="2"/>
  <c r="J1590" i="2"/>
  <c r="I1590" i="2"/>
  <c r="G1590" i="2"/>
  <c r="O1589" i="2"/>
  <c r="K1589" i="2"/>
  <c r="J1589" i="2"/>
  <c r="I1589" i="2"/>
  <c r="G1589" i="2"/>
  <c r="O1588" i="2"/>
  <c r="K1588" i="2"/>
  <c r="J1588" i="2"/>
  <c r="I1588" i="2"/>
  <c r="G1588" i="2"/>
  <c r="O1587" i="2"/>
  <c r="K1587" i="2"/>
  <c r="J1587" i="2"/>
  <c r="I1587" i="2"/>
  <c r="G1587" i="2"/>
  <c r="O1586" i="2"/>
  <c r="K1586" i="2"/>
  <c r="J1586" i="2"/>
  <c r="I1586" i="2"/>
  <c r="G1586" i="2"/>
  <c r="O1585" i="2"/>
  <c r="K1585" i="2"/>
  <c r="J1585" i="2"/>
  <c r="I1585" i="2"/>
  <c r="G1585" i="2"/>
  <c r="O1584" i="2"/>
  <c r="K1584" i="2"/>
  <c r="J1584" i="2"/>
  <c r="I1584" i="2"/>
  <c r="G1584" i="2"/>
  <c r="O1583" i="2"/>
  <c r="K1583" i="2"/>
  <c r="J1583" i="2"/>
  <c r="I1583" i="2"/>
  <c r="G1583" i="2"/>
  <c r="O1582" i="2"/>
  <c r="K1582" i="2"/>
  <c r="J1582" i="2"/>
  <c r="I1582" i="2"/>
  <c r="G1582" i="2"/>
  <c r="O1581" i="2"/>
  <c r="K1581" i="2"/>
  <c r="J1581" i="2"/>
  <c r="I1581" i="2"/>
  <c r="G1581" i="2"/>
  <c r="O1580" i="2"/>
  <c r="K1580" i="2"/>
  <c r="J1580" i="2"/>
  <c r="I1580" i="2"/>
  <c r="G1580" i="2"/>
  <c r="O1579" i="2"/>
  <c r="K1579" i="2"/>
  <c r="J1579" i="2"/>
  <c r="I1579" i="2"/>
  <c r="G1579" i="2"/>
  <c r="O1578" i="2"/>
  <c r="K1578" i="2"/>
  <c r="J1578" i="2"/>
  <c r="I1578" i="2"/>
  <c r="G1578" i="2"/>
  <c r="O1577" i="2"/>
  <c r="K1577" i="2"/>
  <c r="J1577" i="2"/>
  <c r="I1577" i="2"/>
  <c r="G1577" i="2"/>
  <c r="O1576" i="2"/>
  <c r="K1576" i="2"/>
  <c r="J1576" i="2"/>
  <c r="I1576" i="2"/>
  <c r="G1576" i="2"/>
  <c r="O1575" i="2"/>
  <c r="K1575" i="2"/>
  <c r="J1575" i="2"/>
  <c r="I1575" i="2"/>
  <c r="G1575" i="2"/>
  <c r="O1574" i="2"/>
  <c r="K1574" i="2"/>
  <c r="J1574" i="2"/>
  <c r="I1574" i="2"/>
  <c r="G1574" i="2"/>
  <c r="O1573" i="2"/>
  <c r="K1573" i="2"/>
  <c r="J1573" i="2"/>
  <c r="I1573" i="2"/>
  <c r="G1573" i="2"/>
  <c r="O1572" i="2"/>
  <c r="K1572" i="2"/>
  <c r="J1572" i="2"/>
  <c r="I1572" i="2"/>
  <c r="G1572" i="2"/>
  <c r="O1571" i="2"/>
  <c r="K1571" i="2"/>
  <c r="J1571" i="2"/>
  <c r="I1571" i="2"/>
  <c r="G1571" i="2"/>
  <c r="O1570" i="2"/>
  <c r="K1570" i="2"/>
  <c r="J1570" i="2"/>
  <c r="I1570" i="2"/>
  <c r="G1570" i="2"/>
  <c r="O1569" i="2"/>
  <c r="K1569" i="2"/>
  <c r="J1569" i="2"/>
  <c r="I1569" i="2"/>
  <c r="G1569" i="2"/>
  <c r="O1568" i="2"/>
  <c r="K1568" i="2"/>
  <c r="J1568" i="2"/>
  <c r="I1568" i="2"/>
  <c r="G1568" i="2"/>
  <c r="O1567" i="2"/>
  <c r="K1567" i="2"/>
  <c r="J1567" i="2"/>
  <c r="I1567" i="2"/>
  <c r="G1567" i="2"/>
  <c r="O1566" i="2"/>
  <c r="K1566" i="2"/>
  <c r="J1566" i="2"/>
  <c r="I1566" i="2"/>
  <c r="G1566" i="2"/>
  <c r="O1565" i="2"/>
  <c r="K1565" i="2"/>
  <c r="J1565" i="2"/>
  <c r="I1565" i="2"/>
  <c r="G1565" i="2"/>
  <c r="O1564" i="2"/>
  <c r="K1564" i="2"/>
  <c r="J1564" i="2"/>
  <c r="I1564" i="2"/>
  <c r="G1564" i="2"/>
  <c r="O1563" i="2"/>
  <c r="K1563" i="2"/>
  <c r="J1563" i="2"/>
  <c r="I1563" i="2"/>
  <c r="G1563" i="2"/>
  <c r="O1562" i="2"/>
  <c r="K1562" i="2"/>
  <c r="J1562" i="2"/>
  <c r="I1562" i="2"/>
  <c r="G1562" i="2"/>
  <c r="O1561" i="2"/>
  <c r="K1561" i="2"/>
  <c r="J1561" i="2"/>
  <c r="I1561" i="2"/>
  <c r="G1561" i="2"/>
  <c r="O1560" i="2"/>
  <c r="K1560" i="2"/>
  <c r="J1560" i="2"/>
  <c r="I1560" i="2"/>
  <c r="G1560" i="2"/>
  <c r="O1559" i="2"/>
  <c r="K1559" i="2"/>
  <c r="J1559" i="2"/>
  <c r="I1559" i="2"/>
  <c r="G1559" i="2"/>
  <c r="O1558" i="2"/>
  <c r="K1558" i="2"/>
  <c r="J1558" i="2"/>
  <c r="I1558" i="2"/>
  <c r="G1558" i="2"/>
  <c r="O1557" i="2"/>
  <c r="K1557" i="2"/>
  <c r="J1557" i="2"/>
  <c r="I1557" i="2"/>
  <c r="G1557" i="2"/>
  <c r="O1556" i="2"/>
  <c r="K1556" i="2"/>
  <c r="J1556" i="2"/>
  <c r="I1556" i="2"/>
  <c r="G1556" i="2"/>
  <c r="O1555" i="2"/>
  <c r="K1555" i="2"/>
  <c r="J1555" i="2"/>
  <c r="I1555" i="2"/>
  <c r="G1555" i="2"/>
  <c r="O1554" i="2"/>
  <c r="K1554" i="2"/>
  <c r="J1554" i="2"/>
  <c r="I1554" i="2"/>
  <c r="G1554" i="2"/>
  <c r="O1553" i="2"/>
  <c r="K1553" i="2"/>
  <c r="J1553" i="2"/>
  <c r="I1553" i="2"/>
  <c r="G1553" i="2"/>
  <c r="O1552" i="2"/>
  <c r="K1552" i="2"/>
  <c r="J1552" i="2"/>
  <c r="I1552" i="2"/>
  <c r="G1552" i="2"/>
  <c r="O1551" i="2"/>
  <c r="K1551" i="2"/>
  <c r="J1551" i="2"/>
  <c r="I1551" i="2"/>
  <c r="G1551" i="2"/>
  <c r="O1550" i="2"/>
  <c r="K1550" i="2"/>
  <c r="J1550" i="2"/>
  <c r="I1550" i="2"/>
  <c r="G1550" i="2"/>
  <c r="O1549" i="2"/>
  <c r="K1549" i="2"/>
  <c r="J1549" i="2"/>
  <c r="I1549" i="2"/>
  <c r="G1549" i="2"/>
  <c r="O1548" i="2"/>
  <c r="K1548" i="2"/>
  <c r="J1548" i="2"/>
  <c r="I1548" i="2"/>
  <c r="G1548" i="2"/>
  <c r="O1547" i="2"/>
  <c r="K1547" i="2"/>
  <c r="J1547" i="2"/>
  <c r="I1547" i="2"/>
  <c r="G1547" i="2"/>
  <c r="O1546" i="2"/>
  <c r="K1546" i="2"/>
  <c r="J1546" i="2"/>
  <c r="I1546" i="2"/>
  <c r="G1546" i="2"/>
  <c r="O1545" i="2"/>
  <c r="K1545" i="2"/>
  <c r="J1545" i="2"/>
  <c r="I1545" i="2"/>
  <c r="G1545" i="2"/>
  <c r="O1544" i="2"/>
  <c r="K1544" i="2"/>
  <c r="J1544" i="2"/>
  <c r="I1544" i="2"/>
  <c r="G1544" i="2"/>
  <c r="O1543" i="2"/>
  <c r="K1543" i="2"/>
  <c r="J1543" i="2"/>
  <c r="I1543" i="2"/>
  <c r="G1543" i="2"/>
  <c r="O1542" i="2"/>
  <c r="K1542" i="2"/>
  <c r="J1542" i="2"/>
  <c r="I1542" i="2"/>
  <c r="G1542" i="2"/>
  <c r="O1541" i="2"/>
  <c r="K1541" i="2"/>
  <c r="J1541" i="2"/>
  <c r="I1541" i="2"/>
  <c r="G1541" i="2"/>
  <c r="O1540" i="2"/>
  <c r="K1540" i="2"/>
  <c r="J1540" i="2"/>
  <c r="I1540" i="2"/>
  <c r="G1540" i="2"/>
  <c r="O1539" i="2"/>
  <c r="K1539" i="2"/>
  <c r="J1539" i="2"/>
  <c r="I1539" i="2"/>
  <c r="G1539" i="2"/>
  <c r="O1538" i="2"/>
  <c r="K1538" i="2"/>
  <c r="J1538" i="2"/>
  <c r="I1538" i="2"/>
  <c r="G1538" i="2"/>
  <c r="O1537" i="2"/>
  <c r="K1537" i="2"/>
  <c r="J1537" i="2"/>
  <c r="I1537" i="2"/>
  <c r="G1537" i="2"/>
  <c r="O1536" i="2"/>
  <c r="K1536" i="2"/>
  <c r="J1536" i="2"/>
  <c r="I1536" i="2"/>
  <c r="G1536" i="2"/>
  <c r="O1535" i="2"/>
  <c r="K1535" i="2"/>
  <c r="J1535" i="2"/>
  <c r="I1535" i="2"/>
  <c r="G1535" i="2"/>
  <c r="O1534" i="2"/>
  <c r="K1534" i="2"/>
  <c r="J1534" i="2"/>
  <c r="I1534" i="2"/>
  <c r="G1534" i="2"/>
  <c r="O1533" i="2"/>
  <c r="K1533" i="2"/>
  <c r="J1533" i="2"/>
  <c r="I1533" i="2"/>
  <c r="G1533" i="2"/>
  <c r="O1532" i="2"/>
  <c r="K1532" i="2"/>
  <c r="J1532" i="2"/>
  <c r="I1532" i="2"/>
  <c r="G1532" i="2"/>
  <c r="O1531" i="2"/>
  <c r="K1531" i="2"/>
  <c r="J1531" i="2"/>
  <c r="I1531" i="2"/>
  <c r="G1531" i="2"/>
  <c r="O1530" i="2"/>
  <c r="K1530" i="2"/>
  <c r="J1530" i="2"/>
  <c r="I1530" i="2"/>
  <c r="G1530" i="2"/>
  <c r="O1529" i="2"/>
  <c r="K1529" i="2"/>
  <c r="J1529" i="2"/>
  <c r="I1529" i="2"/>
  <c r="G1529" i="2"/>
  <c r="O1528" i="2"/>
  <c r="K1528" i="2"/>
  <c r="J1528" i="2"/>
  <c r="I1528" i="2"/>
  <c r="G1528" i="2"/>
  <c r="O1527" i="2"/>
  <c r="K1527" i="2"/>
  <c r="J1527" i="2"/>
  <c r="I1527" i="2"/>
  <c r="G1527" i="2"/>
  <c r="O1526" i="2"/>
  <c r="K1526" i="2"/>
  <c r="J1526" i="2"/>
  <c r="I1526" i="2"/>
  <c r="G1526" i="2"/>
  <c r="O1525" i="2"/>
  <c r="K1525" i="2"/>
  <c r="J1525" i="2"/>
  <c r="I1525" i="2"/>
  <c r="G1525" i="2"/>
  <c r="O1524" i="2"/>
  <c r="K1524" i="2"/>
  <c r="J1524" i="2"/>
  <c r="I1524" i="2"/>
  <c r="G1524" i="2"/>
  <c r="O1523" i="2"/>
  <c r="K1523" i="2"/>
  <c r="J1523" i="2"/>
  <c r="I1523" i="2"/>
  <c r="G1523" i="2"/>
  <c r="O1522" i="2"/>
  <c r="K1522" i="2"/>
  <c r="J1522" i="2"/>
  <c r="I1522" i="2"/>
  <c r="G1522" i="2"/>
  <c r="O1521" i="2"/>
  <c r="K1521" i="2"/>
  <c r="J1521" i="2"/>
  <c r="I1521" i="2"/>
  <c r="G1521" i="2"/>
  <c r="O1520" i="2"/>
  <c r="K1520" i="2"/>
  <c r="J1520" i="2"/>
  <c r="I1520" i="2"/>
  <c r="G1520" i="2"/>
  <c r="O1519" i="2"/>
  <c r="K1519" i="2"/>
  <c r="J1519" i="2"/>
  <c r="I1519" i="2"/>
  <c r="G1519" i="2"/>
  <c r="O1518" i="2"/>
  <c r="K1518" i="2"/>
  <c r="J1518" i="2"/>
  <c r="I1518" i="2"/>
  <c r="G1518" i="2"/>
  <c r="O1517" i="2"/>
  <c r="K1517" i="2"/>
  <c r="J1517" i="2"/>
  <c r="I1517" i="2"/>
  <c r="G1517" i="2"/>
  <c r="O1516" i="2"/>
  <c r="K1516" i="2"/>
  <c r="J1516" i="2"/>
  <c r="I1516" i="2"/>
  <c r="G1516" i="2"/>
  <c r="O1515" i="2"/>
  <c r="K1515" i="2"/>
  <c r="J1515" i="2"/>
  <c r="I1515" i="2"/>
  <c r="G1515" i="2"/>
  <c r="O1514" i="2"/>
  <c r="K1514" i="2"/>
  <c r="J1514" i="2"/>
  <c r="I1514" i="2"/>
  <c r="G1514" i="2"/>
  <c r="O1513" i="2"/>
  <c r="K1513" i="2"/>
  <c r="J1513" i="2"/>
  <c r="I1513" i="2"/>
  <c r="G1513" i="2"/>
  <c r="O1512" i="2"/>
  <c r="K1512" i="2"/>
  <c r="J1512" i="2"/>
  <c r="I1512" i="2"/>
  <c r="G1512" i="2"/>
  <c r="O1511" i="2"/>
  <c r="K1511" i="2"/>
  <c r="J1511" i="2"/>
  <c r="I1511" i="2"/>
  <c r="G1511" i="2"/>
  <c r="O1510" i="2"/>
  <c r="K1510" i="2"/>
  <c r="J1510" i="2"/>
  <c r="I1510" i="2"/>
  <c r="G1510" i="2"/>
  <c r="O1509" i="2"/>
  <c r="K1509" i="2"/>
  <c r="J1509" i="2"/>
  <c r="I1509" i="2"/>
  <c r="G1509" i="2"/>
  <c r="O1508" i="2"/>
  <c r="K1508" i="2"/>
  <c r="J1508" i="2"/>
  <c r="I1508" i="2"/>
  <c r="G1508" i="2"/>
  <c r="O1507" i="2"/>
  <c r="K1507" i="2"/>
  <c r="J1507" i="2"/>
  <c r="I1507" i="2"/>
  <c r="G1507" i="2"/>
  <c r="O1506" i="2"/>
  <c r="K1506" i="2"/>
  <c r="J1506" i="2"/>
  <c r="I1506" i="2"/>
  <c r="G1506" i="2"/>
  <c r="O1505" i="2"/>
  <c r="K1505" i="2"/>
  <c r="J1505" i="2"/>
  <c r="I1505" i="2"/>
  <c r="G1505" i="2"/>
  <c r="O1504" i="2"/>
  <c r="K1504" i="2"/>
  <c r="J1504" i="2"/>
  <c r="I1504" i="2"/>
  <c r="G1504" i="2"/>
  <c r="O1503" i="2"/>
  <c r="K1503" i="2"/>
  <c r="J1503" i="2"/>
  <c r="I1503" i="2"/>
  <c r="G1503" i="2"/>
  <c r="O1502" i="2"/>
  <c r="K1502" i="2"/>
  <c r="J1502" i="2"/>
  <c r="I1502" i="2"/>
  <c r="G1502" i="2"/>
  <c r="O1501" i="2"/>
  <c r="K1501" i="2"/>
  <c r="J1501" i="2"/>
  <c r="I1501" i="2"/>
  <c r="G1501" i="2"/>
  <c r="O1500" i="2"/>
  <c r="K1500" i="2"/>
  <c r="J1500" i="2"/>
  <c r="I1500" i="2"/>
  <c r="G1500" i="2"/>
  <c r="O1499" i="2"/>
  <c r="K1499" i="2"/>
  <c r="J1499" i="2"/>
  <c r="I1499" i="2"/>
  <c r="G1499" i="2"/>
  <c r="O1498" i="2"/>
  <c r="K1498" i="2"/>
  <c r="J1498" i="2"/>
  <c r="I1498" i="2"/>
  <c r="G1498" i="2"/>
  <c r="O1497" i="2"/>
  <c r="K1497" i="2"/>
  <c r="J1497" i="2"/>
  <c r="I1497" i="2"/>
  <c r="G1497" i="2"/>
  <c r="O1496" i="2"/>
  <c r="K1496" i="2"/>
  <c r="J1496" i="2"/>
  <c r="I1496" i="2"/>
  <c r="G1496" i="2"/>
  <c r="O1495" i="2"/>
  <c r="K1495" i="2"/>
  <c r="J1495" i="2"/>
  <c r="I1495" i="2"/>
  <c r="G1495" i="2"/>
  <c r="O1494" i="2"/>
  <c r="K1494" i="2"/>
  <c r="J1494" i="2"/>
  <c r="I1494" i="2"/>
  <c r="G1494" i="2"/>
  <c r="O1493" i="2"/>
  <c r="K1493" i="2"/>
  <c r="J1493" i="2"/>
  <c r="I1493" i="2"/>
  <c r="G1493" i="2"/>
  <c r="O1492" i="2"/>
  <c r="K1492" i="2"/>
  <c r="J1492" i="2"/>
  <c r="I1492" i="2"/>
  <c r="G1492" i="2"/>
  <c r="O1491" i="2"/>
  <c r="K1491" i="2"/>
  <c r="J1491" i="2"/>
  <c r="I1491" i="2"/>
  <c r="G1491" i="2"/>
  <c r="O1490" i="2"/>
  <c r="K1490" i="2"/>
  <c r="J1490" i="2"/>
  <c r="I1490" i="2"/>
  <c r="G1490" i="2"/>
  <c r="K1489" i="2"/>
  <c r="J1489" i="2"/>
  <c r="I1489" i="2"/>
  <c r="G1489" i="2"/>
  <c r="K1488" i="2"/>
  <c r="J1488" i="2"/>
  <c r="I1488" i="2"/>
  <c r="G1488" i="2"/>
  <c r="K1487" i="2"/>
  <c r="J1487" i="2"/>
  <c r="I1487" i="2"/>
  <c r="G1487" i="2"/>
  <c r="K1486" i="2"/>
  <c r="J1486" i="2"/>
  <c r="I1486" i="2"/>
  <c r="G1486" i="2"/>
  <c r="K1485" i="2"/>
  <c r="J1485" i="2"/>
  <c r="I1485" i="2"/>
  <c r="G1485" i="2"/>
  <c r="K1484" i="2"/>
  <c r="J1484" i="2"/>
  <c r="I1484" i="2"/>
  <c r="G1484" i="2"/>
  <c r="K1483" i="2"/>
  <c r="J1483" i="2"/>
  <c r="I1483" i="2"/>
  <c r="G1483" i="2"/>
  <c r="K1482" i="2"/>
  <c r="J1482" i="2"/>
  <c r="I1482" i="2"/>
  <c r="G1482" i="2"/>
  <c r="K1481" i="2"/>
  <c r="J1481" i="2"/>
  <c r="I1481" i="2"/>
  <c r="G1481" i="2"/>
  <c r="K1480" i="2"/>
  <c r="J1480" i="2"/>
  <c r="I1480" i="2"/>
  <c r="G1480" i="2"/>
  <c r="K1479" i="2"/>
  <c r="J1479" i="2"/>
  <c r="I1479" i="2"/>
  <c r="G1479" i="2"/>
  <c r="K1478" i="2"/>
  <c r="J1478" i="2"/>
  <c r="I1478" i="2"/>
  <c r="G1478" i="2"/>
  <c r="K1477" i="2"/>
  <c r="J1477" i="2"/>
  <c r="I1477" i="2"/>
  <c r="G1477" i="2"/>
  <c r="K1476" i="2"/>
  <c r="J1476" i="2"/>
  <c r="I1476" i="2"/>
  <c r="G1476" i="2"/>
  <c r="K1475" i="2"/>
  <c r="J1475" i="2"/>
  <c r="I1475" i="2"/>
  <c r="G1475" i="2"/>
  <c r="O1474" i="2"/>
  <c r="K1474" i="2"/>
  <c r="J1474" i="2"/>
  <c r="I1474" i="2"/>
  <c r="G1474" i="2"/>
  <c r="O1473" i="2"/>
  <c r="K1473" i="2"/>
  <c r="J1473" i="2"/>
  <c r="I1473" i="2"/>
  <c r="G1473" i="2"/>
  <c r="K1472" i="2"/>
  <c r="J1472" i="2"/>
  <c r="I1472" i="2"/>
  <c r="G1472" i="2"/>
  <c r="K1471" i="2"/>
  <c r="J1471" i="2"/>
  <c r="I1471" i="2"/>
  <c r="G1471" i="2"/>
  <c r="O1470" i="2"/>
  <c r="K1470" i="2"/>
  <c r="J1470" i="2"/>
  <c r="I1470" i="2"/>
  <c r="G1470" i="2"/>
  <c r="K1469" i="2"/>
  <c r="J1469" i="2"/>
  <c r="I1469" i="2"/>
  <c r="G1469" i="2"/>
  <c r="O1468" i="2"/>
  <c r="K1468" i="2"/>
  <c r="J1468" i="2"/>
  <c r="I1468" i="2"/>
  <c r="G1468" i="2"/>
  <c r="O1467" i="2"/>
  <c r="K1467" i="2"/>
  <c r="J1467" i="2"/>
  <c r="I1467" i="2"/>
  <c r="G1467" i="2"/>
  <c r="O1466" i="2"/>
  <c r="K1466" i="2"/>
  <c r="J1466" i="2"/>
  <c r="I1466" i="2"/>
  <c r="G1466" i="2"/>
  <c r="O1465" i="2"/>
  <c r="K1465" i="2"/>
  <c r="J1465" i="2"/>
  <c r="I1465" i="2"/>
  <c r="G1465" i="2"/>
  <c r="O1464" i="2"/>
  <c r="K1464" i="2"/>
  <c r="J1464" i="2"/>
  <c r="I1464" i="2"/>
  <c r="G1464" i="2"/>
  <c r="O1463" i="2"/>
  <c r="K1463" i="2"/>
  <c r="J1463" i="2"/>
  <c r="I1463" i="2"/>
  <c r="G1463" i="2"/>
  <c r="O1462" i="2"/>
  <c r="K1462" i="2"/>
  <c r="J1462" i="2"/>
  <c r="I1462" i="2"/>
  <c r="G1462" i="2"/>
  <c r="O1461" i="2"/>
  <c r="K1461" i="2"/>
  <c r="J1461" i="2"/>
  <c r="I1461" i="2"/>
  <c r="G1461" i="2"/>
  <c r="K1460" i="2"/>
  <c r="J1460" i="2"/>
  <c r="I1460" i="2"/>
  <c r="G1460" i="2"/>
  <c r="K1459" i="2"/>
  <c r="J1459" i="2"/>
  <c r="I1459" i="2"/>
  <c r="G1459" i="2"/>
  <c r="O1458" i="2"/>
  <c r="K1458" i="2"/>
  <c r="J1458" i="2"/>
  <c r="I1458" i="2"/>
  <c r="G1458" i="2"/>
  <c r="O1457" i="2"/>
  <c r="K1457" i="2"/>
  <c r="J1457" i="2"/>
  <c r="I1457" i="2"/>
  <c r="G1457" i="2"/>
  <c r="O1456" i="2"/>
  <c r="K1456" i="2"/>
  <c r="J1456" i="2"/>
  <c r="I1456" i="2"/>
  <c r="G1456" i="2"/>
  <c r="O1455" i="2"/>
  <c r="K1455" i="2"/>
  <c r="J1455" i="2"/>
  <c r="I1455" i="2"/>
  <c r="G1455" i="2"/>
  <c r="O1454" i="2"/>
  <c r="K1454" i="2"/>
  <c r="J1454" i="2"/>
  <c r="I1454" i="2"/>
  <c r="G1454" i="2"/>
  <c r="O1453" i="2"/>
  <c r="K1453" i="2"/>
  <c r="J1453" i="2"/>
  <c r="I1453" i="2"/>
  <c r="G1453" i="2"/>
  <c r="O1452" i="2"/>
  <c r="K1452" i="2"/>
  <c r="J1452" i="2"/>
  <c r="I1452" i="2"/>
  <c r="G1452" i="2"/>
  <c r="O1451" i="2"/>
  <c r="K1451" i="2"/>
  <c r="J1451" i="2"/>
  <c r="I1451" i="2"/>
  <c r="G1451" i="2"/>
  <c r="O1450" i="2"/>
  <c r="K1450" i="2"/>
  <c r="J1450" i="2"/>
  <c r="I1450" i="2"/>
  <c r="G1450" i="2"/>
  <c r="O1449" i="2"/>
  <c r="K1449" i="2"/>
  <c r="J1449" i="2"/>
  <c r="I1449" i="2"/>
  <c r="G1449" i="2"/>
  <c r="O1448" i="2"/>
  <c r="K1448" i="2"/>
  <c r="J1448" i="2"/>
  <c r="I1448" i="2"/>
  <c r="G1448" i="2"/>
  <c r="O1447" i="2"/>
  <c r="K1447" i="2"/>
  <c r="J1447" i="2"/>
  <c r="I1447" i="2"/>
  <c r="G1447" i="2"/>
  <c r="O1446" i="2"/>
  <c r="K1446" i="2"/>
  <c r="J1446" i="2"/>
  <c r="I1446" i="2"/>
  <c r="G1446" i="2"/>
  <c r="O1445" i="2"/>
  <c r="K1445" i="2"/>
  <c r="J1445" i="2"/>
  <c r="I1445" i="2"/>
  <c r="G1445" i="2"/>
  <c r="O1444" i="2"/>
  <c r="K1444" i="2"/>
  <c r="J1444" i="2"/>
  <c r="I1444" i="2"/>
  <c r="G1444" i="2"/>
  <c r="O1443" i="2"/>
  <c r="K1443" i="2"/>
  <c r="J1443" i="2"/>
  <c r="I1443" i="2"/>
  <c r="G1443" i="2"/>
  <c r="O1442" i="2"/>
  <c r="K1442" i="2"/>
  <c r="J1442" i="2"/>
  <c r="I1442" i="2"/>
  <c r="G1442" i="2"/>
  <c r="O1441" i="2"/>
  <c r="K1441" i="2"/>
  <c r="J1441" i="2"/>
  <c r="I1441" i="2"/>
  <c r="G1441" i="2"/>
  <c r="O1440" i="2"/>
  <c r="K1440" i="2"/>
  <c r="J1440" i="2"/>
  <c r="I1440" i="2"/>
  <c r="G1440" i="2"/>
  <c r="O1439" i="2"/>
  <c r="K1439" i="2"/>
  <c r="J1439" i="2"/>
  <c r="I1439" i="2"/>
  <c r="G1439" i="2"/>
  <c r="O1438" i="2"/>
  <c r="K1438" i="2"/>
  <c r="J1438" i="2"/>
  <c r="I1438" i="2"/>
  <c r="G1438" i="2"/>
  <c r="O1437" i="2"/>
  <c r="K1437" i="2"/>
  <c r="J1437" i="2"/>
  <c r="I1437" i="2"/>
  <c r="G1437" i="2"/>
  <c r="O1436" i="2"/>
  <c r="K1436" i="2"/>
  <c r="J1436" i="2"/>
  <c r="I1436" i="2"/>
  <c r="G1436" i="2"/>
  <c r="O1435" i="2"/>
  <c r="K1435" i="2"/>
  <c r="J1435" i="2"/>
  <c r="I1435" i="2"/>
  <c r="G1435" i="2"/>
  <c r="O1434" i="2"/>
  <c r="K1434" i="2"/>
  <c r="J1434" i="2"/>
  <c r="I1434" i="2"/>
  <c r="G1434" i="2"/>
  <c r="O1433" i="2"/>
  <c r="K1433" i="2"/>
  <c r="J1433" i="2"/>
  <c r="I1433" i="2"/>
  <c r="G1433" i="2"/>
  <c r="O1432" i="2"/>
  <c r="K1432" i="2"/>
  <c r="J1432" i="2"/>
  <c r="I1432" i="2"/>
  <c r="G1432" i="2"/>
  <c r="O1431" i="2"/>
  <c r="K1431" i="2"/>
  <c r="J1431" i="2"/>
  <c r="I1431" i="2"/>
  <c r="G1431" i="2"/>
  <c r="O1430" i="2"/>
  <c r="K1430" i="2"/>
  <c r="J1430" i="2"/>
  <c r="I1430" i="2"/>
  <c r="G1430" i="2"/>
  <c r="O1429" i="2"/>
  <c r="K1429" i="2"/>
  <c r="J1429" i="2"/>
  <c r="I1429" i="2"/>
  <c r="G1429" i="2"/>
  <c r="O1428" i="2"/>
  <c r="K1428" i="2"/>
  <c r="J1428" i="2"/>
  <c r="I1428" i="2"/>
  <c r="G1428" i="2"/>
  <c r="O1427" i="2"/>
  <c r="K1427" i="2"/>
  <c r="J1427" i="2"/>
  <c r="I1427" i="2"/>
  <c r="G1427" i="2"/>
  <c r="O1426" i="2"/>
  <c r="K1426" i="2"/>
  <c r="J1426" i="2"/>
  <c r="I1426" i="2"/>
  <c r="G1426" i="2"/>
  <c r="O1425" i="2"/>
  <c r="K1425" i="2"/>
  <c r="J1425" i="2"/>
  <c r="I1425" i="2"/>
  <c r="G1425" i="2"/>
  <c r="O1424" i="2"/>
  <c r="K1424" i="2"/>
  <c r="J1424" i="2"/>
  <c r="I1424" i="2"/>
  <c r="G1424" i="2"/>
  <c r="O1423" i="2"/>
  <c r="K1423" i="2"/>
  <c r="J1423" i="2"/>
  <c r="I1423" i="2"/>
  <c r="G1423" i="2"/>
  <c r="O1422" i="2"/>
  <c r="K1422" i="2"/>
  <c r="J1422" i="2"/>
  <c r="I1422" i="2"/>
  <c r="G1422" i="2"/>
  <c r="O1421" i="2"/>
  <c r="K1421" i="2"/>
  <c r="J1421" i="2"/>
  <c r="I1421" i="2"/>
  <c r="G1421" i="2"/>
  <c r="O1420" i="2"/>
  <c r="K1420" i="2"/>
  <c r="J1420" i="2"/>
  <c r="I1420" i="2"/>
  <c r="G1420" i="2"/>
  <c r="O1419" i="2"/>
  <c r="K1419" i="2"/>
  <c r="J1419" i="2"/>
  <c r="I1419" i="2"/>
  <c r="G1419" i="2"/>
  <c r="O1418" i="2"/>
  <c r="K1418" i="2"/>
  <c r="J1418" i="2"/>
  <c r="I1418" i="2"/>
  <c r="G1418" i="2"/>
  <c r="O1417" i="2"/>
  <c r="K1417" i="2"/>
  <c r="J1417" i="2"/>
  <c r="I1417" i="2"/>
  <c r="G1417" i="2"/>
  <c r="O1416" i="2"/>
  <c r="K1416" i="2"/>
  <c r="J1416" i="2"/>
  <c r="I1416" i="2"/>
  <c r="G1416" i="2"/>
  <c r="O1415" i="2"/>
  <c r="K1415" i="2"/>
  <c r="J1415" i="2"/>
  <c r="I1415" i="2"/>
  <c r="G1415" i="2"/>
  <c r="O1414" i="2"/>
  <c r="K1414" i="2"/>
  <c r="J1414" i="2"/>
  <c r="I1414" i="2"/>
  <c r="G1414" i="2"/>
  <c r="O1413" i="2"/>
  <c r="K1413" i="2"/>
  <c r="J1413" i="2"/>
  <c r="I1413" i="2"/>
  <c r="G1413" i="2"/>
  <c r="O1412" i="2"/>
  <c r="K1412" i="2"/>
  <c r="J1412" i="2"/>
  <c r="I1412" i="2"/>
  <c r="G1412" i="2"/>
  <c r="O1411" i="2"/>
  <c r="K1411" i="2"/>
  <c r="J1411" i="2"/>
  <c r="I1411" i="2"/>
  <c r="G1411" i="2"/>
  <c r="O1410" i="2"/>
  <c r="K1410" i="2"/>
  <c r="J1410" i="2"/>
  <c r="I1410" i="2"/>
  <c r="G1410" i="2"/>
  <c r="O1409" i="2"/>
  <c r="K1409" i="2"/>
  <c r="J1409" i="2"/>
  <c r="I1409" i="2"/>
  <c r="G1409" i="2"/>
  <c r="O1408" i="2"/>
  <c r="K1408" i="2"/>
  <c r="J1408" i="2"/>
  <c r="I1408" i="2"/>
  <c r="G1408" i="2"/>
  <c r="O1407" i="2"/>
  <c r="K1407" i="2"/>
  <c r="J1407" i="2"/>
  <c r="I1407" i="2"/>
  <c r="G1407" i="2"/>
  <c r="O1406" i="2"/>
  <c r="K1406" i="2"/>
  <c r="J1406" i="2"/>
  <c r="I1406" i="2"/>
  <c r="G1406" i="2"/>
  <c r="O1405" i="2"/>
  <c r="K1405" i="2"/>
  <c r="J1405" i="2"/>
  <c r="I1405" i="2"/>
  <c r="G1405" i="2"/>
  <c r="O1404" i="2"/>
  <c r="K1404" i="2"/>
  <c r="J1404" i="2"/>
  <c r="I1404" i="2"/>
  <c r="G1404" i="2"/>
  <c r="O1403" i="2"/>
  <c r="K1403" i="2"/>
  <c r="J1403" i="2"/>
  <c r="I1403" i="2"/>
  <c r="G1403" i="2"/>
  <c r="O1402" i="2"/>
  <c r="K1402" i="2"/>
  <c r="J1402" i="2"/>
  <c r="I1402" i="2"/>
  <c r="G1402" i="2"/>
  <c r="O1401" i="2"/>
  <c r="K1401" i="2"/>
  <c r="J1401" i="2"/>
  <c r="I1401" i="2"/>
  <c r="G1401" i="2"/>
  <c r="O1400" i="2"/>
  <c r="K1400" i="2"/>
  <c r="J1400" i="2"/>
  <c r="I1400" i="2"/>
  <c r="G1400" i="2"/>
  <c r="O1399" i="2"/>
  <c r="K1399" i="2"/>
  <c r="J1399" i="2"/>
  <c r="I1399" i="2"/>
  <c r="G1399" i="2"/>
  <c r="O1398" i="2"/>
  <c r="K1398" i="2"/>
  <c r="J1398" i="2"/>
  <c r="I1398" i="2"/>
  <c r="G1398" i="2"/>
  <c r="O1397" i="2"/>
  <c r="K1397" i="2"/>
  <c r="J1397" i="2"/>
  <c r="I1397" i="2"/>
  <c r="G1397" i="2"/>
  <c r="O1396" i="2"/>
  <c r="K1396" i="2"/>
  <c r="J1396" i="2"/>
  <c r="I1396" i="2"/>
  <c r="G1396" i="2"/>
  <c r="O1395" i="2"/>
  <c r="K1395" i="2"/>
  <c r="J1395" i="2"/>
  <c r="I1395" i="2"/>
  <c r="G1395" i="2"/>
  <c r="O1394" i="2"/>
  <c r="K1394" i="2"/>
  <c r="J1394" i="2"/>
  <c r="I1394" i="2"/>
  <c r="G1394" i="2"/>
  <c r="O1393" i="2"/>
  <c r="K1393" i="2"/>
  <c r="J1393" i="2"/>
  <c r="I1393" i="2"/>
  <c r="G1393" i="2"/>
  <c r="O1392" i="2"/>
  <c r="K1392" i="2"/>
  <c r="J1392" i="2"/>
  <c r="I1392" i="2"/>
  <c r="G1392" i="2"/>
  <c r="O1391" i="2"/>
  <c r="K1391" i="2"/>
  <c r="J1391" i="2"/>
  <c r="I1391" i="2"/>
  <c r="G1391" i="2"/>
  <c r="O1390" i="2"/>
  <c r="K1390" i="2"/>
  <c r="J1390" i="2"/>
  <c r="I1390" i="2"/>
  <c r="G1390" i="2"/>
  <c r="O1389" i="2"/>
  <c r="K1389" i="2"/>
  <c r="J1389" i="2"/>
  <c r="I1389" i="2"/>
  <c r="G1389" i="2"/>
  <c r="O1388" i="2"/>
  <c r="K1388" i="2"/>
  <c r="J1388" i="2"/>
  <c r="I1388" i="2"/>
  <c r="G1388" i="2"/>
  <c r="O1387" i="2"/>
  <c r="K1387" i="2"/>
  <c r="J1387" i="2"/>
  <c r="I1387" i="2"/>
  <c r="G1387" i="2"/>
  <c r="O1386" i="2"/>
  <c r="K1386" i="2"/>
  <c r="J1386" i="2"/>
  <c r="I1386" i="2"/>
  <c r="G1386" i="2"/>
  <c r="O1385" i="2"/>
  <c r="K1385" i="2"/>
  <c r="J1385" i="2"/>
  <c r="I1385" i="2"/>
  <c r="G1385" i="2"/>
  <c r="O1384" i="2"/>
  <c r="K1384" i="2"/>
  <c r="J1384" i="2"/>
  <c r="I1384" i="2"/>
  <c r="G1384" i="2"/>
  <c r="O1383" i="2"/>
  <c r="K1383" i="2"/>
  <c r="J1383" i="2"/>
  <c r="I1383" i="2"/>
  <c r="G1383" i="2"/>
  <c r="O1382" i="2"/>
  <c r="K1382" i="2"/>
  <c r="J1382" i="2"/>
  <c r="I1382" i="2"/>
  <c r="G1382" i="2"/>
  <c r="O1381" i="2"/>
  <c r="K1381" i="2"/>
  <c r="J1381" i="2"/>
  <c r="I1381" i="2"/>
  <c r="G1381" i="2"/>
  <c r="O1380" i="2"/>
  <c r="K1380" i="2"/>
  <c r="J1380" i="2"/>
  <c r="I1380" i="2"/>
  <c r="G1380" i="2"/>
  <c r="O1379" i="2"/>
  <c r="K1379" i="2"/>
  <c r="J1379" i="2"/>
  <c r="I1379" i="2"/>
  <c r="G1379" i="2"/>
  <c r="O1378" i="2"/>
  <c r="K1378" i="2"/>
  <c r="J1378" i="2"/>
  <c r="I1378" i="2"/>
  <c r="G1378" i="2"/>
  <c r="O1377" i="2"/>
  <c r="K1377" i="2"/>
  <c r="J1377" i="2"/>
  <c r="I1377" i="2"/>
  <c r="G1377" i="2"/>
  <c r="O1376" i="2"/>
  <c r="K1376" i="2"/>
  <c r="J1376" i="2"/>
  <c r="I1376" i="2"/>
  <c r="G1376" i="2"/>
  <c r="O1375" i="2"/>
  <c r="K1375" i="2"/>
  <c r="J1375" i="2"/>
  <c r="I1375" i="2"/>
  <c r="G1375" i="2"/>
  <c r="O1374" i="2"/>
  <c r="K1374" i="2"/>
  <c r="J1374" i="2"/>
  <c r="I1374" i="2"/>
  <c r="G1374" i="2"/>
  <c r="O1373" i="2"/>
  <c r="K1373" i="2"/>
  <c r="J1373" i="2"/>
  <c r="I1373" i="2"/>
  <c r="G1373" i="2"/>
  <c r="O1372" i="2"/>
  <c r="K1372" i="2"/>
  <c r="J1372" i="2"/>
  <c r="I1372" i="2"/>
  <c r="G1372" i="2"/>
  <c r="O1371" i="2"/>
  <c r="K1371" i="2"/>
  <c r="J1371" i="2"/>
  <c r="I1371" i="2"/>
  <c r="G1371" i="2"/>
  <c r="O1370" i="2"/>
  <c r="K1370" i="2"/>
  <c r="J1370" i="2"/>
  <c r="I1370" i="2"/>
  <c r="G1370" i="2"/>
  <c r="O1369" i="2"/>
  <c r="K1369" i="2"/>
  <c r="J1369" i="2"/>
  <c r="I1369" i="2"/>
  <c r="G1369" i="2"/>
  <c r="O1368" i="2"/>
  <c r="K1368" i="2"/>
  <c r="J1368" i="2"/>
  <c r="I1368" i="2"/>
  <c r="G1368" i="2"/>
  <c r="O1367" i="2"/>
  <c r="K1367" i="2"/>
  <c r="J1367" i="2"/>
  <c r="I1367" i="2"/>
  <c r="G1367" i="2"/>
  <c r="O1366" i="2"/>
  <c r="K1366" i="2"/>
  <c r="J1366" i="2"/>
  <c r="I1366" i="2"/>
  <c r="G1366" i="2"/>
  <c r="O1365" i="2"/>
  <c r="K1365" i="2"/>
  <c r="J1365" i="2"/>
  <c r="I1365" i="2"/>
  <c r="G1365" i="2"/>
  <c r="O1364" i="2"/>
  <c r="K1364" i="2"/>
  <c r="J1364" i="2"/>
  <c r="I1364" i="2"/>
  <c r="G1364" i="2"/>
  <c r="O1363" i="2"/>
  <c r="K1363" i="2"/>
  <c r="J1363" i="2"/>
  <c r="I1363" i="2"/>
  <c r="G1363" i="2"/>
  <c r="O1362" i="2"/>
  <c r="K1362" i="2"/>
  <c r="J1362" i="2"/>
  <c r="I1362" i="2"/>
  <c r="G1362" i="2"/>
  <c r="O1361" i="2"/>
  <c r="K1361" i="2"/>
  <c r="J1361" i="2"/>
  <c r="I1361" i="2"/>
  <c r="G1361" i="2"/>
  <c r="O1360" i="2"/>
  <c r="K1360" i="2"/>
  <c r="J1360" i="2"/>
  <c r="I1360" i="2"/>
  <c r="G1360" i="2"/>
  <c r="O1359" i="2"/>
  <c r="K1359" i="2"/>
  <c r="J1359" i="2"/>
  <c r="I1359" i="2"/>
  <c r="G1359" i="2"/>
  <c r="O1358" i="2"/>
  <c r="K1358" i="2"/>
  <c r="J1358" i="2"/>
  <c r="I1358" i="2"/>
  <c r="G1358" i="2"/>
  <c r="O1357" i="2"/>
  <c r="K1357" i="2"/>
  <c r="J1357" i="2"/>
  <c r="I1357" i="2"/>
  <c r="G1357" i="2"/>
  <c r="O1356" i="2"/>
  <c r="K1356" i="2"/>
  <c r="J1356" i="2"/>
  <c r="I1356" i="2"/>
  <c r="G1356" i="2"/>
  <c r="O1355" i="2"/>
  <c r="K1355" i="2"/>
  <c r="J1355" i="2"/>
  <c r="I1355" i="2"/>
  <c r="G1355" i="2"/>
  <c r="O1354" i="2"/>
  <c r="K1354" i="2"/>
  <c r="J1354" i="2"/>
  <c r="I1354" i="2"/>
  <c r="G1354" i="2"/>
  <c r="O1353" i="2"/>
  <c r="K1353" i="2"/>
  <c r="J1353" i="2"/>
  <c r="I1353" i="2"/>
  <c r="G1353" i="2"/>
  <c r="O1352" i="2"/>
  <c r="K1352" i="2"/>
  <c r="J1352" i="2"/>
  <c r="I1352" i="2"/>
  <c r="G1352" i="2"/>
  <c r="O1351" i="2"/>
  <c r="K1351" i="2"/>
  <c r="J1351" i="2"/>
  <c r="I1351" i="2"/>
  <c r="G1351" i="2"/>
  <c r="O1350" i="2"/>
  <c r="K1350" i="2"/>
  <c r="J1350" i="2"/>
  <c r="I1350" i="2"/>
  <c r="G1350" i="2"/>
  <c r="O1349" i="2"/>
  <c r="K1349" i="2"/>
  <c r="J1349" i="2"/>
  <c r="I1349" i="2"/>
  <c r="G1349" i="2"/>
  <c r="O1348" i="2"/>
  <c r="K1348" i="2"/>
  <c r="J1348" i="2"/>
  <c r="I1348" i="2"/>
  <c r="G1348" i="2"/>
  <c r="O1347" i="2"/>
  <c r="K1347" i="2"/>
  <c r="J1347" i="2"/>
  <c r="I1347" i="2"/>
  <c r="G1347" i="2"/>
  <c r="O1346" i="2"/>
  <c r="K1346" i="2"/>
  <c r="J1346" i="2"/>
  <c r="I1346" i="2"/>
  <c r="G1346" i="2"/>
  <c r="K1345" i="2"/>
  <c r="J1345" i="2"/>
  <c r="I1345" i="2"/>
  <c r="G1345" i="2"/>
  <c r="K1344" i="2"/>
  <c r="J1344" i="2"/>
  <c r="I1344" i="2"/>
  <c r="G1344" i="2"/>
  <c r="K1343" i="2"/>
  <c r="J1343" i="2"/>
  <c r="I1343" i="2"/>
  <c r="G1343" i="2"/>
  <c r="K1342" i="2"/>
  <c r="J1342" i="2"/>
  <c r="I1342" i="2"/>
  <c r="G1342" i="2"/>
  <c r="K1341" i="2"/>
  <c r="J1341" i="2"/>
  <c r="I1341" i="2"/>
  <c r="G1341" i="2"/>
  <c r="K1340" i="2"/>
  <c r="J1340" i="2"/>
  <c r="I1340" i="2"/>
  <c r="G1340" i="2"/>
  <c r="K1339" i="2"/>
  <c r="J1339" i="2"/>
  <c r="I1339" i="2"/>
  <c r="G1339" i="2"/>
  <c r="O1338" i="2"/>
  <c r="K1338" i="2"/>
  <c r="J1338" i="2"/>
  <c r="I1338" i="2"/>
  <c r="G1338" i="2"/>
  <c r="K1337" i="2"/>
  <c r="J1337" i="2"/>
  <c r="I1337" i="2"/>
  <c r="G1337" i="2"/>
  <c r="K1336" i="2"/>
  <c r="J1336" i="2"/>
  <c r="I1336" i="2"/>
  <c r="G1336" i="2"/>
  <c r="K1335" i="2"/>
  <c r="J1335" i="2"/>
  <c r="I1335" i="2"/>
  <c r="G1335" i="2"/>
  <c r="K1334" i="2"/>
  <c r="J1334" i="2"/>
  <c r="I1334" i="2"/>
  <c r="G1334" i="2"/>
  <c r="K1333" i="2"/>
  <c r="J1333" i="2"/>
  <c r="I1333" i="2"/>
  <c r="G1333" i="2"/>
  <c r="K1332" i="2"/>
  <c r="J1332" i="2"/>
  <c r="I1332" i="2"/>
  <c r="G1332" i="2"/>
  <c r="K1331" i="2"/>
  <c r="J1331" i="2"/>
  <c r="I1331" i="2"/>
  <c r="G1331" i="2"/>
  <c r="K1330" i="2"/>
  <c r="J1330" i="2"/>
  <c r="I1330" i="2"/>
  <c r="G1330" i="2"/>
  <c r="K1329" i="2"/>
  <c r="J1329" i="2"/>
  <c r="I1329" i="2"/>
  <c r="G1329" i="2"/>
  <c r="O1328" i="2"/>
  <c r="K1328" i="2"/>
  <c r="J1328" i="2"/>
  <c r="I1328" i="2"/>
  <c r="G1328" i="2"/>
  <c r="K1327" i="2"/>
  <c r="J1327" i="2"/>
  <c r="I1327" i="2"/>
  <c r="G1327" i="2"/>
  <c r="O1326" i="2"/>
  <c r="K1326" i="2"/>
  <c r="J1326" i="2"/>
  <c r="I1326" i="2"/>
  <c r="G1326" i="2"/>
  <c r="O1325" i="2"/>
  <c r="K1325" i="2"/>
  <c r="J1325" i="2"/>
  <c r="I1325" i="2"/>
  <c r="G1325" i="2"/>
  <c r="K1324" i="2"/>
  <c r="J1324" i="2"/>
  <c r="I1324" i="2"/>
  <c r="G1324" i="2"/>
  <c r="K1323" i="2"/>
  <c r="J1323" i="2"/>
  <c r="I1323" i="2"/>
  <c r="G1323" i="2"/>
  <c r="O1322" i="2"/>
  <c r="K1322" i="2"/>
  <c r="J1322" i="2"/>
  <c r="I1322" i="2"/>
  <c r="G1322" i="2"/>
  <c r="O1321" i="2"/>
  <c r="K1321" i="2"/>
  <c r="J1321" i="2"/>
  <c r="I1321" i="2"/>
  <c r="G1321" i="2"/>
  <c r="O1320" i="2"/>
  <c r="K1320" i="2"/>
  <c r="J1320" i="2"/>
  <c r="I1320" i="2"/>
  <c r="G1320" i="2"/>
  <c r="O1319" i="2"/>
  <c r="K1319" i="2"/>
  <c r="J1319" i="2"/>
  <c r="I1319" i="2"/>
  <c r="G1319" i="2"/>
  <c r="O1318" i="2"/>
  <c r="K1318" i="2"/>
  <c r="J1318" i="2"/>
  <c r="I1318" i="2"/>
  <c r="G1318" i="2"/>
  <c r="O1317" i="2"/>
  <c r="K1317" i="2"/>
  <c r="J1317" i="2"/>
  <c r="I1317" i="2"/>
  <c r="G1317" i="2"/>
  <c r="O1316" i="2"/>
  <c r="K1316" i="2"/>
  <c r="J1316" i="2"/>
  <c r="I1316" i="2"/>
  <c r="G1316" i="2"/>
  <c r="O1315" i="2"/>
  <c r="K1315" i="2"/>
  <c r="J1315" i="2"/>
  <c r="I1315" i="2"/>
  <c r="G1315" i="2"/>
  <c r="O1314" i="2"/>
  <c r="K1314" i="2"/>
  <c r="J1314" i="2"/>
  <c r="I1314" i="2"/>
  <c r="G1314" i="2"/>
  <c r="O1313" i="2"/>
  <c r="K1313" i="2"/>
  <c r="J1313" i="2"/>
  <c r="I1313" i="2"/>
  <c r="G1313" i="2"/>
  <c r="O1312" i="2"/>
  <c r="K1312" i="2"/>
  <c r="J1312" i="2"/>
  <c r="I1312" i="2"/>
  <c r="G1312" i="2"/>
  <c r="O1311" i="2"/>
  <c r="K1311" i="2"/>
  <c r="J1311" i="2"/>
  <c r="I1311" i="2"/>
  <c r="G1311" i="2"/>
  <c r="O1310" i="2"/>
  <c r="K1310" i="2"/>
  <c r="J1310" i="2"/>
  <c r="I1310" i="2"/>
  <c r="G1310" i="2"/>
  <c r="O1309" i="2"/>
  <c r="K1309" i="2"/>
  <c r="J1309" i="2"/>
  <c r="I1309" i="2"/>
  <c r="G1309" i="2"/>
  <c r="O1308" i="2"/>
  <c r="K1308" i="2"/>
  <c r="J1308" i="2"/>
  <c r="I1308" i="2"/>
  <c r="G1308" i="2"/>
  <c r="O1307" i="2"/>
  <c r="K1307" i="2"/>
  <c r="J1307" i="2"/>
  <c r="I1307" i="2"/>
  <c r="G1307" i="2"/>
  <c r="O1306" i="2"/>
  <c r="K1306" i="2"/>
  <c r="J1306" i="2"/>
  <c r="I1306" i="2"/>
  <c r="G1306" i="2"/>
  <c r="O1305" i="2"/>
  <c r="K1305" i="2"/>
  <c r="J1305" i="2"/>
  <c r="I1305" i="2"/>
  <c r="G1305" i="2"/>
  <c r="O1304" i="2"/>
  <c r="K1304" i="2"/>
  <c r="J1304" i="2"/>
  <c r="I1304" i="2"/>
  <c r="G1304" i="2"/>
  <c r="O1303" i="2"/>
  <c r="K1303" i="2"/>
  <c r="J1303" i="2"/>
  <c r="I1303" i="2"/>
  <c r="G1303" i="2"/>
  <c r="O1302" i="2"/>
  <c r="K1302" i="2"/>
  <c r="J1302" i="2"/>
  <c r="I1302" i="2"/>
  <c r="G1302" i="2"/>
  <c r="O1301" i="2"/>
  <c r="K1301" i="2"/>
  <c r="J1301" i="2"/>
  <c r="I1301" i="2"/>
  <c r="G1301" i="2"/>
  <c r="O1300" i="2"/>
  <c r="K1300" i="2"/>
  <c r="J1300" i="2"/>
  <c r="I1300" i="2"/>
  <c r="G1300" i="2"/>
  <c r="O1299" i="2"/>
  <c r="K1299" i="2"/>
  <c r="J1299" i="2"/>
  <c r="I1299" i="2"/>
  <c r="G1299" i="2"/>
  <c r="O1298" i="2"/>
  <c r="K1298" i="2"/>
  <c r="J1298" i="2"/>
  <c r="I1298" i="2"/>
  <c r="G1298" i="2"/>
  <c r="O1297" i="2"/>
  <c r="K1297" i="2"/>
  <c r="J1297" i="2"/>
  <c r="I1297" i="2"/>
  <c r="G1297" i="2"/>
  <c r="O1296" i="2"/>
  <c r="K1296" i="2"/>
  <c r="J1296" i="2"/>
  <c r="I1296" i="2"/>
  <c r="G1296" i="2"/>
  <c r="O1295" i="2"/>
  <c r="K1295" i="2"/>
  <c r="J1295" i="2"/>
  <c r="I1295" i="2"/>
  <c r="G1295" i="2"/>
  <c r="O1294" i="2"/>
  <c r="K1294" i="2"/>
  <c r="J1294" i="2"/>
  <c r="I1294" i="2"/>
  <c r="G1294" i="2"/>
  <c r="O1293" i="2"/>
  <c r="K1293" i="2"/>
  <c r="J1293" i="2"/>
  <c r="I1293" i="2"/>
  <c r="G1293" i="2"/>
  <c r="O1292" i="2"/>
  <c r="K1292" i="2"/>
  <c r="J1292" i="2"/>
  <c r="I1292" i="2"/>
  <c r="G1292" i="2"/>
  <c r="O1291" i="2"/>
  <c r="K1291" i="2"/>
  <c r="J1291" i="2"/>
  <c r="I1291" i="2"/>
  <c r="G1291" i="2"/>
  <c r="O1290" i="2"/>
  <c r="K1290" i="2"/>
  <c r="J1290" i="2"/>
  <c r="I1290" i="2"/>
  <c r="G1290" i="2"/>
  <c r="O1289" i="2"/>
  <c r="K1289" i="2"/>
  <c r="J1289" i="2"/>
  <c r="I1289" i="2"/>
  <c r="G1289" i="2"/>
  <c r="O1288" i="2"/>
  <c r="K1288" i="2"/>
  <c r="J1288" i="2"/>
  <c r="I1288" i="2"/>
  <c r="G1288" i="2"/>
  <c r="O1287" i="2"/>
  <c r="K1287" i="2"/>
  <c r="J1287" i="2"/>
  <c r="I1287" i="2"/>
  <c r="G1287" i="2"/>
  <c r="O1286" i="2"/>
  <c r="K1286" i="2"/>
  <c r="J1286" i="2"/>
  <c r="I1286" i="2"/>
  <c r="G1286" i="2"/>
  <c r="O1285" i="2"/>
  <c r="K1285" i="2"/>
  <c r="J1285" i="2"/>
  <c r="I1285" i="2"/>
  <c r="G1285" i="2"/>
  <c r="O1284" i="2"/>
  <c r="K1284" i="2"/>
  <c r="J1284" i="2"/>
  <c r="I1284" i="2"/>
  <c r="G1284" i="2"/>
  <c r="O1283" i="2"/>
  <c r="K1283" i="2"/>
  <c r="J1283" i="2"/>
  <c r="I1283" i="2"/>
  <c r="G1283" i="2"/>
  <c r="O1282" i="2"/>
  <c r="K1282" i="2"/>
  <c r="J1282" i="2"/>
  <c r="I1282" i="2"/>
  <c r="G1282" i="2"/>
  <c r="O1281" i="2"/>
  <c r="K1281" i="2"/>
  <c r="J1281" i="2"/>
  <c r="I1281" i="2"/>
  <c r="G1281" i="2"/>
  <c r="O1280" i="2"/>
  <c r="K1280" i="2"/>
  <c r="J1280" i="2"/>
  <c r="I1280" i="2"/>
  <c r="G1280" i="2"/>
  <c r="O1279" i="2"/>
  <c r="K1279" i="2"/>
  <c r="J1279" i="2"/>
  <c r="I1279" i="2"/>
  <c r="G1279" i="2"/>
  <c r="O1278" i="2"/>
  <c r="K1278" i="2"/>
  <c r="J1278" i="2"/>
  <c r="I1278" i="2"/>
  <c r="G1278" i="2"/>
  <c r="O1277" i="2"/>
  <c r="K1277" i="2"/>
  <c r="J1277" i="2"/>
  <c r="I1277" i="2"/>
  <c r="G1277" i="2"/>
  <c r="O1276" i="2"/>
  <c r="K1276" i="2"/>
  <c r="J1276" i="2"/>
  <c r="I1276" i="2"/>
  <c r="G1276" i="2"/>
  <c r="O1275" i="2"/>
  <c r="K1275" i="2"/>
  <c r="J1275" i="2"/>
  <c r="I1275" i="2"/>
  <c r="G1275" i="2"/>
  <c r="O1274" i="2"/>
  <c r="K1274" i="2"/>
  <c r="J1274" i="2"/>
  <c r="I1274" i="2"/>
  <c r="G1274" i="2"/>
  <c r="O1273" i="2"/>
  <c r="K1273" i="2"/>
  <c r="J1273" i="2"/>
  <c r="I1273" i="2"/>
  <c r="G1273" i="2"/>
  <c r="O1272" i="2"/>
  <c r="K1272" i="2"/>
  <c r="J1272" i="2"/>
  <c r="I1272" i="2"/>
  <c r="G1272" i="2"/>
  <c r="O1271" i="2"/>
  <c r="K1271" i="2"/>
  <c r="J1271" i="2"/>
  <c r="I1271" i="2"/>
  <c r="G1271" i="2"/>
  <c r="O1270" i="2"/>
  <c r="K1270" i="2"/>
  <c r="J1270" i="2"/>
  <c r="I1270" i="2"/>
  <c r="G1270" i="2"/>
  <c r="O1269" i="2"/>
  <c r="K1269" i="2"/>
  <c r="J1269" i="2"/>
  <c r="I1269" i="2"/>
  <c r="G1269" i="2"/>
  <c r="O1268" i="2"/>
  <c r="K1268" i="2"/>
  <c r="J1268" i="2"/>
  <c r="I1268" i="2"/>
  <c r="G1268" i="2"/>
  <c r="O1267" i="2"/>
  <c r="K1267" i="2"/>
  <c r="J1267" i="2"/>
  <c r="I1267" i="2"/>
  <c r="G1267" i="2"/>
  <c r="O1266" i="2"/>
  <c r="K1266" i="2"/>
  <c r="J1266" i="2"/>
  <c r="I1266" i="2"/>
  <c r="G1266" i="2"/>
  <c r="O1265" i="2"/>
  <c r="K1265" i="2"/>
  <c r="J1265" i="2"/>
  <c r="I1265" i="2"/>
  <c r="G1265" i="2"/>
  <c r="O1264" i="2"/>
  <c r="K1264" i="2"/>
  <c r="J1264" i="2"/>
  <c r="I1264" i="2"/>
  <c r="G1264" i="2"/>
  <c r="O1263" i="2"/>
  <c r="K1263" i="2"/>
  <c r="J1263" i="2"/>
  <c r="I1263" i="2"/>
  <c r="G1263" i="2"/>
  <c r="O1262" i="2"/>
  <c r="K1262" i="2"/>
  <c r="J1262" i="2"/>
  <c r="I1262" i="2"/>
  <c r="G1262" i="2"/>
  <c r="O1261" i="2"/>
  <c r="K1261" i="2"/>
  <c r="J1261" i="2"/>
  <c r="I1261" i="2"/>
  <c r="G1261" i="2"/>
  <c r="O1260" i="2"/>
  <c r="K1260" i="2"/>
  <c r="J1260" i="2"/>
  <c r="I1260" i="2"/>
  <c r="G1260" i="2"/>
  <c r="O1259" i="2"/>
  <c r="K1259" i="2"/>
  <c r="J1259" i="2"/>
  <c r="I1259" i="2"/>
  <c r="G1259" i="2"/>
  <c r="O1258" i="2"/>
  <c r="K1258" i="2"/>
  <c r="J1258" i="2"/>
  <c r="I1258" i="2"/>
  <c r="G1258" i="2"/>
  <c r="O1257" i="2"/>
  <c r="K1257" i="2"/>
  <c r="J1257" i="2"/>
  <c r="I1257" i="2"/>
  <c r="G1257" i="2"/>
  <c r="O1256" i="2"/>
  <c r="K1256" i="2"/>
  <c r="J1256" i="2"/>
  <c r="I1256" i="2"/>
  <c r="G1256" i="2"/>
  <c r="O1255" i="2"/>
  <c r="K1255" i="2"/>
  <c r="J1255" i="2"/>
  <c r="I1255" i="2"/>
  <c r="G1255" i="2"/>
  <c r="O1254" i="2"/>
  <c r="K1254" i="2"/>
  <c r="J1254" i="2"/>
  <c r="I1254" i="2"/>
  <c r="G1254" i="2"/>
  <c r="O1253" i="2"/>
  <c r="K1253" i="2"/>
  <c r="J1253" i="2"/>
  <c r="I1253" i="2"/>
  <c r="G1253" i="2"/>
  <c r="O1252" i="2"/>
  <c r="K1252" i="2"/>
  <c r="J1252" i="2"/>
  <c r="I1252" i="2"/>
  <c r="G1252" i="2"/>
  <c r="O1251" i="2"/>
  <c r="K1251" i="2"/>
  <c r="J1251" i="2"/>
  <c r="I1251" i="2"/>
  <c r="G1251" i="2"/>
  <c r="O1250" i="2"/>
  <c r="K1250" i="2"/>
  <c r="J1250" i="2"/>
  <c r="I1250" i="2"/>
  <c r="G1250" i="2"/>
  <c r="O1249" i="2"/>
  <c r="K1249" i="2"/>
  <c r="J1249" i="2"/>
  <c r="I1249" i="2"/>
  <c r="G1249" i="2"/>
  <c r="O1248" i="2"/>
  <c r="K1248" i="2"/>
  <c r="J1248" i="2"/>
  <c r="I1248" i="2"/>
  <c r="G1248" i="2"/>
  <c r="O1247" i="2"/>
  <c r="K1247" i="2"/>
  <c r="J1247" i="2"/>
  <c r="I1247" i="2"/>
  <c r="G1247" i="2"/>
  <c r="O1246" i="2"/>
  <c r="K1246" i="2"/>
  <c r="J1246" i="2"/>
  <c r="I1246" i="2"/>
  <c r="G1246" i="2"/>
  <c r="O1245" i="2"/>
  <c r="K1245" i="2"/>
  <c r="J1245" i="2"/>
  <c r="I1245" i="2"/>
  <c r="G1245" i="2"/>
  <c r="O1244" i="2"/>
  <c r="K1244" i="2"/>
  <c r="J1244" i="2"/>
  <c r="I1244" i="2"/>
  <c r="G1244" i="2"/>
  <c r="O1243" i="2"/>
  <c r="K1243" i="2"/>
  <c r="J1243" i="2"/>
  <c r="I1243" i="2"/>
  <c r="G1243" i="2"/>
  <c r="O1242" i="2"/>
  <c r="K1242" i="2"/>
  <c r="J1242" i="2"/>
  <c r="I1242" i="2"/>
  <c r="G1242" i="2"/>
  <c r="O1241" i="2"/>
  <c r="K1241" i="2"/>
  <c r="J1241" i="2"/>
  <c r="I1241" i="2"/>
  <c r="G1241" i="2"/>
  <c r="O1240" i="2"/>
  <c r="K1240" i="2"/>
  <c r="J1240" i="2"/>
  <c r="I1240" i="2"/>
  <c r="G1240" i="2"/>
  <c r="O1239" i="2"/>
  <c r="K1239" i="2"/>
  <c r="J1239" i="2"/>
  <c r="I1239" i="2"/>
  <c r="G1239" i="2"/>
  <c r="O1238" i="2"/>
  <c r="K1238" i="2"/>
  <c r="J1238" i="2"/>
  <c r="I1238" i="2"/>
  <c r="G1238" i="2"/>
  <c r="H1238" i="2" s="1"/>
  <c r="M1238" i="2" s="1"/>
  <c r="N1238" i="2" s="1"/>
  <c r="O1237" i="2"/>
  <c r="K1237" i="2"/>
  <c r="J1237" i="2"/>
  <c r="I1237" i="2"/>
  <c r="G1237" i="2"/>
  <c r="O1236" i="2"/>
  <c r="K1236" i="2"/>
  <c r="J1236" i="2"/>
  <c r="I1236" i="2"/>
  <c r="G1236" i="2"/>
  <c r="O1235" i="2"/>
  <c r="K1235" i="2"/>
  <c r="J1235" i="2"/>
  <c r="I1235" i="2"/>
  <c r="G1235" i="2"/>
  <c r="O1234" i="2"/>
  <c r="K1234" i="2"/>
  <c r="J1234" i="2"/>
  <c r="I1234" i="2"/>
  <c r="G1234" i="2"/>
  <c r="O1233" i="2"/>
  <c r="K1233" i="2"/>
  <c r="J1233" i="2"/>
  <c r="I1233" i="2"/>
  <c r="G1233" i="2"/>
  <c r="O1232" i="2"/>
  <c r="K1232" i="2"/>
  <c r="J1232" i="2"/>
  <c r="I1232" i="2"/>
  <c r="G1232" i="2"/>
  <c r="O1231" i="2"/>
  <c r="K1231" i="2"/>
  <c r="J1231" i="2"/>
  <c r="I1231" i="2"/>
  <c r="G1231" i="2"/>
  <c r="O1230" i="2"/>
  <c r="K1230" i="2"/>
  <c r="J1230" i="2"/>
  <c r="I1230" i="2"/>
  <c r="G1230" i="2"/>
  <c r="O1229" i="2"/>
  <c r="K1229" i="2"/>
  <c r="J1229" i="2"/>
  <c r="I1229" i="2"/>
  <c r="G1229" i="2"/>
  <c r="O1228" i="2"/>
  <c r="K1228" i="2"/>
  <c r="J1228" i="2"/>
  <c r="I1228" i="2"/>
  <c r="G1228" i="2"/>
  <c r="O1227" i="2"/>
  <c r="K1227" i="2"/>
  <c r="J1227" i="2"/>
  <c r="I1227" i="2"/>
  <c r="G1227" i="2"/>
  <c r="O1226" i="2"/>
  <c r="K1226" i="2"/>
  <c r="J1226" i="2"/>
  <c r="I1226" i="2"/>
  <c r="G1226" i="2"/>
  <c r="O1225" i="2"/>
  <c r="K1225" i="2"/>
  <c r="J1225" i="2"/>
  <c r="I1225" i="2"/>
  <c r="G1225" i="2"/>
  <c r="O1224" i="2"/>
  <c r="K1224" i="2"/>
  <c r="J1224" i="2"/>
  <c r="I1224" i="2"/>
  <c r="G1224" i="2"/>
  <c r="O1223" i="2"/>
  <c r="K1223" i="2"/>
  <c r="J1223" i="2"/>
  <c r="I1223" i="2"/>
  <c r="G1223" i="2"/>
  <c r="O1222" i="2"/>
  <c r="K1222" i="2"/>
  <c r="J1222" i="2"/>
  <c r="I1222" i="2"/>
  <c r="G1222" i="2"/>
  <c r="O1221" i="2"/>
  <c r="K1221" i="2"/>
  <c r="J1221" i="2"/>
  <c r="I1221" i="2"/>
  <c r="G1221" i="2"/>
  <c r="O1220" i="2"/>
  <c r="K1220" i="2"/>
  <c r="J1220" i="2"/>
  <c r="I1220" i="2"/>
  <c r="G1220" i="2"/>
  <c r="O1219" i="2"/>
  <c r="K1219" i="2"/>
  <c r="J1219" i="2"/>
  <c r="I1219" i="2"/>
  <c r="G1219" i="2"/>
  <c r="O1218" i="2"/>
  <c r="K1218" i="2"/>
  <c r="J1218" i="2"/>
  <c r="I1218" i="2"/>
  <c r="G1218" i="2"/>
  <c r="O1217" i="2"/>
  <c r="K1217" i="2"/>
  <c r="J1217" i="2"/>
  <c r="I1217" i="2"/>
  <c r="G1217" i="2"/>
  <c r="O1216" i="2"/>
  <c r="K1216" i="2"/>
  <c r="J1216" i="2"/>
  <c r="I1216" i="2"/>
  <c r="G1216" i="2"/>
  <c r="O1215" i="2"/>
  <c r="K1215" i="2"/>
  <c r="J1215" i="2"/>
  <c r="I1215" i="2"/>
  <c r="G1215" i="2"/>
  <c r="O1214" i="2"/>
  <c r="K1214" i="2"/>
  <c r="J1214" i="2"/>
  <c r="I1214" i="2"/>
  <c r="G1214" i="2"/>
  <c r="O1213" i="2"/>
  <c r="K1213" i="2"/>
  <c r="J1213" i="2"/>
  <c r="I1213" i="2"/>
  <c r="G1213" i="2"/>
  <c r="O1212" i="2"/>
  <c r="K1212" i="2"/>
  <c r="J1212" i="2"/>
  <c r="I1212" i="2"/>
  <c r="G1212" i="2"/>
  <c r="O1211" i="2"/>
  <c r="K1211" i="2"/>
  <c r="J1211" i="2"/>
  <c r="I1211" i="2"/>
  <c r="G1211" i="2"/>
  <c r="O1210" i="2"/>
  <c r="K1210" i="2"/>
  <c r="J1210" i="2"/>
  <c r="I1210" i="2"/>
  <c r="G1210" i="2"/>
  <c r="O1209" i="2"/>
  <c r="K1209" i="2"/>
  <c r="J1209" i="2"/>
  <c r="I1209" i="2"/>
  <c r="G1209" i="2"/>
  <c r="O1208" i="2"/>
  <c r="K1208" i="2"/>
  <c r="J1208" i="2"/>
  <c r="I1208" i="2"/>
  <c r="G1208" i="2"/>
  <c r="O1207" i="2"/>
  <c r="K1207" i="2"/>
  <c r="J1207" i="2"/>
  <c r="I1207" i="2"/>
  <c r="G1207" i="2"/>
  <c r="O1206" i="2"/>
  <c r="K1206" i="2"/>
  <c r="J1206" i="2"/>
  <c r="I1206" i="2"/>
  <c r="G1206" i="2"/>
  <c r="O1205" i="2"/>
  <c r="K1205" i="2"/>
  <c r="J1205" i="2"/>
  <c r="I1205" i="2"/>
  <c r="G1205" i="2"/>
  <c r="O1204" i="2"/>
  <c r="K1204" i="2"/>
  <c r="J1204" i="2"/>
  <c r="I1204" i="2"/>
  <c r="G1204" i="2"/>
  <c r="O1203" i="2"/>
  <c r="K1203" i="2"/>
  <c r="J1203" i="2"/>
  <c r="I1203" i="2"/>
  <c r="G1203" i="2"/>
  <c r="O1202" i="2"/>
  <c r="K1202" i="2"/>
  <c r="J1202" i="2"/>
  <c r="I1202" i="2"/>
  <c r="G1202" i="2"/>
  <c r="K1201" i="2"/>
  <c r="J1201" i="2"/>
  <c r="I1201" i="2"/>
  <c r="G1201" i="2"/>
  <c r="K1200" i="2"/>
  <c r="J1200" i="2"/>
  <c r="I1200" i="2"/>
  <c r="G1200" i="2"/>
  <c r="K1199" i="2"/>
  <c r="J1199" i="2"/>
  <c r="I1199" i="2"/>
  <c r="G1199" i="2"/>
  <c r="K1198" i="2"/>
  <c r="J1198" i="2"/>
  <c r="I1198" i="2"/>
  <c r="G1198" i="2"/>
  <c r="K1197" i="2"/>
  <c r="J1197" i="2"/>
  <c r="I1197" i="2"/>
  <c r="G1197" i="2"/>
  <c r="O1196" i="2"/>
  <c r="K1196" i="2"/>
  <c r="J1196" i="2"/>
  <c r="I1196" i="2"/>
  <c r="G1196" i="2"/>
  <c r="K1195" i="2"/>
  <c r="J1195" i="2"/>
  <c r="I1195" i="2"/>
  <c r="G1195" i="2"/>
  <c r="K1194" i="2"/>
  <c r="J1194" i="2"/>
  <c r="I1194" i="2"/>
  <c r="G1194" i="2"/>
  <c r="O1193" i="2"/>
  <c r="K1193" i="2"/>
  <c r="J1193" i="2"/>
  <c r="I1193" i="2"/>
  <c r="G1193" i="2"/>
  <c r="K1192" i="2"/>
  <c r="J1192" i="2"/>
  <c r="I1192" i="2"/>
  <c r="G1192" i="2"/>
  <c r="O1191" i="2"/>
  <c r="K1191" i="2"/>
  <c r="J1191" i="2"/>
  <c r="I1191" i="2"/>
  <c r="G1191" i="2"/>
  <c r="O1190" i="2"/>
  <c r="K1190" i="2"/>
  <c r="J1190" i="2"/>
  <c r="I1190" i="2"/>
  <c r="G1190" i="2"/>
  <c r="O1189" i="2"/>
  <c r="K1189" i="2"/>
  <c r="J1189" i="2"/>
  <c r="I1189" i="2"/>
  <c r="G1189" i="2"/>
  <c r="K1188" i="2"/>
  <c r="J1188" i="2"/>
  <c r="I1188" i="2"/>
  <c r="G1188" i="2"/>
  <c r="K1187" i="2"/>
  <c r="J1187" i="2"/>
  <c r="I1187" i="2"/>
  <c r="G1187" i="2"/>
  <c r="O1186" i="2"/>
  <c r="K1186" i="2"/>
  <c r="J1186" i="2"/>
  <c r="I1186" i="2"/>
  <c r="G1186" i="2"/>
  <c r="O1185" i="2"/>
  <c r="K1185" i="2"/>
  <c r="J1185" i="2"/>
  <c r="I1185" i="2"/>
  <c r="G1185" i="2"/>
  <c r="O1184" i="2"/>
  <c r="K1184" i="2"/>
  <c r="J1184" i="2"/>
  <c r="I1184" i="2"/>
  <c r="G1184" i="2"/>
  <c r="O1183" i="2"/>
  <c r="K1183" i="2"/>
  <c r="J1183" i="2"/>
  <c r="I1183" i="2"/>
  <c r="G1183" i="2"/>
  <c r="O1182" i="2"/>
  <c r="K1182" i="2"/>
  <c r="J1182" i="2"/>
  <c r="I1182" i="2"/>
  <c r="G1182" i="2"/>
  <c r="O1181" i="2"/>
  <c r="K1181" i="2"/>
  <c r="J1181" i="2"/>
  <c r="I1181" i="2"/>
  <c r="G1181" i="2"/>
  <c r="O1180" i="2"/>
  <c r="K1180" i="2"/>
  <c r="J1180" i="2"/>
  <c r="I1180" i="2"/>
  <c r="G1180" i="2"/>
  <c r="O1179" i="2"/>
  <c r="K1179" i="2"/>
  <c r="J1179" i="2"/>
  <c r="I1179" i="2"/>
  <c r="G1179" i="2"/>
  <c r="O1178" i="2"/>
  <c r="K1178" i="2"/>
  <c r="J1178" i="2"/>
  <c r="I1178" i="2"/>
  <c r="G1178" i="2"/>
  <c r="O1177" i="2"/>
  <c r="K1177" i="2"/>
  <c r="J1177" i="2"/>
  <c r="I1177" i="2"/>
  <c r="G1177" i="2"/>
  <c r="O1176" i="2"/>
  <c r="K1176" i="2"/>
  <c r="J1176" i="2"/>
  <c r="I1176" i="2"/>
  <c r="G1176" i="2"/>
  <c r="O1175" i="2"/>
  <c r="K1175" i="2"/>
  <c r="J1175" i="2"/>
  <c r="I1175" i="2"/>
  <c r="G1175" i="2"/>
  <c r="O1174" i="2"/>
  <c r="K1174" i="2"/>
  <c r="J1174" i="2"/>
  <c r="I1174" i="2"/>
  <c r="G1174" i="2"/>
  <c r="O1173" i="2"/>
  <c r="K1173" i="2"/>
  <c r="J1173" i="2"/>
  <c r="I1173" i="2"/>
  <c r="G1173" i="2"/>
  <c r="O1172" i="2"/>
  <c r="K1172" i="2"/>
  <c r="J1172" i="2"/>
  <c r="I1172" i="2"/>
  <c r="G1172" i="2"/>
  <c r="O1171" i="2"/>
  <c r="K1171" i="2"/>
  <c r="J1171" i="2"/>
  <c r="I1171" i="2"/>
  <c r="G1171" i="2"/>
  <c r="O1170" i="2"/>
  <c r="K1170" i="2"/>
  <c r="J1170" i="2"/>
  <c r="I1170" i="2"/>
  <c r="G1170" i="2"/>
  <c r="O1169" i="2"/>
  <c r="K1169" i="2"/>
  <c r="J1169" i="2"/>
  <c r="I1169" i="2"/>
  <c r="G1169" i="2"/>
  <c r="O1168" i="2"/>
  <c r="K1168" i="2"/>
  <c r="J1168" i="2"/>
  <c r="I1168" i="2"/>
  <c r="G1168" i="2"/>
  <c r="O1167" i="2"/>
  <c r="K1167" i="2"/>
  <c r="J1167" i="2"/>
  <c r="I1167" i="2"/>
  <c r="G1167" i="2"/>
  <c r="O1166" i="2"/>
  <c r="K1166" i="2"/>
  <c r="J1166" i="2"/>
  <c r="I1166" i="2"/>
  <c r="G1166" i="2"/>
  <c r="O1165" i="2"/>
  <c r="K1165" i="2"/>
  <c r="J1165" i="2"/>
  <c r="I1165" i="2"/>
  <c r="G1165" i="2"/>
  <c r="O1164" i="2"/>
  <c r="K1164" i="2"/>
  <c r="J1164" i="2"/>
  <c r="I1164" i="2"/>
  <c r="G1164" i="2"/>
  <c r="O1163" i="2"/>
  <c r="K1163" i="2"/>
  <c r="J1163" i="2"/>
  <c r="I1163" i="2"/>
  <c r="G1163" i="2"/>
  <c r="O1162" i="2"/>
  <c r="K1162" i="2"/>
  <c r="J1162" i="2"/>
  <c r="I1162" i="2"/>
  <c r="G1162" i="2"/>
  <c r="O1161" i="2"/>
  <c r="K1161" i="2"/>
  <c r="J1161" i="2"/>
  <c r="I1161" i="2"/>
  <c r="G1161" i="2"/>
  <c r="O1160" i="2"/>
  <c r="K1160" i="2"/>
  <c r="J1160" i="2"/>
  <c r="I1160" i="2"/>
  <c r="G1160" i="2"/>
  <c r="O1159" i="2"/>
  <c r="K1159" i="2"/>
  <c r="J1159" i="2"/>
  <c r="I1159" i="2"/>
  <c r="G1159" i="2"/>
  <c r="O1158" i="2"/>
  <c r="K1158" i="2"/>
  <c r="J1158" i="2"/>
  <c r="I1158" i="2"/>
  <c r="G1158" i="2"/>
  <c r="O1157" i="2"/>
  <c r="K1157" i="2"/>
  <c r="J1157" i="2"/>
  <c r="I1157" i="2"/>
  <c r="G1157" i="2"/>
  <c r="O1156" i="2"/>
  <c r="K1156" i="2"/>
  <c r="J1156" i="2"/>
  <c r="I1156" i="2"/>
  <c r="G1156" i="2"/>
  <c r="O1155" i="2"/>
  <c r="K1155" i="2"/>
  <c r="J1155" i="2"/>
  <c r="I1155" i="2"/>
  <c r="G1155" i="2"/>
  <c r="O1154" i="2"/>
  <c r="K1154" i="2"/>
  <c r="J1154" i="2"/>
  <c r="I1154" i="2"/>
  <c r="G1154" i="2"/>
  <c r="O1153" i="2"/>
  <c r="K1153" i="2"/>
  <c r="J1153" i="2"/>
  <c r="I1153" i="2"/>
  <c r="G1153" i="2"/>
  <c r="O1152" i="2"/>
  <c r="K1152" i="2"/>
  <c r="J1152" i="2"/>
  <c r="I1152" i="2"/>
  <c r="G1152" i="2"/>
  <c r="O1151" i="2"/>
  <c r="K1151" i="2"/>
  <c r="J1151" i="2"/>
  <c r="I1151" i="2"/>
  <c r="G1151" i="2"/>
  <c r="O1150" i="2"/>
  <c r="K1150" i="2"/>
  <c r="J1150" i="2"/>
  <c r="I1150" i="2"/>
  <c r="G1150" i="2"/>
  <c r="O1149" i="2"/>
  <c r="K1149" i="2"/>
  <c r="J1149" i="2"/>
  <c r="I1149" i="2"/>
  <c r="G1149" i="2"/>
  <c r="O1148" i="2"/>
  <c r="K1148" i="2"/>
  <c r="J1148" i="2"/>
  <c r="I1148" i="2"/>
  <c r="G1148" i="2"/>
  <c r="O1147" i="2"/>
  <c r="K1147" i="2"/>
  <c r="J1147" i="2"/>
  <c r="I1147" i="2"/>
  <c r="G1147" i="2"/>
  <c r="O1146" i="2"/>
  <c r="K1146" i="2"/>
  <c r="J1146" i="2"/>
  <c r="I1146" i="2"/>
  <c r="G1146" i="2"/>
  <c r="O1145" i="2"/>
  <c r="K1145" i="2"/>
  <c r="J1145" i="2"/>
  <c r="I1145" i="2"/>
  <c r="G1145" i="2"/>
  <c r="O1144" i="2"/>
  <c r="K1144" i="2"/>
  <c r="J1144" i="2"/>
  <c r="I1144" i="2"/>
  <c r="G1144" i="2"/>
  <c r="O1143" i="2"/>
  <c r="K1143" i="2"/>
  <c r="J1143" i="2"/>
  <c r="I1143" i="2"/>
  <c r="G1143" i="2"/>
  <c r="O1142" i="2"/>
  <c r="K1142" i="2"/>
  <c r="J1142" i="2"/>
  <c r="I1142" i="2"/>
  <c r="G1142" i="2"/>
  <c r="O1141" i="2"/>
  <c r="K1141" i="2"/>
  <c r="J1141" i="2"/>
  <c r="I1141" i="2"/>
  <c r="G1141" i="2"/>
  <c r="O1140" i="2"/>
  <c r="K1140" i="2"/>
  <c r="J1140" i="2"/>
  <c r="I1140" i="2"/>
  <c r="G1140" i="2"/>
  <c r="O1139" i="2"/>
  <c r="K1139" i="2"/>
  <c r="J1139" i="2"/>
  <c r="I1139" i="2"/>
  <c r="G1139" i="2"/>
  <c r="O1138" i="2"/>
  <c r="K1138" i="2"/>
  <c r="J1138" i="2"/>
  <c r="I1138" i="2"/>
  <c r="G1138" i="2"/>
  <c r="O1137" i="2"/>
  <c r="K1137" i="2"/>
  <c r="J1137" i="2"/>
  <c r="I1137" i="2"/>
  <c r="G1137" i="2"/>
  <c r="O1136" i="2"/>
  <c r="K1136" i="2"/>
  <c r="J1136" i="2"/>
  <c r="I1136" i="2"/>
  <c r="G1136" i="2"/>
  <c r="O1135" i="2"/>
  <c r="K1135" i="2"/>
  <c r="J1135" i="2"/>
  <c r="I1135" i="2"/>
  <c r="G1135" i="2"/>
  <c r="O1134" i="2"/>
  <c r="K1134" i="2"/>
  <c r="J1134" i="2"/>
  <c r="I1134" i="2"/>
  <c r="G1134" i="2"/>
  <c r="O1133" i="2"/>
  <c r="K1133" i="2"/>
  <c r="J1133" i="2"/>
  <c r="I1133" i="2"/>
  <c r="G1133" i="2"/>
  <c r="O1132" i="2"/>
  <c r="K1132" i="2"/>
  <c r="J1132" i="2"/>
  <c r="I1132" i="2"/>
  <c r="G1132" i="2"/>
  <c r="O1131" i="2"/>
  <c r="K1131" i="2"/>
  <c r="J1131" i="2"/>
  <c r="I1131" i="2"/>
  <c r="G1131" i="2"/>
  <c r="O1130" i="2"/>
  <c r="K1130" i="2"/>
  <c r="J1130" i="2"/>
  <c r="I1130" i="2"/>
  <c r="G1130" i="2"/>
  <c r="O1129" i="2"/>
  <c r="K1129" i="2"/>
  <c r="J1129" i="2"/>
  <c r="I1129" i="2"/>
  <c r="G1129" i="2"/>
  <c r="O1128" i="2"/>
  <c r="K1128" i="2"/>
  <c r="J1128" i="2"/>
  <c r="I1128" i="2"/>
  <c r="G1128" i="2"/>
  <c r="O1127" i="2"/>
  <c r="K1127" i="2"/>
  <c r="J1127" i="2"/>
  <c r="I1127" i="2"/>
  <c r="G1127" i="2"/>
  <c r="O1126" i="2"/>
  <c r="K1126" i="2"/>
  <c r="J1126" i="2"/>
  <c r="I1126" i="2"/>
  <c r="G1126" i="2"/>
  <c r="O1125" i="2"/>
  <c r="K1125" i="2"/>
  <c r="J1125" i="2"/>
  <c r="I1125" i="2"/>
  <c r="G1125" i="2"/>
  <c r="O1124" i="2"/>
  <c r="K1124" i="2"/>
  <c r="J1124" i="2"/>
  <c r="I1124" i="2"/>
  <c r="G1124" i="2"/>
  <c r="O1123" i="2"/>
  <c r="K1123" i="2"/>
  <c r="J1123" i="2"/>
  <c r="I1123" i="2"/>
  <c r="G1123" i="2"/>
  <c r="O1122" i="2"/>
  <c r="K1122" i="2"/>
  <c r="J1122" i="2"/>
  <c r="I1122" i="2"/>
  <c r="G1122" i="2"/>
  <c r="O1121" i="2"/>
  <c r="K1121" i="2"/>
  <c r="J1121" i="2"/>
  <c r="I1121" i="2"/>
  <c r="G1121" i="2"/>
  <c r="O1120" i="2"/>
  <c r="K1120" i="2"/>
  <c r="J1120" i="2"/>
  <c r="I1120" i="2"/>
  <c r="G1120" i="2"/>
  <c r="O1119" i="2"/>
  <c r="K1119" i="2"/>
  <c r="J1119" i="2"/>
  <c r="I1119" i="2"/>
  <c r="G1119" i="2"/>
  <c r="O1118" i="2"/>
  <c r="K1118" i="2"/>
  <c r="J1118" i="2"/>
  <c r="I1118" i="2"/>
  <c r="G1118" i="2"/>
  <c r="O1117" i="2"/>
  <c r="K1117" i="2"/>
  <c r="J1117" i="2"/>
  <c r="I1117" i="2"/>
  <c r="G1117" i="2"/>
  <c r="O1116" i="2"/>
  <c r="K1116" i="2"/>
  <c r="J1116" i="2"/>
  <c r="I1116" i="2"/>
  <c r="G1116" i="2"/>
  <c r="O1115" i="2"/>
  <c r="K1115" i="2"/>
  <c r="J1115" i="2"/>
  <c r="I1115" i="2"/>
  <c r="G1115" i="2"/>
  <c r="O1114" i="2"/>
  <c r="K1114" i="2"/>
  <c r="J1114" i="2"/>
  <c r="I1114" i="2"/>
  <c r="G1114" i="2"/>
  <c r="O1113" i="2"/>
  <c r="K1113" i="2"/>
  <c r="J1113" i="2"/>
  <c r="I1113" i="2"/>
  <c r="G1113" i="2"/>
  <c r="O1112" i="2"/>
  <c r="K1112" i="2"/>
  <c r="J1112" i="2"/>
  <c r="I1112" i="2"/>
  <c r="G1112" i="2"/>
  <c r="O1111" i="2"/>
  <c r="K1111" i="2"/>
  <c r="J1111" i="2"/>
  <c r="I1111" i="2"/>
  <c r="G1111" i="2"/>
  <c r="O1110" i="2"/>
  <c r="K1110" i="2"/>
  <c r="J1110" i="2"/>
  <c r="I1110" i="2"/>
  <c r="G1110" i="2"/>
  <c r="O1109" i="2"/>
  <c r="K1109" i="2"/>
  <c r="J1109" i="2"/>
  <c r="I1109" i="2"/>
  <c r="G1109" i="2"/>
  <c r="O1108" i="2"/>
  <c r="K1108" i="2"/>
  <c r="J1108" i="2"/>
  <c r="I1108" i="2"/>
  <c r="G1108" i="2"/>
  <c r="O1107" i="2"/>
  <c r="K1107" i="2"/>
  <c r="J1107" i="2"/>
  <c r="I1107" i="2"/>
  <c r="G1107" i="2"/>
  <c r="O1106" i="2"/>
  <c r="K1106" i="2"/>
  <c r="J1106" i="2"/>
  <c r="I1106" i="2"/>
  <c r="G1106" i="2"/>
  <c r="O1105" i="2"/>
  <c r="K1105" i="2"/>
  <c r="J1105" i="2"/>
  <c r="I1105" i="2"/>
  <c r="G1105" i="2"/>
  <c r="O1104" i="2"/>
  <c r="K1104" i="2"/>
  <c r="J1104" i="2"/>
  <c r="I1104" i="2"/>
  <c r="G1104" i="2"/>
  <c r="O1103" i="2"/>
  <c r="K1103" i="2"/>
  <c r="J1103" i="2"/>
  <c r="I1103" i="2"/>
  <c r="G1103" i="2"/>
  <c r="O1102" i="2"/>
  <c r="K1102" i="2"/>
  <c r="J1102" i="2"/>
  <c r="I1102" i="2"/>
  <c r="G1102" i="2"/>
  <c r="O1101" i="2"/>
  <c r="K1101" i="2"/>
  <c r="J1101" i="2"/>
  <c r="I1101" i="2"/>
  <c r="G1101" i="2"/>
  <c r="O1100" i="2"/>
  <c r="K1100" i="2"/>
  <c r="J1100" i="2"/>
  <c r="I1100" i="2"/>
  <c r="G1100" i="2"/>
  <c r="O1099" i="2"/>
  <c r="K1099" i="2"/>
  <c r="J1099" i="2"/>
  <c r="I1099" i="2"/>
  <c r="G1099" i="2"/>
  <c r="O1098" i="2"/>
  <c r="K1098" i="2"/>
  <c r="J1098" i="2"/>
  <c r="I1098" i="2"/>
  <c r="G1098" i="2"/>
  <c r="O1097" i="2"/>
  <c r="K1097" i="2"/>
  <c r="J1097" i="2"/>
  <c r="I1097" i="2"/>
  <c r="G1097" i="2"/>
  <c r="O1096" i="2"/>
  <c r="K1096" i="2"/>
  <c r="J1096" i="2"/>
  <c r="I1096" i="2"/>
  <c r="G1096" i="2"/>
  <c r="O1095" i="2"/>
  <c r="K1095" i="2"/>
  <c r="J1095" i="2"/>
  <c r="I1095" i="2"/>
  <c r="G1095" i="2"/>
  <c r="O1094" i="2"/>
  <c r="K1094" i="2"/>
  <c r="J1094" i="2"/>
  <c r="I1094" i="2"/>
  <c r="G1094" i="2"/>
  <c r="O1093" i="2"/>
  <c r="K1093" i="2"/>
  <c r="J1093" i="2"/>
  <c r="I1093" i="2"/>
  <c r="G1093" i="2"/>
  <c r="O1092" i="2"/>
  <c r="K1092" i="2"/>
  <c r="J1092" i="2"/>
  <c r="I1092" i="2"/>
  <c r="G1092" i="2"/>
  <c r="O1091" i="2"/>
  <c r="K1091" i="2"/>
  <c r="J1091" i="2"/>
  <c r="I1091" i="2"/>
  <c r="G1091" i="2"/>
  <c r="O1090" i="2"/>
  <c r="K1090" i="2"/>
  <c r="J1090" i="2"/>
  <c r="I1090" i="2"/>
  <c r="G1090" i="2"/>
  <c r="O1089" i="2"/>
  <c r="K1089" i="2"/>
  <c r="J1089" i="2"/>
  <c r="I1089" i="2"/>
  <c r="G1089" i="2"/>
  <c r="O1088" i="2"/>
  <c r="K1088" i="2"/>
  <c r="J1088" i="2"/>
  <c r="I1088" i="2"/>
  <c r="G1088" i="2"/>
  <c r="O1087" i="2"/>
  <c r="K1087" i="2"/>
  <c r="J1087" i="2"/>
  <c r="I1087" i="2"/>
  <c r="G1087" i="2"/>
  <c r="O1086" i="2"/>
  <c r="K1086" i="2"/>
  <c r="J1086" i="2"/>
  <c r="I1086" i="2"/>
  <c r="G1086" i="2"/>
  <c r="O1085" i="2"/>
  <c r="K1085" i="2"/>
  <c r="J1085" i="2"/>
  <c r="I1085" i="2"/>
  <c r="G1085" i="2"/>
  <c r="O1084" i="2"/>
  <c r="K1084" i="2"/>
  <c r="J1084" i="2"/>
  <c r="I1084" i="2"/>
  <c r="G1084" i="2"/>
  <c r="O1083" i="2"/>
  <c r="K1083" i="2"/>
  <c r="J1083" i="2"/>
  <c r="I1083" i="2"/>
  <c r="G1083" i="2"/>
  <c r="O1082" i="2"/>
  <c r="K1082" i="2"/>
  <c r="J1082" i="2"/>
  <c r="I1082" i="2"/>
  <c r="G1082" i="2"/>
  <c r="O1081" i="2"/>
  <c r="K1081" i="2"/>
  <c r="J1081" i="2"/>
  <c r="I1081" i="2"/>
  <c r="G1081" i="2"/>
  <c r="O1080" i="2"/>
  <c r="K1080" i="2"/>
  <c r="J1080" i="2"/>
  <c r="I1080" i="2"/>
  <c r="G1080" i="2"/>
  <c r="O1079" i="2"/>
  <c r="K1079" i="2"/>
  <c r="J1079" i="2"/>
  <c r="I1079" i="2"/>
  <c r="G1079" i="2"/>
  <c r="O1078" i="2"/>
  <c r="K1078" i="2"/>
  <c r="J1078" i="2"/>
  <c r="I1078" i="2"/>
  <c r="G1078" i="2"/>
  <c r="O1077" i="2"/>
  <c r="K1077" i="2"/>
  <c r="J1077" i="2"/>
  <c r="I1077" i="2"/>
  <c r="G1077" i="2"/>
  <c r="O1076" i="2"/>
  <c r="K1076" i="2"/>
  <c r="J1076" i="2"/>
  <c r="I1076" i="2"/>
  <c r="G1076" i="2"/>
  <c r="O1075" i="2"/>
  <c r="K1075" i="2"/>
  <c r="J1075" i="2"/>
  <c r="I1075" i="2"/>
  <c r="G1075" i="2"/>
  <c r="O1074" i="2"/>
  <c r="K1074" i="2"/>
  <c r="J1074" i="2"/>
  <c r="I1074" i="2"/>
  <c r="G1074" i="2"/>
  <c r="O1073" i="2"/>
  <c r="K1073" i="2"/>
  <c r="J1073" i="2"/>
  <c r="I1073" i="2"/>
  <c r="G1073" i="2"/>
  <c r="O1072" i="2"/>
  <c r="K1072" i="2"/>
  <c r="J1072" i="2"/>
  <c r="I1072" i="2"/>
  <c r="G1072" i="2"/>
  <c r="O1071" i="2"/>
  <c r="K1071" i="2"/>
  <c r="J1071" i="2"/>
  <c r="I1071" i="2"/>
  <c r="G1071" i="2"/>
  <c r="O1070" i="2"/>
  <c r="K1070" i="2"/>
  <c r="J1070" i="2"/>
  <c r="I1070" i="2"/>
  <c r="G1070" i="2"/>
  <c r="O1069" i="2"/>
  <c r="K1069" i="2"/>
  <c r="J1069" i="2"/>
  <c r="I1069" i="2"/>
  <c r="G1069" i="2"/>
  <c r="O1068" i="2"/>
  <c r="K1068" i="2"/>
  <c r="J1068" i="2"/>
  <c r="I1068" i="2"/>
  <c r="G1068" i="2"/>
  <c r="O1067" i="2"/>
  <c r="K1067" i="2"/>
  <c r="J1067" i="2"/>
  <c r="I1067" i="2"/>
  <c r="G1067" i="2"/>
  <c r="O1066" i="2"/>
  <c r="K1066" i="2"/>
  <c r="J1066" i="2"/>
  <c r="I1066" i="2"/>
  <c r="G1066" i="2"/>
  <c r="O1065" i="2"/>
  <c r="K1065" i="2"/>
  <c r="J1065" i="2"/>
  <c r="I1065" i="2"/>
  <c r="G1065" i="2"/>
  <c r="O1064" i="2"/>
  <c r="K1064" i="2"/>
  <c r="J1064" i="2"/>
  <c r="I1064" i="2"/>
  <c r="G1064" i="2"/>
  <c r="O1063" i="2"/>
  <c r="K1063" i="2"/>
  <c r="J1063" i="2"/>
  <c r="I1063" i="2"/>
  <c r="G1063" i="2"/>
  <c r="O1062" i="2"/>
  <c r="K1062" i="2"/>
  <c r="J1062" i="2"/>
  <c r="I1062" i="2"/>
  <c r="G1062" i="2"/>
  <c r="O1061" i="2"/>
  <c r="K1061" i="2"/>
  <c r="J1061" i="2"/>
  <c r="I1061" i="2"/>
  <c r="G1061" i="2"/>
  <c r="O1060" i="2"/>
  <c r="K1060" i="2"/>
  <c r="J1060" i="2"/>
  <c r="I1060" i="2"/>
  <c r="G1060" i="2"/>
  <c r="O1059" i="2"/>
  <c r="K1059" i="2"/>
  <c r="J1059" i="2"/>
  <c r="I1059" i="2"/>
  <c r="G1059" i="2"/>
  <c r="O1058" i="2"/>
  <c r="K1058" i="2"/>
  <c r="J1058" i="2"/>
  <c r="I1058" i="2"/>
  <c r="G1058" i="2"/>
  <c r="K1057" i="2"/>
  <c r="J1057" i="2"/>
  <c r="I1057" i="2"/>
  <c r="G1057" i="2"/>
  <c r="K1056" i="2"/>
  <c r="J1056" i="2"/>
  <c r="I1056" i="2"/>
  <c r="G1056" i="2"/>
  <c r="K1055" i="2"/>
  <c r="J1055" i="2"/>
  <c r="I1055" i="2"/>
  <c r="G1055" i="2"/>
  <c r="K1054" i="2"/>
  <c r="J1054" i="2"/>
  <c r="I1054" i="2"/>
  <c r="G1054" i="2"/>
  <c r="K1053" i="2"/>
  <c r="J1053" i="2"/>
  <c r="I1053" i="2"/>
  <c r="G1053" i="2"/>
  <c r="K1052" i="2"/>
  <c r="J1052" i="2"/>
  <c r="I1052" i="2"/>
  <c r="G1052" i="2"/>
  <c r="K1051" i="2"/>
  <c r="J1051" i="2"/>
  <c r="I1051" i="2"/>
  <c r="G1051" i="2"/>
  <c r="K1050" i="2"/>
  <c r="J1050" i="2"/>
  <c r="I1050" i="2"/>
  <c r="G1050" i="2"/>
  <c r="K1049" i="2"/>
  <c r="J1049" i="2"/>
  <c r="I1049" i="2"/>
  <c r="G1049" i="2"/>
  <c r="O1048" i="2"/>
  <c r="K1048" i="2"/>
  <c r="J1048" i="2"/>
  <c r="I1048" i="2"/>
  <c r="G1048" i="2"/>
  <c r="K1047" i="2"/>
  <c r="J1047" i="2"/>
  <c r="I1047" i="2"/>
  <c r="G1047" i="2"/>
  <c r="K1046" i="2"/>
  <c r="J1046" i="2"/>
  <c r="I1046" i="2"/>
  <c r="G1046" i="2"/>
  <c r="K1045" i="2"/>
  <c r="J1045" i="2"/>
  <c r="I1045" i="2"/>
  <c r="G1045" i="2"/>
  <c r="K1044" i="2"/>
  <c r="J1044" i="2"/>
  <c r="I1044" i="2"/>
  <c r="G1044" i="2"/>
  <c r="K1043" i="2"/>
  <c r="J1043" i="2"/>
  <c r="I1043" i="2"/>
  <c r="G1043" i="2"/>
  <c r="O1042" i="2"/>
  <c r="K1042" i="2"/>
  <c r="J1042" i="2"/>
  <c r="I1042" i="2"/>
  <c r="G1042" i="2"/>
  <c r="O1041" i="2"/>
  <c r="K1041" i="2"/>
  <c r="J1041" i="2"/>
  <c r="I1041" i="2"/>
  <c r="G1041" i="2"/>
  <c r="K1040" i="2"/>
  <c r="J1040" i="2"/>
  <c r="I1040" i="2"/>
  <c r="G1040" i="2"/>
  <c r="K1039" i="2"/>
  <c r="J1039" i="2"/>
  <c r="I1039" i="2"/>
  <c r="G1039" i="2"/>
  <c r="K1038" i="2"/>
  <c r="J1038" i="2"/>
  <c r="I1038" i="2"/>
  <c r="G1038" i="2"/>
  <c r="O1037" i="2"/>
  <c r="K1037" i="2"/>
  <c r="J1037" i="2"/>
  <c r="I1037" i="2"/>
  <c r="G1037" i="2"/>
  <c r="O1036" i="2"/>
  <c r="K1036" i="2"/>
  <c r="J1036" i="2"/>
  <c r="I1036" i="2"/>
  <c r="G1036" i="2"/>
  <c r="O1035" i="2"/>
  <c r="K1035" i="2"/>
  <c r="J1035" i="2"/>
  <c r="I1035" i="2"/>
  <c r="G1035" i="2"/>
  <c r="O1034" i="2"/>
  <c r="K1034" i="2"/>
  <c r="J1034" i="2"/>
  <c r="I1034" i="2"/>
  <c r="G1034" i="2"/>
  <c r="O1033" i="2"/>
  <c r="K1033" i="2"/>
  <c r="J1033" i="2"/>
  <c r="I1033" i="2"/>
  <c r="G1033" i="2"/>
  <c r="O1032" i="2"/>
  <c r="K1032" i="2"/>
  <c r="J1032" i="2"/>
  <c r="I1032" i="2"/>
  <c r="G1032" i="2"/>
  <c r="O1031" i="2"/>
  <c r="K1031" i="2"/>
  <c r="J1031" i="2"/>
  <c r="I1031" i="2"/>
  <c r="G1031" i="2"/>
  <c r="O1030" i="2"/>
  <c r="K1030" i="2"/>
  <c r="J1030" i="2"/>
  <c r="I1030" i="2"/>
  <c r="G1030" i="2"/>
  <c r="O1029" i="2"/>
  <c r="K1029" i="2"/>
  <c r="J1029" i="2"/>
  <c r="I1029" i="2"/>
  <c r="G1029" i="2"/>
  <c r="O1028" i="2"/>
  <c r="K1028" i="2"/>
  <c r="J1028" i="2"/>
  <c r="I1028" i="2"/>
  <c r="G1028" i="2"/>
  <c r="O1027" i="2"/>
  <c r="K1027" i="2"/>
  <c r="J1027" i="2"/>
  <c r="I1027" i="2"/>
  <c r="G1027" i="2"/>
  <c r="O1026" i="2"/>
  <c r="K1026" i="2"/>
  <c r="J1026" i="2"/>
  <c r="I1026" i="2"/>
  <c r="G1026" i="2"/>
  <c r="O1025" i="2"/>
  <c r="K1025" i="2"/>
  <c r="J1025" i="2"/>
  <c r="I1025" i="2"/>
  <c r="G1025" i="2"/>
  <c r="O1024" i="2"/>
  <c r="K1024" i="2"/>
  <c r="J1024" i="2"/>
  <c r="I1024" i="2"/>
  <c r="G1024" i="2"/>
  <c r="O1023" i="2"/>
  <c r="K1023" i="2"/>
  <c r="J1023" i="2"/>
  <c r="I1023" i="2"/>
  <c r="G1023" i="2"/>
  <c r="O1022" i="2"/>
  <c r="K1022" i="2"/>
  <c r="J1022" i="2"/>
  <c r="I1022" i="2"/>
  <c r="G1022" i="2"/>
  <c r="O1021" i="2"/>
  <c r="K1021" i="2"/>
  <c r="J1021" i="2"/>
  <c r="I1021" i="2"/>
  <c r="G1021" i="2"/>
  <c r="O1020" i="2"/>
  <c r="K1020" i="2"/>
  <c r="J1020" i="2"/>
  <c r="I1020" i="2"/>
  <c r="G1020" i="2"/>
  <c r="O1019" i="2"/>
  <c r="K1019" i="2"/>
  <c r="J1019" i="2"/>
  <c r="I1019" i="2"/>
  <c r="G1019" i="2"/>
  <c r="O1018" i="2"/>
  <c r="K1018" i="2"/>
  <c r="J1018" i="2"/>
  <c r="I1018" i="2"/>
  <c r="G1018" i="2"/>
  <c r="O1017" i="2"/>
  <c r="K1017" i="2"/>
  <c r="J1017" i="2"/>
  <c r="I1017" i="2"/>
  <c r="G1017" i="2"/>
  <c r="O1016" i="2"/>
  <c r="K1016" i="2"/>
  <c r="J1016" i="2"/>
  <c r="I1016" i="2"/>
  <c r="G1016" i="2"/>
  <c r="O1015" i="2"/>
  <c r="K1015" i="2"/>
  <c r="J1015" i="2"/>
  <c r="I1015" i="2"/>
  <c r="G1015" i="2"/>
  <c r="O1014" i="2"/>
  <c r="K1014" i="2"/>
  <c r="J1014" i="2"/>
  <c r="I1014" i="2"/>
  <c r="G1014" i="2"/>
  <c r="O1013" i="2"/>
  <c r="K1013" i="2"/>
  <c r="J1013" i="2"/>
  <c r="I1013" i="2"/>
  <c r="G1013" i="2"/>
  <c r="O1012" i="2"/>
  <c r="K1012" i="2"/>
  <c r="J1012" i="2"/>
  <c r="I1012" i="2"/>
  <c r="G1012" i="2"/>
  <c r="O1011" i="2"/>
  <c r="K1011" i="2"/>
  <c r="J1011" i="2"/>
  <c r="I1011" i="2"/>
  <c r="G1011" i="2"/>
  <c r="O1010" i="2"/>
  <c r="K1010" i="2"/>
  <c r="J1010" i="2"/>
  <c r="I1010" i="2"/>
  <c r="G1010" i="2"/>
  <c r="O1009" i="2"/>
  <c r="K1009" i="2"/>
  <c r="J1009" i="2"/>
  <c r="I1009" i="2"/>
  <c r="G1009" i="2"/>
  <c r="O1008" i="2"/>
  <c r="K1008" i="2"/>
  <c r="J1008" i="2"/>
  <c r="I1008" i="2"/>
  <c r="G1008" i="2"/>
  <c r="O1007" i="2"/>
  <c r="K1007" i="2"/>
  <c r="J1007" i="2"/>
  <c r="I1007" i="2"/>
  <c r="G1007" i="2"/>
  <c r="O1006" i="2"/>
  <c r="K1006" i="2"/>
  <c r="J1006" i="2"/>
  <c r="I1006" i="2"/>
  <c r="G1006" i="2"/>
  <c r="O1005" i="2"/>
  <c r="K1005" i="2"/>
  <c r="J1005" i="2"/>
  <c r="I1005" i="2"/>
  <c r="G1005" i="2"/>
  <c r="O1004" i="2"/>
  <c r="K1004" i="2"/>
  <c r="J1004" i="2"/>
  <c r="I1004" i="2"/>
  <c r="G1004" i="2"/>
  <c r="O1003" i="2"/>
  <c r="K1003" i="2"/>
  <c r="J1003" i="2"/>
  <c r="I1003" i="2"/>
  <c r="G1003" i="2"/>
  <c r="O1002" i="2"/>
  <c r="K1002" i="2"/>
  <c r="J1002" i="2"/>
  <c r="I1002" i="2"/>
  <c r="G1002" i="2"/>
  <c r="O1001" i="2"/>
  <c r="K1001" i="2"/>
  <c r="J1001" i="2"/>
  <c r="I1001" i="2"/>
  <c r="G1001" i="2"/>
  <c r="O1000" i="2"/>
  <c r="K1000" i="2"/>
  <c r="J1000" i="2"/>
  <c r="I1000" i="2"/>
  <c r="G1000" i="2"/>
  <c r="O999" i="2"/>
  <c r="K999" i="2"/>
  <c r="J999" i="2"/>
  <c r="I999" i="2"/>
  <c r="G999" i="2"/>
  <c r="O998" i="2"/>
  <c r="K998" i="2"/>
  <c r="J998" i="2"/>
  <c r="I998" i="2"/>
  <c r="G998" i="2"/>
  <c r="O997" i="2"/>
  <c r="K997" i="2"/>
  <c r="J997" i="2"/>
  <c r="I997" i="2"/>
  <c r="G997" i="2"/>
  <c r="O996" i="2"/>
  <c r="K996" i="2"/>
  <c r="J996" i="2"/>
  <c r="I996" i="2"/>
  <c r="G996" i="2"/>
  <c r="O995" i="2"/>
  <c r="K995" i="2"/>
  <c r="J995" i="2"/>
  <c r="I995" i="2"/>
  <c r="G995" i="2"/>
  <c r="O994" i="2"/>
  <c r="K994" i="2"/>
  <c r="J994" i="2"/>
  <c r="I994" i="2"/>
  <c r="G994" i="2"/>
  <c r="O993" i="2"/>
  <c r="K993" i="2"/>
  <c r="J993" i="2"/>
  <c r="I993" i="2"/>
  <c r="G993" i="2"/>
  <c r="O992" i="2"/>
  <c r="K992" i="2"/>
  <c r="J992" i="2"/>
  <c r="I992" i="2"/>
  <c r="G992" i="2"/>
  <c r="O991" i="2"/>
  <c r="K991" i="2"/>
  <c r="J991" i="2"/>
  <c r="I991" i="2"/>
  <c r="G991" i="2"/>
  <c r="O990" i="2"/>
  <c r="K990" i="2"/>
  <c r="J990" i="2"/>
  <c r="I990" i="2"/>
  <c r="G990" i="2"/>
  <c r="O989" i="2"/>
  <c r="K989" i="2"/>
  <c r="J989" i="2"/>
  <c r="I989" i="2"/>
  <c r="G989" i="2"/>
  <c r="O988" i="2"/>
  <c r="K988" i="2"/>
  <c r="J988" i="2"/>
  <c r="I988" i="2"/>
  <c r="G988" i="2"/>
  <c r="O987" i="2"/>
  <c r="K987" i="2"/>
  <c r="J987" i="2"/>
  <c r="I987" i="2"/>
  <c r="G987" i="2"/>
  <c r="O986" i="2"/>
  <c r="K986" i="2"/>
  <c r="J986" i="2"/>
  <c r="I986" i="2"/>
  <c r="G986" i="2"/>
  <c r="O985" i="2"/>
  <c r="K985" i="2"/>
  <c r="J985" i="2"/>
  <c r="I985" i="2"/>
  <c r="G985" i="2"/>
  <c r="O984" i="2"/>
  <c r="K984" i="2"/>
  <c r="J984" i="2"/>
  <c r="I984" i="2"/>
  <c r="G984" i="2"/>
  <c r="O983" i="2"/>
  <c r="K983" i="2"/>
  <c r="J983" i="2"/>
  <c r="I983" i="2"/>
  <c r="G983" i="2"/>
  <c r="O982" i="2"/>
  <c r="K982" i="2"/>
  <c r="J982" i="2"/>
  <c r="I982" i="2"/>
  <c r="G982" i="2"/>
  <c r="O981" i="2"/>
  <c r="K981" i="2"/>
  <c r="J981" i="2"/>
  <c r="I981" i="2"/>
  <c r="G981" i="2"/>
  <c r="O980" i="2"/>
  <c r="K980" i="2"/>
  <c r="J980" i="2"/>
  <c r="I980" i="2"/>
  <c r="G980" i="2"/>
  <c r="O979" i="2"/>
  <c r="K979" i="2"/>
  <c r="J979" i="2"/>
  <c r="I979" i="2"/>
  <c r="G979" i="2"/>
  <c r="O978" i="2"/>
  <c r="K978" i="2"/>
  <c r="J978" i="2"/>
  <c r="I978" i="2"/>
  <c r="G978" i="2"/>
  <c r="O977" i="2"/>
  <c r="K977" i="2"/>
  <c r="J977" i="2"/>
  <c r="I977" i="2"/>
  <c r="G977" i="2"/>
  <c r="O976" i="2"/>
  <c r="K976" i="2"/>
  <c r="J976" i="2"/>
  <c r="I976" i="2"/>
  <c r="G976" i="2"/>
  <c r="O975" i="2"/>
  <c r="K975" i="2"/>
  <c r="J975" i="2"/>
  <c r="I975" i="2"/>
  <c r="G975" i="2"/>
  <c r="O974" i="2"/>
  <c r="K974" i="2"/>
  <c r="J974" i="2"/>
  <c r="I974" i="2"/>
  <c r="G974" i="2"/>
  <c r="O973" i="2"/>
  <c r="K973" i="2"/>
  <c r="J973" i="2"/>
  <c r="I973" i="2"/>
  <c r="G973" i="2"/>
  <c r="O972" i="2"/>
  <c r="K972" i="2"/>
  <c r="J972" i="2"/>
  <c r="I972" i="2"/>
  <c r="G972" i="2"/>
  <c r="O971" i="2"/>
  <c r="K971" i="2"/>
  <c r="J971" i="2"/>
  <c r="I971" i="2"/>
  <c r="G971" i="2"/>
  <c r="O970" i="2"/>
  <c r="K970" i="2"/>
  <c r="J970" i="2"/>
  <c r="I970" i="2"/>
  <c r="G970" i="2"/>
  <c r="O969" i="2"/>
  <c r="K969" i="2"/>
  <c r="J969" i="2"/>
  <c r="I969" i="2"/>
  <c r="G969" i="2"/>
  <c r="O968" i="2"/>
  <c r="K968" i="2"/>
  <c r="J968" i="2"/>
  <c r="I968" i="2"/>
  <c r="G968" i="2"/>
  <c r="O967" i="2"/>
  <c r="K967" i="2"/>
  <c r="J967" i="2"/>
  <c r="I967" i="2"/>
  <c r="G967" i="2"/>
  <c r="O966" i="2"/>
  <c r="K966" i="2"/>
  <c r="J966" i="2"/>
  <c r="I966" i="2"/>
  <c r="G966" i="2"/>
  <c r="O965" i="2"/>
  <c r="K965" i="2"/>
  <c r="J965" i="2"/>
  <c r="I965" i="2"/>
  <c r="G965" i="2"/>
  <c r="O964" i="2"/>
  <c r="K964" i="2"/>
  <c r="J964" i="2"/>
  <c r="I964" i="2"/>
  <c r="G964" i="2"/>
  <c r="O963" i="2"/>
  <c r="K963" i="2"/>
  <c r="J963" i="2"/>
  <c r="I963" i="2"/>
  <c r="G963" i="2"/>
  <c r="O962" i="2"/>
  <c r="K962" i="2"/>
  <c r="J962" i="2"/>
  <c r="I962" i="2"/>
  <c r="G962" i="2"/>
  <c r="O961" i="2"/>
  <c r="K961" i="2"/>
  <c r="J961" i="2"/>
  <c r="I961" i="2"/>
  <c r="G961" i="2"/>
  <c r="O960" i="2"/>
  <c r="K960" i="2"/>
  <c r="J960" i="2"/>
  <c r="I960" i="2"/>
  <c r="G960" i="2"/>
  <c r="O959" i="2"/>
  <c r="K959" i="2"/>
  <c r="J959" i="2"/>
  <c r="I959" i="2"/>
  <c r="G959" i="2"/>
  <c r="O958" i="2"/>
  <c r="K958" i="2"/>
  <c r="J958" i="2"/>
  <c r="I958" i="2"/>
  <c r="G958" i="2"/>
  <c r="O957" i="2"/>
  <c r="K957" i="2"/>
  <c r="J957" i="2"/>
  <c r="I957" i="2"/>
  <c r="G957" i="2"/>
  <c r="O956" i="2"/>
  <c r="K956" i="2"/>
  <c r="J956" i="2"/>
  <c r="I956" i="2"/>
  <c r="G956" i="2"/>
  <c r="O955" i="2"/>
  <c r="K955" i="2"/>
  <c r="J955" i="2"/>
  <c r="I955" i="2"/>
  <c r="G955" i="2"/>
  <c r="O954" i="2"/>
  <c r="K954" i="2"/>
  <c r="J954" i="2"/>
  <c r="I954" i="2"/>
  <c r="G954" i="2"/>
  <c r="O953" i="2"/>
  <c r="K953" i="2"/>
  <c r="J953" i="2"/>
  <c r="I953" i="2"/>
  <c r="G953" i="2"/>
  <c r="O952" i="2"/>
  <c r="K952" i="2"/>
  <c r="J952" i="2"/>
  <c r="I952" i="2"/>
  <c r="G952" i="2"/>
  <c r="O951" i="2"/>
  <c r="K951" i="2"/>
  <c r="J951" i="2"/>
  <c r="I951" i="2"/>
  <c r="G951" i="2"/>
  <c r="O950" i="2"/>
  <c r="K950" i="2"/>
  <c r="J950" i="2"/>
  <c r="I950" i="2"/>
  <c r="G950" i="2"/>
  <c r="O949" i="2"/>
  <c r="K949" i="2"/>
  <c r="J949" i="2"/>
  <c r="I949" i="2"/>
  <c r="G949" i="2"/>
  <c r="O948" i="2"/>
  <c r="K948" i="2"/>
  <c r="J948" i="2"/>
  <c r="I948" i="2"/>
  <c r="G948" i="2"/>
  <c r="O947" i="2"/>
  <c r="K947" i="2"/>
  <c r="J947" i="2"/>
  <c r="I947" i="2"/>
  <c r="G947" i="2"/>
  <c r="O946" i="2"/>
  <c r="K946" i="2"/>
  <c r="J946" i="2"/>
  <c r="I946" i="2"/>
  <c r="G946" i="2"/>
  <c r="O945" i="2"/>
  <c r="K945" i="2"/>
  <c r="J945" i="2"/>
  <c r="I945" i="2"/>
  <c r="G945" i="2"/>
  <c r="O944" i="2"/>
  <c r="K944" i="2"/>
  <c r="J944" i="2"/>
  <c r="I944" i="2"/>
  <c r="G944" i="2"/>
  <c r="O943" i="2"/>
  <c r="K943" i="2"/>
  <c r="J943" i="2"/>
  <c r="I943" i="2"/>
  <c r="G943" i="2"/>
  <c r="O942" i="2"/>
  <c r="K942" i="2"/>
  <c r="J942" i="2"/>
  <c r="I942" i="2"/>
  <c r="G942" i="2"/>
  <c r="O941" i="2"/>
  <c r="K941" i="2"/>
  <c r="J941" i="2"/>
  <c r="I941" i="2"/>
  <c r="G941" i="2"/>
  <c r="O940" i="2"/>
  <c r="K940" i="2"/>
  <c r="J940" i="2"/>
  <c r="I940" i="2"/>
  <c r="G940" i="2"/>
  <c r="O939" i="2"/>
  <c r="K939" i="2"/>
  <c r="J939" i="2"/>
  <c r="I939" i="2"/>
  <c r="G939" i="2"/>
  <c r="O938" i="2"/>
  <c r="K938" i="2"/>
  <c r="J938" i="2"/>
  <c r="I938" i="2"/>
  <c r="G938" i="2"/>
  <c r="O937" i="2"/>
  <c r="K937" i="2"/>
  <c r="J937" i="2"/>
  <c r="I937" i="2"/>
  <c r="G937" i="2"/>
  <c r="O936" i="2"/>
  <c r="K936" i="2"/>
  <c r="J936" i="2"/>
  <c r="I936" i="2"/>
  <c r="G936" i="2"/>
  <c r="O935" i="2"/>
  <c r="K935" i="2"/>
  <c r="J935" i="2"/>
  <c r="I935" i="2"/>
  <c r="G935" i="2"/>
  <c r="O934" i="2"/>
  <c r="K934" i="2"/>
  <c r="J934" i="2"/>
  <c r="I934" i="2"/>
  <c r="G934" i="2"/>
  <c r="O933" i="2"/>
  <c r="K933" i="2"/>
  <c r="J933" i="2"/>
  <c r="I933" i="2"/>
  <c r="G933" i="2"/>
  <c r="O932" i="2"/>
  <c r="K932" i="2"/>
  <c r="J932" i="2"/>
  <c r="I932" i="2"/>
  <c r="G932" i="2"/>
  <c r="O931" i="2"/>
  <c r="K931" i="2"/>
  <c r="J931" i="2"/>
  <c r="I931" i="2"/>
  <c r="G931" i="2"/>
  <c r="O930" i="2"/>
  <c r="K930" i="2"/>
  <c r="J930" i="2"/>
  <c r="I930" i="2"/>
  <c r="G930" i="2"/>
  <c r="O929" i="2"/>
  <c r="K929" i="2"/>
  <c r="J929" i="2"/>
  <c r="I929" i="2"/>
  <c r="G929" i="2"/>
  <c r="O928" i="2"/>
  <c r="K928" i="2"/>
  <c r="J928" i="2"/>
  <c r="I928" i="2"/>
  <c r="G928" i="2"/>
  <c r="O927" i="2"/>
  <c r="K927" i="2"/>
  <c r="J927" i="2"/>
  <c r="I927" i="2"/>
  <c r="G927" i="2"/>
  <c r="O926" i="2"/>
  <c r="K926" i="2"/>
  <c r="J926" i="2"/>
  <c r="I926" i="2"/>
  <c r="G926" i="2"/>
  <c r="O925" i="2"/>
  <c r="K925" i="2"/>
  <c r="J925" i="2"/>
  <c r="I925" i="2"/>
  <c r="G925" i="2"/>
  <c r="O924" i="2"/>
  <c r="K924" i="2"/>
  <c r="J924" i="2"/>
  <c r="I924" i="2"/>
  <c r="G924" i="2"/>
  <c r="O923" i="2"/>
  <c r="K923" i="2"/>
  <c r="J923" i="2"/>
  <c r="I923" i="2"/>
  <c r="G923" i="2"/>
  <c r="O922" i="2"/>
  <c r="K922" i="2"/>
  <c r="J922" i="2"/>
  <c r="I922" i="2"/>
  <c r="G922" i="2"/>
  <c r="O921" i="2"/>
  <c r="K921" i="2"/>
  <c r="J921" i="2"/>
  <c r="I921" i="2"/>
  <c r="G921" i="2"/>
  <c r="O920" i="2"/>
  <c r="K920" i="2"/>
  <c r="J920" i="2"/>
  <c r="I920" i="2"/>
  <c r="G920" i="2"/>
  <c r="O919" i="2"/>
  <c r="K919" i="2"/>
  <c r="J919" i="2"/>
  <c r="I919" i="2"/>
  <c r="G919" i="2"/>
  <c r="O918" i="2"/>
  <c r="K918" i="2"/>
  <c r="J918" i="2"/>
  <c r="I918" i="2"/>
  <c r="G918" i="2"/>
  <c r="O917" i="2"/>
  <c r="K917" i="2"/>
  <c r="J917" i="2"/>
  <c r="I917" i="2"/>
  <c r="G917" i="2"/>
  <c r="O916" i="2"/>
  <c r="K916" i="2"/>
  <c r="J916" i="2"/>
  <c r="I916" i="2"/>
  <c r="G916" i="2"/>
  <c r="O915" i="2"/>
  <c r="K915" i="2"/>
  <c r="J915" i="2"/>
  <c r="I915" i="2"/>
  <c r="G915" i="2"/>
  <c r="O914" i="2"/>
  <c r="K914" i="2"/>
  <c r="J914" i="2"/>
  <c r="I914" i="2"/>
  <c r="G914" i="2"/>
  <c r="K913" i="2"/>
  <c r="J913" i="2"/>
  <c r="I913" i="2"/>
  <c r="G913" i="2"/>
  <c r="K912" i="2"/>
  <c r="J912" i="2"/>
  <c r="I912" i="2"/>
  <c r="G912" i="2"/>
  <c r="K911" i="2"/>
  <c r="J911" i="2"/>
  <c r="I911" i="2"/>
  <c r="G911" i="2"/>
  <c r="K910" i="2"/>
  <c r="J910" i="2"/>
  <c r="I910" i="2"/>
  <c r="G910" i="2"/>
  <c r="K909" i="2"/>
  <c r="J909" i="2"/>
  <c r="I909" i="2"/>
  <c r="G909" i="2"/>
  <c r="K908" i="2"/>
  <c r="J908" i="2"/>
  <c r="I908" i="2"/>
  <c r="G908" i="2"/>
  <c r="K907" i="2"/>
  <c r="J907" i="2"/>
  <c r="I907" i="2"/>
  <c r="G907" i="2"/>
  <c r="K906" i="2"/>
  <c r="J906" i="2"/>
  <c r="I906" i="2"/>
  <c r="G906" i="2"/>
  <c r="K905" i="2"/>
  <c r="J905" i="2"/>
  <c r="I905" i="2"/>
  <c r="G905" i="2"/>
  <c r="K904" i="2"/>
  <c r="J904" i="2"/>
  <c r="I904" i="2"/>
  <c r="G904" i="2"/>
  <c r="K903" i="2"/>
  <c r="J903" i="2"/>
  <c r="I903" i="2"/>
  <c r="G903" i="2"/>
  <c r="K902" i="2"/>
  <c r="J902" i="2"/>
  <c r="I902" i="2"/>
  <c r="G902" i="2"/>
  <c r="K901" i="2"/>
  <c r="J901" i="2"/>
  <c r="I901" i="2"/>
  <c r="G901" i="2"/>
  <c r="K900" i="2"/>
  <c r="J900" i="2"/>
  <c r="I900" i="2"/>
  <c r="G900" i="2"/>
  <c r="K899" i="2"/>
  <c r="J899" i="2"/>
  <c r="I899" i="2"/>
  <c r="G899" i="2"/>
  <c r="K898" i="2"/>
  <c r="J898" i="2"/>
  <c r="I898" i="2"/>
  <c r="G898" i="2"/>
  <c r="K897" i="2"/>
  <c r="J897" i="2"/>
  <c r="I897" i="2"/>
  <c r="G897" i="2"/>
  <c r="K896" i="2"/>
  <c r="J896" i="2"/>
  <c r="I896" i="2"/>
  <c r="G896" i="2"/>
  <c r="O895" i="2"/>
  <c r="K895" i="2"/>
  <c r="J895" i="2"/>
  <c r="I895" i="2"/>
  <c r="G895" i="2"/>
  <c r="K894" i="2"/>
  <c r="J894" i="2"/>
  <c r="I894" i="2"/>
  <c r="G894" i="2"/>
  <c r="O893" i="2"/>
  <c r="K893" i="2"/>
  <c r="J893" i="2"/>
  <c r="I893" i="2"/>
  <c r="G893" i="2"/>
  <c r="K892" i="2"/>
  <c r="J892" i="2"/>
  <c r="I892" i="2"/>
  <c r="G892" i="2"/>
  <c r="O891" i="2"/>
  <c r="K891" i="2"/>
  <c r="J891" i="2"/>
  <c r="I891" i="2"/>
  <c r="G891" i="2"/>
  <c r="K890" i="2"/>
  <c r="J890" i="2"/>
  <c r="I890" i="2"/>
  <c r="G890" i="2"/>
  <c r="K889" i="2"/>
  <c r="J889" i="2"/>
  <c r="I889" i="2"/>
  <c r="G889" i="2"/>
  <c r="K888" i="2"/>
  <c r="J888" i="2"/>
  <c r="I888" i="2"/>
  <c r="G888" i="2"/>
  <c r="K887" i="2"/>
  <c r="J887" i="2"/>
  <c r="I887" i="2"/>
  <c r="G887" i="2"/>
  <c r="O886" i="2"/>
  <c r="K886" i="2"/>
  <c r="J886" i="2"/>
  <c r="I886" i="2"/>
  <c r="G886" i="2"/>
  <c r="O885" i="2"/>
  <c r="K885" i="2"/>
  <c r="J885" i="2"/>
  <c r="I885" i="2"/>
  <c r="G885" i="2"/>
  <c r="O884" i="2"/>
  <c r="K884" i="2"/>
  <c r="J884" i="2"/>
  <c r="I884" i="2"/>
  <c r="G884" i="2"/>
  <c r="O883" i="2"/>
  <c r="K883" i="2"/>
  <c r="J883" i="2"/>
  <c r="I883" i="2"/>
  <c r="G883" i="2"/>
  <c r="O882" i="2"/>
  <c r="K882" i="2"/>
  <c r="J882" i="2"/>
  <c r="I882" i="2"/>
  <c r="G882" i="2"/>
  <c r="K881" i="2"/>
  <c r="J881" i="2"/>
  <c r="I881" i="2"/>
  <c r="G881" i="2"/>
  <c r="O880" i="2"/>
  <c r="K880" i="2"/>
  <c r="J880" i="2"/>
  <c r="I880" i="2"/>
  <c r="G880" i="2"/>
  <c r="O879" i="2"/>
  <c r="K879" i="2"/>
  <c r="J879" i="2"/>
  <c r="I879" i="2"/>
  <c r="G879" i="2"/>
  <c r="O878" i="2"/>
  <c r="K878" i="2"/>
  <c r="J878" i="2"/>
  <c r="I878" i="2"/>
  <c r="G878" i="2"/>
  <c r="O877" i="2"/>
  <c r="K877" i="2"/>
  <c r="J877" i="2"/>
  <c r="I877" i="2"/>
  <c r="G877" i="2"/>
  <c r="O876" i="2"/>
  <c r="K876" i="2"/>
  <c r="J876" i="2"/>
  <c r="I876" i="2"/>
  <c r="G876" i="2"/>
  <c r="O875" i="2"/>
  <c r="K875" i="2"/>
  <c r="J875" i="2"/>
  <c r="I875" i="2"/>
  <c r="G875" i="2"/>
  <c r="O874" i="2"/>
  <c r="K874" i="2"/>
  <c r="J874" i="2"/>
  <c r="I874" i="2"/>
  <c r="G874" i="2"/>
  <c r="O873" i="2"/>
  <c r="K873" i="2"/>
  <c r="J873" i="2"/>
  <c r="I873" i="2"/>
  <c r="G873" i="2"/>
  <c r="O872" i="2"/>
  <c r="K872" i="2"/>
  <c r="J872" i="2"/>
  <c r="I872" i="2"/>
  <c r="G872" i="2"/>
  <c r="O871" i="2"/>
  <c r="K871" i="2"/>
  <c r="J871" i="2"/>
  <c r="I871" i="2"/>
  <c r="G871" i="2"/>
  <c r="O870" i="2"/>
  <c r="K870" i="2"/>
  <c r="J870" i="2"/>
  <c r="I870" i="2"/>
  <c r="G870" i="2"/>
  <c r="O869" i="2"/>
  <c r="K869" i="2"/>
  <c r="J869" i="2"/>
  <c r="I869" i="2"/>
  <c r="G869" i="2"/>
  <c r="O868" i="2"/>
  <c r="K868" i="2"/>
  <c r="J868" i="2"/>
  <c r="I868" i="2"/>
  <c r="G868" i="2"/>
  <c r="O867" i="2"/>
  <c r="K867" i="2"/>
  <c r="J867" i="2"/>
  <c r="I867" i="2"/>
  <c r="G867" i="2"/>
  <c r="O866" i="2"/>
  <c r="K866" i="2"/>
  <c r="J866" i="2"/>
  <c r="I866" i="2"/>
  <c r="G866" i="2"/>
  <c r="O865" i="2"/>
  <c r="K865" i="2"/>
  <c r="J865" i="2"/>
  <c r="I865" i="2"/>
  <c r="G865" i="2"/>
  <c r="O864" i="2"/>
  <c r="K864" i="2"/>
  <c r="J864" i="2"/>
  <c r="I864" i="2"/>
  <c r="G864" i="2"/>
  <c r="O863" i="2"/>
  <c r="K863" i="2"/>
  <c r="J863" i="2"/>
  <c r="I863" i="2"/>
  <c r="G863" i="2"/>
  <c r="O862" i="2"/>
  <c r="K862" i="2"/>
  <c r="J862" i="2"/>
  <c r="I862" i="2"/>
  <c r="G862" i="2"/>
  <c r="O861" i="2"/>
  <c r="K861" i="2"/>
  <c r="J861" i="2"/>
  <c r="I861" i="2"/>
  <c r="G861" i="2"/>
  <c r="O860" i="2"/>
  <c r="K860" i="2"/>
  <c r="J860" i="2"/>
  <c r="I860" i="2"/>
  <c r="G860" i="2"/>
  <c r="O859" i="2"/>
  <c r="K859" i="2"/>
  <c r="J859" i="2"/>
  <c r="I859" i="2"/>
  <c r="G859" i="2"/>
  <c r="O858" i="2"/>
  <c r="K858" i="2"/>
  <c r="J858" i="2"/>
  <c r="I858" i="2"/>
  <c r="G858" i="2"/>
  <c r="O857" i="2"/>
  <c r="K857" i="2"/>
  <c r="J857" i="2"/>
  <c r="I857" i="2"/>
  <c r="G857" i="2"/>
  <c r="O856" i="2"/>
  <c r="K856" i="2"/>
  <c r="J856" i="2"/>
  <c r="I856" i="2"/>
  <c r="G856" i="2"/>
  <c r="O855" i="2"/>
  <c r="K855" i="2"/>
  <c r="J855" i="2"/>
  <c r="I855" i="2"/>
  <c r="G855" i="2"/>
  <c r="O854" i="2"/>
  <c r="K854" i="2"/>
  <c r="J854" i="2"/>
  <c r="I854" i="2"/>
  <c r="G854" i="2"/>
  <c r="O853" i="2"/>
  <c r="K853" i="2"/>
  <c r="J853" i="2"/>
  <c r="I853" i="2"/>
  <c r="G853" i="2"/>
  <c r="O852" i="2"/>
  <c r="K852" i="2"/>
  <c r="J852" i="2"/>
  <c r="I852" i="2"/>
  <c r="G852" i="2"/>
  <c r="O851" i="2"/>
  <c r="K851" i="2"/>
  <c r="J851" i="2"/>
  <c r="I851" i="2"/>
  <c r="G851" i="2"/>
  <c r="O850" i="2"/>
  <c r="K850" i="2"/>
  <c r="J850" i="2"/>
  <c r="I850" i="2"/>
  <c r="G850" i="2"/>
  <c r="O849" i="2"/>
  <c r="K849" i="2"/>
  <c r="J849" i="2"/>
  <c r="I849" i="2"/>
  <c r="G849" i="2"/>
  <c r="O848" i="2"/>
  <c r="K848" i="2"/>
  <c r="J848" i="2"/>
  <c r="I848" i="2"/>
  <c r="G848" i="2"/>
  <c r="O847" i="2"/>
  <c r="K847" i="2"/>
  <c r="J847" i="2"/>
  <c r="I847" i="2"/>
  <c r="G847" i="2"/>
  <c r="O846" i="2"/>
  <c r="K846" i="2"/>
  <c r="J846" i="2"/>
  <c r="I846" i="2"/>
  <c r="G846" i="2"/>
  <c r="O845" i="2"/>
  <c r="K845" i="2"/>
  <c r="J845" i="2"/>
  <c r="I845" i="2"/>
  <c r="G845" i="2"/>
  <c r="O844" i="2"/>
  <c r="K844" i="2"/>
  <c r="J844" i="2"/>
  <c r="I844" i="2"/>
  <c r="G844" i="2"/>
  <c r="O843" i="2"/>
  <c r="K843" i="2"/>
  <c r="J843" i="2"/>
  <c r="I843" i="2"/>
  <c r="G843" i="2"/>
  <c r="O842" i="2"/>
  <c r="K842" i="2"/>
  <c r="J842" i="2"/>
  <c r="I842" i="2"/>
  <c r="G842" i="2"/>
  <c r="O841" i="2"/>
  <c r="K841" i="2"/>
  <c r="J841" i="2"/>
  <c r="I841" i="2"/>
  <c r="G841" i="2"/>
  <c r="O840" i="2"/>
  <c r="K840" i="2"/>
  <c r="J840" i="2"/>
  <c r="I840" i="2"/>
  <c r="G840" i="2"/>
  <c r="O839" i="2"/>
  <c r="K839" i="2"/>
  <c r="J839" i="2"/>
  <c r="I839" i="2"/>
  <c r="G839" i="2"/>
  <c r="O838" i="2"/>
  <c r="K838" i="2"/>
  <c r="J838" i="2"/>
  <c r="I838" i="2"/>
  <c r="G838" i="2"/>
  <c r="O837" i="2"/>
  <c r="K837" i="2"/>
  <c r="J837" i="2"/>
  <c r="I837" i="2"/>
  <c r="G837" i="2"/>
  <c r="O836" i="2"/>
  <c r="K836" i="2"/>
  <c r="J836" i="2"/>
  <c r="I836" i="2"/>
  <c r="G836" i="2"/>
  <c r="O835" i="2"/>
  <c r="K835" i="2"/>
  <c r="J835" i="2"/>
  <c r="I835" i="2"/>
  <c r="G835" i="2"/>
  <c r="O834" i="2"/>
  <c r="K834" i="2"/>
  <c r="J834" i="2"/>
  <c r="I834" i="2"/>
  <c r="G834" i="2"/>
  <c r="O833" i="2"/>
  <c r="K833" i="2"/>
  <c r="J833" i="2"/>
  <c r="I833" i="2"/>
  <c r="G833" i="2"/>
  <c r="O832" i="2"/>
  <c r="K832" i="2"/>
  <c r="J832" i="2"/>
  <c r="I832" i="2"/>
  <c r="G832" i="2"/>
  <c r="O831" i="2"/>
  <c r="K831" i="2"/>
  <c r="J831" i="2"/>
  <c r="I831" i="2"/>
  <c r="G831" i="2"/>
  <c r="O830" i="2"/>
  <c r="K830" i="2"/>
  <c r="J830" i="2"/>
  <c r="I830" i="2"/>
  <c r="G830" i="2"/>
  <c r="O829" i="2"/>
  <c r="K829" i="2"/>
  <c r="J829" i="2"/>
  <c r="I829" i="2"/>
  <c r="G829" i="2"/>
  <c r="O828" i="2"/>
  <c r="K828" i="2"/>
  <c r="J828" i="2"/>
  <c r="I828" i="2"/>
  <c r="G828" i="2"/>
  <c r="O827" i="2"/>
  <c r="K827" i="2"/>
  <c r="J827" i="2"/>
  <c r="I827" i="2"/>
  <c r="G827" i="2"/>
  <c r="O826" i="2"/>
  <c r="K826" i="2"/>
  <c r="J826" i="2"/>
  <c r="I826" i="2"/>
  <c r="G826" i="2"/>
  <c r="O825" i="2"/>
  <c r="K825" i="2"/>
  <c r="J825" i="2"/>
  <c r="I825" i="2"/>
  <c r="G825" i="2"/>
  <c r="O824" i="2"/>
  <c r="K824" i="2"/>
  <c r="J824" i="2"/>
  <c r="I824" i="2"/>
  <c r="G824" i="2"/>
  <c r="O823" i="2"/>
  <c r="K823" i="2"/>
  <c r="J823" i="2"/>
  <c r="I823" i="2"/>
  <c r="G823" i="2"/>
  <c r="O822" i="2"/>
  <c r="K822" i="2"/>
  <c r="J822" i="2"/>
  <c r="I822" i="2"/>
  <c r="G822" i="2"/>
  <c r="O821" i="2"/>
  <c r="K821" i="2"/>
  <c r="J821" i="2"/>
  <c r="I821" i="2"/>
  <c r="G821" i="2"/>
  <c r="O820" i="2"/>
  <c r="K820" i="2"/>
  <c r="J820" i="2"/>
  <c r="I820" i="2"/>
  <c r="G820" i="2"/>
  <c r="O819" i="2"/>
  <c r="K819" i="2"/>
  <c r="J819" i="2"/>
  <c r="I819" i="2"/>
  <c r="G819" i="2"/>
  <c r="O818" i="2"/>
  <c r="K818" i="2"/>
  <c r="J818" i="2"/>
  <c r="I818" i="2"/>
  <c r="G818" i="2"/>
  <c r="O817" i="2"/>
  <c r="K817" i="2"/>
  <c r="J817" i="2"/>
  <c r="I817" i="2"/>
  <c r="G817" i="2"/>
  <c r="O816" i="2"/>
  <c r="K816" i="2"/>
  <c r="J816" i="2"/>
  <c r="I816" i="2"/>
  <c r="G816" i="2"/>
  <c r="O815" i="2"/>
  <c r="K815" i="2"/>
  <c r="J815" i="2"/>
  <c r="I815" i="2"/>
  <c r="G815" i="2"/>
  <c r="O814" i="2"/>
  <c r="K814" i="2"/>
  <c r="J814" i="2"/>
  <c r="I814" i="2"/>
  <c r="G814" i="2"/>
  <c r="O813" i="2"/>
  <c r="K813" i="2"/>
  <c r="J813" i="2"/>
  <c r="I813" i="2"/>
  <c r="G813" i="2"/>
  <c r="O812" i="2"/>
  <c r="K812" i="2"/>
  <c r="J812" i="2"/>
  <c r="I812" i="2"/>
  <c r="G812" i="2"/>
  <c r="O811" i="2"/>
  <c r="K811" i="2"/>
  <c r="J811" i="2"/>
  <c r="I811" i="2"/>
  <c r="G811" i="2"/>
  <c r="O810" i="2"/>
  <c r="K810" i="2"/>
  <c r="J810" i="2"/>
  <c r="I810" i="2"/>
  <c r="G810" i="2"/>
  <c r="O809" i="2"/>
  <c r="K809" i="2"/>
  <c r="J809" i="2"/>
  <c r="I809" i="2"/>
  <c r="G809" i="2"/>
  <c r="O808" i="2"/>
  <c r="K808" i="2"/>
  <c r="J808" i="2"/>
  <c r="I808" i="2"/>
  <c r="G808" i="2"/>
  <c r="O807" i="2"/>
  <c r="K807" i="2"/>
  <c r="J807" i="2"/>
  <c r="I807" i="2"/>
  <c r="G807" i="2"/>
  <c r="O806" i="2"/>
  <c r="K806" i="2"/>
  <c r="J806" i="2"/>
  <c r="I806" i="2"/>
  <c r="G806" i="2"/>
  <c r="O805" i="2"/>
  <c r="K805" i="2"/>
  <c r="J805" i="2"/>
  <c r="I805" i="2"/>
  <c r="G805" i="2"/>
  <c r="O804" i="2"/>
  <c r="K804" i="2"/>
  <c r="J804" i="2"/>
  <c r="I804" i="2"/>
  <c r="G804" i="2"/>
  <c r="O803" i="2"/>
  <c r="K803" i="2"/>
  <c r="J803" i="2"/>
  <c r="I803" i="2"/>
  <c r="G803" i="2"/>
  <c r="O802" i="2"/>
  <c r="K802" i="2"/>
  <c r="J802" i="2"/>
  <c r="I802" i="2"/>
  <c r="G802" i="2"/>
  <c r="O801" i="2"/>
  <c r="K801" i="2"/>
  <c r="J801" i="2"/>
  <c r="I801" i="2"/>
  <c r="G801" i="2"/>
  <c r="O800" i="2"/>
  <c r="K800" i="2"/>
  <c r="J800" i="2"/>
  <c r="I800" i="2"/>
  <c r="G800" i="2"/>
  <c r="O799" i="2"/>
  <c r="K799" i="2"/>
  <c r="J799" i="2"/>
  <c r="I799" i="2"/>
  <c r="G799" i="2"/>
  <c r="O798" i="2"/>
  <c r="K798" i="2"/>
  <c r="J798" i="2"/>
  <c r="I798" i="2"/>
  <c r="G798" i="2"/>
  <c r="O797" i="2"/>
  <c r="K797" i="2"/>
  <c r="J797" i="2"/>
  <c r="I797" i="2"/>
  <c r="G797" i="2"/>
  <c r="O796" i="2"/>
  <c r="K796" i="2"/>
  <c r="J796" i="2"/>
  <c r="I796" i="2"/>
  <c r="G796" i="2"/>
  <c r="O795" i="2"/>
  <c r="K795" i="2"/>
  <c r="J795" i="2"/>
  <c r="I795" i="2"/>
  <c r="G795" i="2"/>
  <c r="O794" i="2"/>
  <c r="K794" i="2"/>
  <c r="J794" i="2"/>
  <c r="I794" i="2"/>
  <c r="G794" i="2"/>
  <c r="O793" i="2"/>
  <c r="K793" i="2"/>
  <c r="J793" i="2"/>
  <c r="I793" i="2"/>
  <c r="G793" i="2"/>
  <c r="O792" i="2"/>
  <c r="K792" i="2"/>
  <c r="J792" i="2"/>
  <c r="I792" i="2"/>
  <c r="G792" i="2"/>
  <c r="O791" i="2"/>
  <c r="K791" i="2"/>
  <c r="J791" i="2"/>
  <c r="I791" i="2"/>
  <c r="G791" i="2"/>
  <c r="O790" i="2"/>
  <c r="K790" i="2"/>
  <c r="J790" i="2"/>
  <c r="I790" i="2"/>
  <c r="G790" i="2"/>
  <c r="O789" i="2"/>
  <c r="K789" i="2"/>
  <c r="J789" i="2"/>
  <c r="I789" i="2"/>
  <c r="G789" i="2"/>
  <c r="O788" i="2"/>
  <c r="K788" i="2"/>
  <c r="J788" i="2"/>
  <c r="I788" i="2"/>
  <c r="G788" i="2"/>
  <c r="O787" i="2"/>
  <c r="K787" i="2"/>
  <c r="J787" i="2"/>
  <c r="I787" i="2"/>
  <c r="G787" i="2"/>
  <c r="O786" i="2"/>
  <c r="K786" i="2"/>
  <c r="J786" i="2"/>
  <c r="I786" i="2"/>
  <c r="G786" i="2"/>
  <c r="O785" i="2"/>
  <c r="K785" i="2"/>
  <c r="J785" i="2"/>
  <c r="I785" i="2"/>
  <c r="G785" i="2"/>
  <c r="O784" i="2"/>
  <c r="K784" i="2"/>
  <c r="J784" i="2"/>
  <c r="I784" i="2"/>
  <c r="G784" i="2"/>
  <c r="O783" i="2"/>
  <c r="K783" i="2"/>
  <c r="J783" i="2"/>
  <c r="I783" i="2"/>
  <c r="G783" i="2"/>
  <c r="O782" i="2"/>
  <c r="K782" i="2"/>
  <c r="J782" i="2"/>
  <c r="I782" i="2"/>
  <c r="G782" i="2"/>
  <c r="O781" i="2"/>
  <c r="K781" i="2"/>
  <c r="J781" i="2"/>
  <c r="I781" i="2"/>
  <c r="G781" i="2"/>
  <c r="O780" i="2"/>
  <c r="K780" i="2"/>
  <c r="J780" i="2"/>
  <c r="I780" i="2"/>
  <c r="G780" i="2"/>
  <c r="O779" i="2"/>
  <c r="K779" i="2"/>
  <c r="J779" i="2"/>
  <c r="I779" i="2"/>
  <c r="G779" i="2"/>
  <c r="O778" i="2"/>
  <c r="K778" i="2"/>
  <c r="J778" i="2"/>
  <c r="I778" i="2"/>
  <c r="G778" i="2"/>
  <c r="O777" i="2"/>
  <c r="K777" i="2"/>
  <c r="J777" i="2"/>
  <c r="I777" i="2"/>
  <c r="G777" i="2"/>
  <c r="O776" i="2"/>
  <c r="K776" i="2"/>
  <c r="J776" i="2"/>
  <c r="I776" i="2"/>
  <c r="G776" i="2"/>
  <c r="O775" i="2"/>
  <c r="K775" i="2"/>
  <c r="J775" i="2"/>
  <c r="I775" i="2"/>
  <c r="G775" i="2"/>
  <c r="O774" i="2"/>
  <c r="K774" i="2"/>
  <c r="J774" i="2"/>
  <c r="I774" i="2"/>
  <c r="G774" i="2"/>
  <c r="O773" i="2"/>
  <c r="K773" i="2"/>
  <c r="J773" i="2"/>
  <c r="I773" i="2"/>
  <c r="G773" i="2"/>
  <c r="O772" i="2"/>
  <c r="K772" i="2"/>
  <c r="J772" i="2"/>
  <c r="I772" i="2"/>
  <c r="G772" i="2"/>
  <c r="O771" i="2"/>
  <c r="K771" i="2"/>
  <c r="J771" i="2"/>
  <c r="I771" i="2"/>
  <c r="G771" i="2"/>
  <c r="O770" i="2"/>
  <c r="K770" i="2"/>
  <c r="J770" i="2"/>
  <c r="I770" i="2"/>
  <c r="G770" i="2"/>
  <c r="O769" i="2"/>
  <c r="K769" i="2"/>
  <c r="J769" i="2"/>
  <c r="I769" i="2"/>
  <c r="G769" i="2"/>
  <c r="O768" i="2"/>
  <c r="K768" i="2"/>
  <c r="J768" i="2"/>
  <c r="I768" i="2"/>
  <c r="G768" i="2"/>
  <c r="O767" i="2"/>
  <c r="K767" i="2"/>
  <c r="J767" i="2"/>
  <c r="I767" i="2"/>
  <c r="G767" i="2"/>
  <c r="O766" i="2"/>
  <c r="K766" i="2"/>
  <c r="J766" i="2"/>
  <c r="I766" i="2"/>
  <c r="G766" i="2"/>
  <c r="O765" i="2"/>
  <c r="K765" i="2"/>
  <c r="J765" i="2"/>
  <c r="I765" i="2"/>
  <c r="G765" i="2"/>
  <c r="O764" i="2"/>
  <c r="K764" i="2"/>
  <c r="J764" i="2"/>
  <c r="I764" i="2"/>
  <c r="G764" i="2"/>
  <c r="O763" i="2"/>
  <c r="K763" i="2"/>
  <c r="J763" i="2"/>
  <c r="I763" i="2"/>
  <c r="G763" i="2"/>
  <c r="O762" i="2"/>
  <c r="K762" i="2"/>
  <c r="J762" i="2"/>
  <c r="I762" i="2"/>
  <c r="G762" i="2"/>
  <c r="O761" i="2"/>
  <c r="K761" i="2"/>
  <c r="J761" i="2"/>
  <c r="I761" i="2"/>
  <c r="G761" i="2"/>
  <c r="O760" i="2"/>
  <c r="K760" i="2"/>
  <c r="J760" i="2"/>
  <c r="I760" i="2"/>
  <c r="G760" i="2"/>
  <c r="O759" i="2"/>
  <c r="K759" i="2"/>
  <c r="J759" i="2"/>
  <c r="I759" i="2"/>
  <c r="G759" i="2"/>
  <c r="O758" i="2"/>
  <c r="K758" i="2"/>
  <c r="J758" i="2"/>
  <c r="I758" i="2"/>
  <c r="G758" i="2"/>
  <c r="O757" i="2"/>
  <c r="K757" i="2"/>
  <c r="J757" i="2"/>
  <c r="I757" i="2"/>
  <c r="G757" i="2"/>
  <c r="O756" i="2"/>
  <c r="K756" i="2"/>
  <c r="J756" i="2"/>
  <c r="I756" i="2"/>
  <c r="G756" i="2"/>
  <c r="O755" i="2"/>
  <c r="K755" i="2"/>
  <c r="J755" i="2"/>
  <c r="I755" i="2"/>
  <c r="G755" i="2"/>
  <c r="O754" i="2"/>
  <c r="K754" i="2"/>
  <c r="J754" i="2"/>
  <c r="I754" i="2"/>
  <c r="G754" i="2"/>
  <c r="O753" i="2"/>
  <c r="K753" i="2"/>
  <c r="J753" i="2"/>
  <c r="I753" i="2"/>
  <c r="G753" i="2"/>
  <c r="O752" i="2"/>
  <c r="K752" i="2"/>
  <c r="J752" i="2"/>
  <c r="I752" i="2"/>
  <c r="G752" i="2"/>
  <c r="O751" i="2"/>
  <c r="K751" i="2"/>
  <c r="J751" i="2"/>
  <c r="I751" i="2"/>
  <c r="G751" i="2"/>
  <c r="O750" i="2"/>
  <c r="K750" i="2"/>
  <c r="J750" i="2"/>
  <c r="I750" i="2"/>
  <c r="G750" i="2"/>
  <c r="O749" i="2"/>
  <c r="K749" i="2"/>
  <c r="J749" i="2"/>
  <c r="I749" i="2"/>
  <c r="G749" i="2"/>
  <c r="O748" i="2"/>
  <c r="K748" i="2"/>
  <c r="J748" i="2"/>
  <c r="I748" i="2"/>
  <c r="G748" i="2"/>
  <c r="O747" i="2"/>
  <c r="K747" i="2"/>
  <c r="J747" i="2"/>
  <c r="I747" i="2"/>
  <c r="G747" i="2"/>
  <c r="O746" i="2"/>
  <c r="K746" i="2"/>
  <c r="J746" i="2"/>
  <c r="I746" i="2"/>
  <c r="G746" i="2"/>
  <c r="O745" i="2"/>
  <c r="K745" i="2"/>
  <c r="J745" i="2"/>
  <c r="I745" i="2"/>
  <c r="G745" i="2"/>
  <c r="O744" i="2"/>
  <c r="K744" i="2"/>
  <c r="J744" i="2"/>
  <c r="I744" i="2"/>
  <c r="G744" i="2"/>
  <c r="O743" i="2"/>
  <c r="K743" i="2"/>
  <c r="J743" i="2"/>
  <c r="I743" i="2"/>
  <c r="G743" i="2"/>
  <c r="O742" i="2"/>
  <c r="K742" i="2"/>
  <c r="J742" i="2"/>
  <c r="I742" i="2"/>
  <c r="G742" i="2"/>
  <c r="O741" i="2"/>
  <c r="K741" i="2"/>
  <c r="J741" i="2"/>
  <c r="I741" i="2"/>
  <c r="G741" i="2"/>
  <c r="O740" i="2"/>
  <c r="K740" i="2"/>
  <c r="J740" i="2"/>
  <c r="I740" i="2"/>
  <c r="G740" i="2"/>
  <c r="O739" i="2"/>
  <c r="K739" i="2"/>
  <c r="J739" i="2"/>
  <c r="I739" i="2"/>
  <c r="G739" i="2"/>
  <c r="O738" i="2"/>
  <c r="K738" i="2"/>
  <c r="J738" i="2"/>
  <c r="I738" i="2"/>
  <c r="G738" i="2"/>
  <c r="O737" i="2"/>
  <c r="K737" i="2"/>
  <c r="J737" i="2"/>
  <c r="I737" i="2"/>
  <c r="G737" i="2"/>
  <c r="O736" i="2"/>
  <c r="K736" i="2"/>
  <c r="J736" i="2"/>
  <c r="I736" i="2"/>
  <c r="G736" i="2"/>
  <c r="O735" i="2"/>
  <c r="K735" i="2"/>
  <c r="J735" i="2"/>
  <c r="I735" i="2"/>
  <c r="G735" i="2"/>
  <c r="O734" i="2"/>
  <c r="K734" i="2"/>
  <c r="J734" i="2"/>
  <c r="I734" i="2"/>
  <c r="G734" i="2"/>
  <c r="O733" i="2"/>
  <c r="K733" i="2"/>
  <c r="J733" i="2"/>
  <c r="I733" i="2"/>
  <c r="G733" i="2"/>
  <c r="O732" i="2"/>
  <c r="K732" i="2"/>
  <c r="J732" i="2"/>
  <c r="I732" i="2"/>
  <c r="G732" i="2"/>
  <c r="O731" i="2"/>
  <c r="K731" i="2"/>
  <c r="J731" i="2"/>
  <c r="I731" i="2"/>
  <c r="G731" i="2"/>
  <c r="O730" i="2"/>
  <c r="K730" i="2"/>
  <c r="J730" i="2"/>
  <c r="I730" i="2"/>
  <c r="G730" i="2"/>
  <c r="O729" i="2"/>
  <c r="K729" i="2"/>
  <c r="J729" i="2"/>
  <c r="I729" i="2"/>
  <c r="G729" i="2"/>
  <c r="O728" i="2"/>
  <c r="K728" i="2"/>
  <c r="J728" i="2"/>
  <c r="I728" i="2"/>
  <c r="G728" i="2"/>
  <c r="O727" i="2"/>
  <c r="K727" i="2"/>
  <c r="J727" i="2"/>
  <c r="I727" i="2"/>
  <c r="G727" i="2"/>
  <c r="O726" i="2"/>
  <c r="K726" i="2"/>
  <c r="J726" i="2"/>
  <c r="I726" i="2"/>
  <c r="G726" i="2"/>
  <c r="O725" i="2"/>
  <c r="K725" i="2"/>
  <c r="J725" i="2"/>
  <c r="I725" i="2"/>
  <c r="G725" i="2"/>
  <c r="O724" i="2"/>
  <c r="K724" i="2"/>
  <c r="J724" i="2"/>
  <c r="I724" i="2"/>
  <c r="G724" i="2"/>
  <c r="O723" i="2"/>
  <c r="K723" i="2"/>
  <c r="J723" i="2"/>
  <c r="I723" i="2"/>
  <c r="G723" i="2"/>
  <c r="O722" i="2"/>
  <c r="K722" i="2"/>
  <c r="J722" i="2"/>
  <c r="I722" i="2"/>
  <c r="G722" i="2"/>
  <c r="O721" i="2"/>
  <c r="K721" i="2"/>
  <c r="J721" i="2"/>
  <c r="I721" i="2"/>
  <c r="G721" i="2"/>
  <c r="O720" i="2"/>
  <c r="K720" i="2"/>
  <c r="J720" i="2"/>
  <c r="I720" i="2"/>
  <c r="G720" i="2"/>
  <c r="O719" i="2"/>
  <c r="K719" i="2"/>
  <c r="J719" i="2"/>
  <c r="I719" i="2"/>
  <c r="G719" i="2"/>
  <c r="O718" i="2"/>
  <c r="K718" i="2"/>
  <c r="J718" i="2"/>
  <c r="I718" i="2"/>
  <c r="G718" i="2"/>
  <c r="O717" i="2"/>
  <c r="K717" i="2"/>
  <c r="J717" i="2"/>
  <c r="I717" i="2"/>
  <c r="G717" i="2"/>
  <c r="O716" i="2"/>
  <c r="K716" i="2"/>
  <c r="J716" i="2"/>
  <c r="I716" i="2"/>
  <c r="G716" i="2"/>
  <c r="O715" i="2"/>
  <c r="K715" i="2"/>
  <c r="J715" i="2"/>
  <c r="I715" i="2"/>
  <c r="G715" i="2"/>
  <c r="O714" i="2"/>
  <c r="K714" i="2"/>
  <c r="J714" i="2"/>
  <c r="I714" i="2"/>
  <c r="G714" i="2"/>
  <c r="O713" i="2"/>
  <c r="K713" i="2"/>
  <c r="J713" i="2"/>
  <c r="I713" i="2"/>
  <c r="G713" i="2"/>
  <c r="O712" i="2"/>
  <c r="K712" i="2"/>
  <c r="J712" i="2"/>
  <c r="I712" i="2"/>
  <c r="G712" i="2"/>
  <c r="O711" i="2"/>
  <c r="K711" i="2"/>
  <c r="J711" i="2"/>
  <c r="I711" i="2"/>
  <c r="G711" i="2"/>
  <c r="O710" i="2"/>
  <c r="K710" i="2"/>
  <c r="J710" i="2"/>
  <c r="I710" i="2"/>
  <c r="G710" i="2"/>
  <c r="O709" i="2"/>
  <c r="K709" i="2"/>
  <c r="J709" i="2"/>
  <c r="I709" i="2"/>
  <c r="G709" i="2"/>
  <c r="O708" i="2"/>
  <c r="K708" i="2"/>
  <c r="J708" i="2"/>
  <c r="I708" i="2"/>
  <c r="G708" i="2"/>
  <c r="O707" i="2"/>
  <c r="K707" i="2"/>
  <c r="J707" i="2"/>
  <c r="I707" i="2"/>
  <c r="G707" i="2"/>
  <c r="O706" i="2"/>
  <c r="K706" i="2"/>
  <c r="J706" i="2"/>
  <c r="I706" i="2"/>
  <c r="G706" i="2"/>
  <c r="O705" i="2"/>
  <c r="K705" i="2"/>
  <c r="J705" i="2"/>
  <c r="I705" i="2"/>
  <c r="G705" i="2"/>
  <c r="O704" i="2"/>
  <c r="K704" i="2"/>
  <c r="J704" i="2"/>
  <c r="I704" i="2"/>
  <c r="G704" i="2"/>
  <c r="O703" i="2"/>
  <c r="K703" i="2"/>
  <c r="J703" i="2"/>
  <c r="I703" i="2"/>
  <c r="G703" i="2"/>
  <c r="O702" i="2"/>
  <c r="K702" i="2"/>
  <c r="J702" i="2"/>
  <c r="I702" i="2"/>
  <c r="G702" i="2"/>
  <c r="O701" i="2"/>
  <c r="K701" i="2"/>
  <c r="J701" i="2"/>
  <c r="I701" i="2"/>
  <c r="G701" i="2"/>
  <c r="O700" i="2"/>
  <c r="K700" i="2"/>
  <c r="J700" i="2"/>
  <c r="I700" i="2"/>
  <c r="G700" i="2"/>
  <c r="O699" i="2"/>
  <c r="K699" i="2"/>
  <c r="J699" i="2"/>
  <c r="I699" i="2"/>
  <c r="G699" i="2"/>
  <c r="O698" i="2"/>
  <c r="K698" i="2"/>
  <c r="J698" i="2"/>
  <c r="I698" i="2"/>
  <c r="G698" i="2"/>
  <c r="O697" i="2"/>
  <c r="K697" i="2"/>
  <c r="J697" i="2"/>
  <c r="I697" i="2"/>
  <c r="G697" i="2"/>
  <c r="O696" i="2"/>
  <c r="K696" i="2"/>
  <c r="J696" i="2"/>
  <c r="I696" i="2"/>
  <c r="G696" i="2"/>
  <c r="O695" i="2"/>
  <c r="K695" i="2"/>
  <c r="J695" i="2"/>
  <c r="I695" i="2"/>
  <c r="G695" i="2"/>
  <c r="O694" i="2"/>
  <c r="K694" i="2"/>
  <c r="J694" i="2"/>
  <c r="I694" i="2"/>
  <c r="G694" i="2"/>
  <c r="O693" i="2"/>
  <c r="K693" i="2"/>
  <c r="J693" i="2"/>
  <c r="I693" i="2"/>
  <c r="G693" i="2"/>
  <c r="O692" i="2"/>
  <c r="K692" i="2"/>
  <c r="J692" i="2"/>
  <c r="I692" i="2"/>
  <c r="G692" i="2"/>
  <c r="O691" i="2"/>
  <c r="K691" i="2"/>
  <c r="J691" i="2"/>
  <c r="I691" i="2"/>
  <c r="G691" i="2"/>
  <c r="O690" i="2"/>
  <c r="K690" i="2"/>
  <c r="J690" i="2"/>
  <c r="I690" i="2"/>
  <c r="G690" i="2"/>
  <c r="O689" i="2"/>
  <c r="K689" i="2"/>
  <c r="J689" i="2"/>
  <c r="I689" i="2"/>
  <c r="G689" i="2"/>
  <c r="O688" i="2"/>
  <c r="K688" i="2"/>
  <c r="J688" i="2"/>
  <c r="I688" i="2"/>
  <c r="G688" i="2"/>
  <c r="O687" i="2"/>
  <c r="K687" i="2"/>
  <c r="J687" i="2"/>
  <c r="I687" i="2"/>
  <c r="G687" i="2"/>
  <c r="O686" i="2"/>
  <c r="K686" i="2"/>
  <c r="J686" i="2"/>
  <c r="I686" i="2"/>
  <c r="G686" i="2"/>
  <c r="O685" i="2"/>
  <c r="K685" i="2"/>
  <c r="J685" i="2"/>
  <c r="I685" i="2"/>
  <c r="G685" i="2"/>
  <c r="O684" i="2"/>
  <c r="K684" i="2"/>
  <c r="J684" i="2"/>
  <c r="I684" i="2"/>
  <c r="G684" i="2"/>
  <c r="O683" i="2"/>
  <c r="K683" i="2"/>
  <c r="J683" i="2"/>
  <c r="I683" i="2"/>
  <c r="G683" i="2"/>
  <c r="O682" i="2"/>
  <c r="K682" i="2"/>
  <c r="J682" i="2"/>
  <c r="I682" i="2"/>
  <c r="G682" i="2"/>
  <c r="O681" i="2"/>
  <c r="K681" i="2"/>
  <c r="J681" i="2"/>
  <c r="I681" i="2"/>
  <c r="G681" i="2"/>
  <c r="O680" i="2"/>
  <c r="K680" i="2"/>
  <c r="J680" i="2"/>
  <c r="I680" i="2"/>
  <c r="G680" i="2"/>
  <c r="O679" i="2"/>
  <c r="K679" i="2"/>
  <c r="J679" i="2"/>
  <c r="I679" i="2"/>
  <c r="G679" i="2"/>
  <c r="O678" i="2"/>
  <c r="K678" i="2"/>
  <c r="J678" i="2"/>
  <c r="I678" i="2"/>
  <c r="G678" i="2"/>
  <c r="O677" i="2"/>
  <c r="K677" i="2"/>
  <c r="J677" i="2"/>
  <c r="I677" i="2"/>
  <c r="G677" i="2"/>
  <c r="O676" i="2"/>
  <c r="K676" i="2"/>
  <c r="J676" i="2"/>
  <c r="I676" i="2"/>
  <c r="G676" i="2"/>
  <c r="O675" i="2"/>
  <c r="K675" i="2"/>
  <c r="J675" i="2"/>
  <c r="I675" i="2"/>
  <c r="G675" i="2"/>
  <c r="O674" i="2"/>
  <c r="K674" i="2"/>
  <c r="J674" i="2"/>
  <c r="I674" i="2"/>
  <c r="G674" i="2"/>
  <c r="O673" i="2"/>
  <c r="K673" i="2"/>
  <c r="J673" i="2"/>
  <c r="I673" i="2"/>
  <c r="G673" i="2"/>
  <c r="O672" i="2"/>
  <c r="K672" i="2"/>
  <c r="J672" i="2"/>
  <c r="I672" i="2"/>
  <c r="G672" i="2"/>
  <c r="O671" i="2"/>
  <c r="K671" i="2"/>
  <c r="J671" i="2"/>
  <c r="I671" i="2"/>
  <c r="G671" i="2"/>
  <c r="O670" i="2"/>
  <c r="K670" i="2"/>
  <c r="J670" i="2"/>
  <c r="I670" i="2"/>
  <c r="G670" i="2"/>
  <c r="O669" i="2"/>
  <c r="K669" i="2"/>
  <c r="J669" i="2"/>
  <c r="I669" i="2"/>
  <c r="G669" i="2"/>
  <c r="O668" i="2"/>
  <c r="K668" i="2"/>
  <c r="J668" i="2"/>
  <c r="I668" i="2"/>
  <c r="G668" i="2"/>
  <c r="O667" i="2"/>
  <c r="K667" i="2"/>
  <c r="J667" i="2"/>
  <c r="I667" i="2"/>
  <c r="G667" i="2"/>
  <c r="O666" i="2"/>
  <c r="K666" i="2"/>
  <c r="J666" i="2"/>
  <c r="I666" i="2"/>
  <c r="G666" i="2"/>
  <c r="O665" i="2"/>
  <c r="K665" i="2"/>
  <c r="J665" i="2"/>
  <c r="I665" i="2"/>
  <c r="G665" i="2"/>
  <c r="O664" i="2"/>
  <c r="K664" i="2"/>
  <c r="J664" i="2"/>
  <c r="I664" i="2"/>
  <c r="G664" i="2"/>
  <c r="O663" i="2"/>
  <c r="K663" i="2"/>
  <c r="J663" i="2"/>
  <c r="I663" i="2"/>
  <c r="G663" i="2"/>
  <c r="O662" i="2"/>
  <c r="K662" i="2"/>
  <c r="J662" i="2"/>
  <c r="I662" i="2"/>
  <c r="G662" i="2"/>
  <c r="O661" i="2"/>
  <c r="K661" i="2"/>
  <c r="J661" i="2"/>
  <c r="I661" i="2"/>
  <c r="G661" i="2"/>
  <c r="O660" i="2"/>
  <c r="K660" i="2"/>
  <c r="J660" i="2"/>
  <c r="I660" i="2"/>
  <c r="G660" i="2"/>
  <c r="O659" i="2"/>
  <c r="K659" i="2"/>
  <c r="J659" i="2"/>
  <c r="I659" i="2"/>
  <c r="G659" i="2"/>
  <c r="O658" i="2"/>
  <c r="K658" i="2"/>
  <c r="J658" i="2"/>
  <c r="I658" i="2"/>
  <c r="G658" i="2"/>
  <c r="O657" i="2"/>
  <c r="K657" i="2"/>
  <c r="J657" i="2"/>
  <c r="I657" i="2"/>
  <c r="G657" i="2"/>
  <c r="O656" i="2"/>
  <c r="K656" i="2"/>
  <c r="J656" i="2"/>
  <c r="I656" i="2"/>
  <c r="G656" i="2"/>
  <c r="O655" i="2"/>
  <c r="K655" i="2"/>
  <c r="J655" i="2"/>
  <c r="I655" i="2"/>
  <c r="G655" i="2"/>
  <c r="O654" i="2"/>
  <c r="K654" i="2"/>
  <c r="J654" i="2"/>
  <c r="I654" i="2"/>
  <c r="G654" i="2"/>
  <c r="O653" i="2"/>
  <c r="K653" i="2"/>
  <c r="J653" i="2"/>
  <c r="I653" i="2"/>
  <c r="G653" i="2"/>
  <c r="O652" i="2"/>
  <c r="K652" i="2"/>
  <c r="J652" i="2"/>
  <c r="I652" i="2"/>
  <c r="G652" i="2"/>
  <c r="O651" i="2"/>
  <c r="K651" i="2"/>
  <c r="J651" i="2"/>
  <c r="I651" i="2"/>
  <c r="G651" i="2"/>
  <c r="O650" i="2"/>
  <c r="K650" i="2"/>
  <c r="J650" i="2"/>
  <c r="I650" i="2"/>
  <c r="G650" i="2"/>
  <c r="O649" i="2"/>
  <c r="K649" i="2"/>
  <c r="J649" i="2"/>
  <c r="I649" i="2"/>
  <c r="G649" i="2"/>
  <c r="O648" i="2"/>
  <c r="K648" i="2"/>
  <c r="J648" i="2"/>
  <c r="I648" i="2"/>
  <c r="G648" i="2"/>
  <c r="O647" i="2"/>
  <c r="K647" i="2"/>
  <c r="J647" i="2"/>
  <c r="I647" i="2"/>
  <c r="G647" i="2"/>
  <c r="O646" i="2"/>
  <c r="K646" i="2"/>
  <c r="J646" i="2"/>
  <c r="I646" i="2"/>
  <c r="G646" i="2"/>
  <c r="O645" i="2"/>
  <c r="K645" i="2"/>
  <c r="J645" i="2"/>
  <c r="I645" i="2"/>
  <c r="G645" i="2"/>
  <c r="O644" i="2"/>
  <c r="K644" i="2"/>
  <c r="J644" i="2"/>
  <c r="I644" i="2"/>
  <c r="G644" i="2"/>
  <c r="O643" i="2"/>
  <c r="K643" i="2"/>
  <c r="J643" i="2"/>
  <c r="I643" i="2"/>
  <c r="G643" i="2"/>
  <c r="O642" i="2"/>
  <c r="K642" i="2"/>
  <c r="J642" i="2"/>
  <c r="I642" i="2"/>
  <c r="G642" i="2"/>
  <c r="O641" i="2"/>
  <c r="K641" i="2"/>
  <c r="J641" i="2"/>
  <c r="I641" i="2"/>
  <c r="G641" i="2"/>
  <c r="O640" i="2"/>
  <c r="K640" i="2"/>
  <c r="J640" i="2"/>
  <c r="I640" i="2"/>
  <c r="G640" i="2"/>
  <c r="O639" i="2"/>
  <c r="K639" i="2"/>
  <c r="J639" i="2"/>
  <c r="I639" i="2"/>
  <c r="G639" i="2"/>
  <c r="O638" i="2"/>
  <c r="K638" i="2"/>
  <c r="J638" i="2"/>
  <c r="I638" i="2"/>
  <c r="G638" i="2"/>
  <c r="O637" i="2"/>
  <c r="K637" i="2"/>
  <c r="J637" i="2"/>
  <c r="I637" i="2"/>
  <c r="G637" i="2"/>
  <c r="O636" i="2"/>
  <c r="K636" i="2"/>
  <c r="J636" i="2"/>
  <c r="I636" i="2"/>
  <c r="G636" i="2"/>
  <c r="O635" i="2"/>
  <c r="K635" i="2"/>
  <c r="J635" i="2"/>
  <c r="I635" i="2"/>
  <c r="G635" i="2"/>
  <c r="O634" i="2"/>
  <c r="K634" i="2"/>
  <c r="J634" i="2"/>
  <c r="I634" i="2"/>
  <c r="G634" i="2"/>
  <c r="O633" i="2"/>
  <c r="K633" i="2"/>
  <c r="J633" i="2"/>
  <c r="I633" i="2"/>
  <c r="G633" i="2"/>
  <c r="O632" i="2"/>
  <c r="K632" i="2"/>
  <c r="J632" i="2"/>
  <c r="I632" i="2"/>
  <c r="G632" i="2"/>
  <c r="O631" i="2"/>
  <c r="K631" i="2"/>
  <c r="J631" i="2"/>
  <c r="I631" i="2"/>
  <c r="G631" i="2"/>
  <c r="O630" i="2"/>
  <c r="K630" i="2"/>
  <c r="J630" i="2"/>
  <c r="I630" i="2"/>
  <c r="G630" i="2"/>
  <c r="O629" i="2"/>
  <c r="K629" i="2"/>
  <c r="J629" i="2"/>
  <c r="I629" i="2"/>
  <c r="G629" i="2"/>
  <c r="O628" i="2"/>
  <c r="K628" i="2"/>
  <c r="J628" i="2"/>
  <c r="I628" i="2"/>
  <c r="G628" i="2"/>
  <c r="O627" i="2"/>
  <c r="K627" i="2"/>
  <c r="J627" i="2"/>
  <c r="I627" i="2"/>
  <c r="G627" i="2"/>
  <c r="O626" i="2"/>
  <c r="K626" i="2"/>
  <c r="J626" i="2"/>
  <c r="I626" i="2"/>
  <c r="G626" i="2"/>
  <c r="O625" i="2"/>
  <c r="K625" i="2"/>
  <c r="J625" i="2"/>
  <c r="I625" i="2"/>
  <c r="G625" i="2"/>
  <c r="O624" i="2"/>
  <c r="K624" i="2"/>
  <c r="J624" i="2"/>
  <c r="I624" i="2"/>
  <c r="G624" i="2"/>
  <c r="O623" i="2"/>
  <c r="K623" i="2"/>
  <c r="J623" i="2"/>
  <c r="I623" i="2"/>
  <c r="G623" i="2"/>
  <c r="O622" i="2"/>
  <c r="K622" i="2"/>
  <c r="J622" i="2"/>
  <c r="I622" i="2"/>
  <c r="G622" i="2"/>
  <c r="O621" i="2"/>
  <c r="K621" i="2"/>
  <c r="J621" i="2"/>
  <c r="I621" i="2"/>
  <c r="G621" i="2"/>
  <c r="O620" i="2"/>
  <c r="K620" i="2"/>
  <c r="J620" i="2"/>
  <c r="I620" i="2"/>
  <c r="G620" i="2"/>
  <c r="O619" i="2"/>
  <c r="K619" i="2"/>
  <c r="J619" i="2"/>
  <c r="I619" i="2"/>
  <c r="G619" i="2"/>
  <c r="O618" i="2"/>
  <c r="K618" i="2"/>
  <c r="J618" i="2"/>
  <c r="I618" i="2"/>
  <c r="G618" i="2"/>
  <c r="O617" i="2"/>
  <c r="K617" i="2"/>
  <c r="J617" i="2"/>
  <c r="I617" i="2"/>
  <c r="G617" i="2"/>
  <c r="O616" i="2"/>
  <c r="K616" i="2"/>
  <c r="J616" i="2"/>
  <c r="I616" i="2"/>
  <c r="G616" i="2"/>
  <c r="O615" i="2"/>
  <c r="K615" i="2"/>
  <c r="J615" i="2"/>
  <c r="I615" i="2"/>
  <c r="G615" i="2"/>
  <c r="O614" i="2"/>
  <c r="K614" i="2"/>
  <c r="J614" i="2"/>
  <c r="I614" i="2"/>
  <c r="G614" i="2"/>
  <c r="O613" i="2"/>
  <c r="K613" i="2"/>
  <c r="J613" i="2"/>
  <c r="I613" i="2"/>
  <c r="G613" i="2"/>
  <c r="O612" i="2"/>
  <c r="K612" i="2"/>
  <c r="J612" i="2"/>
  <c r="I612" i="2"/>
  <c r="G612" i="2"/>
  <c r="O611" i="2"/>
  <c r="K611" i="2"/>
  <c r="J611" i="2"/>
  <c r="I611" i="2"/>
  <c r="G611" i="2"/>
  <c r="O610" i="2"/>
  <c r="K610" i="2"/>
  <c r="J610" i="2"/>
  <c r="I610" i="2"/>
  <c r="G610" i="2"/>
  <c r="O609" i="2"/>
  <c r="K609" i="2"/>
  <c r="J609" i="2"/>
  <c r="I609" i="2"/>
  <c r="G609" i="2"/>
  <c r="O608" i="2"/>
  <c r="K608" i="2"/>
  <c r="J608" i="2"/>
  <c r="I608" i="2"/>
  <c r="G608" i="2"/>
  <c r="O607" i="2"/>
  <c r="K607" i="2"/>
  <c r="J607" i="2"/>
  <c r="I607" i="2"/>
  <c r="G607" i="2"/>
  <c r="O606" i="2"/>
  <c r="K606" i="2"/>
  <c r="J606" i="2"/>
  <c r="I606" i="2"/>
  <c r="G606" i="2"/>
  <c r="O605" i="2"/>
  <c r="K605" i="2"/>
  <c r="J605" i="2"/>
  <c r="I605" i="2"/>
  <c r="G605" i="2"/>
  <c r="O604" i="2"/>
  <c r="K604" i="2"/>
  <c r="J604" i="2"/>
  <c r="I604" i="2"/>
  <c r="G604" i="2"/>
  <c r="O603" i="2"/>
  <c r="K603" i="2"/>
  <c r="J603" i="2"/>
  <c r="I603" i="2"/>
  <c r="G603" i="2"/>
  <c r="O602" i="2"/>
  <c r="K602" i="2"/>
  <c r="J602" i="2"/>
  <c r="I602" i="2"/>
  <c r="G602" i="2"/>
  <c r="O601" i="2"/>
  <c r="K601" i="2"/>
  <c r="J601" i="2"/>
  <c r="I601" i="2"/>
  <c r="G601" i="2"/>
  <c r="O600" i="2"/>
  <c r="K600" i="2"/>
  <c r="J600" i="2"/>
  <c r="I600" i="2"/>
  <c r="G600" i="2"/>
  <c r="O599" i="2"/>
  <c r="K599" i="2"/>
  <c r="J599" i="2"/>
  <c r="I599" i="2"/>
  <c r="G599" i="2"/>
  <c r="O598" i="2"/>
  <c r="K598" i="2"/>
  <c r="J598" i="2"/>
  <c r="I598" i="2"/>
  <c r="G598" i="2"/>
  <c r="O597" i="2"/>
  <c r="K597" i="2"/>
  <c r="J597" i="2"/>
  <c r="I597" i="2"/>
  <c r="G597" i="2"/>
  <c r="O596" i="2"/>
  <c r="K596" i="2"/>
  <c r="J596" i="2"/>
  <c r="I596" i="2"/>
  <c r="G596" i="2"/>
  <c r="O595" i="2"/>
  <c r="K595" i="2"/>
  <c r="J595" i="2"/>
  <c r="I595" i="2"/>
  <c r="G595" i="2"/>
  <c r="O594" i="2"/>
  <c r="K594" i="2"/>
  <c r="J594" i="2"/>
  <c r="I594" i="2"/>
  <c r="G594" i="2"/>
  <c r="O593" i="2"/>
  <c r="K593" i="2"/>
  <c r="J593" i="2"/>
  <c r="I593" i="2"/>
  <c r="G593" i="2"/>
  <c r="O592" i="2"/>
  <c r="K592" i="2"/>
  <c r="J592" i="2"/>
  <c r="I592" i="2"/>
  <c r="G592" i="2"/>
  <c r="O591" i="2"/>
  <c r="K591" i="2"/>
  <c r="J591" i="2"/>
  <c r="I591" i="2"/>
  <c r="G591" i="2"/>
  <c r="O590" i="2"/>
  <c r="K590" i="2"/>
  <c r="J590" i="2"/>
  <c r="I590" i="2"/>
  <c r="G590" i="2"/>
  <c r="O589" i="2"/>
  <c r="K589" i="2"/>
  <c r="J589" i="2"/>
  <c r="I589" i="2"/>
  <c r="G589" i="2"/>
  <c r="O588" i="2"/>
  <c r="K588" i="2"/>
  <c r="J588" i="2"/>
  <c r="I588" i="2"/>
  <c r="G588" i="2"/>
  <c r="O587" i="2"/>
  <c r="K587" i="2"/>
  <c r="J587" i="2"/>
  <c r="I587" i="2"/>
  <c r="G587" i="2"/>
  <c r="O586" i="2"/>
  <c r="K586" i="2"/>
  <c r="J586" i="2"/>
  <c r="I586" i="2"/>
  <c r="G586" i="2"/>
  <c r="O585" i="2"/>
  <c r="K585" i="2"/>
  <c r="J585" i="2"/>
  <c r="I585" i="2"/>
  <c r="G585" i="2"/>
  <c r="O584" i="2"/>
  <c r="K584" i="2"/>
  <c r="J584" i="2"/>
  <c r="I584" i="2"/>
  <c r="G584" i="2"/>
  <c r="O583" i="2"/>
  <c r="K583" i="2"/>
  <c r="J583" i="2"/>
  <c r="I583" i="2"/>
  <c r="G583" i="2"/>
  <c r="O582" i="2"/>
  <c r="K582" i="2"/>
  <c r="J582" i="2"/>
  <c r="I582" i="2"/>
  <c r="G582" i="2"/>
  <c r="O581" i="2"/>
  <c r="K581" i="2"/>
  <c r="J581" i="2"/>
  <c r="I581" i="2"/>
  <c r="G581" i="2"/>
  <c r="O580" i="2"/>
  <c r="K580" i="2"/>
  <c r="J580" i="2"/>
  <c r="I580" i="2"/>
  <c r="G580" i="2"/>
  <c r="O579" i="2"/>
  <c r="K579" i="2"/>
  <c r="J579" i="2"/>
  <c r="I579" i="2"/>
  <c r="G579" i="2"/>
  <c r="O578" i="2"/>
  <c r="K578" i="2"/>
  <c r="J578" i="2"/>
  <c r="I578" i="2"/>
  <c r="G578" i="2"/>
  <c r="O577" i="2"/>
  <c r="K577" i="2"/>
  <c r="J577" i="2"/>
  <c r="I577" i="2"/>
  <c r="G577" i="2"/>
  <c r="O576" i="2"/>
  <c r="K576" i="2"/>
  <c r="J576" i="2"/>
  <c r="I576" i="2"/>
  <c r="G576" i="2"/>
  <c r="O575" i="2"/>
  <c r="K575" i="2"/>
  <c r="J575" i="2"/>
  <c r="I575" i="2"/>
  <c r="G575" i="2"/>
  <c r="O574" i="2"/>
  <c r="K574" i="2"/>
  <c r="J574" i="2"/>
  <c r="I574" i="2"/>
  <c r="G574" i="2"/>
  <c r="O573" i="2"/>
  <c r="K573" i="2"/>
  <c r="J573" i="2"/>
  <c r="I573" i="2"/>
  <c r="G573" i="2"/>
  <c r="O572" i="2"/>
  <c r="K572" i="2"/>
  <c r="J572" i="2"/>
  <c r="I572" i="2"/>
  <c r="G572" i="2"/>
  <c r="O571" i="2"/>
  <c r="K571" i="2"/>
  <c r="J571" i="2"/>
  <c r="I571" i="2"/>
  <c r="G571" i="2"/>
  <c r="O570" i="2"/>
  <c r="K570" i="2"/>
  <c r="J570" i="2"/>
  <c r="I570" i="2"/>
  <c r="G570" i="2"/>
  <c r="O569" i="2"/>
  <c r="K569" i="2"/>
  <c r="J569" i="2"/>
  <c r="I569" i="2"/>
  <c r="G569" i="2"/>
  <c r="O568" i="2"/>
  <c r="K568" i="2"/>
  <c r="J568" i="2"/>
  <c r="I568" i="2"/>
  <c r="G568" i="2"/>
  <c r="O567" i="2"/>
  <c r="K567" i="2"/>
  <c r="J567" i="2"/>
  <c r="I567" i="2"/>
  <c r="G567" i="2"/>
  <c r="O566" i="2"/>
  <c r="K566" i="2"/>
  <c r="J566" i="2"/>
  <c r="I566" i="2"/>
  <c r="G566" i="2"/>
  <c r="O565" i="2"/>
  <c r="K565" i="2"/>
  <c r="J565" i="2"/>
  <c r="I565" i="2"/>
  <c r="G565" i="2"/>
  <c r="O564" i="2"/>
  <c r="K564" i="2"/>
  <c r="J564" i="2"/>
  <c r="I564" i="2"/>
  <c r="G564" i="2"/>
  <c r="O563" i="2"/>
  <c r="K563" i="2"/>
  <c r="J563" i="2"/>
  <c r="I563" i="2"/>
  <c r="G563" i="2"/>
  <c r="O562" i="2"/>
  <c r="K562" i="2"/>
  <c r="J562" i="2"/>
  <c r="I562" i="2"/>
  <c r="G562" i="2"/>
  <c r="O561" i="2"/>
  <c r="K561" i="2"/>
  <c r="J561" i="2"/>
  <c r="I561" i="2"/>
  <c r="G561" i="2"/>
  <c r="O560" i="2"/>
  <c r="K560" i="2"/>
  <c r="J560" i="2"/>
  <c r="I560" i="2"/>
  <c r="G560" i="2"/>
  <c r="O559" i="2"/>
  <c r="K559" i="2"/>
  <c r="J559" i="2"/>
  <c r="I559" i="2"/>
  <c r="G559" i="2"/>
  <c r="O558" i="2"/>
  <c r="K558" i="2"/>
  <c r="J558" i="2"/>
  <c r="I558" i="2"/>
  <c r="G558" i="2"/>
  <c r="O557" i="2"/>
  <c r="K557" i="2"/>
  <c r="J557" i="2"/>
  <c r="I557" i="2"/>
  <c r="G557" i="2"/>
  <c r="O556" i="2"/>
  <c r="K556" i="2"/>
  <c r="J556" i="2"/>
  <c r="I556" i="2"/>
  <c r="G556" i="2"/>
  <c r="O555" i="2"/>
  <c r="K555" i="2"/>
  <c r="J555" i="2"/>
  <c r="I555" i="2"/>
  <c r="G555" i="2"/>
  <c r="O554" i="2"/>
  <c r="K554" i="2"/>
  <c r="J554" i="2"/>
  <c r="I554" i="2"/>
  <c r="G554" i="2"/>
  <c r="O553" i="2"/>
  <c r="K553" i="2"/>
  <c r="J553" i="2"/>
  <c r="I553" i="2"/>
  <c r="G553" i="2"/>
  <c r="O552" i="2"/>
  <c r="K552" i="2"/>
  <c r="J552" i="2"/>
  <c r="I552" i="2"/>
  <c r="G552" i="2"/>
  <c r="O551" i="2"/>
  <c r="K551" i="2"/>
  <c r="J551" i="2"/>
  <c r="I551" i="2"/>
  <c r="G551" i="2"/>
  <c r="O550" i="2"/>
  <c r="K550" i="2"/>
  <c r="J550" i="2"/>
  <c r="I550" i="2"/>
  <c r="G550" i="2"/>
  <c r="O549" i="2"/>
  <c r="K549" i="2"/>
  <c r="J549" i="2"/>
  <c r="I549" i="2"/>
  <c r="G549" i="2"/>
  <c r="O548" i="2"/>
  <c r="K548" i="2"/>
  <c r="J548" i="2"/>
  <c r="I548" i="2"/>
  <c r="G548" i="2"/>
  <c r="O547" i="2"/>
  <c r="K547" i="2"/>
  <c r="J547" i="2"/>
  <c r="I547" i="2"/>
  <c r="G547" i="2"/>
  <c r="O546" i="2"/>
  <c r="K546" i="2"/>
  <c r="J546" i="2"/>
  <c r="I546" i="2"/>
  <c r="G546" i="2"/>
  <c r="O545" i="2"/>
  <c r="K545" i="2"/>
  <c r="J545" i="2"/>
  <c r="I545" i="2"/>
  <c r="G545" i="2"/>
  <c r="O544" i="2"/>
  <c r="K544" i="2"/>
  <c r="J544" i="2"/>
  <c r="I544" i="2"/>
  <c r="G544" i="2"/>
  <c r="O543" i="2"/>
  <c r="K543" i="2"/>
  <c r="J543" i="2"/>
  <c r="I543" i="2"/>
  <c r="G543" i="2"/>
  <c r="O542" i="2"/>
  <c r="K542" i="2"/>
  <c r="J542" i="2"/>
  <c r="I542" i="2"/>
  <c r="G542" i="2"/>
  <c r="O541" i="2"/>
  <c r="K541" i="2"/>
  <c r="J541" i="2"/>
  <c r="I541" i="2"/>
  <c r="G541" i="2"/>
  <c r="O540" i="2"/>
  <c r="K540" i="2"/>
  <c r="J540" i="2"/>
  <c r="I540" i="2"/>
  <c r="G540" i="2"/>
  <c r="O539" i="2"/>
  <c r="K539" i="2"/>
  <c r="J539" i="2"/>
  <c r="I539" i="2"/>
  <c r="G539" i="2"/>
  <c r="O538" i="2"/>
  <c r="K538" i="2"/>
  <c r="J538" i="2"/>
  <c r="I538" i="2"/>
  <c r="G538" i="2"/>
  <c r="O537" i="2"/>
  <c r="K537" i="2"/>
  <c r="J537" i="2"/>
  <c r="I537" i="2"/>
  <c r="G537" i="2"/>
  <c r="O536" i="2"/>
  <c r="K536" i="2"/>
  <c r="J536" i="2"/>
  <c r="I536" i="2"/>
  <c r="G536" i="2"/>
  <c r="O535" i="2"/>
  <c r="K535" i="2"/>
  <c r="J535" i="2"/>
  <c r="I535" i="2"/>
  <c r="G535" i="2"/>
  <c r="O534" i="2"/>
  <c r="K534" i="2"/>
  <c r="J534" i="2"/>
  <c r="I534" i="2"/>
  <c r="G534" i="2"/>
  <c r="O533" i="2"/>
  <c r="K533" i="2"/>
  <c r="J533" i="2"/>
  <c r="I533" i="2"/>
  <c r="G533" i="2"/>
  <c r="O532" i="2"/>
  <c r="K532" i="2"/>
  <c r="J532" i="2"/>
  <c r="I532" i="2"/>
  <c r="G532" i="2"/>
  <c r="O531" i="2"/>
  <c r="K531" i="2"/>
  <c r="J531" i="2"/>
  <c r="I531" i="2"/>
  <c r="G531" i="2"/>
  <c r="O530" i="2"/>
  <c r="K530" i="2"/>
  <c r="J530" i="2"/>
  <c r="I530" i="2"/>
  <c r="G530" i="2"/>
  <c r="O529" i="2"/>
  <c r="K529" i="2"/>
  <c r="J529" i="2"/>
  <c r="I529" i="2"/>
  <c r="G529" i="2"/>
  <c r="O528" i="2"/>
  <c r="K528" i="2"/>
  <c r="J528" i="2"/>
  <c r="I528" i="2"/>
  <c r="G528" i="2"/>
  <c r="O527" i="2"/>
  <c r="K527" i="2"/>
  <c r="J527" i="2"/>
  <c r="I527" i="2"/>
  <c r="G527" i="2"/>
  <c r="O526" i="2"/>
  <c r="K526" i="2"/>
  <c r="J526" i="2"/>
  <c r="I526" i="2"/>
  <c r="G526" i="2"/>
  <c r="O525" i="2"/>
  <c r="K525" i="2"/>
  <c r="J525" i="2"/>
  <c r="I525" i="2"/>
  <c r="G525" i="2"/>
  <c r="O524" i="2"/>
  <c r="K524" i="2"/>
  <c r="J524" i="2"/>
  <c r="I524" i="2"/>
  <c r="G524" i="2"/>
  <c r="O523" i="2"/>
  <c r="K523" i="2"/>
  <c r="J523" i="2"/>
  <c r="I523" i="2"/>
  <c r="G523" i="2"/>
  <c r="O522" i="2"/>
  <c r="K522" i="2"/>
  <c r="J522" i="2"/>
  <c r="I522" i="2"/>
  <c r="G522" i="2"/>
  <c r="O521" i="2"/>
  <c r="K521" i="2"/>
  <c r="J521" i="2"/>
  <c r="I521" i="2"/>
  <c r="G521" i="2"/>
  <c r="O520" i="2"/>
  <c r="K520" i="2"/>
  <c r="J520" i="2"/>
  <c r="I520" i="2"/>
  <c r="G520" i="2"/>
  <c r="O519" i="2"/>
  <c r="K519" i="2"/>
  <c r="J519" i="2"/>
  <c r="I519" i="2"/>
  <c r="G519" i="2"/>
  <c r="O518" i="2"/>
  <c r="K518" i="2"/>
  <c r="J518" i="2"/>
  <c r="I518" i="2"/>
  <c r="G518" i="2"/>
  <c r="O517" i="2"/>
  <c r="K517" i="2"/>
  <c r="J517" i="2"/>
  <c r="I517" i="2"/>
  <c r="G517" i="2"/>
  <c r="O516" i="2"/>
  <c r="K516" i="2"/>
  <c r="J516" i="2"/>
  <c r="I516" i="2"/>
  <c r="G516" i="2"/>
  <c r="O515" i="2"/>
  <c r="K515" i="2"/>
  <c r="J515" i="2"/>
  <c r="I515" i="2"/>
  <c r="G515" i="2"/>
  <c r="O514" i="2"/>
  <c r="K514" i="2"/>
  <c r="J514" i="2"/>
  <c r="I514" i="2"/>
  <c r="G514" i="2"/>
  <c r="O513" i="2"/>
  <c r="K513" i="2"/>
  <c r="J513" i="2"/>
  <c r="I513" i="2"/>
  <c r="G513" i="2"/>
  <c r="O512" i="2"/>
  <c r="K512" i="2"/>
  <c r="J512" i="2"/>
  <c r="I512" i="2"/>
  <c r="G512" i="2"/>
  <c r="O511" i="2"/>
  <c r="K511" i="2"/>
  <c r="J511" i="2"/>
  <c r="I511" i="2"/>
  <c r="G511" i="2"/>
  <c r="O510" i="2"/>
  <c r="K510" i="2"/>
  <c r="J510" i="2"/>
  <c r="I510" i="2"/>
  <c r="G510" i="2"/>
  <c r="O509" i="2"/>
  <c r="K509" i="2"/>
  <c r="J509" i="2"/>
  <c r="I509" i="2"/>
  <c r="G509" i="2"/>
  <c r="O508" i="2"/>
  <c r="K508" i="2"/>
  <c r="J508" i="2"/>
  <c r="I508" i="2"/>
  <c r="G508" i="2"/>
  <c r="O507" i="2"/>
  <c r="K507" i="2"/>
  <c r="J507" i="2"/>
  <c r="I507" i="2"/>
  <c r="G507" i="2"/>
  <c r="O506" i="2"/>
  <c r="K506" i="2"/>
  <c r="J506" i="2"/>
  <c r="I506" i="2"/>
  <c r="G506" i="2"/>
  <c r="O505" i="2"/>
  <c r="K505" i="2"/>
  <c r="J505" i="2"/>
  <c r="I505" i="2"/>
  <c r="G505" i="2"/>
  <c r="O504" i="2"/>
  <c r="K504" i="2"/>
  <c r="J504" i="2"/>
  <c r="I504" i="2"/>
  <c r="G504" i="2"/>
  <c r="O503" i="2"/>
  <c r="K503" i="2"/>
  <c r="J503" i="2"/>
  <c r="I503" i="2"/>
  <c r="G503" i="2"/>
  <c r="O502" i="2"/>
  <c r="K502" i="2"/>
  <c r="J502" i="2"/>
  <c r="I502" i="2"/>
  <c r="G502" i="2"/>
  <c r="O501" i="2"/>
  <c r="K501" i="2"/>
  <c r="J501" i="2"/>
  <c r="I501" i="2"/>
  <c r="G501" i="2"/>
  <c r="O500" i="2"/>
  <c r="K500" i="2"/>
  <c r="J500" i="2"/>
  <c r="I500" i="2"/>
  <c r="G500" i="2"/>
  <c r="O499" i="2"/>
  <c r="K499" i="2"/>
  <c r="J499" i="2"/>
  <c r="I499" i="2"/>
  <c r="G499" i="2"/>
  <c r="O498" i="2"/>
  <c r="K498" i="2"/>
  <c r="J498" i="2"/>
  <c r="I498" i="2"/>
  <c r="G498" i="2"/>
  <c r="O497" i="2"/>
  <c r="K497" i="2"/>
  <c r="J497" i="2"/>
  <c r="I497" i="2"/>
  <c r="G497" i="2"/>
  <c r="O496" i="2"/>
  <c r="K496" i="2"/>
  <c r="J496" i="2"/>
  <c r="I496" i="2"/>
  <c r="G496" i="2"/>
  <c r="O495" i="2"/>
  <c r="K495" i="2"/>
  <c r="J495" i="2"/>
  <c r="I495" i="2"/>
  <c r="G495" i="2"/>
  <c r="O494" i="2"/>
  <c r="K494" i="2"/>
  <c r="J494" i="2"/>
  <c r="I494" i="2"/>
  <c r="G494" i="2"/>
  <c r="O493" i="2"/>
  <c r="K493" i="2"/>
  <c r="J493" i="2"/>
  <c r="I493" i="2"/>
  <c r="G493" i="2"/>
  <c r="O492" i="2"/>
  <c r="K492" i="2"/>
  <c r="J492" i="2"/>
  <c r="I492" i="2"/>
  <c r="G492" i="2"/>
  <c r="O491" i="2"/>
  <c r="K491" i="2"/>
  <c r="J491" i="2"/>
  <c r="I491" i="2"/>
  <c r="G491" i="2"/>
  <c r="O490" i="2"/>
  <c r="K490" i="2"/>
  <c r="J490" i="2"/>
  <c r="I490" i="2"/>
  <c r="G490" i="2"/>
  <c r="O489" i="2"/>
  <c r="K489" i="2"/>
  <c r="J489" i="2"/>
  <c r="I489" i="2"/>
  <c r="G489" i="2"/>
  <c r="O488" i="2"/>
  <c r="K488" i="2"/>
  <c r="J488" i="2"/>
  <c r="I488" i="2"/>
  <c r="G488" i="2"/>
  <c r="O487" i="2"/>
  <c r="K487" i="2"/>
  <c r="J487" i="2"/>
  <c r="I487" i="2"/>
  <c r="G487" i="2"/>
  <c r="O486" i="2"/>
  <c r="K486" i="2"/>
  <c r="J486" i="2"/>
  <c r="I486" i="2"/>
  <c r="G486" i="2"/>
  <c r="O485" i="2"/>
  <c r="K485" i="2"/>
  <c r="J485" i="2"/>
  <c r="I485" i="2"/>
  <c r="G485" i="2"/>
  <c r="O484" i="2"/>
  <c r="K484" i="2"/>
  <c r="J484" i="2"/>
  <c r="I484" i="2"/>
  <c r="G484" i="2"/>
  <c r="O483" i="2"/>
  <c r="K483" i="2"/>
  <c r="J483" i="2"/>
  <c r="I483" i="2"/>
  <c r="G483" i="2"/>
  <c r="K482" i="2"/>
  <c r="J482" i="2"/>
  <c r="I482" i="2"/>
  <c r="G482" i="2"/>
  <c r="K481" i="2"/>
  <c r="J481" i="2"/>
  <c r="I481" i="2"/>
  <c r="G481" i="2"/>
  <c r="K480" i="2"/>
  <c r="J480" i="2"/>
  <c r="I480" i="2"/>
  <c r="G480" i="2"/>
  <c r="K479" i="2"/>
  <c r="J479" i="2"/>
  <c r="I479" i="2"/>
  <c r="G479" i="2"/>
  <c r="K478" i="2"/>
  <c r="J478" i="2"/>
  <c r="I478" i="2"/>
  <c r="G478" i="2"/>
  <c r="K477" i="2"/>
  <c r="J477" i="2"/>
  <c r="I477" i="2"/>
  <c r="G477" i="2"/>
  <c r="K476" i="2"/>
  <c r="J476" i="2"/>
  <c r="I476" i="2"/>
  <c r="G476" i="2"/>
  <c r="K475" i="2"/>
  <c r="J475" i="2"/>
  <c r="I475" i="2"/>
  <c r="G475" i="2"/>
  <c r="O474" i="2"/>
  <c r="K474" i="2"/>
  <c r="J474" i="2"/>
  <c r="I474" i="2"/>
  <c r="G474" i="2"/>
  <c r="O473" i="2"/>
  <c r="K473" i="2"/>
  <c r="J473" i="2"/>
  <c r="I473" i="2"/>
  <c r="G473" i="2"/>
  <c r="K472" i="2"/>
  <c r="J472" i="2"/>
  <c r="I472" i="2"/>
  <c r="G472" i="2"/>
  <c r="K471" i="2"/>
  <c r="J471" i="2"/>
  <c r="I471" i="2"/>
  <c r="G471" i="2"/>
  <c r="O470" i="2"/>
  <c r="K470" i="2"/>
  <c r="J470" i="2"/>
  <c r="I470" i="2"/>
  <c r="G470" i="2"/>
  <c r="K469" i="2"/>
  <c r="J469" i="2"/>
  <c r="I469" i="2"/>
  <c r="G469" i="2"/>
  <c r="O468" i="2"/>
  <c r="K468" i="2"/>
  <c r="J468" i="2"/>
  <c r="I468" i="2"/>
  <c r="G468" i="2"/>
  <c r="O467" i="2"/>
  <c r="K467" i="2"/>
  <c r="J467" i="2"/>
  <c r="I467" i="2"/>
  <c r="G467" i="2"/>
  <c r="O466" i="2"/>
  <c r="K466" i="2"/>
  <c r="J466" i="2"/>
  <c r="I466" i="2"/>
  <c r="G466" i="2"/>
  <c r="O465" i="2"/>
  <c r="K465" i="2"/>
  <c r="J465" i="2"/>
  <c r="I465" i="2"/>
  <c r="G465" i="2"/>
  <c r="O464" i="2"/>
  <c r="K464" i="2"/>
  <c r="J464" i="2"/>
  <c r="I464" i="2"/>
  <c r="G464" i="2"/>
  <c r="O463" i="2"/>
  <c r="K463" i="2"/>
  <c r="J463" i="2"/>
  <c r="I463" i="2"/>
  <c r="G463" i="2"/>
  <c r="O462" i="2"/>
  <c r="K462" i="2"/>
  <c r="J462" i="2"/>
  <c r="I462" i="2"/>
  <c r="G462" i="2"/>
  <c r="O461" i="2"/>
  <c r="K461" i="2"/>
  <c r="J461" i="2"/>
  <c r="I461" i="2"/>
  <c r="G461" i="2"/>
  <c r="O460" i="2"/>
  <c r="K460" i="2"/>
  <c r="J460" i="2"/>
  <c r="I460" i="2"/>
  <c r="G460" i="2"/>
  <c r="O459" i="2"/>
  <c r="K459" i="2"/>
  <c r="J459" i="2"/>
  <c r="I459" i="2"/>
  <c r="G459" i="2"/>
  <c r="O458" i="2"/>
  <c r="K458" i="2"/>
  <c r="J458" i="2"/>
  <c r="I458" i="2"/>
  <c r="G458" i="2"/>
  <c r="O457" i="2"/>
  <c r="K457" i="2"/>
  <c r="J457" i="2"/>
  <c r="I457" i="2"/>
  <c r="G457" i="2"/>
  <c r="O456" i="2"/>
  <c r="K456" i="2"/>
  <c r="J456" i="2"/>
  <c r="I456" i="2"/>
  <c r="G456" i="2"/>
  <c r="O455" i="2"/>
  <c r="K455" i="2"/>
  <c r="J455" i="2"/>
  <c r="I455" i="2"/>
  <c r="G455" i="2"/>
  <c r="O454" i="2"/>
  <c r="K454" i="2"/>
  <c r="J454" i="2"/>
  <c r="I454" i="2"/>
  <c r="G454" i="2"/>
  <c r="O453" i="2"/>
  <c r="K453" i="2"/>
  <c r="J453" i="2"/>
  <c r="I453" i="2"/>
  <c r="G453" i="2"/>
  <c r="O452" i="2"/>
  <c r="K452" i="2"/>
  <c r="J452" i="2"/>
  <c r="I452" i="2"/>
  <c r="G452" i="2"/>
  <c r="O451" i="2"/>
  <c r="K451" i="2"/>
  <c r="J451" i="2"/>
  <c r="I451" i="2"/>
  <c r="G451" i="2"/>
  <c r="O450" i="2"/>
  <c r="K450" i="2"/>
  <c r="J450" i="2"/>
  <c r="I450" i="2"/>
  <c r="G450" i="2"/>
  <c r="O449" i="2"/>
  <c r="K449" i="2"/>
  <c r="J449" i="2"/>
  <c r="I449" i="2"/>
  <c r="G449" i="2"/>
  <c r="O448" i="2"/>
  <c r="K448" i="2"/>
  <c r="J448" i="2"/>
  <c r="I448" i="2"/>
  <c r="G448" i="2"/>
  <c r="O447" i="2"/>
  <c r="K447" i="2"/>
  <c r="J447" i="2"/>
  <c r="I447" i="2"/>
  <c r="G447" i="2"/>
  <c r="O446" i="2"/>
  <c r="K446" i="2"/>
  <c r="J446" i="2"/>
  <c r="I446" i="2"/>
  <c r="G446" i="2"/>
  <c r="O445" i="2"/>
  <c r="K445" i="2"/>
  <c r="J445" i="2"/>
  <c r="I445" i="2"/>
  <c r="G445" i="2"/>
  <c r="O444" i="2"/>
  <c r="K444" i="2"/>
  <c r="J444" i="2"/>
  <c r="I444" i="2"/>
  <c r="G444" i="2"/>
  <c r="O443" i="2"/>
  <c r="K443" i="2"/>
  <c r="J443" i="2"/>
  <c r="I443" i="2"/>
  <c r="G443" i="2"/>
  <c r="O442" i="2"/>
  <c r="K442" i="2"/>
  <c r="J442" i="2"/>
  <c r="I442" i="2"/>
  <c r="G442" i="2"/>
  <c r="O441" i="2"/>
  <c r="K441" i="2"/>
  <c r="J441" i="2"/>
  <c r="I441" i="2"/>
  <c r="G441" i="2"/>
  <c r="O440" i="2"/>
  <c r="K440" i="2"/>
  <c r="J440" i="2"/>
  <c r="I440" i="2"/>
  <c r="G440" i="2"/>
  <c r="O439" i="2"/>
  <c r="K439" i="2"/>
  <c r="J439" i="2"/>
  <c r="I439" i="2"/>
  <c r="G439" i="2"/>
  <c r="O438" i="2"/>
  <c r="K438" i="2"/>
  <c r="J438" i="2"/>
  <c r="I438" i="2"/>
  <c r="G438" i="2"/>
  <c r="O437" i="2"/>
  <c r="K437" i="2"/>
  <c r="J437" i="2"/>
  <c r="I437" i="2"/>
  <c r="G437" i="2"/>
  <c r="O436" i="2"/>
  <c r="K436" i="2"/>
  <c r="J436" i="2"/>
  <c r="I436" i="2"/>
  <c r="G436" i="2"/>
  <c r="O435" i="2"/>
  <c r="K435" i="2"/>
  <c r="J435" i="2"/>
  <c r="I435" i="2"/>
  <c r="G435" i="2"/>
  <c r="O434" i="2"/>
  <c r="K434" i="2"/>
  <c r="J434" i="2"/>
  <c r="I434" i="2"/>
  <c r="G434" i="2"/>
  <c r="O433" i="2"/>
  <c r="K433" i="2"/>
  <c r="J433" i="2"/>
  <c r="I433" i="2"/>
  <c r="G433" i="2"/>
  <c r="O432" i="2"/>
  <c r="K432" i="2"/>
  <c r="J432" i="2"/>
  <c r="I432" i="2"/>
  <c r="G432" i="2"/>
  <c r="O431" i="2"/>
  <c r="K431" i="2"/>
  <c r="J431" i="2"/>
  <c r="I431" i="2"/>
  <c r="G431" i="2"/>
  <c r="O430" i="2"/>
  <c r="K430" i="2"/>
  <c r="J430" i="2"/>
  <c r="I430" i="2"/>
  <c r="G430" i="2"/>
  <c r="O429" i="2"/>
  <c r="K429" i="2"/>
  <c r="J429" i="2"/>
  <c r="I429" i="2"/>
  <c r="G429" i="2"/>
  <c r="O428" i="2"/>
  <c r="K428" i="2"/>
  <c r="J428" i="2"/>
  <c r="I428" i="2"/>
  <c r="G428" i="2"/>
  <c r="O427" i="2"/>
  <c r="K427" i="2"/>
  <c r="J427" i="2"/>
  <c r="I427" i="2"/>
  <c r="G427" i="2"/>
  <c r="O426" i="2"/>
  <c r="K426" i="2"/>
  <c r="J426" i="2"/>
  <c r="I426" i="2"/>
  <c r="G426" i="2"/>
  <c r="O425" i="2"/>
  <c r="K425" i="2"/>
  <c r="J425" i="2"/>
  <c r="I425" i="2"/>
  <c r="G425" i="2"/>
  <c r="O424" i="2"/>
  <c r="K424" i="2"/>
  <c r="J424" i="2"/>
  <c r="I424" i="2"/>
  <c r="G424" i="2"/>
  <c r="O423" i="2"/>
  <c r="K423" i="2"/>
  <c r="J423" i="2"/>
  <c r="I423" i="2"/>
  <c r="G423" i="2"/>
  <c r="O422" i="2"/>
  <c r="K422" i="2"/>
  <c r="J422" i="2"/>
  <c r="I422" i="2"/>
  <c r="G422" i="2"/>
  <c r="O421" i="2"/>
  <c r="K421" i="2"/>
  <c r="J421" i="2"/>
  <c r="I421" i="2"/>
  <c r="G421" i="2"/>
  <c r="O420" i="2"/>
  <c r="K420" i="2"/>
  <c r="J420" i="2"/>
  <c r="I420" i="2"/>
  <c r="G420" i="2"/>
  <c r="O419" i="2"/>
  <c r="K419" i="2"/>
  <c r="J419" i="2"/>
  <c r="I419" i="2"/>
  <c r="G419" i="2"/>
  <c r="O418" i="2"/>
  <c r="K418" i="2"/>
  <c r="J418" i="2"/>
  <c r="I418" i="2"/>
  <c r="G418" i="2"/>
  <c r="O417" i="2"/>
  <c r="K417" i="2"/>
  <c r="J417" i="2"/>
  <c r="I417" i="2"/>
  <c r="G417" i="2"/>
  <c r="O416" i="2"/>
  <c r="K416" i="2"/>
  <c r="J416" i="2"/>
  <c r="I416" i="2"/>
  <c r="G416" i="2"/>
  <c r="O415" i="2"/>
  <c r="K415" i="2"/>
  <c r="J415" i="2"/>
  <c r="I415" i="2"/>
  <c r="G415" i="2"/>
  <c r="O414" i="2"/>
  <c r="K414" i="2"/>
  <c r="J414" i="2"/>
  <c r="I414" i="2"/>
  <c r="G414" i="2"/>
  <c r="O413" i="2"/>
  <c r="K413" i="2"/>
  <c r="J413" i="2"/>
  <c r="I413" i="2"/>
  <c r="G413" i="2"/>
  <c r="O412" i="2"/>
  <c r="K412" i="2"/>
  <c r="J412" i="2"/>
  <c r="I412" i="2"/>
  <c r="G412" i="2"/>
  <c r="O411" i="2"/>
  <c r="K411" i="2"/>
  <c r="J411" i="2"/>
  <c r="I411" i="2"/>
  <c r="G411" i="2"/>
  <c r="O410" i="2"/>
  <c r="K410" i="2"/>
  <c r="J410" i="2"/>
  <c r="I410" i="2"/>
  <c r="G410" i="2"/>
  <c r="O409" i="2"/>
  <c r="K409" i="2"/>
  <c r="J409" i="2"/>
  <c r="I409" i="2"/>
  <c r="G409" i="2"/>
  <c r="O408" i="2"/>
  <c r="K408" i="2"/>
  <c r="J408" i="2"/>
  <c r="I408" i="2"/>
  <c r="G408" i="2"/>
  <c r="O407" i="2"/>
  <c r="K407" i="2"/>
  <c r="J407" i="2"/>
  <c r="I407" i="2"/>
  <c r="G407" i="2"/>
  <c r="O406" i="2"/>
  <c r="K406" i="2"/>
  <c r="J406" i="2"/>
  <c r="I406" i="2"/>
  <c r="G406" i="2"/>
  <c r="O405" i="2"/>
  <c r="K405" i="2"/>
  <c r="J405" i="2"/>
  <c r="I405" i="2"/>
  <c r="G405" i="2"/>
  <c r="O404" i="2"/>
  <c r="K404" i="2"/>
  <c r="J404" i="2"/>
  <c r="I404" i="2"/>
  <c r="G404" i="2"/>
  <c r="O403" i="2"/>
  <c r="K403" i="2"/>
  <c r="J403" i="2"/>
  <c r="I403" i="2"/>
  <c r="G403" i="2"/>
  <c r="O402" i="2"/>
  <c r="K402" i="2"/>
  <c r="J402" i="2"/>
  <c r="I402" i="2"/>
  <c r="G402" i="2"/>
  <c r="O401" i="2"/>
  <c r="K401" i="2"/>
  <c r="J401" i="2"/>
  <c r="I401" i="2"/>
  <c r="G401" i="2"/>
  <c r="O400" i="2"/>
  <c r="K400" i="2"/>
  <c r="J400" i="2"/>
  <c r="I400" i="2"/>
  <c r="G400" i="2"/>
  <c r="O399" i="2"/>
  <c r="K399" i="2"/>
  <c r="J399" i="2"/>
  <c r="I399" i="2"/>
  <c r="G399" i="2"/>
  <c r="O398" i="2"/>
  <c r="K398" i="2"/>
  <c r="J398" i="2"/>
  <c r="I398" i="2"/>
  <c r="G398" i="2"/>
  <c r="O397" i="2"/>
  <c r="K397" i="2"/>
  <c r="J397" i="2"/>
  <c r="I397" i="2"/>
  <c r="G397" i="2"/>
  <c r="O396" i="2"/>
  <c r="K396" i="2"/>
  <c r="J396" i="2"/>
  <c r="I396" i="2"/>
  <c r="G396" i="2"/>
  <c r="O395" i="2"/>
  <c r="K395" i="2"/>
  <c r="J395" i="2"/>
  <c r="I395" i="2"/>
  <c r="G395" i="2"/>
  <c r="O394" i="2"/>
  <c r="K394" i="2"/>
  <c r="J394" i="2"/>
  <c r="I394" i="2"/>
  <c r="G394" i="2"/>
  <c r="O393" i="2"/>
  <c r="K393" i="2"/>
  <c r="J393" i="2"/>
  <c r="I393" i="2"/>
  <c r="G393" i="2"/>
  <c r="O392" i="2"/>
  <c r="K392" i="2"/>
  <c r="J392" i="2"/>
  <c r="I392" i="2"/>
  <c r="G392" i="2"/>
  <c r="O391" i="2"/>
  <c r="K391" i="2"/>
  <c r="J391" i="2"/>
  <c r="I391" i="2"/>
  <c r="G391" i="2"/>
  <c r="O390" i="2"/>
  <c r="K390" i="2"/>
  <c r="J390" i="2"/>
  <c r="I390" i="2"/>
  <c r="G390" i="2"/>
  <c r="O389" i="2"/>
  <c r="K389" i="2"/>
  <c r="J389" i="2"/>
  <c r="I389" i="2"/>
  <c r="G389" i="2"/>
  <c r="O388" i="2"/>
  <c r="K388" i="2"/>
  <c r="J388" i="2"/>
  <c r="I388" i="2"/>
  <c r="G388" i="2"/>
  <c r="O387" i="2"/>
  <c r="K387" i="2"/>
  <c r="J387" i="2"/>
  <c r="I387" i="2"/>
  <c r="G387" i="2"/>
  <c r="O386" i="2"/>
  <c r="K386" i="2"/>
  <c r="J386" i="2"/>
  <c r="I386" i="2"/>
  <c r="G386" i="2"/>
  <c r="O385" i="2"/>
  <c r="K385" i="2"/>
  <c r="J385" i="2"/>
  <c r="I385" i="2"/>
  <c r="G385" i="2"/>
  <c r="O384" i="2"/>
  <c r="K384" i="2"/>
  <c r="J384" i="2"/>
  <c r="I384" i="2"/>
  <c r="G384" i="2"/>
  <c r="O383" i="2"/>
  <c r="K383" i="2"/>
  <c r="J383" i="2"/>
  <c r="I383" i="2"/>
  <c r="G383" i="2"/>
  <c r="O382" i="2"/>
  <c r="K382" i="2"/>
  <c r="J382" i="2"/>
  <c r="I382" i="2"/>
  <c r="G382" i="2"/>
  <c r="O381" i="2"/>
  <c r="K381" i="2"/>
  <c r="J381" i="2"/>
  <c r="I381" i="2"/>
  <c r="G381" i="2"/>
  <c r="O380" i="2"/>
  <c r="K380" i="2"/>
  <c r="J380" i="2"/>
  <c r="I380" i="2"/>
  <c r="G380" i="2"/>
  <c r="O379" i="2"/>
  <c r="K379" i="2"/>
  <c r="J379" i="2"/>
  <c r="I379" i="2"/>
  <c r="G379" i="2"/>
  <c r="O378" i="2"/>
  <c r="K378" i="2"/>
  <c r="J378" i="2"/>
  <c r="I378" i="2"/>
  <c r="G378" i="2"/>
  <c r="O377" i="2"/>
  <c r="K377" i="2"/>
  <c r="J377" i="2"/>
  <c r="I377" i="2"/>
  <c r="G377" i="2"/>
  <c r="O376" i="2"/>
  <c r="K376" i="2"/>
  <c r="J376" i="2"/>
  <c r="I376" i="2"/>
  <c r="G376" i="2"/>
  <c r="O375" i="2"/>
  <c r="K375" i="2"/>
  <c r="J375" i="2"/>
  <c r="I375" i="2"/>
  <c r="G375" i="2"/>
  <c r="O374" i="2"/>
  <c r="K374" i="2"/>
  <c r="J374" i="2"/>
  <c r="I374" i="2"/>
  <c r="G374" i="2"/>
  <c r="O373" i="2"/>
  <c r="K373" i="2"/>
  <c r="J373" i="2"/>
  <c r="I373" i="2"/>
  <c r="G373" i="2"/>
  <c r="O372" i="2"/>
  <c r="K372" i="2"/>
  <c r="J372" i="2"/>
  <c r="I372" i="2"/>
  <c r="G372" i="2"/>
  <c r="O371" i="2"/>
  <c r="K371" i="2"/>
  <c r="J371" i="2"/>
  <c r="I371" i="2"/>
  <c r="G371" i="2"/>
  <c r="O370" i="2"/>
  <c r="K370" i="2"/>
  <c r="J370" i="2"/>
  <c r="I370" i="2"/>
  <c r="G370" i="2"/>
  <c r="O369" i="2"/>
  <c r="K369" i="2"/>
  <c r="J369" i="2"/>
  <c r="I369" i="2"/>
  <c r="G369" i="2"/>
  <c r="O368" i="2"/>
  <c r="K368" i="2"/>
  <c r="J368" i="2"/>
  <c r="I368" i="2"/>
  <c r="G368" i="2"/>
  <c r="O367" i="2"/>
  <c r="K367" i="2"/>
  <c r="J367" i="2"/>
  <c r="I367" i="2"/>
  <c r="G367" i="2"/>
  <c r="O366" i="2"/>
  <c r="K366" i="2"/>
  <c r="J366" i="2"/>
  <c r="I366" i="2"/>
  <c r="G366" i="2"/>
  <c r="O365" i="2"/>
  <c r="K365" i="2"/>
  <c r="J365" i="2"/>
  <c r="I365" i="2"/>
  <c r="G365" i="2"/>
  <c r="O364" i="2"/>
  <c r="K364" i="2"/>
  <c r="J364" i="2"/>
  <c r="I364" i="2"/>
  <c r="G364" i="2"/>
  <c r="O363" i="2"/>
  <c r="K363" i="2"/>
  <c r="J363" i="2"/>
  <c r="I363" i="2"/>
  <c r="G363" i="2"/>
  <c r="O362" i="2"/>
  <c r="K362" i="2"/>
  <c r="J362" i="2"/>
  <c r="I362" i="2"/>
  <c r="G362" i="2"/>
  <c r="O361" i="2"/>
  <c r="K361" i="2"/>
  <c r="J361" i="2"/>
  <c r="I361" i="2"/>
  <c r="G361" i="2"/>
  <c r="O360" i="2"/>
  <c r="K360" i="2"/>
  <c r="J360" i="2"/>
  <c r="I360" i="2"/>
  <c r="G360" i="2"/>
  <c r="O359" i="2"/>
  <c r="K359" i="2"/>
  <c r="J359" i="2"/>
  <c r="I359" i="2"/>
  <c r="G359" i="2"/>
  <c r="O358" i="2"/>
  <c r="K358" i="2"/>
  <c r="J358" i="2"/>
  <c r="I358" i="2"/>
  <c r="G358" i="2"/>
  <c r="O357" i="2"/>
  <c r="K357" i="2"/>
  <c r="J357" i="2"/>
  <c r="I357" i="2"/>
  <c r="G357" i="2"/>
  <c r="O356" i="2"/>
  <c r="K356" i="2"/>
  <c r="J356" i="2"/>
  <c r="I356" i="2"/>
  <c r="G356" i="2"/>
  <c r="O355" i="2"/>
  <c r="K355" i="2"/>
  <c r="J355" i="2"/>
  <c r="I355" i="2"/>
  <c r="G355" i="2"/>
  <c r="O354" i="2"/>
  <c r="K354" i="2"/>
  <c r="J354" i="2"/>
  <c r="I354" i="2"/>
  <c r="G354" i="2"/>
  <c r="O353" i="2"/>
  <c r="K353" i="2"/>
  <c r="J353" i="2"/>
  <c r="I353" i="2"/>
  <c r="G353" i="2"/>
  <c r="O352" i="2"/>
  <c r="K352" i="2"/>
  <c r="J352" i="2"/>
  <c r="I352" i="2"/>
  <c r="G352" i="2"/>
  <c r="O351" i="2"/>
  <c r="K351" i="2"/>
  <c r="J351" i="2"/>
  <c r="I351" i="2"/>
  <c r="G351" i="2"/>
  <c r="O350" i="2"/>
  <c r="K350" i="2"/>
  <c r="J350" i="2"/>
  <c r="I350" i="2"/>
  <c r="G350" i="2"/>
  <c r="O349" i="2"/>
  <c r="K349" i="2"/>
  <c r="J349" i="2"/>
  <c r="I349" i="2"/>
  <c r="G349" i="2"/>
  <c r="O348" i="2"/>
  <c r="K348" i="2"/>
  <c r="J348" i="2"/>
  <c r="I348" i="2"/>
  <c r="G348" i="2"/>
  <c r="O347" i="2"/>
  <c r="K347" i="2"/>
  <c r="J347" i="2"/>
  <c r="I347" i="2"/>
  <c r="G347" i="2"/>
  <c r="O346" i="2"/>
  <c r="K346" i="2"/>
  <c r="J346" i="2"/>
  <c r="I346" i="2"/>
  <c r="G346" i="2"/>
  <c r="O345" i="2"/>
  <c r="K345" i="2"/>
  <c r="J345" i="2"/>
  <c r="I345" i="2"/>
  <c r="G345" i="2"/>
  <c r="O344" i="2"/>
  <c r="K344" i="2"/>
  <c r="J344" i="2"/>
  <c r="I344" i="2"/>
  <c r="G344" i="2"/>
  <c r="O343" i="2"/>
  <c r="K343" i="2"/>
  <c r="J343" i="2"/>
  <c r="I343" i="2"/>
  <c r="G343" i="2"/>
  <c r="O342" i="2"/>
  <c r="K342" i="2"/>
  <c r="J342" i="2"/>
  <c r="I342" i="2"/>
  <c r="G342" i="2"/>
  <c r="O341" i="2"/>
  <c r="K341" i="2"/>
  <c r="J341" i="2"/>
  <c r="I341" i="2"/>
  <c r="G341" i="2"/>
  <c r="O340" i="2"/>
  <c r="K340" i="2"/>
  <c r="J340" i="2"/>
  <c r="I340" i="2"/>
  <c r="G340" i="2"/>
  <c r="O339" i="2"/>
  <c r="K339" i="2"/>
  <c r="J339" i="2"/>
  <c r="I339" i="2"/>
  <c r="G339" i="2"/>
  <c r="K338" i="2"/>
  <c r="J338" i="2"/>
  <c r="I338" i="2"/>
  <c r="G338" i="2"/>
  <c r="K337" i="2"/>
  <c r="J337" i="2"/>
  <c r="I337" i="2"/>
  <c r="G337" i="2"/>
  <c r="K336" i="2"/>
  <c r="J336" i="2"/>
  <c r="I336" i="2"/>
  <c r="G336" i="2"/>
  <c r="K335" i="2"/>
  <c r="J335" i="2"/>
  <c r="I335" i="2"/>
  <c r="G335" i="2"/>
  <c r="K334" i="2"/>
  <c r="J334" i="2"/>
  <c r="I334" i="2"/>
  <c r="G334" i="2"/>
  <c r="K333" i="2"/>
  <c r="J333" i="2"/>
  <c r="I333" i="2"/>
  <c r="G333" i="2"/>
  <c r="K332" i="2"/>
  <c r="J332" i="2"/>
  <c r="I332" i="2"/>
  <c r="G332" i="2"/>
  <c r="K331" i="2"/>
  <c r="J331" i="2"/>
  <c r="I331" i="2"/>
  <c r="G331" i="2"/>
  <c r="K330" i="2"/>
  <c r="J330" i="2"/>
  <c r="I330" i="2"/>
  <c r="G330" i="2"/>
  <c r="O329" i="2"/>
  <c r="K329" i="2"/>
  <c r="J329" i="2"/>
  <c r="I329" i="2"/>
  <c r="G329" i="2"/>
  <c r="O328" i="2"/>
  <c r="K328" i="2"/>
  <c r="J328" i="2"/>
  <c r="I328" i="2"/>
  <c r="G328" i="2"/>
  <c r="O327" i="2"/>
  <c r="K327" i="2"/>
  <c r="J327" i="2"/>
  <c r="I327" i="2"/>
  <c r="G327" i="2"/>
  <c r="O326" i="2"/>
  <c r="K326" i="2"/>
  <c r="J326" i="2"/>
  <c r="I326" i="2"/>
  <c r="G326" i="2"/>
  <c r="K325" i="2"/>
  <c r="J325" i="2"/>
  <c r="I325" i="2"/>
  <c r="G325" i="2"/>
  <c r="K324" i="2"/>
  <c r="J324" i="2"/>
  <c r="I324" i="2"/>
  <c r="G324" i="2"/>
  <c r="O323" i="2"/>
  <c r="K323" i="2"/>
  <c r="J323" i="2"/>
  <c r="I323" i="2"/>
  <c r="G323" i="2"/>
  <c r="K322" i="2"/>
  <c r="J322" i="2"/>
  <c r="I322" i="2"/>
  <c r="G322" i="2"/>
  <c r="K321" i="2"/>
  <c r="J321" i="2"/>
  <c r="I321" i="2"/>
  <c r="G321" i="2"/>
  <c r="O320" i="2"/>
  <c r="K320" i="2"/>
  <c r="J320" i="2"/>
  <c r="I320" i="2"/>
  <c r="G320" i="2"/>
  <c r="K319" i="2"/>
  <c r="J319" i="2"/>
  <c r="I319" i="2"/>
  <c r="G319" i="2"/>
  <c r="O318" i="2"/>
  <c r="K318" i="2"/>
  <c r="J318" i="2"/>
  <c r="I318" i="2"/>
  <c r="G318" i="2"/>
  <c r="O317" i="2"/>
  <c r="K317" i="2"/>
  <c r="J317" i="2"/>
  <c r="I317" i="2"/>
  <c r="G317" i="2"/>
  <c r="O316" i="2"/>
  <c r="K316" i="2"/>
  <c r="J316" i="2"/>
  <c r="I316" i="2"/>
  <c r="G316" i="2"/>
  <c r="O315" i="2"/>
  <c r="K315" i="2"/>
  <c r="J315" i="2"/>
  <c r="I315" i="2"/>
  <c r="G315" i="2"/>
  <c r="O314" i="2"/>
  <c r="K314" i="2"/>
  <c r="J314" i="2"/>
  <c r="I314" i="2"/>
  <c r="G314" i="2"/>
  <c r="O313" i="2"/>
  <c r="K313" i="2"/>
  <c r="J313" i="2"/>
  <c r="I313" i="2"/>
  <c r="G313" i="2"/>
  <c r="O312" i="2"/>
  <c r="K312" i="2"/>
  <c r="J312" i="2"/>
  <c r="I312" i="2"/>
  <c r="G312" i="2"/>
  <c r="O311" i="2"/>
  <c r="K311" i="2"/>
  <c r="J311" i="2"/>
  <c r="I311" i="2"/>
  <c r="G311" i="2"/>
  <c r="O310" i="2"/>
  <c r="K310" i="2"/>
  <c r="J310" i="2"/>
  <c r="I310" i="2"/>
  <c r="G310" i="2"/>
  <c r="O309" i="2"/>
  <c r="K309" i="2"/>
  <c r="J309" i="2"/>
  <c r="I309" i="2"/>
  <c r="G309" i="2"/>
  <c r="O308" i="2"/>
  <c r="K308" i="2"/>
  <c r="J308" i="2"/>
  <c r="I308" i="2"/>
  <c r="G308" i="2"/>
  <c r="O307" i="2"/>
  <c r="K307" i="2"/>
  <c r="J307" i="2"/>
  <c r="I307" i="2"/>
  <c r="G307" i="2"/>
  <c r="O306" i="2"/>
  <c r="K306" i="2"/>
  <c r="J306" i="2"/>
  <c r="I306" i="2"/>
  <c r="G306" i="2"/>
  <c r="O305" i="2"/>
  <c r="K305" i="2"/>
  <c r="J305" i="2"/>
  <c r="I305" i="2"/>
  <c r="G305" i="2"/>
  <c r="O304" i="2"/>
  <c r="K304" i="2"/>
  <c r="J304" i="2"/>
  <c r="I304" i="2"/>
  <c r="G304" i="2"/>
  <c r="O303" i="2"/>
  <c r="K303" i="2"/>
  <c r="J303" i="2"/>
  <c r="I303" i="2"/>
  <c r="G303" i="2"/>
  <c r="O302" i="2"/>
  <c r="K302" i="2"/>
  <c r="J302" i="2"/>
  <c r="I302" i="2"/>
  <c r="G302" i="2"/>
  <c r="O301" i="2"/>
  <c r="K301" i="2"/>
  <c r="J301" i="2"/>
  <c r="I301" i="2"/>
  <c r="G301" i="2"/>
  <c r="O300" i="2"/>
  <c r="K300" i="2"/>
  <c r="J300" i="2"/>
  <c r="I300" i="2"/>
  <c r="G300" i="2"/>
  <c r="O299" i="2"/>
  <c r="K299" i="2"/>
  <c r="J299" i="2"/>
  <c r="I299" i="2"/>
  <c r="G299" i="2"/>
  <c r="O298" i="2"/>
  <c r="K298" i="2"/>
  <c r="J298" i="2"/>
  <c r="I298" i="2"/>
  <c r="G298" i="2"/>
  <c r="O297" i="2"/>
  <c r="K297" i="2"/>
  <c r="J297" i="2"/>
  <c r="I297" i="2"/>
  <c r="G297" i="2"/>
  <c r="O296" i="2"/>
  <c r="K296" i="2"/>
  <c r="J296" i="2"/>
  <c r="I296" i="2"/>
  <c r="G296" i="2"/>
  <c r="O295" i="2"/>
  <c r="K295" i="2"/>
  <c r="J295" i="2"/>
  <c r="I295" i="2"/>
  <c r="G295" i="2"/>
  <c r="O294" i="2"/>
  <c r="K294" i="2"/>
  <c r="J294" i="2"/>
  <c r="I294" i="2"/>
  <c r="G294" i="2"/>
  <c r="O293" i="2"/>
  <c r="K293" i="2"/>
  <c r="J293" i="2"/>
  <c r="I293" i="2"/>
  <c r="G293" i="2"/>
  <c r="O292" i="2"/>
  <c r="K292" i="2"/>
  <c r="J292" i="2"/>
  <c r="I292" i="2"/>
  <c r="G292" i="2"/>
  <c r="O291" i="2"/>
  <c r="K291" i="2"/>
  <c r="J291" i="2"/>
  <c r="I291" i="2"/>
  <c r="G291" i="2"/>
  <c r="O290" i="2"/>
  <c r="K290" i="2"/>
  <c r="J290" i="2"/>
  <c r="I290" i="2"/>
  <c r="G290" i="2"/>
  <c r="O289" i="2"/>
  <c r="K289" i="2"/>
  <c r="J289" i="2"/>
  <c r="I289" i="2"/>
  <c r="G289" i="2"/>
  <c r="O288" i="2"/>
  <c r="K288" i="2"/>
  <c r="J288" i="2"/>
  <c r="I288" i="2"/>
  <c r="G288" i="2"/>
  <c r="O287" i="2"/>
  <c r="K287" i="2"/>
  <c r="J287" i="2"/>
  <c r="I287" i="2"/>
  <c r="G287" i="2"/>
  <c r="O286" i="2"/>
  <c r="K286" i="2"/>
  <c r="J286" i="2"/>
  <c r="I286" i="2"/>
  <c r="G286" i="2"/>
  <c r="O285" i="2"/>
  <c r="K285" i="2"/>
  <c r="J285" i="2"/>
  <c r="I285" i="2"/>
  <c r="G285" i="2"/>
  <c r="O284" i="2"/>
  <c r="K284" i="2"/>
  <c r="J284" i="2"/>
  <c r="I284" i="2"/>
  <c r="G284" i="2"/>
  <c r="O283" i="2"/>
  <c r="K283" i="2"/>
  <c r="J283" i="2"/>
  <c r="I283" i="2"/>
  <c r="G283" i="2"/>
  <c r="O282" i="2"/>
  <c r="K282" i="2"/>
  <c r="J282" i="2"/>
  <c r="I282" i="2"/>
  <c r="G282" i="2"/>
  <c r="O281" i="2"/>
  <c r="K281" i="2"/>
  <c r="J281" i="2"/>
  <c r="I281" i="2"/>
  <c r="G281" i="2"/>
  <c r="O280" i="2"/>
  <c r="K280" i="2"/>
  <c r="J280" i="2"/>
  <c r="I280" i="2"/>
  <c r="G280" i="2"/>
  <c r="O279" i="2"/>
  <c r="K279" i="2"/>
  <c r="J279" i="2"/>
  <c r="I279" i="2"/>
  <c r="G279" i="2"/>
  <c r="O278" i="2"/>
  <c r="K278" i="2"/>
  <c r="J278" i="2"/>
  <c r="I278" i="2"/>
  <c r="G278" i="2"/>
  <c r="O277" i="2"/>
  <c r="K277" i="2"/>
  <c r="J277" i="2"/>
  <c r="I277" i="2"/>
  <c r="G277" i="2"/>
  <c r="O276" i="2"/>
  <c r="K276" i="2"/>
  <c r="J276" i="2"/>
  <c r="I276" i="2"/>
  <c r="G276" i="2"/>
  <c r="O275" i="2"/>
  <c r="K275" i="2"/>
  <c r="J275" i="2"/>
  <c r="I275" i="2"/>
  <c r="G275" i="2"/>
  <c r="O274" i="2"/>
  <c r="K274" i="2"/>
  <c r="J274" i="2"/>
  <c r="I274" i="2"/>
  <c r="G274" i="2"/>
  <c r="O273" i="2"/>
  <c r="K273" i="2"/>
  <c r="J273" i="2"/>
  <c r="I273" i="2"/>
  <c r="G273" i="2"/>
  <c r="O272" i="2"/>
  <c r="K272" i="2"/>
  <c r="J272" i="2"/>
  <c r="I272" i="2"/>
  <c r="G272" i="2"/>
  <c r="O271" i="2"/>
  <c r="K271" i="2"/>
  <c r="J271" i="2"/>
  <c r="I271" i="2"/>
  <c r="G271" i="2"/>
  <c r="O270" i="2"/>
  <c r="K270" i="2"/>
  <c r="J270" i="2"/>
  <c r="I270" i="2"/>
  <c r="G270" i="2"/>
  <c r="O269" i="2"/>
  <c r="K269" i="2"/>
  <c r="J269" i="2"/>
  <c r="I269" i="2"/>
  <c r="G269" i="2"/>
  <c r="O268" i="2"/>
  <c r="K268" i="2"/>
  <c r="J268" i="2"/>
  <c r="I268" i="2"/>
  <c r="G268" i="2"/>
  <c r="O267" i="2"/>
  <c r="K267" i="2"/>
  <c r="J267" i="2"/>
  <c r="I267" i="2"/>
  <c r="G267" i="2"/>
  <c r="O266" i="2"/>
  <c r="K266" i="2"/>
  <c r="J266" i="2"/>
  <c r="I266" i="2"/>
  <c r="G266" i="2"/>
  <c r="O265" i="2"/>
  <c r="K265" i="2"/>
  <c r="J265" i="2"/>
  <c r="I265" i="2"/>
  <c r="G265" i="2"/>
  <c r="O264" i="2"/>
  <c r="K264" i="2"/>
  <c r="J264" i="2"/>
  <c r="I264" i="2"/>
  <c r="G264" i="2"/>
  <c r="O263" i="2"/>
  <c r="K263" i="2"/>
  <c r="J263" i="2"/>
  <c r="I263" i="2"/>
  <c r="G263" i="2"/>
  <c r="O262" i="2"/>
  <c r="K262" i="2"/>
  <c r="J262" i="2"/>
  <c r="I262" i="2"/>
  <c r="G262" i="2"/>
  <c r="O261" i="2"/>
  <c r="K261" i="2"/>
  <c r="J261" i="2"/>
  <c r="I261" i="2"/>
  <c r="G261" i="2"/>
  <c r="O260" i="2"/>
  <c r="K260" i="2"/>
  <c r="J260" i="2"/>
  <c r="I260" i="2"/>
  <c r="G260" i="2"/>
  <c r="O259" i="2"/>
  <c r="K259" i="2"/>
  <c r="J259" i="2"/>
  <c r="I259" i="2"/>
  <c r="G259" i="2"/>
  <c r="O258" i="2"/>
  <c r="K258" i="2"/>
  <c r="J258" i="2"/>
  <c r="I258" i="2"/>
  <c r="G258" i="2"/>
  <c r="O257" i="2"/>
  <c r="K257" i="2"/>
  <c r="J257" i="2"/>
  <c r="I257" i="2"/>
  <c r="G257" i="2"/>
  <c r="O256" i="2"/>
  <c r="K256" i="2"/>
  <c r="J256" i="2"/>
  <c r="I256" i="2"/>
  <c r="G256" i="2"/>
  <c r="O255" i="2"/>
  <c r="K255" i="2"/>
  <c r="J255" i="2"/>
  <c r="I255" i="2"/>
  <c r="G255" i="2"/>
  <c r="O254" i="2"/>
  <c r="K254" i="2"/>
  <c r="J254" i="2"/>
  <c r="I254" i="2"/>
  <c r="G254" i="2"/>
  <c r="O253" i="2"/>
  <c r="K253" i="2"/>
  <c r="J253" i="2"/>
  <c r="I253" i="2"/>
  <c r="G253" i="2"/>
  <c r="O252" i="2"/>
  <c r="K252" i="2"/>
  <c r="J252" i="2"/>
  <c r="I252" i="2"/>
  <c r="G252" i="2"/>
  <c r="O251" i="2"/>
  <c r="K251" i="2"/>
  <c r="J251" i="2"/>
  <c r="I251" i="2"/>
  <c r="G251" i="2"/>
  <c r="O250" i="2"/>
  <c r="K250" i="2"/>
  <c r="J250" i="2"/>
  <c r="I250" i="2"/>
  <c r="G250" i="2"/>
  <c r="O249" i="2"/>
  <c r="K249" i="2"/>
  <c r="J249" i="2"/>
  <c r="I249" i="2"/>
  <c r="G249" i="2"/>
  <c r="O248" i="2"/>
  <c r="K248" i="2"/>
  <c r="J248" i="2"/>
  <c r="I248" i="2"/>
  <c r="G248" i="2"/>
  <c r="O247" i="2"/>
  <c r="K247" i="2"/>
  <c r="J247" i="2"/>
  <c r="I247" i="2"/>
  <c r="G247" i="2"/>
  <c r="O246" i="2"/>
  <c r="K246" i="2"/>
  <c r="J246" i="2"/>
  <c r="I246" i="2"/>
  <c r="G246" i="2"/>
  <c r="O245" i="2"/>
  <c r="K245" i="2"/>
  <c r="J245" i="2"/>
  <c r="I245" i="2"/>
  <c r="G245" i="2"/>
  <c r="O244" i="2"/>
  <c r="K244" i="2"/>
  <c r="J244" i="2"/>
  <c r="I244" i="2"/>
  <c r="G244" i="2"/>
  <c r="O243" i="2"/>
  <c r="K243" i="2"/>
  <c r="J243" i="2"/>
  <c r="I243" i="2"/>
  <c r="G243" i="2"/>
  <c r="O242" i="2"/>
  <c r="K242" i="2"/>
  <c r="J242" i="2"/>
  <c r="I242" i="2"/>
  <c r="G242" i="2"/>
  <c r="O241" i="2"/>
  <c r="K241" i="2"/>
  <c r="J241" i="2"/>
  <c r="I241" i="2"/>
  <c r="G241" i="2"/>
  <c r="O240" i="2"/>
  <c r="K240" i="2"/>
  <c r="J240" i="2"/>
  <c r="I240" i="2"/>
  <c r="G240" i="2"/>
  <c r="O239" i="2"/>
  <c r="K239" i="2"/>
  <c r="J239" i="2"/>
  <c r="I239" i="2"/>
  <c r="G239" i="2"/>
  <c r="O238" i="2"/>
  <c r="K238" i="2"/>
  <c r="J238" i="2"/>
  <c r="I238" i="2"/>
  <c r="G238" i="2"/>
  <c r="O237" i="2"/>
  <c r="K237" i="2"/>
  <c r="J237" i="2"/>
  <c r="I237" i="2"/>
  <c r="G237" i="2"/>
  <c r="O236" i="2"/>
  <c r="K236" i="2"/>
  <c r="J236" i="2"/>
  <c r="I236" i="2"/>
  <c r="G236" i="2"/>
  <c r="O235" i="2"/>
  <c r="K235" i="2"/>
  <c r="J235" i="2"/>
  <c r="I235" i="2"/>
  <c r="G235" i="2"/>
  <c r="O234" i="2"/>
  <c r="K234" i="2"/>
  <c r="J234" i="2"/>
  <c r="I234" i="2"/>
  <c r="G234" i="2"/>
  <c r="O233" i="2"/>
  <c r="K233" i="2"/>
  <c r="J233" i="2"/>
  <c r="I233" i="2"/>
  <c r="G233" i="2"/>
  <c r="O232" i="2"/>
  <c r="K232" i="2"/>
  <c r="J232" i="2"/>
  <c r="I232" i="2"/>
  <c r="G232" i="2"/>
  <c r="O231" i="2"/>
  <c r="K231" i="2"/>
  <c r="J231" i="2"/>
  <c r="I231" i="2"/>
  <c r="G231" i="2"/>
  <c r="O230" i="2"/>
  <c r="K230" i="2"/>
  <c r="J230" i="2"/>
  <c r="I230" i="2"/>
  <c r="G230" i="2"/>
  <c r="O229" i="2"/>
  <c r="K229" i="2"/>
  <c r="J229" i="2"/>
  <c r="I229" i="2"/>
  <c r="G229" i="2"/>
  <c r="O228" i="2"/>
  <c r="K228" i="2"/>
  <c r="J228" i="2"/>
  <c r="I228" i="2"/>
  <c r="G228" i="2"/>
  <c r="O227" i="2"/>
  <c r="K227" i="2"/>
  <c r="J227" i="2"/>
  <c r="I227" i="2"/>
  <c r="G227" i="2"/>
  <c r="O226" i="2"/>
  <c r="K226" i="2"/>
  <c r="J226" i="2"/>
  <c r="I226" i="2"/>
  <c r="G226" i="2"/>
  <c r="O225" i="2"/>
  <c r="K225" i="2"/>
  <c r="J225" i="2"/>
  <c r="I225" i="2"/>
  <c r="G225" i="2"/>
  <c r="O224" i="2"/>
  <c r="K224" i="2"/>
  <c r="J224" i="2"/>
  <c r="I224" i="2"/>
  <c r="G224" i="2"/>
  <c r="O223" i="2"/>
  <c r="K223" i="2"/>
  <c r="J223" i="2"/>
  <c r="I223" i="2"/>
  <c r="G223" i="2"/>
  <c r="O222" i="2"/>
  <c r="K222" i="2"/>
  <c r="J222" i="2"/>
  <c r="I222" i="2"/>
  <c r="G222" i="2"/>
  <c r="O221" i="2"/>
  <c r="K221" i="2"/>
  <c r="J221" i="2"/>
  <c r="I221" i="2"/>
  <c r="G221" i="2"/>
  <c r="O220" i="2"/>
  <c r="K220" i="2"/>
  <c r="J220" i="2"/>
  <c r="I220" i="2"/>
  <c r="G220" i="2"/>
  <c r="O219" i="2"/>
  <c r="K219" i="2"/>
  <c r="J219" i="2"/>
  <c r="I219" i="2"/>
  <c r="G219" i="2"/>
  <c r="O218" i="2"/>
  <c r="K218" i="2"/>
  <c r="J218" i="2"/>
  <c r="I218" i="2"/>
  <c r="G218" i="2"/>
  <c r="O217" i="2"/>
  <c r="K217" i="2"/>
  <c r="J217" i="2"/>
  <c r="I217" i="2"/>
  <c r="G217" i="2"/>
  <c r="O216" i="2"/>
  <c r="K216" i="2"/>
  <c r="J216" i="2"/>
  <c r="I216" i="2"/>
  <c r="G216" i="2"/>
  <c r="O215" i="2"/>
  <c r="K215" i="2"/>
  <c r="J215" i="2"/>
  <c r="I215" i="2"/>
  <c r="G215" i="2"/>
  <c r="O214" i="2"/>
  <c r="K214" i="2"/>
  <c r="J214" i="2"/>
  <c r="I214" i="2"/>
  <c r="G214" i="2"/>
  <c r="O213" i="2"/>
  <c r="K213" i="2"/>
  <c r="J213" i="2"/>
  <c r="I213" i="2"/>
  <c r="G213" i="2"/>
  <c r="O212" i="2"/>
  <c r="K212" i="2"/>
  <c r="J212" i="2"/>
  <c r="I212" i="2"/>
  <c r="G212" i="2"/>
  <c r="O211" i="2"/>
  <c r="K211" i="2"/>
  <c r="J211" i="2"/>
  <c r="I211" i="2"/>
  <c r="G211" i="2"/>
  <c r="O210" i="2"/>
  <c r="K210" i="2"/>
  <c r="J210" i="2"/>
  <c r="I210" i="2"/>
  <c r="G210" i="2"/>
  <c r="O209" i="2"/>
  <c r="K209" i="2"/>
  <c r="J209" i="2"/>
  <c r="I209" i="2"/>
  <c r="G209" i="2"/>
  <c r="O208" i="2"/>
  <c r="K208" i="2"/>
  <c r="J208" i="2"/>
  <c r="I208" i="2"/>
  <c r="G208" i="2"/>
  <c r="O207" i="2"/>
  <c r="K207" i="2"/>
  <c r="J207" i="2"/>
  <c r="I207" i="2"/>
  <c r="G207" i="2"/>
  <c r="O206" i="2"/>
  <c r="K206" i="2"/>
  <c r="J206" i="2"/>
  <c r="I206" i="2"/>
  <c r="G206" i="2"/>
  <c r="O205" i="2"/>
  <c r="K205" i="2"/>
  <c r="J205" i="2"/>
  <c r="I205" i="2"/>
  <c r="G205" i="2"/>
  <c r="O204" i="2"/>
  <c r="K204" i="2"/>
  <c r="J204" i="2"/>
  <c r="I204" i="2"/>
  <c r="G204" i="2"/>
  <c r="O203" i="2"/>
  <c r="K203" i="2"/>
  <c r="J203" i="2"/>
  <c r="I203" i="2"/>
  <c r="G203" i="2"/>
  <c r="O202" i="2"/>
  <c r="K202" i="2"/>
  <c r="J202" i="2"/>
  <c r="I202" i="2"/>
  <c r="G202" i="2"/>
  <c r="O201" i="2"/>
  <c r="K201" i="2"/>
  <c r="J201" i="2"/>
  <c r="I201" i="2"/>
  <c r="G201" i="2"/>
  <c r="O200" i="2"/>
  <c r="K200" i="2"/>
  <c r="J200" i="2"/>
  <c r="I200" i="2"/>
  <c r="G200" i="2"/>
  <c r="O199" i="2"/>
  <c r="K199" i="2"/>
  <c r="J199" i="2"/>
  <c r="I199" i="2"/>
  <c r="G199" i="2"/>
  <c r="O198" i="2"/>
  <c r="K198" i="2"/>
  <c r="J198" i="2"/>
  <c r="I198" i="2"/>
  <c r="G198" i="2"/>
  <c r="O197" i="2"/>
  <c r="K197" i="2"/>
  <c r="J197" i="2"/>
  <c r="I197" i="2"/>
  <c r="G197" i="2"/>
  <c r="O196" i="2"/>
  <c r="K196" i="2"/>
  <c r="J196" i="2"/>
  <c r="I196" i="2"/>
  <c r="G196" i="2"/>
  <c r="O195" i="2"/>
  <c r="K195" i="2"/>
  <c r="J195" i="2"/>
  <c r="I195" i="2"/>
  <c r="G195" i="2"/>
  <c r="K194" i="2"/>
  <c r="J194" i="2"/>
  <c r="I194" i="2"/>
  <c r="G194" i="2"/>
  <c r="K193" i="2"/>
  <c r="J193" i="2"/>
  <c r="I193" i="2"/>
  <c r="G193" i="2"/>
  <c r="K192" i="2"/>
  <c r="J192" i="2"/>
  <c r="I192" i="2"/>
  <c r="G192" i="2"/>
  <c r="K191" i="2"/>
  <c r="J191" i="2"/>
  <c r="I191" i="2"/>
  <c r="G191" i="2"/>
  <c r="K190" i="2"/>
  <c r="J190" i="2"/>
  <c r="I190" i="2"/>
  <c r="G190" i="2"/>
  <c r="K189" i="2"/>
  <c r="J189" i="2"/>
  <c r="I189" i="2"/>
  <c r="G189" i="2"/>
  <c r="K188" i="2"/>
  <c r="J188" i="2"/>
  <c r="I188" i="2"/>
  <c r="G188" i="2"/>
  <c r="K187" i="2"/>
  <c r="J187" i="2"/>
  <c r="I187" i="2"/>
  <c r="G187" i="2"/>
  <c r="O186" i="2"/>
  <c r="K186" i="2"/>
  <c r="J186" i="2"/>
  <c r="I186" i="2"/>
  <c r="G186" i="2"/>
  <c r="K185" i="2"/>
  <c r="J185" i="2"/>
  <c r="I185" i="2"/>
  <c r="G185" i="2"/>
  <c r="K184" i="2"/>
  <c r="J184" i="2"/>
  <c r="I184" i="2"/>
  <c r="G184" i="2"/>
  <c r="K183" i="2"/>
  <c r="J183" i="2"/>
  <c r="I183" i="2"/>
  <c r="G183" i="2"/>
  <c r="K182" i="2"/>
  <c r="J182" i="2"/>
  <c r="I182" i="2"/>
  <c r="G182" i="2"/>
  <c r="K181" i="2"/>
  <c r="J181" i="2"/>
  <c r="I181" i="2"/>
  <c r="G181" i="2"/>
  <c r="K180" i="2"/>
  <c r="J180" i="2"/>
  <c r="I180" i="2"/>
  <c r="G180" i="2"/>
  <c r="O179" i="2"/>
  <c r="K179" i="2"/>
  <c r="J179" i="2"/>
  <c r="I179" i="2"/>
  <c r="G179" i="2"/>
  <c r="K178" i="2"/>
  <c r="J178" i="2"/>
  <c r="I178" i="2"/>
  <c r="G178" i="2"/>
  <c r="O177" i="2"/>
  <c r="K177" i="2"/>
  <c r="J177" i="2"/>
  <c r="I177" i="2"/>
  <c r="G177" i="2"/>
  <c r="O176" i="2"/>
  <c r="K176" i="2"/>
  <c r="J176" i="2"/>
  <c r="I176" i="2"/>
  <c r="G176" i="2"/>
  <c r="K175" i="2"/>
  <c r="J175" i="2"/>
  <c r="I175" i="2"/>
  <c r="G175" i="2"/>
  <c r="O174" i="2"/>
  <c r="K174" i="2"/>
  <c r="J174" i="2"/>
  <c r="I174" i="2"/>
  <c r="G174" i="2"/>
  <c r="K173" i="2"/>
  <c r="J173" i="2"/>
  <c r="I173" i="2"/>
  <c r="G173" i="2"/>
  <c r="O172" i="2"/>
  <c r="K172" i="2"/>
  <c r="J172" i="2"/>
  <c r="I172" i="2"/>
  <c r="G172" i="2"/>
  <c r="K171" i="2"/>
  <c r="J171" i="2"/>
  <c r="I171" i="2"/>
  <c r="G171" i="2"/>
  <c r="K170" i="2"/>
  <c r="J170" i="2"/>
  <c r="I170" i="2"/>
  <c r="G170" i="2"/>
  <c r="K169" i="2"/>
  <c r="J169" i="2"/>
  <c r="I169" i="2"/>
  <c r="G169" i="2"/>
  <c r="K168" i="2"/>
  <c r="J168" i="2"/>
  <c r="I168" i="2"/>
  <c r="G168" i="2"/>
  <c r="K167" i="2"/>
  <c r="J167" i="2"/>
  <c r="I167" i="2"/>
  <c r="G167" i="2"/>
  <c r="O166" i="2"/>
  <c r="K166" i="2"/>
  <c r="J166" i="2"/>
  <c r="I166" i="2"/>
  <c r="G166" i="2"/>
  <c r="O165" i="2"/>
  <c r="K165" i="2"/>
  <c r="J165" i="2"/>
  <c r="I165" i="2"/>
  <c r="G165" i="2"/>
  <c r="K164" i="2"/>
  <c r="J164" i="2"/>
  <c r="I164" i="2"/>
  <c r="G164" i="2"/>
  <c r="O163" i="2"/>
  <c r="K163" i="2"/>
  <c r="J163" i="2"/>
  <c r="I163" i="2"/>
  <c r="G163" i="2"/>
  <c r="O162" i="2"/>
  <c r="K162" i="2"/>
  <c r="J162" i="2"/>
  <c r="I162" i="2"/>
  <c r="G162" i="2"/>
  <c r="O161" i="2"/>
  <c r="K161" i="2"/>
  <c r="J161" i="2"/>
  <c r="I161" i="2"/>
  <c r="G161" i="2"/>
  <c r="O160" i="2"/>
  <c r="K160" i="2"/>
  <c r="J160" i="2"/>
  <c r="I160" i="2"/>
  <c r="G160" i="2"/>
  <c r="O159" i="2"/>
  <c r="K159" i="2"/>
  <c r="J159" i="2"/>
  <c r="I159" i="2"/>
  <c r="G159" i="2"/>
  <c r="O158" i="2"/>
  <c r="K158" i="2"/>
  <c r="J158" i="2"/>
  <c r="I158" i="2"/>
  <c r="G158" i="2"/>
  <c r="O157" i="2"/>
  <c r="K157" i="2"/>
  <c r="J157" i="2"/>
  <c r="I157" i="2"/>
  <c r="G157" i="2"/>
  <c r="O156" i="2"/>
  <c r="K156" i="2"/>
  <c r="J156" i="2"/>
  <c r="I156" i="2"/>
  <c r="G156" i="2"/>
  <c r="O155" i="2"/>
  <c r="K155" i="2"/>
  <c r="J155" i="2"/>
  <c r="I155" i="2"/>
  <c r="G155" i="2"/>
  <c r="O154" i="2"/>
  <c r="K154" i="2"/>
  <c r="J154" i="2"/>
  <c r="I154" i="2"/>
  <c r="G154" i="2"/>
  <c r="O153" i="2"/>
  <c r="K153" i="2"/>
  <c r="J153" i="2"/>
  <c r="I153" i="2"/>
  <c r="G153" i="2"/>
  <c r="O152" i="2"/>
  <c r="K152" i="2"/>
  <c r="J152" i="2"/>
  <c r="I152" i="2"/>
  <c r="G152" i="2"/>
  <c r="O151" i="2"/>
  <c r="K151" i="2"/>
  <c r="J151" i="2"/>
  <c r="I151" i="2"/>
  <c r="G151" i="2"/>
  <c r="O150" i="2"/>
  <c r="K150" i="2"/>
  <c r="J150" i="2"/>
  <c r="I150" i="2"/>
  <c r="G150" i="2"/>
  <c r="O149" i="2"/>
  <c r="K149" i="2"/>
  <c r="J149" i="2"/>
  <c r="I149" i="2"/>
  <c r="G149" i="2"/>
  <c r="O148" i="2"/>
  <c r="K148" i="2"/>
  <c r="J148" i="2"/>
  <c r="I148" i="2"/>
  <c r="G148" i="2"/>
  <c r="O147" i="2"/>
  <c r="K147" i="2"/>
  <c r="J147" i="2"/>
  <c r="I147" i="2"/>
  <c r="G147" i="2"/>
  <c r="O146" i="2"/>
  <c r="K146" i="2"/>
  <c r="J146" i="2"/>
  <c r="I146" i="2"/>
  <c r="G146" i="2"/>
  <c r="O145" i="2"/>
  <c r="K145" i="2"/>
  <c r="J145" i="2"/>
  <c r="I145" i="2"/>
  <c r="G145" i="2"/>
  <c r="O144" i="2"/>
  <c r="K144" i="2"/>
  <c r="J144" i="2"/>
  <c r="I144" i="2"/>
  <c r="G144" i="2"/>
  <c r="O143" i="2"/>
  <c r="K143" i="2"/>
  <c r="J143" i="2"/>
  <c r="I143" i="2"/>
  <c r="G143" i="2"/>
  <c r="O142" i="2"/>
  <c r="K142" i="2"/>
  <c r="J142" i="2"/>
  <c r="I142" i="2"/>
  <c r="G142" i="2"/>
  <c r="O141" i="2"/>
  <c r="K141" i="2"/>
  <c r="J141" i="2"/>
  <c r="I141" i="2"/>
  <c r="G141" i="2"/>
  <c r="O140" i="2"/>
  <c r="K140" i="2"/>
  <c r="J140" i="2"/>
  <c r="I140" i="2"/>
  <c r="G140" i="2"/>
  <c r="O139" i="2"/>
  <c r="K139" i="2"/>
  <c r="J139" i="2"/>
  <c r="I139" i="2"/>
  <c r="G139" i="2"/>
  <c r="O138" i="2"/>
  <c r="K138" i="2"/>
  <c r="J138" i="2"/>
  <c r="I138" i="2"/>
  <c r="G138" i="2"/>
  <c r="O137" i="2"/>
  <c r="K137" i="2"/>
  <c r="J137" i="2"/>
  <c r="I137" i="2"/>
  <c r="G137" i="2"/>
  <c r="O136" i="2"/>
  <c r="K136" i="2"/>
  <c r="J136" i="2"/>
  <c r="I136" i="2"/>
  <c r="G136" i="2"/>
  <c r="O135" i="2"/>
  <c r="K135" i="2"/>
  <c r="J135" i="2"/>
  <c r="I135" i="2"/>
  <c r="G135" i="2"/>
  <c r="O134" i="2"/>
  <c r="K134" i="2"/>
  <c r="J134" i="2"/>
  <c r="I134" i="2"/>
  <c r="G134" i="2"/>
  <c r="O133" i="2"/>
  <c r="K133" i="2"/>
  <c r="J133" i="2"/>
  <c r="I133" i="2"/>
  <c r="G133" i="2"/>
  <c r="O132" i="2"/>
  <c r="K132" i="2"/>
  <c r="J132" i="2"/>
  <c r="I132" i="2"/>
  <c r="G132" i="2"/>
  <c r="O131" i="2"/>
  <c r="K131" i="2"/>
  <c r="J131" i="2"/>
  <c r="I131" i="2"/>
  <c r="G131" i="2"/>
  <c r="O130" i="2"/>
  <c r="K130" i="2"/>
  <c r="J130" i="2"/>
  <c r="I130" i="2"/>
  <c r="G130" i="2"/>
  <c r="O129" i="2"/>
  <c r="K129" i="2"/>
  <c r="J129" i="2"/>
  <c r="I129" i="2"/>
  <c r="G129" i="2"/>
  <c r="O128" i="2"/>
  <c r="K128" i="2"/>
  <c r="J128" i="2"/>
  <c r="I128" i="2"/>
  <c r="G128" i="2"/>
  <c r="O127" i="2"/>
  <c r="K127" i="2"/>
  <c r="J127" i="2"/>
  <c r="I127" i="2"/>
  <c r="G127" i="2"/>
  <c r="O126" i="2"/>
  <c r="K126" i="2"/>
  <c r="J126" i="2"/>
  <c r="I126" i="2"/>
  <c r="G126" i="2"/>
  <c r="O125" i="2"/>
  <c r="K125" i="2"/>
  <c r="J125" i="2"/>
  <c r="I125" i="2"/>
  <c r="G125" i="2"/>
  <c r="O124" i="2"/>
  <c r="K124" i="2"/>
  <c r="J124" i="2"/>
  <c r="I124" i="2"/>
  <c r="G124" i="2"/>
  <c r="O123" i="2"/>
  <c r="K123" i="2"/>
  <c r="J123" i="2"/>
  <c r="I123" i="2"/>
  <c r="G123" i="2"/>
  <c r="O122" i="2"/>
  <c r="K122" i="2"/>
  <c r="J122" i="2"/>
  <c r="I122" i="2"/>
  <c r="G122" i="2"/>
  <c r="O121" i="2"/>
  <c r="K121" i="2"/>
  <c r="J121" i="2"/>
  <c r="I121" i="2"/>
  <c r="G121" i="2"/>
  <c r="O120" i="2"/>
  <c r="K120" i="2"/>
  <c r="J120" i="2"/>
  <c r="I120" i="2"/>
  <c r="G120" i="2"/>
  <c r="O119" i="2"/>
  <c r="K119" i="2"/>
  <c r="J119" i="2"/>
  <c r="I119" i="2"/>
  <c r="G119" i="2"/>
  <c r="O118" i="2"/>
  <c r="K118" i="2"/>
  <c r="J118" i="2"/>
  <c r="I118" i="2"/>
  <c r="G118" i="2"/>
  <c r="O117" i="2"/>
  <c r="K117" i="2"/>
  <c r="J117" i="2"/>
  <c r="I117" i="2"/>
  <c r="G117" i="2"/>
  <c r="O116" i="2"/>
  <c r="K116" i="2"/>
  <c r="J116" i="2"/>
  <c r="I116" i="2"/>
  <c r="G116" i="2"/>
  <c r="O115" i="2"/>
  <c r="K115" i="2"/>
  <c r="J115" i="2"/>
  <c r="I115" i="2"/>
  <c r="G115" i="2"/>
  <c r="O114" i="2"/>
  <c r="K114" i="2"/>
  <c r="J114" i="2"/>
  <c r="I114" i="2"/>
  <c r="G114" i="2"/>
  <c r="O113" i="2"/>
  <c r="K113" i="2"/>
  <c r="J113" i="2"/>
  <c r="I113" i="2"/>
  <c r="G113" i="2"/>
  <c r="O112" i="2"/>
  <c r="K112" i="2"/>
  <c r="J112" i="2"/>
  <c r="I112" i="2"/>
  <c r="G112" i="2"/>
  <c r="O111" i="2"/>
  <c r="K111" i="2"/>
  <c r="J111" i="2"/>
  <c r="I111" i="2"/>
  <c r="G111" i="2"/>
  <c r="O110" i="2"/>
  <c r="K110" i="2"/>
  <c r="J110" i="2"/>
  <c r="I110" i="2"/>
  <c r="G110" i="2"/>
  <c r="O109" i="2"/>
  <c r="K109" i="2"/>
  <c r="J109" i="2"/>
  <c r="I109" i="2"/>
  <c r="G109" i="2"/>
  <c r="O108" i="2"/>
  <c r="K108" i="2"/>
  <c r="J108" i="2"/>
  <c r="I108" i="2"/>
  <c r="G108" i="2"/>
  <c r="O107" i="2"/>
  <c r="K107" i="2"/>
  <c r="J107" i="2"/>
  <c r="I107" i="2"/>
  <c r="G107" i="2"/>
  <c r="O106" i="2"/>
  <c r="K106" i="2"/>
  <c r="J106" i="2"/>
  <c r="I106" i="2"/>
  <c r="G106" i="2"/>
  <c r="O105" i="2"/>
  <c r="K105" i="2"/>
  <c r="J105" i="2"/>
  <c r="I105" i="2"/>
  <c r="G105" i="2"/>
  <c r="O104" i="2"/>
  <c r="K104" i="2"/>
  <c r="J104" i="2"/>
  <c r="I104" i="2"/>
  <c r="G104" i="2"/>
  <c r="O103" i="2"/>
  <c r="K103" i="2"/>
  <c r="J103" i="2"/>
  <c r="I103" i="2"/>
  <c r="G103" i="2"/>
  <c r="O102" i="2"/>
  <c r="K102" i="2"/>
  <c r="J102" i="2"/>
  <c r="I102" i="2"/>
  <c r="G102" i="2"/>
  <c r="O101" i="2"/>
  <c r="K101" i="2"/>
  <c r="J101" i="2"/>
  <c r="I101" i="2"/>
  <c r="G101" i="2"/>
  <c r="O100" i="2"/>
  <c r="K100" i="2"/>
  <c r="J100" i="2"/>
  <c r="I100" i="2"/>
  <c r="G100" i="2"/>
  <c r="O99" i="2"/>
  <c r="K99" i="2"/>
  <c r="J99" i="2"/>
  <c r="I99" i="2"/>
  <c r="G99" i="2"/>
  <c r="O98" i="2"/>
  <c r="K98" i="2"/>
  <c r="J98" i="2"/>
  <c r="I98" i="2"/>
  <c r="G98" i="2"/>
  <c r="O97" i="2"/>
  <c r="K97" i="2"/>
  <c r="J97" i="2"/>
  <c r="I97" i="2"/>
  <c r="G97" i="2"/>
  <c r="O96" i="2"/>
  <c r="K96" i="2"/>
  <c r="J96" i="2"/>
  <c r="I96" i="2"/>
  <c r="G96" i="2"/>
  <c r="O95" i="2"/>
  <c r="K95" i="2"/>
  <c r="J95" i="2"/>
  <c r="I95" i="2"/>
  <c r="G95" i="2"/>
  <c r="O94" i="2"/>
  <c r="K94" i="2"/>
  <c r="J94" i="2"/>
  <c r="I94" i="2"/>
  <c r="G94" i="2"/>
  <c r="O93" i="2"/>
  <c r="K93" i="2"/>
  <c r="J93" i="2"/>
  <c r="I93" i="2"/>
  <c r="G93" i="2"/>
  <c r="O92" i="2"/>
  <c r="K92" i="2"/>
  <c r="J92" i="2"/>
  <c r="I92" i="2"/>
  <c r="G92" i="2"/>
  <c r="O91" i="2"/>
  <c r="K91" i="2"/>
  <c r="J91" i="2"/>
  <c r="I91" i="2"/>
  <c r="G91" i="2"/>
  <c r="O90" i="2"/>
  <c r="K90" i="2"/>
  <c r="J90" i="2"/>
  <c r="I90" i="2"/>
  <c r="G90" i="2"/>
  <c r="O89" i="2"/>
  <c r="K89" i="2"/>
  <c r="J89" i="2"/>
  <c r="I89" i="2"/>
  <c r="G89" i="2"/>
  <c r="O88" i="2"/>
  <c r="K88" i="2"/>
  <c r="J88" i="2"/>
  <c r="I88" i="2"/>
  <c r="G88" i="2"/>
  <c r="O87" i="2"/>
  <c r="K87" i="2"/>
  <c r="J87" i="2"/>
  <c r="I87" i="2"/>
  <c r="G87" i="2"/>
  <c r="O86" i="2"/>
  <c r="K86" i="2"/>
  <c r="J86" i="2"/>
  <c r="I86" i="2"/>
  <c r="G86" i="2"/>
  <c r="O85" i="2"/>
  <c r="K85" i="2"/>
  <c r="J85" i="2"/>
  <c r="I85" i="2"/>
  <c r="G85" i="2"/>
  <c r="O84" i="2"/>
  <c r="K84" i="2"/>
  <c r="J84" i="2"/>
  <c r="I84" i="2"/>
  <c r="G84" i="2"/>
  <c r="O83" i="2"/>
  <c r="K83" i="2"/>
  <c r="J83" i="2"/>
  <c r="I83" i="2"/>
  <c r="G83" i="2"/>
  <c r="O82" i="2"/>
  <c r="K82" i="2"/>
  <c r="J82" i="2"/>
  <c r="I82" i="2"/>
  <c r="G82" i="2"/>
  <c r="O81" i="2"/>
  <c r="K81" i="2"/>
  <c r="J81" i="2"/>
  <c r="I81" i="2"/>
  <c r="G81" i="2"/>
  <c r="O80" i="2"/>
  <c r="K80" i="2"/>
  <c r="J80" i="2"/>
  <c r="I80" i="2"/>
  <c r="G80" i="2"/>
  <c r="O79" i="2"/>
  <c r="K79" i="2"/>
  <c r="J79" i="2"/>
  <c r="I79" i="2"/>
  <c r="G79" i="2"/>
  <c r="O78" i="2"/>
  <c r="K78" i="2"/>
  <c r="J78" i="2"/>
  <c r="I78" i="2"/>
  <c r="G78" i="2"/>
  <c r="O77" i="2"/>
  <c r="K77" i="2"/>
  <c r="J77" i="2"/>
  <c r="I77" i="2"/>
  <c r="G77" i="2"/>
  <c r="O76" i="2"/>
  <c r="K76" i="2"/>
  <c r="J76" i="2"/>
  <c r="I76" i="2"/>
  <c r="G76" i="2"/>
  <c r="O75" i="2"/>
  <c r="K75" i="2"/>
  <c r="J75" i="2"/>
  <c r="I75" i="2"/>
  <c r="G75" i="2"/>
  <c r="O74" i="2"/>
  <c r="K74" i="2"/>
  <c r="J74" i="2"/>
  <c r="I74" i="2"/>
  <c r="G74" i="2"/>
  <c r="O73" i="2"/>
  <c r="K73" i="2"/>
  <c r="J73" i="2"/>
  <c r="I73" i="2"/>
  <c r="G73" i="2"/>
  <c r="O72" i="2"/>
  <c r="K72" i="2"/>
  <c r="J72" i="2"/>
  <c r="I72" i="2"/>
  <c r="G72" i="2"/>
  <c r="O71" i="2"/>
  <c r="K71" i="2"/>
  <c r="J71" i="2"/>
  <c r="I71" i="2"/>
  <c r="G71" i="2"/>
  <c r="O70" i="2"/>
  <c r="K70" i="2"/>
  <c r="J70" i="2"/>
  <c r="I70" i="2"/>
  <c r="G70" i="2"/>
  <c r="O69" i="2"/>
  <c r="K69" i="2"/>
  <c r="J69" i="2"/>
  <c r="I69" i="2"/>
  <c r="G69" i="2"/>
  <c r="O68" i="2"/>
  <c r="K68" i="2"/>
  <c r="J68" i="2"/>
  <c r="I68" i="2"/>
  <c r="G68" i="2"/>
  <c r="O67" i="2"/>
  <c r="K67" i="2"/>
  <c r="J67" i="2"/>
  <c r="I67" i="2"/>
  <c r="G67" i="2"/>
  <c r="O66" i="2"/>
  <c r="K66" i="2"/>
  <c r="J66" i="2"/>
  <c r="I66" i="2"/>
  <c r="G66" i="2"/>
  <c r="O65" i="2"/>
  <c r="K65" i="2"/>
  <c r="J65" i="2"/>
  <c r="I65" i="2"/>
  <c r="G65" i="2"/>
  <c r="O64" i="2"/>
  <c r="K64" i="2"/>
  <c r="J64" i="2"/>
  <c r="I64" i="2"/>
  <c r="G64" i="2"/>
  <c r="O63" i="2"/>
  <c r="K63" i="2"/>
  <c r="J63" i="2"/>
  <c r="I63" i="2"/>
  <c r="G63" i="2"/>
  <c r="O62" i="2"/>
  <c r="K62" i="2"/>
  <c r="J62" i="2"/>
  <c r="I62" i="2"/>
  <c r="G62" i="2"/>
  <c r="O61" i="2"/>
  <c r="K61" i="2"/>
  <c r="J61" i="2"/>
  <c r="I61" i="2"/>
  <c r="G61" i="2"/>
  <c r="O60" i="2"/>
  <c r="K60" i="2"/>
  <c r="J60" i="2"/>
  <c r="I60" i="2"/>
  <c r="G60" i="2"/>
  <c r="O59" i="2"/>
  <c r="K59" i="2"/>
  <c r="J59" i="2"/>
  <c r="I59" i="2"/>
  <c r="G59" i="2"/>
  <c r="O58" i="2"/>
  <c r="K58" i="2"/>
  <c r="J58" i="2"/>
  <c r="I58" i="2"/>
  <c r="G58" i="2"/>
  <c r="O57" i="2"/>
  <c r="K57" i="2"/>
  <c r="J57" i="2"/>
  <c r="I57" i="2"/>
  <c r="G57" i="2"/>
  <c r="O56" i="2"/>
  <c r="K56" i="2"/>
  <c r="J56" i="2"/>
  <c r="I56" i="2"/>
  <c r="G56" i="2"/>
  <c r="O55" i="2"/>
  <c r="K55" i="2"/>
  <c r="J55" i="2"/>
  <c r="I55" i="2"/>
  <c r="G55" i="2"/>
  <c r="O54" i="2"/>
  <c r="K54" i="2"/>
  <c r="J54" i="2"/>
  <c r="I54" i="2"/>
  <c r="G54" i="2"/>
  <c r="O53" i="2"/>
  <c r="K53" i="2"/>
  <c r="J53" i="2"/>
  <c r="I53" i="2"/>
  <c r="G53" i="2"/>
  <c r="O52" i="2"/>
  <c r="K52" i="2"/>
  <c r="J52" i="2"/>
  <c r="I52" i="2"/>
  <c r="G52" i="2"/>
  <c r="O51" i="2"/>
  <c r="K51" i="2"/>
  <c r="J51" i="2"/>
  <c r="I51" i="2"/>
  <c r="G51" i="2"/>
  <c r="K50" i="2"/>
  <c r="J50" i="2"/>
  <c r="I50" i="2"/>
  <c r="G50" i="2"/>
  <c r="K49" i="2"/>
  <c r="J49" i="2"/>
  <c r="I49" i="2"/>
  <c r="G49" i="2"/>
  <c r="K48" i="2"/>
  <c r="J48" i="2"/>
  <c r="I48" i="2"/>
  <c r="G48" i="2"/>
  <c r="K47" i="2"/>
  <c r="J47" i="2"/>
  <c r="I47" i="2"/>
  <c r="G47" i="2"/>
  <c r="K46" i="2"/>
  <c r="J46" i="2"/>
  <c r="I46" i="2"/>
  <c r="G46" i="2"/>
  <c r="K45" i="2"/>
  <c r="J45" i="2"/>
  <c r="I45" i="2"/>
  <c r="G45" i="2"/>
  <c r="K44" i="2"/>
  <c r="J44" i="2"/>
  <c r="I44" i="2"/>
  <c r="G44" i="2"/>
  <c r="K43" i="2"/>
  <c r="J43" i="2"/>
  <c r="I43" i="2"/>
  <c r="G43" i="2"/>
  <c r="K42" i="2"/>
  <c r="J42" i="2"/>
  <c r="I42" i="2"/>
  <c r="G42" i="2"/>
  <c r="K41" i="2"/>
  <c r="J41" i="2"/>
  <c r="I41" i="2"/>
  <c r="G41" i="2"/>
  <c r="O40" i="2"/>
  <c r="K40" i="2"/>
  <c r="J40" i="2"/>
  <c r="I40" i="2"/>
  <c r="G40" i="2"/>
  <c r="O39" i="2"/>
  <c r="K39" i="2"/>
  <c r="J39" i="2"/>
  <c r="I39" i="2"/>
  <c r="G39" i="2"/>
  <c r="O38" i="2"/>
  <c r="K38" i="2"/>
  <c r="J38" i="2"/>
  <c r="I38" i="2"/>
  <c r="G38" i="2"/>
  <c r="K37" i="2"/>
  <c r="J37" i="2"/>
  <c r="I37" i="2"/>
  <c r="G37" i="2"/>
  <c r="O36" i="2"/>
  <c r="K36" i="2"/>
  <c r="J36" i="2"/>
  <c r="I36" i="2"/>
  <c r="G36" i="2"/>
  <c r="K35" i="2"/>
  <c r="J35" i="2"/>
  <c r="I35" i="2"/>
  <c r="G35" i="2"/>
  <c r="O34" i="2"/>
  <c r="K34" i="2"/>
  <c r="J34" i="2"/>
  <c r="I34" i="2"/>
  <c r="G34" i="2"/>
  <c r="K33" i="2"/>
  <c r="J33" i="2"/>
  <c r="I33" i="2"/>
  <c r="G33" i="2"/>
  <c r="O32" i="2"/>
  <c r="K32" i="2"/>
  <c r="J32" i="2"/>
  <c r="I32" i="2"/>
  <c r="G32" i="2"/>
  <c r="O31" i="2"/>
  <c r="K31" i="2"/>
  <c r="J31" i="2"/>
  <c r="I31" i="2"/>
  <c r="G31" i="2"/>
  <c r="O30" i="2"/>
  <c r="K30" i="2"/>
  <c r="J30" i="2"/>
  <c r="I30" i="2"/>
  <c r="G30" i="2"/>
  <c r="O29" i="2"/>
  <c r="K29" i="2"/>
  <c r="J29" i="2"/>
  <c r="I29" i="2"/>
  <c r="G29" i="2"/>
  <c r="O28" i="2"/>
  <c r="K28" i="2"/>
  <c r="J28" i="2"/>
  <c r="I28" i="2"/>
  <c r="G28" i="2"/>
  <c r="O27" i="2"/>
  <c r="K27" i="2"/>
  <c r="J27" i="2"/>
  <c r="I27" i="2"/>
  <c r="G27" i="2"/>
  <c r="O26" i="2"/>
  <c r="K26" i="2"/>
  <c r="J26" i="2"/>
  <c r="I26" i="2"/>
  <c r="G26" i="2"/>
  <c r="O25" i="2"/>
  <c r="M25" i="2"/>
  <c r="N25" i="2" s="1"/>
  <c r="K25" i="2"/>
  <c r="J25" i="2"/>
  <c r="I25" i="2"/>
  <c r="G25" i="2"/>
  <c r="O24" i="2"/>
  <c r="M24" i="2"/>
  <c r="N24" i="2" s="1"/>
  <c r="K24" i="2"/>
  <c r="J24" i="2"/>
  <c r="I24" i="2"/>
  <c r="G24" i="2"/>
  <c r="O23" i="2"/>
  <c r="M23" i="2"/>
  <c r="N23" i="2" s="1"/>
  <c r="K23" i="2"/>
  <c r="J23" i="2"/>
  <c r="I23" i="2"/>
  <c r="G23" i="2"/>
  <c r="O22" i="2"/>
  <c r="M22" i="2"/>
  <c r="N22" i="2" s="1"/>
  <c r="K22" i="2"/>
  <c r="J22" i="2"/>
  <c r="I22" i="2"/>
  <c r="G22" i="2"/>
  <c r="O21" i="2"/>
  <c r="M21" i="2"/>
  <c r="N21" i="2" s="1"/>
  <c r="K21" i="2"/>
  <c r="J21" i="2"/>
  <c r="I21" i="2"/>
  <c r="G21" i="2"/>
  <c r="O20" i="2"/>
  <c r="M20" i="2"/>
  <c r="N20" i="2" s="1"/>
  <c r="K20" i="2"/>
  <c r="J20" i="2"/>
  <c r="I20" i="2"/>
  <c r="G20" i="2"/>
  <c r="O19" i="2"/>
  <c r="M19" i="2"/>
  <c r="N19" i="2" s="1"/>
  <c r="K19" i="2"/>
  <c r="J19" i="2"/>
  <c r="I19" i="2"/>
  <c r="G19" i="2"/>
  <c r="O18" i="2"/>
  <c r="M18" i="2"/>
  <c r="N18" i="2" s="1"/>
  <c r="K18" i="2"/>
  <c r="J18" i="2"/>
  <c r="I18" i="2"/>
  <c r="G18" i="2"/>
  <c r="O17" i="2"/>
  <c r="M17" i="2"/>
  <c r="N17" i="2" s="1"/>
  <c r="K17" i="2"/>
  <c r="J17" i="2"/>
  <c r="I17" i="2"/>
  <c r="G17" i="2"/>
  <c r="O16" i="2"/>
  <c r="M16" i="2"/>
  <c r="N16" i="2" s="1"/>
  <c r="K16" i="2"/>
  <c r="J16" i="2"/>
  <c r="I16" i="2"/>
  <c r="G16" i="2"/>
  <c r="O15" i="2"/>
  <c r="M15" i="2"/>
  <c r="N15" i="2" s="1"/>
  <c r="K15" i="2"/>
  <c r="J15" i="2"/>
  <c r="I15" i="2"/>
  <c r="G15" i="2"/>
  <c r="O14" i="2"/>
  <c r="M14" i="2"/>
  <c r="N14" i="2" s="1"/>
  <c r="K14" i="2"/>
  <c r="J14" i="2"/>
  <c r="I14" i="2"/>
  <c r="G14" i="2"/>
  <c r="O13" i="2"/>
  <c r="M13" i="2"/>
  <c r="N13" i="2" s="1"/>
  <c r="K13" i="2"/>
  <c r="J13" i="2"/>
  <c r="I13" i="2"/>
  <c r="G13" i="2"/>
  <c r="O12" i="2"/>
  <c r="M12" i="2"/>
  <c r="N12" i="2" s="1"/>
  <c r="K12" i="2"/>
  <c r="J12" i="2"/>
  <c r="I12" i="2"/>
  <c r="G12" i="2"/>
  <c r="O11" i="2"/>
  <c r="M11" i="2"/>
  <c r="N11" i="2" s="1"/>
  <c r="K11" i="2"/>
  <c r="J11" i="2"/>
  <c r="I11" i="2"/>
  <c r="G11" i="2"/>
  <c r="O10" i="2"/>
  <c r="M10" i="2"/>
  <c r="N10" i="2" s="1"/>
  <c r="K10" i="2"/>
  <c r="J10" i="2"/>
  <c r="I10" i="2"/>
  <c r="G10" i="2"/>
  <c r="O9" i="2"/>
  <c r="M9" i="2"/>
  <c r="N9" i="2" s="1"/>
  <c r="K9" i="2"/>
  <c r="J9" i="2"/>
  <c r="I9" i="2"/>
  <c r="G9" i="2"/>
  <c r="O8" i="2"/>
  <c r="M8" i="2"/>
  <c r="N8" i="2" s="1"/>
  <c r="K8" i="2"/>
  <c r="J8" i="2"/>
  <c r="I8" i="2"/>
  <c r="G8" i="2"/>
  <c r="O7" i="2"/>
  <c r="M7" i="2"/>
  <c r="N7" i="2" s="1"/>
  <c r="K7" i="2"/>
  <c r="J7" i="2"/>
  <c r="I7" i="2"/>
  <c r="G7" i="2"/>
  <c r="O6" i="2"/>
  <c r="M6" i="2"/>
  <c r="N6" i="2" s="1"/>
  <c r="K6" i="2"/>
  <c r="J6" i="2"/>
  <c r="I6" i="2"/>
  <c r="G6" i="2"/>
  <c r="O5" i="2"/>
  <c r="M5" i="2"/>
  <c r="N5" i="2" s="1"/>
  <c r="K5" i="2"/>
  <c r="J5" i="2"/>
  <c r="I5" i="2"/>
  <c r="G5" i="2"/>
  <c r="O4" i="2"/>
  <c r="M4" i="2"/>
  <c r="N4" i="2" s="1"/>
  <c r="K4" i="2"/>
  <c r="J4" i="2"/>
  <c r="I4" i="2"/>
  <c r="G4" i="2"/>
  <c r="O3" i="2"/>
  <c r="M3" i="2"/>
  <c r="N3" i="2" s="1"/>
  <c r="K3" i="2"/>
  <c r="J3" i="2"/>
  <c r="I3" i="2"/>
  <c r="G3" i="2"/>
  <c r="O2" i="2"/>
  <c r="M2" i="2"/>
  <c r="K2" i="2"/>
  <c r="J2" i="2"/>
  <c r="I2" i="2"/>
  <c r="G2" i="2"/>
  <c r="K257" i="1"/>
  <c r="L257" i="1" s="1"/>
  <c r="B257" i="1"/>
  <c r="K256" i="1"/>
  <c r="L256" i="1" s="1"/>
  <c r="B256" i="1"/>
  <c r="K255" i="1"/>
  <c r="L255" i="1" s="1"/>
  <c r="B255" i="1"/>
  <c r="K254" i="1"/>
  <c r="L254" i="1" s="1"/>
  <c r="B254" i="1"/>
  <c r="K253" i="1"/>
  <c r="L253" i="1" s="1"/>
  <c r="B253" i="1"/>
  <c r="K252" i="1"/>
  <c r="L252" i="1" s="1"/>
  <c r="B252" i="1"/>
  <c r="K251" i="1"/>
  <c r="L251" i="1" s="1"/>
  <c r="B251" i="1"/>
  <c r="K250" i="1"/>
  <c r="L250" i="1" s="1"/>
  <c r="B250" i="1"/>
  <c r="K249" i="1"/>
  <c r="L249" i="1" s="1"/>
  <c r="B249" i="1"/>
  <c r="K248" i="1"/>
  <c r="L248" i="1" s="1"/>
  <c r="B248" i="1"/>
  <c r="K247" i="1"/>
  <c r="L247" i="1" s="1"/>
  <c r="B247" i="1"/>
  <c r="K246" i="1"/>
  <c r="L246" i="1" s="1"/>
  <c r="B246" i="1"/>
  <c r="K245" i="1"/>
  <c r="L245" i="1" s="1"/>
  <c r="B245" i="1"/>
  <c r="K244" i="1"/>
  <c r="L244" i="1" s="1"/>
  <c r="B244" i="1"/>
  <c r="K243" i="1"/>
  <c r="L243" i="1" s="1"/>
  <c r="B243" i="1"/>
  <c r="K242" i="1"/>
  <c r="L242" i="1" s="1"/>
  <c r="B242" i="1"/>
  <c r="K241" i="1"/>
  <c r="L241" i="1" s="1"/>
  <c r="B241" i="1"/>
  <c r="K240" i="1"/>
  <c r="L240" i="1" s="1"/>
  <c r="B240" i="1"/>
  <c r="K239" i="1"/>
  <c r="L239" i="1" s="1"/>
  <c r="B239" i="1"/>
  <c r="K238" i="1"/>
  <c r="L238" i="1" s="1"/>
  <c r="B238" i="1"/>
  <c r="K237" i="1"/>
  <c r="L237" i="1" s="1"/>
  <c r="B237" i="1"/>
  <c r="K236" i="1"/>
  <c r="L236" i="1" s="1"/>
  <c r="B236" i="1"/>
  <c r="K235" i="1"/>
  <c r="L235" i="1" s="1"/>
  <c r="B235" i="1"/>
  <c r="K234" i="1"/>
  <c r="L234" i="1" s="1"/>
  <c r="B234" i="1"/>
  <c r="K233" i="1"/>
  <c r="L233" i="1" s="1"/>
  <c r="B233" i="1"/>
  <c r="K232" i="1"/>
  <c r="L232" i="1" s="1"/>
  <c r="B232" i="1"/>
  <c r="K231" i="1"/>
  <c r="L231" i="1" s="1"/>
  <c r="B231" i="1"/>
  <c r="K230" i="1"/>
  <c r="L230" i="1" s="1"/>
  <c r="B230" i="1"/>
  <c r="K229" i="1"/>
  <c r="L229" i="1" s="1"/>
  <c r="B229" i="1"/>
  <c r="K228" i="1"/>
  <c r="L228" i="1" s="1"/>
  <c r="B228" i="1"/>
  <c r="K227" i="1"/>
  <c r="L227" i="1" s="1"/>
  <c r="B227" i="1"/>
  <c r="K226" i="1"/>
  <c r="L226" i="1" s="1"/>
  <c r="B226" i="1"/>
  <c r="K225" i="1"/>
  <c r="L225" i="1" s="1"/>
  <c r="B225" i="1"/>
  <c r="K224" i="1"/>
  <c r="L224" i="1" s="1"/>
  <c r="B224" i="1"/>
  <c r="K223" i="1"/>
  <c r="L223" i="1" s="1"/>
  <c r="B223" i="1"/>
  <c r="K222" i="1"/>
  <c r="L222" i="1" s="1"/>
  <c r="B222" i="1"/>
  <c r="K221" i="1"/>
  <c r="L221" i="1" s="1"/>
  <c r="B221" i="1"/>
  <c r="K220" i="1"/>
  <c r="L220" i="1" s="1"/>
  <c r="B220" i="1"/>
  <c r="K219" i="1"/>
  <c r="L219" i="1" s="1"/>
  <c r="B219" i="1"/>
  <c r="K218" i="1"/>
  <c r="L218" i="1" s="1"/>
  <c r="B218" i="1"/>
  <c r="K217" i="1"/>
  <c r="L217" i="1" s="1"/>
  <c r="B217" i="1"/>
  <c r="K216" i="1"/>
  <c r="L216" i="1" s="1"/>
  <c r="B216" i="1"/>
  <c r="K215" i="1"/>
  <c r="L215" i="1" s="1"/>
  <c r="B215" i="1"/>
  <c r="K214" i="1"/>
  <c r="L214" i="1" s="1"/>
  <c r="B214" i="1"/>
  <c r="K213" i="1"/>
  <c r="L213" i="1" s="1"/>
  <c r="B213" i="1"/>
  <c r="K212" i="1"/>
  <c r="L212" i="1" s="1"/>
  <c r="B212" i="1"/>
  <c r="K211" i="1"/>
  <c r="L211" i="1" s="1"/>
  <c r="B211" i="1"/>
  <c r="K210" i="1"/>
  <c r="L210" i="1" s="1"/>
  <c r="B210" i="1"/>
  <c r="K209" i="1"/>
  <c r="L209" i="1" s="1"/>
  <c r="B209" i="1"/>
  <c r="K208" i="1"/>
  <c r="L208" i="1" s="1"/>
  <c r="B208" i="1"/>
  <c r="K207" i="1"/>
  <c r="L207" i="1" s="1"/>
  <c r="B207" i="1"/>
  <c r="K206" i="1"/>
  <c r="L206" i="1" s="1"/>
  <c r="B206" i="1"/>
  <c r="K205" i="1"/>
  <c r="L205" i="1" s="1"/>
  <c r="B205" i="1"/>
  <c r="K204" i="1"/>
  <c r="L204" i="1" s="1"/>
  <c r="B204" i="1"/>
  <c r="K203" i="1"/>
  <c r="L203" i="1" s="1"/>
  <c r="B203" i="1"/>
  <c r="K202" i="1"/>
  <c r="L202" i="1" s="1"/>
  <c r="B202" i="1"/>
  <c r="K201" i="1"/>
  <c r="L201" i="1" s="1"/>
  <c r="B201" i="1"/>
  <c r="K200" i="1"/>
  <c r="L200" i="1" s="1"/>
  <c r="B200" i="1"/>
  <c r="K199" i="1"/>
  <c r="L199" i="1" s="1"/>
  <c r="B199" i="1"/>
  <c r="K198" i="1"/>
  <c r="L198" i="1" s="1"/>
  <c r="B198" i="1"/>
  <c r="K197" i="1"/>
  <c r="L197" i="1" s="1"/>
  <c r="B197" i="1"/>
  <c r="K196" i="1"/>
  <c r="L196" i="1" s="1"/>
  <c r="B196" i="1"/>
  <c r="K195" i="1"/>
  <c r="L195" i="1" s="1"/>
  <c r="B195" i="1"/>
  <c r="K194" i="1"/>
  <c r="L194" i="1" s="1"/>
  <c r="B194" i="1"/>
  <c r="K193" i="1"/>
  <c r="L193" i="1" s="1"/>
  <c r="B193" i="1"/>
  <c r="K192" i="1"/>
  <c r="L192" i="1" s="1"/>
  <c r="B192" i="1"/>
  <c r="K191" i="1"/>
  <c r="L191" i="1" s="1"/>
  <c r="B191" i="1"/>
  <c r="K190" i="1"/>
  <c r="L190" i="1" s="1"/>
  <c r="B190" i="1"/>
  <c r="K189" i="1"/>
  <c r="L189" i="1" s="1"/>
  <c r="B189" i="1"/>
  <c r="K188" i="1"/>
  <c r="L188" i="1" s="1"/>
  <c r="B188" i="1"/>
  <c r="K187" i="1"/>
  <c r="L187" i="1" s="1"/>
  <c r="B187" i="1"/>
  <c r="K186" i="1"/>
  <c r="L186" i="1" s="1"/>
  <c r="B186" i="1"/>
  <c r="K185" i="1"/>
  <c r="L185" i="1" s="1"/>
  <c r="B185" i="1"/>
  <c r="K184" i="1"/>
  <c r="L184" i="1" s="1"/>
  <c r="B184" i="1"/>
  <c r="K183" i="1"/>
  <c r="L183" i="1" s="1"/>
  <c r="B183" i="1"/>
  <c r="K182" i="1"/>
  <c r="L182" i="1" s="1"/>
  <c r="B182" i="1"/>
  <c r="K181" i="1"/>
  <c r="L181" i="1" s="1"/>
  <c r="B181" i="1"/>
  <c r="K180" i="1"/>
  <c r="L180" i="1" s="1"/>
  <c r="B180" i="1"/>
  <c r="K179" i="1"/>
  <c r="L179" i="1" s="1"/>
  <c r="B179" i="1"/>
  <c r="K178" i="1"/>
  <c r="L178" i="1" s="1"/>
  <c r="B178" i="1"/>
  <c r="K177" i="1"/>
  <c r="L177" i="1" s="1"/>
  <c r="B177" i="1"/>
  <c r="K176" i="1"/>
  <c r="L176" i="1" s="1"/>
  <c r="B176" i="1"/>
  <c r="K175" i="1"/>
  <c r="L175" i="1" s="1"/>
  <c r="B175" i="1"/>
  <c r="K174" i="1"/>
  <c r="L174" i="1" s="1"/>
  <c r="B174" i="1"/>
  <c r="K173" i="1"/>
  <c r="L173" i="1" s="1"/>
  <c r="B173" i="1"/>
  <c r="K172" i="1"/>
  <c r="L172" i="1" s="1"/>
  <c r="B172" i="1"/>
  <c r="K171" i="1"/>
  <c r="L171" i="1" s="1"/>
  <c r="B171" i="1"/>
  <c r="K170" i="1"/>
  <c r="L170" i="1" s="1"/>
  <c r="B170" i="1"/>
  <c r="K169" i="1"/>
  <c r="L169" i="1" s="1"/>
  <c r="B169" i="1"/>
  <c r="K168" i="1"/>
  <c r="L168" i="1" s="1"/>
  <c r="B168" i="1"/>
  <c r="K167" i="1"/>
  <c r="L167" i="1" s="1"/>
  <c r="B167" i="1"/>
  <c r="K166" i="1"/>
  <c r="L166" i="1" s="1"/>
  <c r="B166" i="1"/>
  <c r="K165" i="1"/>
  <c r="L165" i="1" s="1"/>
  <c r="B165" i="1"/>
  <c r="K164" i="1"/>
  <c r="L164" i="1" s="1"/>
  <c r="B164" i="1"/>
  <c r="K163" i="1"/>
  <c r="L163" i="1" s="1"/>
  <c r="B163" i="1"/>
  <c r="K162" i="1"/>
  <c r="L162" i="1" s="1"/>
  <c r="B162" i="1"/>
  <c r="K161" i="1"/>
  <c r="L161" i="1" s="1"/>
  <c r="B161" i="1"/>
  <c r="K160" i="1"/>
  <c r="L160" i="1" s="1"/>
  <c r="B160" i="1"/>
  <c r="K159" i="1"/>
  <c r="L159" i="1" s="1"/>
  <c r="B159" i="1"/>
  <c r="K158" i="1"/>
  <c r="L158" i="1" s="1"/>
  <c r="B158" i="1"/>
  <c r="K157" i="1"/>
  <c r="L157" i="1" s="1"/>
  <c r="B157" i="1"/>
  <c r="K156" i="1"/>
  <c r="L156" i="1" s="1"/>
  <c r="B156" i="1"/>
  <c r="K155" i="1"/>
  <c r="L155" i="1" s="1"/>
  <c r="B155" i="1"/>
  <c r="K154" i="1"/>
  <c r="L154" i="1" s="1"/>
  <c r="B154" i="1"/>
  <c r="K153" i="1"/>
  <c r="L153" i="1" s="1"/>
  <c r="B153" i="1"/>
  <c r="K152" i="1"/>
  <c r="L152" i="1" s="1"/>
  <c r="B152" i="1"/>
  <c r="K151" i="1"/>
  <c r="L151" i="1" s="1"/>
  <c r="B151" i="1"/>
  <c r="K150" i="1"/>
  <c r="L150" i="1" s="1"/>
  <c r="B150" i="1"/>
  <c r="K149" i="1"/>
  <c r="L149" i="1" s="1"/>
  <c r="B149" i="1"/>
  <c r="K148" i="1"/>
  <c r="L148" i="1" s="1"/>
  <c r="B148" i="1"/>
  <c r="K147" i="1"/>
  <c r="L147" i="1" s="1"/>
  <c r="B147" i="1"/>
  <c r="K146" i="1"/>
  <c r="L146" i="1" s="1"/>
  <c r="B146" i="1"/>
  <c r="K145" i="1"/>
  <c r="L145" i="1" s="1"/>
  <c r="B145" i="1"/>
  <c r="K144" i="1"/>
  <c r="L144" i="1" s="1"/>
  <c r="B144" i="1"/>
  <c r="K143" i="1"/>
  <c r="L143" i="1" s="1"/>
  <c r="B143" i="1"/>
  <c r="K142" i="1"/>
  <c r="K141" i="1"/>
  <c r="L141" i="1" s="1"/>
  <c r="B141" i="1"/>
  <c r="K140" i="1"/>
  <c r="L140" i="1" s="1"/>
  <c r="B140" i="1"/>
  <c r="K139" i="1"/>
  <c r="L139" i="1" s="1"/>
  <c r="B139" i="1"/>
  <c r="K138" i="1"/>
  <c r="L138" i="1" s="1"/>
  <c r="B138" i="1"/>
  <c r="K137" i="1"/>
  <c r="L137" i="1" s="1"/>
  <c r="B137" i="1"/>
  <c r="K136" i="1"/>
  <c r="L136" i="1" s="1"/>
  <c r="B136" i="1"/>
  <c r="K135" i="1"/>
  <c r="L135" i="1" s="1"/>
  <c r="B135" i="1"/>
  <c r="K134" i="1"/>
  <c r="L134" i="1" s="1"/>
  <c r="B134" i="1"/>
  <c r="K133" i="1"/>
  <c r="L133" i="1" s="1"/>
  <c r="B133" i="1"/>
  <c r="K132" i="1"/>
  <c r="L132" i="1" s="1"/>
  <c r="B132" i="1"/>
  <c r="K131" i="1"/>
  <c r="L131" i="1" s="1"/>
  <c r="B131" i="1"/>
  <c r="K130" i="1"/>
  <c r="L130" i="1" s="1"/>
  <c r="B130" i="1"/>
  <c r="K129" i="1"/>
  <c r="L129" i="1" s="1"/>
  <c r="B129" i="1"/>
  <c r="K128" i="1"/>
  <c r="L128" i="1" s="1"/>
  <c r="B128" i="1"/>
  <c r="K127" i="1"/>
  <c r="L127" i="1" s="1"/>
  <c r="B127" i="1"/>
  <c r="K126" i="1"/>
  <c r="L126" i="1" s="1"/>
  <c r="B126" i="1"/>
  <c r="K125" i="1"/>
  <c r="L125" i="1" s="1"/>
  <c r="B125" i="1"/>
  <c r="K124" i="1"/>
  <c r="L124" i="1" s="1"/>
  <c r="B124" i="1"/>
  <c r="K123" i="1"/>
  <c r="L123" i="1" s="1"/>
  <c r="B123" i="1"/>
  <c r="K122" i="1"/>
  <c r="L122" i="1" s="1"/>
  <c r="B122" i="1"/>
  <c r="K121" i="1"/>
  <c r="L121" i="1" s="1"/>
  <c r="B121" i="1"/>
  <c r="K120" i="1"/>
  <c r="L120" i="1" s="1"/>
  <c r="B120" i="1"/>
  <c r="K119" i="1"/>
  <c r="L119" i="1" s="1"/>
  <c r="B119" i="1"/>
  <c r="K118" i="1"/>
  <c r="L118" i="1" s="1"/>
  <c r="B118" i="1"/>
  <c r="K117" i="1"/>
  <c r="L117" i="1" s="1"/>
  <c r="B117" i="1"/>
  <c r="K116" i="1"/>
  <c r="L116" i="1" s="1"/>
  <c r="B116" i="1"/>
  <c r="K115" i="1"/>
  <c r="L115" i="1" s="1"/>
  <c r="B115" i="1"/>
  <c r="K114" i="1"/>
  <c r="L114" i="1" s="1"/>
  <c r="B114" i="1"/>
  <c r="K113" i="1"/>
  <c r="L113" i="1" s="1"/>
  <c r="B113" i="1"/>
  <c r="K112" i="1"/>
  <c r="L112" i="1" s="1"/>
  <c r="B112" i="1"/>
  <c r="K111" i="1"/>
  <c r="L111" i="1" s="1"/>
  <c r="B111" i="1"/>
  <c r="K110" i="1"/>
  <c r="L110" i="1" s="1"/>
  <c r="B110" i="1"/>
  <c r="K109" i="1"/>
  <c r="L109" i="1" s="1"/>
  <c r="B109" i="1"/>
  <c r="K108" i="1"/>
  <c r="L108" i="1" s="1"/>
  <c r="B108" i="1"/>
  <c r="K107" i="1"/>
  <c r="L107" i="1" s="1"/>
  <c r="B107" i="1"/>
  <c r="K106" i="1"/>
  <c r="L106" i="1" s="1"/>
  <c r="B106" i="1"/>
  <c r="K105" i="1"/>
  <c r="L105" i="1" s="1"/>
  <c r="B105" i="1"/>
  <c r="K104" i="1"/>
  <c r="L104" i="1" s="1"/>
  <c r="B104" i="1"/>
  <c r="K103" i="1"/>
  <c r="L103" i="1" s="1"/>
  <c r="B103" i="1"/>
  <c r="K102" i="1"/>
  <c r="L102" i="1" s="1"/>
  <c r="B102" i="1"/>
  <c r="K101" i="1"/>
  <c r="L101" i="1" s="1"/>
  <c r="B101" i="1"/>
  <c r="K100" i="1"/>
  <c r="L100" i="1" s="1"/>
  <c r="B100" i="1"/>
  <c r="K99" i="1"/>
  <c r="L99" i="1" s="1"/>
  <c r="B99" i="1"/>
  <c r="K98" i="1"/>
  <c r="L98" i="1" s="1"/>
  <c r="B98" i="1"/>
  <c r="K97" i="1"/>
  <c r="L97" i="1" s="1"/>
  <c r="B97" i="1"/>
  <c r="K96" i="1"/>
  <c r="K95" i="1"/>
  <c r="L95" i="1" s="1"/>
  <c r="B95" i="1"/>
  <c r="K94" i="1"/>
  <c r="L94" i="1" s="1"/>
  <c r="B94" i="1"/>
  <c r="K93" i="1"/>
  <c r="L93" i="1" s="1"/>
  <c r="B93" i="1"/>
  <c r="K92" i="1"/>
  <c r="L92" i="1" s="1"/>
  <c r="B92" i="1"/>
  <c r="K91" i="1"/>
  <c r="L91" i="1" s="1"/>
  <c r="B91" i="1"/>
  <c r="K90" i="1"/>
  <c r="L90" i="1" s="1"/>
  <c r="B90" i="1"/>
  <c r="K89" i="1"/>
  <c r="L89" i="1" s="1"/>
  <c r="B89" i="1"/>
  <c r="K88" i="1"/>
  <c r="L88" i="1" s="1"/>
  <c r="B88" i="1"/>
  <c r="K87" i="1"/>
  <c r="L87" i="1" s="1"/>
  <c r="B87" i="1"/>
  <c r="K86" i="1"/>
  <c r="L86" i="1" s="1"/>
  <c r="B86" i="1"/>
  <c r="K85" i="1"/>
  <c r="L85" i="1" s="1"/>
  <c r="B85" i="1"/>
  <c r="K84" i="1"/>
  <c r="L84" i="1" s="1"/>
  <c r="B84" i="1"/>
  <c r="K83" i="1"/>
  <c r="L83" i="1" s="1"/>
  <c r="B83" i="1"/>
  <c r="K82" i="1"/>
  <c r="L82" i="1" s="1"/>
  <c r="B82" i="1"/>
  <c r="K81" i="1"/>
  <c r="L81" i="1" s="1"/>
  <c r="B81" i="1"/>
  <c r="K80" i="1"/>
  <c r="L80" i="1" s="1"/>
  <c r="B80" i="1"/>
  <c r="K79" i="1"/>
  <c r="L79" i="1" s="1"/>
  <c r="B79" i="1"/>
  <c r="K78" i="1"/>
  <c r="L78" i="1" s="1"/>
  <c r="B78" i="1"/>
  <c r="K77" i="1"/>
  <c r="L77" i="1" s="1"/>
  <c r="B77" i="1"/>
  <c r="K76" i="1"/>
  <c r="L76" i="1" s="1"/>
  <c r="B76" i="1"/>
  <c r="K75" i="1"/>
  <c r="L75" i="1" s="1"/>
  <c r="B75" i="1"/>
  <c r="K74" i="1"/>
  <c r="L74" i="1" s="1"/>
  <c r="B74" i="1"/>
  <c r="K73" i="1"/>
  <c r="L73" i="1" s="1"/>
  <c r="B73" i="1"/>
  <c r="K72" i="1"/>
  <c r="L72" i="1" s="1"/>
  <c r="B72" i="1"/>
  <c r="K71" i="1"/>
  <c r="L71" i="1" s="1"/>
  <c r="B71" i="1"/>
  <c r="K70" i="1"/>
  <c r="L70" i="1" s="1"/>
  <c r="B70" i="1"/>
  <c r="K69" i="1"/>
  <c r="L69" i="1" s="1"/>
  <c r="B69" i="1"/>
  <c r="K68" i="1"/>
  <c r="L68" i="1" s="1"/>
  <c r="B68" i="1"/>
  <c r="K67" i="1"/>
  <c r="L67" i="1" s="1"/>
  <c r="B67" i="1"/>
  <c r="K66" i="1"/>
  <c r="L66" i="1" s="1"/>
  <c r="K65" i="1"/>
  <c r="L65" i="1" s="1"/>
  <c r="K64" i="1"/>
  <c r="L64" i="1" s="1"/>
  <c r="K63" i="1"/>
  <c r="L63" i="1" s="1"/>
  <c r="B63" i="1"/>
  <c r="K62" i="1"/>
  <c r="L62" i="1" s="1"/>
  <c r="K61" i="1"/>
  <c r="L61" i="1" s="1"/>
  <c r="K60" i="1"/>
  <c r="L60" i="1" s="1"/>
  <c r="K59" i="1"/>
  <c r="L59" i="1" s="1"/>
  <c r="B59" i="1"/>
  <c r="K58" i="1"/>
  <c r="L58" i="1" s="1"/>
  <c r="K57" i="1"/>
  <c r="L57" i="1" s="1"/>
  <c r="K56" i="1"/>
  <c r="L56" i="1" s="1"/>
  <c r="K55" i="1"/>
  <c r="L55" i="1" s="1"/>
  <c r="K54" i="1"/>
  <c r="L54" i="1" s="1"/>
  <c r="B54" i="1"/>
  <c r="K53" i="1"/>
  <c r="L53" i="1" s="1"/>
  <c r="K52" i="1"/>
  <c r="L52" i="1" s="1"/>
  <c r="K51" i="1"/>
  <c r="L51" i="1" s="1"/>
  <c r="K50" i="1"/>
  <c r="L50" i="1" s="1"/>
  <c r="K49" i="1"/>
  <c r="L49" i="1" s="1"/>
  <c r="B49" i="1"/>
  <c r="K48" i="1"/>
  <c r="L48" i="1" s="1"/>
  <c r="K47" i="1"/>
  <c r="L47" i="1" s="1"/>
  <c r="K46" i="1"/>
  <c r="L46" i="1" s="1"/>
  <c r="K45" i="1"/>
  <c r="L45" i="1" s="1"/>
  <c r="K44" i="1"/>
  <c r="L44" i="1" s="1"/>
  <c r="B44" i="1"/>
  <c r="K43" i="1"/>
  <c r="L43" i="1" s="1"/>
  <c r="K42" i="1"/>
  <c r="L42" i="1" s="1"/>
  <c r="K41" i="1"/>
  <c r="L41" i="1" s="1"/>
  <c r="K40" i="1"/>
  <c r="L40" i="1" s="1"/>
  <c r="K39" i="1"/>
  <c r="L39" i="1" s="1"/>
  <c r="B39" i="1"/>
  <c r="K38" i="1"/>
  <c r="L38" i="1" s="1"/>
  <c r="K37" i="1"/>
  <c r="L37" i="1" s="1"/>
  <c r="B37" i="1"/>
  <c r="K36" i="1"/>
  <c r="L36" i="1" s="1"/>
  <c r="K35" i="1"/>
  <c r="L35" i="1" s="1"/>
  <c r="K34" i="1"/>
  <c r="L34" i="1" s="1"/>
  <c r="K33" i="1"/>
  <c r="L33" i="1" s="1"/>
  <c r="B33" i="1"/>
  <c r="K32" i="1"/>
  <c r="L32" i="1" s="1"/>
  <c r="K31" i="1"/>
  <c r="L31" i="1" s="1"/>
  <c r="K30" i="1"/>
  <c r="L30" i="1" s="1"/>
  <c r="K29" i="1"/>
  <c r="L29" i="1" s="1"/>
  <c r="B29" i="1"/>
  <c r="K28" i="1"/>
  <c r="L28" i="1" s="1"/>
  <c r="K27" i="1"/>
  <c r="L27" i="1" s="1"/>
  <c r="K26" i="1"/>
  <c r="L26" i="1" s="1"/>
  <c r="K25" i="1"/>
  <c r="L25" i="1" s="1"/>
  <c r="K24" i="1"/>
  <c r="L24" i="1" s="1"/>
  <c r="B24" i="1"/>
  <c r="K23" i="1"/>
  <c r="L23" i="1" s="1"/>
  <c r="K22" i="1"/>
  <c r="L22" i="1" s="1"/>
  <c r="K21" i="1"/>
  <c r="L21" i="1" s="1"/>
  <c r="K20" i="1"/>
  <c r="L20" i="1" s="1"/>
  <c r="K19" i="1"/>
  <c r="L19" i="1" s="1"/>
  <c r="B19" i="1"/>
  <c r="K18" i="1"/>
  <c r="L18" i="1" s="1"/>
  <c r="K17" i="1"/>
  <c r="L17" i="1" s="1"/>
  <c r="K16" i="1"/>
  <c r="L16" i="1" s="1"/>
  <c r="K15" i="1"/>
  <c r="L15" i="1" s="1"/>
  <c r="K14" i="1"/>
  <c r="L14" i="1" s="1"/>
  <c r="B14" i="1"/>
  <c r="K13" i="1"/>
  <c r="L13" i="1" s="1"/>
  <c r="K12" i="1"/>
  <c r="L12" i="1" s="1"/>
  <c r="K11" i="1"/>
  <c r="L11" i="1" s="1"/>
  <c r="K10" i="1"/>
  <c r="L10" i="1" s="1"/>
  <c r="K9" i="1"/>
  <c r="L9" i="1" s="1"/>
  <c r="B9" i="1"/>
  <c r="K8" i="1"/>
  <c r="L8" i="1" s="1"/>
  <c r="H2257" i="2" l="1"/>
  <c r="M2257" i="2" s="1"/>
  <c r="N2257" i="2" s="1"/>
  <c r="H2256" i="2"/>
  <c r="M2256" i="2" s="1"/>
  <c r="N2256" i="2" s="1"/>
  <c r="H2255" i="2"/>
  <c r="M2255" i="2" s="1"/>
  <c r="N2255" i="2" s="1"/>
  <c r="H2254" i="2"/>
  <c r="M2254" i="2" s="1"/>
  <c r="N2254" i="2" s="1"/>
  <c r="H2253" i="2"/>
  <c r="M2253" i="2" s="1"/>
  <c r="N2253" i="2" s="1"/>
  <c r="H2252" i="2"/>
  <c r="M2252" i="2" s="1"/>
  <c r="N2252" i="2" s="1"/>
  <c r="H2251" i="2"/>
  <c r="M2251" i="2" s="1"/>
  <c r="N2251" i="2" s="1"/>
  <c r="H2250" i="2"/>
  <c r="M2250" i="2" s="1"/>
  <c r="N2250" i="2" s="1"/>
  <c r="H2249" i="2"/>
  <c r="M2249" i="2" s="1"/>
  <c r="N2249" i="2" s="1"/>
  <c r="H2248" i="2"/>
  <c r="M2248" i="2" s="1"/>
  <c r="N2248" i="2" s="1"/>
  <c r="H2247" i="2"/>
  <c r="M2247" i="2" s="1"/>
  <c r="N2247" i="2" s="1"/>
  <c r="H2246" i="2"/>
  <c r="M2246" i="2" s="1"/>
  <c r="N2246" i="2" s="1"/>
  <c r="H2245" i="2"/>
  <c r="M2245" i="2" s="1"/>
  <c r="N2245" i="2" s="1"/>
  <c r="H2244" i="2"/>
  <c r="M2244" i="2" s="1"/>
  <c r="N2244" i="2" s="1"/>
  <c r="H2243" i="2"/>
  <c r="M2243" i="2" s="1"/>
  <c r="N2243" i="2" s="1"/>
  <c r="H2242" i="2"/>
  <c r="M2242" i="2" s="1"/>
  <c r="N2242" i="2" s="1"/>
  <c r="H2241" i="2"/>
  <c r="M2241" i="2" s="1"/>
  <c r="N2241" i="2" s="1"/>
  <c r="H2240" i="2"/>
  <c r="M2240" i="2" s="1"/>
  <c r="N2240" i="2" s="1"/>
  <c r="H2239" i="2"/>
  <c r="M2239" i="2" s="1"/>
  <c r="N2239" i="2" s="1"/>
  <c r="H2238" i="2"/>
  <c r="M2238" i="2" s="1"/>
  <c r="N2238" i="2" s="1"/>
  <c r="H2237" i="2"/>
  <c r="M2237" i="2" s="1"/>
  <c r="N2237" i="2" s="1"/>
  <c r="H2236" i="2"/>
  <c r="M2236" i="2" s="1"/>
  <c r="N2236" i="2" s="1"/>
  <c r="H2235" i="2"/>
  <c r="M2235" i="2" s="1"/>
  <c r="N2235" i="2" s="1"/>
  <c r="H2234" i="2"/>
  <c r="M2234" i="2" s="1"/>
  <c r="N2234" i="2" s="1"/>
  <c r="H2233" i="2"/>
  <c r="M2233" i="2" s="1"/>
  <c r="N2233" i="2" s="1"/>
  <c r="H2232" i="2"/>
  <c r="M2232" i="2" s="1"/>
  <c r="N2232" i="2" s="1"/>
  <c r="H2231" i="2"/>
  <c r="M2231" i="2" s="1"/>
  <c r="N2231" i="2" s="1"/>
  <c r="H2230" i="2"/>
  <c r="M2230" i="2" s="1"/>
  <c r="N2230" i="2" s="1"/>
  <c r="H2229" i="2"/>
  <c r="M2229" i="2" s="1"/>
  <c r="N2229" i="2" s="1"/>
  <c r="H2228" i="2"/>
  <c r="M2228" i="2" s="1"/>
  <c r="N2228" i="2" s="1"/>
  <c r="H2227" i="2"/>
  <c r="M2227" i="2" s="1"/>
  <c r="N2227" i="2" s="1"/>
  <c r="H2226" i="2"/>
  <c r="M2226" i="2" s="1"/>
  <c r="N2226" i="2" s="1"/>
  <c r="H2225" i="2"/>
  <c r="M2225" i="2" s="1"/>
  <c r="N2225" i="2" s="1"/>
  <c r="H2224" i="2"/>
  <c r="M2224" i="2" s="1"/>
  <c r="N2224" i="2" s="1"/>
  <c r="H2223" i="2"/>
  <c r="M2223" i="2" s="1"/>
  <c r="N2223" i="2" s="1"/>
  <c r="H2222" i="2"/>
  <c r="M2222" i="2" s="1"/>
  <c r="N2222" i="2" s="1"/>
  <c r="H2221" i="2"/>
  <c r="M2221" i="2" s="1"/>
  <c r="N2221" i="2" s="1"/>
  <c r="H2220" i="2"/>
  <c r="M2220" i="2" s="1"/>
  <c r="N2220" i="2" s="1"/>
  <c r="H2219" i="2"/>
  <c r="M2219" i="2" s="1"/>
  <c r="N2219" i="2" s="1"/>
  <c r="H2218" i="2"/>
  <c r="M2218" i="2" s="1"/>
  <c r="N2218" i="2" s="1"/>
  <c r="H2217" i="2"/>
  <c r="M2217" i="2" s="1"/>
  <c r="N2217" i="2" s="1"/>
  <c r="H2216" i="2"/>
  <c r="M2216" i="2" s="1"/>
  <c r="N2216" i="2" s="1"/>
  <c r="H2215" i="2"/>
  <c r="M2215" i="2" s="1"/>
  <c r="N2215" i="2" s="1"/>
  <c r="H2214" i="2"/>
  <c r="M2214" i="2" s="1"/>
  <c r="N2214" i="2" s="1"/>
  <c r="H2213" i="2"/>
  <c r="M2213" i="2" s="1"/>
  <c r="N2213" i="2" s="1"/>
  <c r="H2212" i="2"/>
  <c r="M2212" i="2" s="1"/>
  <c r="N2212" i="2" s="1"/>
  <c r="H2211" i="2"/>
  <c r="M2211" i="2" s="1"/>
  <c r="N2211" i="2" s="1"/>
  <c r="H2210" i="2"/>
  <c r="M2210" i="2" s="1"/>
  <c r="N2210" i="2" s="1"/>
  <c r="H2209" i="2"/>
  <c r="M2209" i="2" s="1"/>
  <c r="N2209" i="2" s="1"/>
  <c r="H2208" i="2"/>
  <c r="M2208" i="2" s="1"/>
  <c r="N2208" i="2" s="1"/>
  <c r="H2207" i="2"/>
  <c r="M2207" i="2" s="1"/>
  <c r="N2207" i="2" s="1"/>
  <c r="H2206" i="2"/>
  <c r="M2206" i="2" s="1"/>
  <c r="N2206" i="2" s="1"/>
  <c r="H2205" i="2"/>
  <c r="M2205" i="2" s="1"/>
  <c r="N2205" i="2" s="1"/>
  <c r="H2204" i="2"/>
  <c r="M2204" i="2" s="1"/>
  <c r="N2204" i="2" s="1"/>
  <c r="H2203" i="2"/>
  <c r="M2203" i="2" s="1"/>
  <c r="N2203" i="2" s="1"/>
  <c r="H2202" i="2"/>
  <c r="M2202" i="2" s="1"/>
  <c r="N2202" i="2" s="1"/>
  <c r="H2201" i="2"/>
  <c r="M2201" i="2" s="1"/>
  <c r="N2201" i="2" s="1"/>
  <c r="H2200" i="2"/>
  <c r="M2200" i="2" s="1"/>
  <c r="N2200" i="2" s="1"/>
  <c r="H2199" i="2"/>
  <c r="M2199" i="2" s="1"/>
  <c r="N2199" i="2" s="1"/>
  <c r="H2198" i="2"/>
  <c r="M2198" i="2" s="1"/>
  <c r="N2198" i="2" s="1"/>
  <c r="H2197" i="2"/>
  <c r="M2197" i="2" s="1"/>
  <c r="N2197" i="2" s="1"/>
  <c r="H2196" i="2"/>
  <c r="M2196" i="2" s="1"/>
  <c r="N2196" i="2" s="1"/>
  <c r="H2195" i="2"/>
  <c r="M2195" i="2" s="1"/>
  <c r="N2195" i="2" s="1"/>
  <c r="H2194" i="2"/>
  <c r="M2194" i="2" s="1"/>
  <c r="N2194" i="2" s="1"/>
  <c r="H2193" i="2"/>
  <c r="M2193" i="2" s="1"/>
  <c r="N2193" i="2" s="1"/>
  <c r="H2192" i="2"/>
  <c r="M2192" i="2" s="1"/>
  <c r="N2192" i="2" s="1"/>
  <c r="H2191" i="2"/>
  <c r="M2191" i="2" s="1"/>
  <c r="N2191" i="2" s="1"/>
  <c r="H2190" i="2"/>
  <c r="M2190" i="2" s="1"/>
  <c r="N2190" i="2" s="1"/>
  <c r="H2189" i="2"/>
  <c r="M2189" i="2" s="1"/>
  <c r="N2189" i="2" s="1"/>
  <c r="H2188" i="2"/>
  <c r="M2188" i="2" s="1"/>
  <c r="N2188" i="2" s="1"/>
  <c r="H2187" i="2"/>
  <c r="M2187" i="2" s="1"/>
  <c r="N2187" i="2" s="1"/>
  <c r="H2186" i="2"/>
  <c r="M2186" i="2" s="1"/>
  <c r="N2186" i="2" s="1"/>
  <c r="H2185" i="2"/>
  <c r="M2185" i="2" s="1"/>
  <c r="N2185" i="2" s="1"/>
  <c r="H2184" i="2"/>
  <c r="M2184" i="2" s="1"/>
  <c r="N2184" i="2" s="1"/>
  <c r="H2183" i="2"/>
  <c r="M2183" i="2" s="1"/>
  <c r="N2183" i="2" s="1"/>
  <c r="H2182" i="2"/>
  <c r="M2182" i="2" s="1"/>
  <c r="N2182" i="2" s="1"/>
  <c r="H2181" i="2"/>
  <c r="M2181" i="2" s="1"/>
  <c r="N2181" i="2" s="1"/>
  <c r="H2180" i="2"/>
  <c r="M2180" i="2" s="1"/>
  <c r="N2180" i="2" s="1"/>
  <c r="H2179" i="2"/>
  <c r="M2179" i="2" s="1"/>
  <c r="N2179" i="2" s="1"/>
  <c r="H2178" i="2"/>
  <c r="M2178" i="2" s="1"/>
  <c r="N2178" i="2" s="1"/>
  <c r="H2177" i="2"/>
  <c r="M2177" i="2" s="1"/>
  <c r="N2177" i="2" s="1"/>
  <c r="H2176" i="2"/>
  <c r="M2176" i="2" s="1"/>
  <c r="N2176" i="2" s="1"/>
  <c r="H2175" i="2"/>
  <c r="M2175" i="2" s="1"/>
  <c r="N2175" i="2" s="1"/>
  <c r="H2174" i="2"/>
  <c r="M2174" i="2" s="1"/>
  <c r="N2174" i="2" s="1"/>
  <c r="H2173" i="2"/>
  <c r="M2173" i="2" s="1"/>
  <c r="N2173" i="2" s="1"/>
  <c r="H2172" i="2"/>
  <c r="M2172" i="2" s="1"/>
  <c r="N2172" i="2" s="1"/>
  <c r="H2171" i="2"/>
  <c r="M2171" i="2" s="1"/>
  <c r="N2171" i="2" s="1"/>
  <c r="H2170" i="2"/>
  <c r="M2170" i="2" s="1"/>
  <c r="N2170" i="2" s="1"/>
  <c r="H2169" i="2"/>
  <c r="M2169" i="2" s="1"/>
  <c r="N2169" i="2" s="1"/>
  <c r="H2168" i="2"/>
  <c r="M2168" i="2" s="1"/>
  <c r="N2168" i="2" s="1"/>
  <c r="H2167" i="2"/>
  <c r="M2167" i="2" s="1"/>
  <c r="N2167" i="2" s="1"/>
  <c r="H2166" i="2"/>
  <c r="M2166" i="2" s="1"/>
  <c r="N2166" i="2" s="1"/>
  <c r="H2165" i="2"/>
  <c r="M2165" i="2" s="1"/>
  <c r="N2165" i="2" s="1"/>
  <c r="H2164" i="2"/>
  <c r="M2164" i="2" s="1"/>
  <c r="N2164" i="2" s="1"/>
  <c r="H2163" i="2"/>
  <c r="M2163" i="2" s="1"/>
  <c r="N2163" i="2" s="1"/>
  <c r="H2162" i="2"/>
  <c r="M2162" i="2" s="1"/>
  <c r="N2162" i="2" s="1"/>
  <c r="H2161" i="2"/>
  <c r="M2161" i="2" s="1"/>
  <c r="N2161" i="2" s="1"/>
  <c r="H2160" i="2"/>
  <c r="M2160" i="2" s="1"/>
  <c r="N2160" i="2" s="1"/>
  <c r="H2159" i="2"/>
  <c r="M2159" i="2" s="1"/>
  <c r="N2159" i="2" s="1"/>
  <c r="H2158" i="2"/>
  <c r="M2158" i="2" s="1"/>
  <c r="N2158" i="2" s="1"/>
  <c r="H2157" i="2"/>
  <c r="M2157" i="2" s="1"/>
  <c r="N2157" i="2" s="1"/>
  <c r="H2156" i="2"/>
  <c r="M2156" i="2" s="1"/>
  <c r="N2156" i="2" s="1"/>
  <c r="H2155" i="2"/>
  <c r="M2155" i="2" s="1"/>
  <c r="N2155" i="2" s="1"/>
  <c r="H2154" i="2"/>
  <c r="M2154" i="2" s="1"/>
  <c r="N2154" i="2" s="1"/>
  <c r="H2054" i="2"/>
  <c r="M2054" i="2" s="1"/>
  <c r="N2054" i="2" s="1"/>
  <c r="H2053" i="2"/>
  <c r="M2053" i="2" s="1"/>
  <c r="N2053" i="2" s="1"/>
  <c r="H1800" i="2"/>
  <c r="M1800" i="2" s="1"/>
  <c r="N1800" i="2" s="1"/>
  <c r="H1799" i="2"/>
  <c r="M1799" i="2" s="1"/>
  <c r="N1799" i="2" s="1"/>
  <c r="H1797" i="2"/>
  <c r="M1797" i="2" s="1"/>
  <c r="N1797" i="2" s="1"/>
  <c r="H1793" i="2"/>
  <c r="M1793" i="2" s="1"/>
  <c r="N1793" i="2" s="1"/>
  <c r="H1786" i="2"/>
  <c r="M1786" i="2" s="1"/>
  <c r="N1786" i="2" s="1"/>
  <c r="H1782" i="2"/>
  <c r="M1782" i="2" s="1"/>
  <c r="N1782" i="2" s="1"/>
  <c r="H1778" i="2"/>
  <c r="M1778" i="2" s="1"/>
  <c r="N1778" i="2" s="1"/>
  <c r="H1776" i="2"/>
  <c r="M1776" i="2" s="1"/>
  <c r="N1776" i="2" s="1"/>
  <c r="H1769" i="2"/>
  <c r="M1769" i="2" s="1"/>
  <c r="N1769" i="2" s="1"/>
  <c r="H1765" i="2"/>
  <c r="M1765" i="2" s="1"/>
  <c r="N1765" i="2" s="1"/>
  <c r="H1760" i="2"/>
  <c r="M1760" i="2" s="1"/>
  <c r="N1760" i="2" s="1"/>
  <c r="H1753" i="2"/>
  <c r="M1753" i="2" s="1"/>
  <c r="N1753" i="2" s="1"/>
  <c r="H1695" i="2"/>
  <c r="M1695" i="2" s="1"/>
  <c r="N1695" i="2" s="1"/>
  <c r="H1693" i="2"/>
  <c r="M1693" i="2" s="1"/>
  <c r="N1693" i="2" s="1"/>
  <c r="H1692" i="2"/>
  <c r="M1692" i="2" s="1"/>
  <c r="N1692" i="2" s="1"/>
  <c r="H1677" i="2"/>
  <c r="M1677" i="2" s="1"/>
  <c r="N1677" i="2" s="1"/>
  <c r="H1672" i="2"/>
  <c r="M1672" i="2" s="1"/>
  <c r="N1672" i="2" s="1"/>
  <c r="H1666" i="2"/>
  <c r="M1666" i="2" s="1"/>
  <c r="N1666" i="2" s="1"/>
  <c r="H1655" i="2"/>
  <c r="M1655" i="2" s="1"/>
  <c r="N1655" i="2" s="1"/>
  <c r="H1653" i="2"/>
  <c r="M1653" i="2" s="1"/>
  <c r="N1653" i="2" s="1"/>
  <c r="H1651" i="2"/>
  <c r="M1651" i="2" s="1"/>
  <c r="N1651" i="2" s="1"/>
  <c r="H1650" i="2"/>
  <c r="M1650" i="2" s="1"/>
  <c r="N1650" i="2" s="1"/>
  <c r="H1574" i="2"/>
  <c r="M1574" i="2" s="1"/>
  <c r="N1574" i="2" s="1"/>
  <c r="H1572" i="2"/>
  <c r="M1572" i="2" s="1"/>
  <c r="N1572" i="2" s="1"/>
  <c r="H1569" i="2"/>
  <c r="M1569" i="2" s="1"/>
  <c r="N1569" i="2" s="1"/>
  <c r="H1567" i="2"/>
  <c r="M1567" i="2" s="1"/>
  <c r="N1567" i="2" s="1"/>
  <c r="H1562" i="2"/>
  <c r="M1562" i="2" s="1"/>
  <c r="N1562" i="2" s="1"/>
  <c r="H1560" i="2"/>
  <c r="M1560" i="2" s="1"/>
  <c r="N1560" i="2" s="1"/>
  <c r="H1442" i="2"/>
  <c r="M1442" i="2" s="1"/>
  <c r="N1442" i="2" s="1"/>
  <c r="H1272" i="2"/>
  <c r="M1272" i="2" s="1"/>
  <c r="N1272" i="2" s="1"/>
  <c r="H1268" i="2"/>
  <c r="M1268" i="2" s="1"/>
  <c r="N1268" i="2" s="1"/>
  <c r="H1266" i="2"/>
  <c r="M1266" i="2" s="1"/>
  <c r="N1266" i="2" s="1"/>
  <c r="H1261" i="2"/>
  <c r="M1261" i="2" s="1"/>
  <c r="N1261" i="2" s="1"/>
  <c r="H1254" i="2"/>
  <c r="M1254" i="2" s="1"/>
  <c r="N1254" i="2" s="1"/>
  <c r="H1251" i="2"/>
  <c r="M1251" i="2" s="1"/>
  <c r="N1251" i="2" s="1"/>
  <c r="H1247" i="2"/>
  <c r="M1247" i="2" s="1"/>
  <c r="N1247" i="2" s="1"/>
  <c r="H1239" i="2"/>
  <c r="M1239" i="2" s="1"/>
  <c r="N1239" i="2" s="1"/>
  <c r="H2153" i="2"/>
  <c r="M2153" i="2" s="1"/>
  <c r="N2153" i="2" s="1"/>
  <c r="H2152" i="2"/>
  <c r="M2152" i="2" s="1"/>
  <c r="N2152" i="2" s="1"/>
  <c r="H2151" i="2"/>
  <c r="M2151" i="2" s="1"/>
  <c r="N2151" i="2" s="1"/>
  <c r="H2150" i="2"/>
  <c r="M2150" i="2" s="1"/>
  <c r="N2150" i="2" s="1"/>
  <c r="H2149" i="2"/>
  <c r="M2149" i="2" s="1"/>
  <c r="N2149" i="2" s="1"/>
  <c r="H2148" i="2"/>
  <c r="M2148" i="2" s="1"/>
  <c r="N2148" i="2" s="1"/>
  <c r="H2147" i="2"/>
  <c r="M2147" i="2" s="1"/>
  <c r="N2147" i="2" s="1"/>
  <c r="H2146" i="2"/>
  <c r="M2146" i="2" s="1"/>
  <c r="N2146" i="2" s="1"/>
  <c r="H2145" i="2"/>
  <c r="M2145" i="2" s="1"/>
  <c r="N2145" i="2" s="1"/>
  <c r="H2144" i="2"/>
  <c r="M2144" i="2" s="1"/>
  <c r="N2144" i="2" s="1"/>
  <c r="H2143" i="2"/>
  <c r="M2143" i="2" s="1"/>
  <c r="N2143" i="2" s="1"/>
  <c r="H2142" i="2"/>
  <c r="M2142" i="2" s="1"/>
  <c r="N2142" i="2" s="1"/>
  <c r="H2141" i="2"/>
  <c r="M2141" i="2" s="1"/>
  <c r="N2141" i="2" s="1"/>
  <c r="H2140" i="2"/>
  <c r="M2140" i="2" s="1"/>
  <c r="N2140" i="2" s="1"/>
  <c r="H2139" i="2"/>
  <c r="M2139" i="2" s="1"/>
  <c r="N2139" i="2" s="1"/>
  <c r="H2138" i="2"/>
  <c r="M2138" i="2" s="1"/>
  <c r="N2138" i="2" s="1"/>
  <c r="H2137" i="2"/>
  <c r="M2137" i="2" s="1"/>
  <c r="N2137" i="2" s="1"/>
  <c r="H2136" i="2"/>
  <c r="M2136" i="2" s="1"/>
  <c r="N2136" i="2" s="1"/>
  <c r="H2135" i="2"/>
  <c r="M2135" i="2" s="1"/>
  <c r="N2135" i="2" s="1"/>
  <c r="H2134" i="2"/>
  <c r="M2134" i="2" s="1"/>
  <c r="N2134" i="2" s="1"/>
  <c r="H2133" i="2"/>
  <c r="M2133" i="2" s="1"/>
  <c r="N2133" i="2" s="1"/>
  <c r="H2132" i="2"/>
  <c r="M2132" i="2" s="1"/>
  <c r="N2132" i="2" s="1"/>
  <c r="H2131" i="2"/>
  <c r="M2131" i="2" s="1"/>
  <c r="N2131" i="2" s="1"/>
  <c r="H2130" i="2"/>
  <c r="M2130" i="2" s="1"/>
  <c r="N2130" i="2" s="1"/>
  <c r="H2129" i="2"/>
  <c r="M2129" i="2" s="1"/>
  <c r="N2129" i="2" s="1"/>
  <c r="H2128" i="2"/>
  <c r="M2128" i="2" s="1"/>
  <c r="N2128" i="2" s="1"/>
  <c r="H2127" i="2"/>
  <c r="M2127" i="2" s="1"/>
  <c r="N2127" i="2" s="1"/>
  <c r="H2126" i="2"/>
  <c r="M2126" i="2" s="1"/>
  <c r="N2126" i="2" s="1"/>
  <c r="H2125" i="2"/>
  <c r="M2125" i="2" s="1"/>
  <c r="N2125" i="2" s="1"/>
  <c r="H2124" i="2"/>
  <c r="M2124" i="2" s="1"/>
  <c r="N2124" i="2" s="1"/>
  <c r="H2123" i="2"/>
  <c r="M2123" i="2" s="1"/>
  <c r="N2123" i="2" s="1"/>
  <c r="H2122" i="2"/>
  <c r="M2122" i="2" s="1"/>
  <c r="N2122" i="2" s="1"/>
  <c r="H2121" i="2"/>
  <c r="M2121" i="2" s="1"/>
  <c r="N2121" i="2" s="1"/>
  <c r="H2120" i="2"/>
  <c r="M2120" i="2" s="1"/>
  <c r="N2120" i="2" s="1"/>
  <c r="H2119" i="2"/>
  <c r="M2119" i="2" s="1"/>
  <c r="N2119" i="2" s="1"/>
  <c r="H2118" i="2"/>
  <c r="M2118" i="2" s="1"/>
  <c r="N2118" i="2" s="1"/>
  <c r="H2117" i="2"/>
  <c r="M2117" i="2" s="1"/>
  <c r="N2117" i="2" s="1"/>
  <c r="H2116" i="2"/>
  <c r="M2116" i="2" s="1"/>
  <c r="N2116" i="2" s="1"/>
  <c r="H2115" i="2"/>
  <c r="M2115" i="2" s="1"/>
  <c r="N2115" i="2" s="1"/>
  <c r="H2114" i="2"/>
  <c r="M2114" i="2" s="1"/>
  <c r="N2114" i="2" s="1"/>
  <c r="H2113" i="2"/>
  <c r="M2113" i="2" s="1"/>
  <c r="N2113" i="2" s="1"/>
  <c r="H2112" i="2"/>
  <c r="M2112" i="2" s="1"/>
  <c r="N2112" i="2" s="1"/>
  <c r="H2111" i="2"/>
  <c r="M2111" i="2" s="1"/>
  <c r="N2111" i="2" s="1"/>
  <c r="H2110" i="2"/>
  <c r="M2110" i="2" s="1"/>
  <c r="N2110" i="2" s="1"/>
  <c r="H2109" i="2"/>
  <c r="M2109" i="2" s="1"/>
  <c r="N2109" i="2" s="1"/>
  <c r="H2108" i="2"/>
  <c r="M2108" i="2" s="1"/>
  <c r="N2108" i="2" s="1"/>
  <c r="H2107" i="2"/>
  <c r="M2107" i="2" s="1"/>
  <c r="N2107" i="2" s="1"/>
  <c r="H2106" i="2"/>
  <c r="M2106" i="2" s="1"/>
  <c r="N2106" i="2" s="1"/>
  <c r="H2105" i="2"/>
  <c r="M2105" i="2" s="1"/>
  <c r="N2105" i="2" s="1"/>
  <c r="H2104" i="2"/>
  <c r="M2104" i="2" s="1"/>
  <c r="N2104" i="2" s="1"/>
  <c r="H2103" i="2"/>
  <c r="M2103" i="2" s="1"/>
  <c r="N2103" i="2" s="1"/>
  <c r="H2102" i="2"/>
  <c r="M2102" i="2" s="1"/>
  <c r="N2102" i="2" s="1"/>
  <c r="H2101" i="2"/>
  <c r="M2101" i="2" s="1"/>
  <c r="N2101" i="2" s="1"/>
  <c r="H2100" i="2"/>
  <c r="M2100" i="2" s="1"/>
  <c r="N2100" i="2" s="1"/>
  <c r="H2099" i="2"/>
  <c r="M2099" i="2" s="1"/>
  <c r="N2099" i="2" s="1"/>
  <c r="H2098" i="2"/>
  <c r="M2098" i="2" s="1"/>
  <c r="N2098" i="2" s="1"/>
  <c r="H2097" i="2"/>
  <c r="M2097" i="2" s="1"/>
  <c r="N2097" i="2" s="1"/>
  <c r="H2096" i="2"/>
  <c r="M2096" i="2" s="1"/>
  <c r="N2096" i="2" s="1"/>
  <c r="H2095" i="2"/>
  <c r="M2095" i="2" s="1"/>
  <c r="N2095" i="2" s="1"/>
  <c r="H2094" i="2"/>
  <c r="M2094" i="2" s="1"/>
  <c r="N2094" i="2" s="1"/>
  <c r="H2093" i="2"/>
  <c r="M2093" i="2" s="1"/>
  <c r="N2093" i="2" s="1"/>
  <c r="H2092" i="2"/>
  <c r="M2092" i="2" s="1"/>
  <c r="N2092" i="2" s="1"/>
  <c r="H2091" i="2"/>
  <c r="M2091" i="2" s="1"/>
  <c r="N2091" i="2" s="1"/>
  <c r="H2090" i="2"/>
  <c r="M2090" i="2" s="1"/>
  <c r="N2090" i="2" s="1"/>
  <c r="H2089" i="2"/>
  <c r="M2089" i="2" s="1"/>
  <c r="N2089" i="2" s="1"/>
  <c r="H2088" i="2"/>
  <c r="M2088" i="2" s="1"/>
  <c r="N2088" i="2" s="1"/>
  <c r="H2087" i="2"/>
  <c r="M2087" i="2" s="1"/>
  <c r="N2087" i="2" s="1"/>
  <c r="H2086" i="2"/>
  <c r="M2086" i="2" s="1"/>
  <c r="N2086" i="2" s="1"/>
  <c r="H2085" i="2"/>
  <c r="M2085" i="2" s="1"/>
  <c r="N2085" i="2" s="1"/>
  <c r="H2084" i="2"/>
  <c r="M2084" i="2" s="1"/>
  <c r="N2084" i="2" s="1"/>
  <c r="H2083" i="2"/>
  <c r="M2083" i="2" s="1"/>
  <c r="N2083" i="2" s="1"/>
  <c r="H2082" i="2"/>
  <c r="M2082" i="2" s="1"/>
  <c r="N2082" i="2" s="1"/>
  <c r="H2081" i="2"/>
  <c r="M2081" i="2" s="1"/>
  <c r="N2081" i="2" s="1"/>
  <c r="H2080" i="2"/>
  <c r="M2080" i="2" s="1"/>
  <c r="N2080" i="2" s="1"/>
  <c r="H2079" i="2"/>
  <c r="M2079" i="2" s="1"/>
  <c r="N2079" i="2" s="1"/>
  <c r="H2078" i="2"/>
  <c r="M2078" i="2" s="1"/>
  <c r="N2078" i="2" s="1"/>
  <c r="H2077" i="2"/>
  <c r="M2077" i="2" s="1"/>
  <c r="N2077" i="2" s="1"/>
  <c r="H2076" i="2"/>
  <c r="M2076" i="2" s="1"/>
  <c r="N2076" i="2" s="1"/>
  <c r="H2075" i="2"/>
  <c r="M2075" i="2" s="1"/>
  <c r="N2075" i="2" s="1"/>
  <c r="H2074" i="2"/>
  <c r="M2074" i="2" s="1"/>
  <c r="N2074" i="2" s="1"/>
  <c r="H2073" i="2"/>
  <c r="M2073" i="2" s="1"/>
  <c r="N2073" i="2" s="1"/>
  <c r="H2072" i="2"/>
  <c r="M2072" i="2" s="1"/>
  <c r="N2072" i="2" s="1"/>
  <c r="H2071" i="2"/>
  <c r="M2071" i="2" s="1"/>
  <c r="N2071" i="2" s="1"/>
  <c r="H2070" i="2"/>
  <c r="M2070" i="2" s="1"/>
  <c r="N2070" i="2" s="1"/>
  <c r="H2069" i="2"/>
  <c r="M2069" i="2" s="1"/>
  <c r="N2069" i="2" s="1"/>
  <c r="H2068" i="2"/>
  <c r="M2068" i="2" s="1"/>
  <c r="N2068" i="2" s="1"/>
  <c r="H2067" i="2"/>
  <c r="M2067" i="2" s="1"/>
  <c r="N2067" i="2" s="1"/>
  <c r="H2066" i="2"/>
  <c r="M2066" i="2" s="1"/>
  <c r="N2066" i="2" s="1"/>
  <c r="H2065" i="2"/>
  <c r="M2065" i="2" s="1"/>
  <c r="N2065" i="2" s="1"/>
  <c r="H2064" i="2"/>
  <c r="M2064" i="2" s="1"/>
  <c r="N2064" i="2" s="1"/>
  <c r="H2063" i="2"/>
  <c r="M2063" i="2" s="1"/>
  <c r="N2063" i="2" s="1"/>
  <c r="H2062" i="2"/>
  <c r="M2062" i="2" s="1"/>
  <c r="N2062" i="2" s="1"/>
  <c r="H2061" i="2"/>
  <c r="M2061" i="2" s="1"/>
  <c r="N2061" i="2" s="1"/>
  <c r="H2060" i="2"/>
  <c r="M2060" i="2" s="1"/>
  <c r="N2060" i="2" s="1"/>
  <c r="H2059" i="2"/>
  <c r="M2059" i="2" s="1"/>
  <c r="N2059" i="2" s="1"/>
  <c r="H2058" i="2"/>
  <c r="M2058" i="2" s="1"/>
  <c r="N2058" i="2" s="1"/>
  <c r="H2057" i="2"/>
  <c r="M2057" i="2" s="1"/>
  <c r="N2057" i="2" s="1"/>
  <c r="H2056" i="2"/>
  <c r="M2056" i="2" s="1"/>
  <c r="N2056" i="2" s="1"/>
  <c r="H2055" i="2"/>
  <c r="M2055" i="2" s="1"/>
  <c r="N2055" i="2" s="1"/>
  <c r="H1790" i="2"/>
  <c r="M1790" i="2" s="1"/>
  <c r="N1790" i="2" s="1"/>
  <c r="H1785" i="2"/>
  <c r="M1785" i="2" s="1"/>
  <c r="N1785" i="2" s="1"/>
  <c r="H1775" i="2"/>
  <c r="M1775" i="2" s="1"/>
  <c r="N1775" i="2" s="1"/>
  <c r="H1768" i="2"/>
  <c r="M1768" i="2" s="1"/>
  <c r="N1768" i="2" s="1"/>
  <c r="H1766" i="2"/>
  <c r="M1766" i="2" s="1"/>
  <c r="N1766" i="2" s="1"/>
  <c r="H1764" i="2"/>
  <c r="M1764" i="2" s="1"/>
  <c r="N1764" i="2" s="1"/>
  <c r="H1762" i="2"/>
  <c r="M1762" i="2" s="1"/>
  <c r="N1762" i="2" s="1"/>
  <c r="H1761" i="2"/>
  <c r="M1761" i="2" s="1"/>
  <c r="N1761" i="2" s="1"/>
  <c r="H1758" i="2"/>
  <c r="M1758" i="2" s="1"/>
  <c r="N1758" i="2" s="1"/>
  <c r="H1699" i="2"/>
  <c r="M1699" i="2" s="1"/>
  <c r="N1699" i="2" s="1"/>
  <c r="H1696" i="2"/>
  <c r="M1696" i="2" s="1"/>
  <c r="N1696" i="2" s="1"/>
  <c r="H1691" i="2"/>
  <c r="M1691" i="2" s="1"/>
  <c r="N1691" i="2" s="1"/>
  <c r="H1686" i="2"/>
  <c r="M1686" i="2" s="1"/>
  <c r="N1686" i="2" s="1"/>
  <c r="H1685" i="2"/>
  <c r="M1685" i="2" s="1"/>
  <c r="N1685" i="2" s="1"/>
  <c r="H1682" i="2"/>
  <c r="M1682" i="2" s="1"/>
  <c r="N1682" i="2" s="1"/>
  <c r="H1681" i="2"/>
  <c r="M1681" i="2" s="1"/>
  <c r="N1681" i="2" s="1"/>
  <c r="H1675" i="2"/>
  <c r="M1675" i="2" s="1"/>
  <c r="N1675" i="2" s="1"/>
  <c r="H1673" i="2"/>
  <c r="M1673" i="2" s="1"/>
  <c r="N1673" i="2" s="1"/>
  <c r="H1665" i="2"/>
  <c r="M1665" i="2" s="1"/>
  <c r="N1665" i="2" s="1"/>
  <c r="H1661" i="2"/>
  <c r="M1661" i="2" s="1"/>
  <c r="N1661" i="2" s="1"/>
  <c r="H1656" i="2"/>
  <c r="M1656" i="2" s="1"/>
  <c r="N1656" i="2" s="1"/>
  <c r="H1654" i="2"/>
  <c r="M1654" i="2" s="1"/>
  <c r="N1654" i="2" s="1"/>
  <c r="H1589" i="2"/>
  <c r="M1589" i="2" s="1"/>
  <c r="N1589" i="2" s="1"/>
  <c r="H1588" i="2"/>
  <c r="M1588" i="2" s="1"/>
  <c r="N1588" i="2" s="1"/>
  <c r="H1586" i="2"/>
  <c r="M1586" i="2" s="1"/>
  <c r="N1586" i="2" s="1"/>
  <c r="H1584" i="2"/>
  <c r="M1584" i="2" s="1"/>
  <c r="N1584" i="2" s="1"/>
  <c r="H1578" i="2"/>
  <c r="M1578" i="2" s="1"/>
  <c r="N1578" i="2" s="1"/>
  <c r="H1576" i="2"/>
  <c r="M1576" i="2" s="1"/>
  <c r="N1576" i="2" s="1"/>
  <c r="H1575" i="2"/>
  <c r="M1575" i="2" s="1"/>
  <c r="N1575" i="2" s="1"/>
  <c r="H1570" i="2"/>
  <c r="M1570" i="2" s="1"/>
  <c r="N1570" i="2" s="1"/>
  <c r="H1565" i="2"/>
  <c r="M1565" i="2" s="1"/>
  <c r="N1565" i="2" s="1"/>
  <c r="H1557" i="2"/>
  <c r="M1557" i="2" s="1"/>
  <c r="N1557" i="2" s="1"/>
  <c r="H1555" i="2"/>
  <c r="M1555" i="2" s="1"/>
  <c r="N1555" i="2" s="1"/>
  <c r="H1547" i="2"/>
  <c r="M1547" i="2" s="1"/>
  <c r="N1547" i="2" s="1"/>
  <c r="H1343" i="2"/>
  <c r="M1343" i="2" s="1"/>
  <c r="N1343" i="2" s="1"/>
  <c r="H1341" i="2"/>
  <c r="M1341" i="2" s="1"/>
  <c r="N1341" i="2" s="1"/>
  <c r="H1265" i="2"/>
  <c r="M1265" i="2" s="1"/>
  <c r="N1265" i="2" s="1"/>
  <c r="H1258" i="2"/>
  <c r="M1258" i="2" s="1"/>
  <c r="N1258" i="2" s="1"/>
  <c r="H2280" i="2"/>
  <c r="M2280" i="2" s="1"/>
  <c r="N2280" i="2" s="1"/>
  <c r="H2052" i="2"/>
  <c r="M2052" i="2" s="1"/>
  <c r="N2052" i="2" s="1"/>
  <c r="H2051" i="2"/>
  <c r="M2051" i="2" s="1"/>
  <c r="N2051" i="2" s="1"/>
  <c r="H2050" i="2"/>
  <c r="M2050" i="2" s="1"/>
  <c r="N2050" i="2" s="1"/>
  <c r="H2049" i="2"/>
  <c r="M2049" i="2" s="1"/>
  <c r="N2049" i="2" s="1"/>
  <c r="H2048" i="2"/>
  <c r="M2048" i="2" s="1"/>
  <c r="N2048" i="2" s="1"/>
  <c r="H2047" i="2"/>
  <c r="M2047" i="2" s="1"/>
  <c r="N2047" i="2" s="1"/>
  <c r="H2046" i="2"/>
  <c r="M2046" i="2" s="1"/>
  <c r="N2046" i="2" s="1"/>
  <c r="H2045" i="2"/>
  <c r="M2045" i="2" s="1"/>
  <c r="N2045" i="2" s="1"/>
  <c r="H2044" i="2"/>
  <c r="M2044" i="2" s="1"/>
  <c r="N2044" i="2" s="1"/>
  <c r="H2043" i="2"/>
  <c r="M2043" i="2" s="1"/>
  <c r="N2043" i="2" s="1"/>
  <c r="H2042" i="2"/>
  <c r="M2042" i="2" s="1"/>
  <c r="N2042" i="2" s="1"/>
  <c r="H2041" i="2"/>
  <c r="M2041" i="2" s="1"/>
  <c r="N2041" i="2" s="1"/>
  <c r="H2040" i="2"/>
  <c r="M2040" i="2" s="1"/>
  <c r="N2040" i="2" s="1"/>
  <c r="H2039" i="2"/>
  <c r="M2039" i="2" s="1"/>
  <c r="N2039" i="2" s="1"/>
  <c r="H2038" i="2"/>
  <c r="M2038" i="2" s="1"/>
  <c r="N2038" i="2" s="1"/>
  <c r="H2037" i="2"/>
  <c r="M2037" i="2" s="1"/>
  <c r="N2037" i="2" s="1"/>
  <c r="H2036" i="2"/>
  <c r="M2036" i="2" s="1"/>
  <c r="N2036" i="2" s="1"/>
  <c r="H2035" i="2"/>
  <c r="M2035" i="2" s="1"/>
  <c r="N2035" i="2" s="1"/>
  <c r="H2034" i="2"/>
  <c r="M2034" i="2" s="1"/>
  <c r="N2034" i="2" s="1"/>
  <c r="H2033" i="2"/>
  <c r="M2033" i="2" s="1"/>
  <c r="N2033" i="2" s="1"/>
  <c r="H2032" i="2"/>
  <c r="M2032" i="2" s="1"/>
  <c r="N2032" i="2" s="1"/>
  <c r="H2031" i="2"/>
  <c r="M2031" i="2" s="1"/>
  <c r="N2031" i="2" s="1"/>
  <c r="H2030" i="2"/>
  <c r="M2030" i="2" s="1"/>
  <c r="N2030" i="2" s="1"/>
  <c r="H2029" i="2"/>
  <c r="M2029" i="2" s="1"/>
  <c r="N2029" i="2" s="1"/>
  <c r="H2028" i="2"/>
  <c r="M2028" i="2" s="1"/>
  <c r="N2028" i="2" s="1"/>
  <c r="H2027" i="2"/>
  <c r="M2027" i="2" s="1"/>
  <c r="N2027" i="2" s="1"/>
  <c r="H2026" i="2"/>
  <c r="M2026" i="2" s="1"/>
  <c r="N2026" i="2" s="1"/>
  <c r="H2025" i="2"/>
  <c r="M2025" i="2" s="1"/>
  <c r="N2025" i="2" s="1"/>
  <c r="H2024" i="2"/>
  <c r="M2024" i="2" s="1"/>
  <c r="N2024" i="2" s="1"/>
  <c r="H2023" i="2"/>
  <c r="M2023" i="2" s="1"/>
  <c r="N2023" i="2" s="1"/>
  <c r="H2022" i="2"/>
  <c r="M2022" i="2" s="1"/>
  <c r="N2022" i="2" s="1"/>
  <c r="H2021" i="2"/>
  <c r="M2021" i="2" s="1"/>
  <c r="N2021" i="2" s="1"/>
  <c r="H2020" i="2"/>
  <c r="M2020" i="2" s="1"/>
  <c r="N2020" i="2" s="1"/>
  <c r="H2019" i="2"/>
  <c r="M2019" i="2" s="1"/>
  <c r="N2019" i="2" s="1"/>
  <c r="H2018" i="2"/>
  <c r="M2018" i="2" s="1"/>
  <c r="N2018" i="2" s="1"/>
  <c r="H2017" i="2"/>
  <c r="M2017" i="2" s="1"/>
  <c r="N2017" i="2" s="1"/>
  <c r="H2016" i="2"/>
  <c r="M2016" i="2" s="1"/>
  <c r="N2016" i="2" s="1"/>
  <c r="H2015" i="2"/>
  <c r="M2015" i="2" s="1"/>
  <c r="N2015" i="2" s="1"/>
  <c r="H2014" i="2"/>
  <c r="M2014" i="2" s="1"/>
  <c r="N2014" i="2" s="1"/>
  <c r="H2013" i="2"/>
  <c r="M2013" i="2" s="1"/>
  <c r="N2013" i="2" s="1"/>
  <c r="H2012" i="2"/>
  <c r="M2012" i="2" s="1"/>
  <c r="N2012" i="2" s="1"/>
  <c r="H2011" i="2"/>
  <c r="M2011" i="2" s="1"/>
  <c r="N2011" i="2" s="1"/>
  <c r="H2010" i="2"/>
  <c r="M2010" i="2" s="1"/>
  <c r="N2010" i="2" s="1"/>
  <c r="H2009" i="2"/>
  <c r="M2009" i="2" s="1"/>
  <c r="N2009" i="2" s="1"/>
  <c r="H2008" i="2"/>
  <c r="M2008" i="2" s="1"/>
  <c r="N2008" i="2" s="1"/>
  <c r="H2007" i="2"/>
  <c r="M2007" i="2" s="1"/>
  <c r="N2007" i="2" s="1"/>
  <c r="H2006" i="2"/>
  <c r="M2006" i="2" s="1"/>
  <c r="N2006" i="2" s="1"/>
  <c r="H2005" i="2"/>
  <c r="M2005" i="2" s="1"/>
  <c r="N2005" i="2" s="1"/>
  <c r="H2004" i="2"/>
  <c r="M2004" i="2" s="1"/>
  <c r="N2004" i="2" s="1"/>
  <c r="H2003" i="2"/>
  <c r="M2003" i="2" s="1"/>
  <c r="N2003" i="2" s="1"/>
  <c r="H2002" i="2"/>
  <c r="M2002" i="2" s="1"/>
  <c r="N2002" i="2" s="1"/>
  <c r="H2001" i="2"/>
  <c r="M2001" i="2" s="1"/>
  <c r="N2001" i="2" s="1"/>
  <c r="H2000" i="2"/>
  <c r="M2000" i="2" s="1"/>
  <c r="N2000" i="2" s="1"/>
  <c r="H1999" i="2"/>
  <c r="M1999" i="2" s="1"/>
  <c r="N1999" i="2" s="1"/>
  <c r="H1998" i="2"/>
  <c r="M1998" i="2" s="1"/>
  <c r="N1998" i="2" s="1"/>
  <c r="H1997" i="2"/>
  <c r="M1997" i="2" s="1"/>
  <c r="N1997" i="2" s="1"/>
  <c r="H1996" i="2"/>
  <c r="M1996" i="2" s="1"/>
  <c r="N1996" i="2" s="1"/>
  <c r="H1995" i="2"/>
  <c r="M1995" i="2" s="1"/>
  <c r="N1995" i="2" s="1"/>
  <c r="H1994" i="2"/>
  <c r="M1994" i="2" s="1"/>
  <c r="N1994" i="2" s="1"/>
  <c r="H1993" i="2"/>
  <c r="M1993" i="2" s="1"/>
  <c r="N1993" i="2" s="1"/>
  <c r="H1992" i="2"/>
  <c r="M1992" i="2" s="1"/>
  <c r="N1992" i="2" s="1"/>
  <c r="H1991" i="2"/>
  <c r="M1991" i="2" s="1"/>
  <c r="N1991" i="2" s="1"/>
  <c r="H1990" i="2"/>
  <c r="M1990" i="2" s="1"/>
  <c r="N1990" i="2" s="1"/>
  <c r="H1989" i="2"/>
  <c r="M1989" i="2" s="1"/>
  <c r="N1989" i="2" s="1"/>
  <c r="H1988" i="2"/>
  <c r="M1988" i="2" s="1"/>
  <c r="N1988" i="2" s="1"/>
  <c r="H1987" i="2"/>
  <c r="M1987" i="2" s="1"/>
  <c r="N1987" i="2" s="1"/>
  <c r="H1986" i="2"/>
  <c r="M1986" i="2" s="1"/>
  <c r="N1986" i="2" s="1"/>
  <c r="H1985" i="2"/>
  <c r="M1985" i="2" s="1"/>
  <c r="N1985" i="2" s="1"/>
  <c r="H1984" i="2"/>
  <c r="M1984" i="2" s="1"/>
  <c r="N1984" i="2" s="1"/>
  <c r="H1983" i="2"/>
  <c r="M1983" i="2" s="1"/>
  <c r="N1983" i="2" s="1"/>
  <c r="H1982" i="2"/>
  <c r="M1982" i="2" s="1"/>
  <c r="N1982" i="2" s="1"/>
  <c r="H1981" i="2"/>
  <c r="M1981" i="2" s="1"/>
  <c r="N1981" i="2" s="1"/>
  <c r="H1980" i="2"/>
  <c r="M1980" i="2" s="1"/>
  <c r="N1980" i="2" s="1"/>
  <c r="H1979" i="2"/>
  <c r="M1979" i="2" s="1"/>
  <c r="N1979" i="2" s="1"/>
  <c r="H1978" i="2"/>
  <c r="M1978" i="2" s="1"/>
  <c r="N1978" i="2" s="1"/>
  <c r="H1977" i="2"/>
  <c r="M1977" i="2" s="1"/>
  <c r="N1977" i="2" s="1"/>
  <c r="H1976" i="2"/>
  <c r="M1976" i="2" s="1"/>
  <c r="N1976" i="2" s="1"/>
  <c r="H1975" i="2"/>
  <c r="M1975" i="2" s="1"/>
  <c r="N1975" i="2" s="1"/>
  <c r="H1974" i="2"/>
  <c r="M1974" i="2" s="1"/>
  <c r="N1974" i="2" s="1"/>
  <c r="H1973" i="2"/>
  <c r="M1973" i="2" s="1"/>
  <c r="N1973" i="2" s="1"/>
  <c r="H1972" i="2"/>
  <c r="M1972" i="2" s="1"/>
  <c r="N1972" i="2" s="1"/>
  <c r="H1971" i="2"/>
  <c r="M1971" i="2" s="1"/>
  <c r="N1971" i="2" s="1"/>
  <c r="H1970" i="2"/>
  <c r="M1970" i="2" s="1"/>
  <c r="N1970" i="2" s="1"/>
  <c r="H1969" i="2"/>
  <c r="M1969" i="2" s="1"/>
  <c r="N1969" i="2" s="1"/>
  <c r="H1968" i="2"/>
  <c r="M1968" i="2" s="1"/>
  <c r="N1968" i="2" s="1"/>
  <c r="H1967" i="2"/>
  <c r="M1967" i="2" s="1"/>
  <c r="N1967" i="2" s="1"/>
  <c r="H1966" i="2"/>
  <c r="M1966" i="2" s="1"/>
  <c r="N1966" i="2" s="1"/>
  <c r="H1965" i="2"/>
  <c r="M1965" i="2" s="1"/>
  <c r="N1965" i="2" s="1"/>
  <c r="H1964" i="2"/>
  <c r="M1964" i="2" s="1"/>
  <c r="N1964" i="2" s="1"/>
  <c r="H1963" i="2"/>
  <c r="M1963" i="2" s="1"/>
  <c r="N1963" i="2" s="1"/>
  <c r="H1962" i="2"/>
  <c r="M1962" i="2" s="1"/>
  <c r="N1962" i="2" s="1"/>
  <c r="H1961" i="2"/>
  <c r="M1961" i="2" s="1"/>
  <c r="N1961" i="2" s="1"/>
  <c r="H1960" i="2"/>
  <c r="M1960" i="2" s="1"/>
  <c r="N1960" i="2" s="1"/>
  <c r="H1959" i="2"/>
  <c r="M1959" i="2" s="1"/>
  <c r="N1959" i="2" s="1"/>
  <c r="H1958" i="2"/>
  <c r="M1958" i="2" s="1"/>
  <c r="N1958" i="2" s="1"/>
  <c r="H1957" i="2"/>
  <c r="M1957" i="2" s="1"/>
  <c r="N1957" i="2" s="1"/>
  <c r="H1956" i="2"/>
  <c r="M1956" i="2" s="1"/>
  <c r="N1956" i="2" s="1"/>
  <c r="H1955" i="2"/>
  <c r="M1955" i="2" s="1"/>
  <c r="N1955" i="2" s="1"/>
  <c r="H1954" i="2"/>
  <c r="M1954" i="2" s="1"/>
  <c r="N1954" i="2" s="1"/>
  <c r="H1953" i="2"/>
  <c r="M1953" i="2" s="1"/>
  <c r="N1953" i="2" s="1"/>
  <c r="H1852" i="2"/>
  <c r="M1852" i="2" s="1"/>
  <c r="N1852" i="2" s="1"/>
  <c r="H1850" i="2"/>
  <c r="M1850" i="2" s="1"/>
  <c r="N1850" i="2" s="1"/>
  <c r="H1808" i="2"/>
  <c r="M1808" i="2" s="1"/>
  <c r="N1808" i="2" s="1"/>
  <c r="H1804" i="2"/>
  <c r="M1804" i="2" s="1"/>
  <c r="N1804" i="2" s="1"/>
  <c r="H1796" i="2"/>
  <c r="M1796" i="2" s="1"/>
  <c r="N1796" i="2" s="1"/>
  <c r="H1795" i="2"/>
  <c r="M1795" i="2" s="1"/>
  <c r="N1795" i="2" s="1"/>
  <c r="H1791" i="2"/>
  <c r="M1791" i="2" s="1"/>
  <c r="N1791" i="2" s="1"/>
  <c r="H1789" i="2"/>
  <c r="M1789" i="2" s="1"/>
  <c r="N1789" i="2" s="1"/>
  <c r="H1781" i="2"/>
  <c r="M1781" i="2" s="1"/>
  <c r="N1781" i="2" s="1"/>
  <c r="H1779" i="2"/>
  <c r="M1779" i="2" s="1"/>
  <c r="N1779" i="2" s="1"/>
  <c r="H1774" i="2"/>
  <c r="M1774" i="2" s="1"/>
  <c r="N1774" i="2" s="1"/>
  <c r="H1772" i="2"/>
  <c r="M1772" i="2" s="1"/>
  <c r="N1772" i="2" s="1"/>
  <c r="H1763" i="2"/>
  <c r="M1763" i="2" s="1"/>
  <c r="N1763" i="2" s="1"/>
  <c r="H1755" i="2"/>
  <c r="M1755" i="2" s="1"/>
  <c r="N1755" i="2" s="1"/>
  <c r="H1750" i="2"/>
  <c r="M1750" i="2" s="1"/>
  <c r="N1750" i="2" s="1"/>
  <c r="H1749" i="2"/>
  <c r="M1749" i="2" s="1"/>
  <c r="N1749" i="2" s="1"/>
  <c r="H1690" i="2"/>
  <c r="M1690" i="2" s="1"/>
  <c r="N1690" i="2" s="1"/>
  <c r="H1688" i="2"/>
  <c r="M1688" i="2" s="1"/>
  <c r="N1688" i="2" s="1"/>
  <c r="H1684" i="2"/>
  <c r="M1684" i="2" s="1"/>
  <c r="N1684" i="2" s="1"/>
  <c r="H1680" i="2"/>
  <c r="M1680" i="2" s="1"/>
  <c r="N1680" i="2" s="1"/>
  <c r="H1678" i="2"/>
  <c r="M1678" i="2" s="1"/>
  <c r="N1678" i="2" s="1"/>
  <c r="H1676" i="2"/>
  <c r="M1676" i="2" s="1"/>
  <c r="N1676" i="2" s="1"/>
  <c r="H1671" i="2"/>
  <c r="M1671" i="2" s="1"/>
  <c r="N1671" i="2" s="1"/>
  <c r="H1663" i="2"/>
  <c r="M1663" i="2" s="1"/>
  <c r="N1663" i="2" s="1"/>
  <c r="H1660" i="2"/>
  <c r="M1660" i="2" s="1"/>
  <c r="N1660" i="2" s="1"/>
  <c r="H1658" i="2"/>
  <c r="M1658" i="2" s="1"/>
  <c r="N1658" i="2" s="1"/>
  <c r="H1652" i="2"/>
  <c r="M1652" i="2" s="1"/>
  <c r="N1652" i="2" s="1"/>
  <c r="H1648" i="2"/>
  <c r="M1648" i="2" s="1"/>
  <c r="N1648" i="2" s="1"/>
  <c r="H1591" i="2"/>
  <c r="M1591" i="2" s="1"/>
  <c r="N1591" i="2" s="1"/>
  <c r="H1585" i="2"/>
  <c r="M1585" i="2" s="1"/>
  <c r="N1585" i="2" s="1"/>
  <c r="H1583" i="2"/>
  <c r="M1583" i="2" s="1"/>
  <c r="N1583" i="2" s="1"/>
  <c r="H1581" i="2"/>
  <c r="M1581" i="2" s="1"/>
  <c r="N1581" i="2" s="1"/>
  <c r="H1579" i="2"/>
  <c r="M1579" i="2" s="1"/>
  <c r="N1579" i="2" s="1"/>
  <c r="H1573" i="2"/>
  <c r="M1573" i="2" s="1"/>
  <c r="N1573" i="2" s="1"/>
  <c r="H1568" i="2"/>
  <c r="M1568" i="2" s="1"/>
  <c r="N1568" i="2" s="1"/>
  <c r="H1553" i="2"/>
  <c r="M1553" i="2" s="1"/>
  <c r="N1553" i="2" s="1"/>
  <c r="H1546" i="2"/>
  <c r="M1546" i="2" s="1"/>
  <c r="N1546" i="2" s="1"/>
  <c r="H1443" i="2"/>
  <c r="M1443" i="2" s="1"/>
  <c r="N1443" i="2" s="1"/>
  <c r="H1270" i="2"/>
  <c r="M1270" i="2" s="1"/>
  <c r="N1270" i="2" s="1"/>
  <c r="H1267" i="2"/>
  <c r="M1267" i="2" s="1"/>
  <c r="N1267" i="2" s="1"/>
  <c r="H1259" i="2"/>
  <c r="M1259" i="2" s="1"/>
  <c r="N1259" i="2" s="1"/>
  <c r="H1245" i="2"/>
  <c r="M1245" i="2" s="1"/>
  <c r="N1245" i="2" s="1"/>
  <c r="H1952" i="2"/>
  <c r="M1952" i="2" s="1"/>
  <c r="N1952" i="2" s="1"/>
  <c r="H1951" i="2"/>
  <c r="M1951" i="2" s="1"/>
  <c r="N1951" i="2" s="1"/>
  <c r="H1950" i="2"/>
  <c r="M1950" i="2" s="1"/>
  <c r="N1950" i="2" s="1"/>
  <c r="H1949" i="2"/>
  <c r="M1949" i="2" s="1"/>
  <c r="N1949" i="2" s="1"/>
  <c r="H1948" i="2"/>
  <c r="M1948" i="2" s="1"/>
  <c r="N1948" i="2" s="1"/>
  <c r="H1947" i="2"/>
  <c r="M1947" i="2" s="1"/>
  <c r="N1947" i="2" s="1"/>
  <c r="H1946" i="2"/>
  <c r="M1946" i="2" s="1"/>
  <c r="N1946" i="2" s="1"/>
  <c r="H1945" i="2"/>
  <c r="M1945" i="2" s="1"/>
  <c r="N1945" i="2" s="1"/>
  <c r="H1944" i="2"/>
  <c r="M1944" i="2" s="1"/>
  <c r="N1944" i="2" s="1"/>
  <c r="H1943" i="2"/>
  <c r="M1943" i="2" s="1"/>
  <c r="N1943" i="2" s="1"/>
  <c r="H1942" i="2"/>
  <c r="M1942" i="2" s="1"/>
  <c r="N1942" i="2" s="1"/>
  <c r="H1941" i="2"/>
  <c r="M1941" i="2" s="1"/>
  <c r="N1941" i="2" s="1"/>
  <c r="H1940" i="2"/>
  <c r="M1940" i="2" s="1"/>
  <c r="N1940" i="2" s="1"/>
  <c r="H1939" i="2"/>
  <c r="M1939" i="2" s="1"/>
  <c r="N1939" i="2" s="1"/>
  <c r="H1938" i="2"/>
  <c r="M1938" i="2" s="1"/>
  <c r="N1938" i="2" s="1"/>
  <c r="H1937" i="2"/>
  <c r="M1937" i="2" s="1"/>
  <c r="N1937" i="2" s="1"/>
  <c r="H1936" i="2"/>
  <c r="M1936" i="2" s="1"/>
  <c r="N1936" i="2" s="1"/>
  <c r="H1935" i="2"/>
  <c r="M1935" i="2" s="1"/>
  <c r="N1935" i="2" s="1"/>
  <c r="H1934" i="2"/>
  <c r="M1934" i="2" s="1"/>
  <c r="N1934" i="2" s="1"/>
  <c r="H1933" i="2"/>
  <c r="M1933" i="2" s="1"/>
  <c r="N1933" i="2" s="1"/>
  <c r="H1932" i="2"/>
  <c r="M1932" i="2" s="1"/>
  <c r="N1932" i="2" s="1"/>
  <c r="H1931" i="2"/>
  <c r="M1931" i="2" s="1"/>
  <c r="N1931" i="2" s="1"/>
  <c r="H1930" i="2"/>
  <c r="M1930" i="2" s="1"/>
  <c r="N1930" i="2" s="1"/>
  <c r="H1929" i="2"/>
  <c r="M1929" i="2" s="1"/>
  <c r="N1929" i="2" s="1"/>
  <c r="H1928" i="2"/>
  <c r="M1928" i="2" s="1"/>
  <c r="N1928" i="2" s="1"/>
  <c r="H1927" i="2"/>
  <c r="M1927" i="2" s="1"/>
  <c r="N1927" i="2" s="1"/>
  <c r="H1926" i="2"/>
  <c r="M1926" i="2" s="1"/>
  <c r="N1926" i="2" s="1"/>
  <c r="H1925" i="2"/>
  <c r="M1925" i="2" s="1"/>
  <c r="N1925" i="2" s="1"/>
  <c r="H1924" i="2"/>
  <c r="M1924" i="2" s="1"/>
  <c r="N1924" i="2" s="1"/>
  <c r="H1923" i="2"/>
  <c r="M1923" i="2" s="1"/>
  <c r="N1923" i="2" s="1"/>
  <c r="H1922" i="2"/>
  <c r="M1922" i="2" s="1"/>
  <c r="N1922" i="2" s="1"/>
  <c r="H1921" i="2"/>
  <c r="M1921" i="2" s="1"/>
  <c r="N1921" i="2" s="1"/>
  <c r="H1920" i="2"/>
  <c r="M1920" i="2" s="1"/>
  <c r="N1920" i="2" s="1"/>
  <c r="H1919" i="2"/>
  <c r="M1919" i="2" s="1"/>
  <c r="N1919" i="2" s="1"/>
  <c r="H1918" i="2"/>
  <c r="M1918" i="2" s="1"/>
  <c r="N1918" i="2" s="1"/>
  <c r="H1917" i="2"/>
  <c r="M1917" i="2" s="1"/>
  <c r="N1917" i="2" s="1"/>
  <c r="H1916" i="2"/>
  <c r="M1916" i="2" s="1"/>
  <c r="N1916" i="2" s="1"/>
  <c r="H1915" i="2"/>
  <c r="M1915" i="2" s="1"/>
  <c r="N1915" i="2" s="1"/>
  <c r="H1914" i="2"/>
  <c r="M1914" i="2" s="1"/>
  <c r="N1914" i="2" s="1"/>
  <c r="H1913" i="2"/>
  <c r="M1913" i="2" s="1"/>
  <c r="N1913" i="2" s="1"/>
  <c r="H1912" i="2"/>
  <c r="M1912" i="2" s="1"/>
  <c r="N1912" i="2" s="1"/>
  <c r="H1911" i="2"/>
  <c r="M1911" i="2" s="1"/>
  <c r="N1911" i="2" s="1"/>
  <c r="H1910" i="2"/>
  <c r="M1910" i="2" s="1"/>
  <c r="N1910" i="2" s="1"/>
  <c r="H1909" i="2"/>
  <c r="M1909" i="2" s="1"/>
  <c r="N1909" i="2" s="1"/>
  <c r="H1908" i="2"/>
  <c r="M1908" i="2" s="1"/>
  <c r="N1908" i="2" s="1"/>
  <c r="H1907" i="2"/>
  <c r="M1907" i="2" s="1"/>
  <c r="N1907" i="2" s="1"/>
  <c r="H1906" i="2"/>
  <c r="M1906" i="2" s="1"/>
  <c r="N1906" i="2" s="1"/>
  <c r="H1905" i="2"/>
  <c r="M1905" i="2" s="1"/>
  <c r="N1905" i="2" s="1"/>
  <c r="H1904" i="2"/>
  <c r="M1904" i="2" s="1"/>
  <c r="N1904" i="2" s="1"/>
  <c r="H1903" i="2"/>
  <c r="M1903" i="2" s="1"/>
  <c r="N1903" i="2" s="1"/>
  <c r="H1902" i="2"/>
  <c r="M1902" i="2" s="1"/>
  <c r="N1902" i="2" s="1"/>
  <c r="H1901" i="2"/>
  <c r="M1901" i="2" s="1"/>
  <c r="N1901" i="2" s="1"/>
  <c r="H1900" i="2"/>
  <c r="M1900" i="2" s="1"/>
  <c r="N1900" i="2" s="1"/>
  <c r="H1899" i="2"/>
  <c r="M1899" i="2" s="1"/>
  <c r="N1899" i="2" s="1"/>
  <c r="H1898" i="2"/>
  <c r="M1898" i="2" s="1"/>
  <c r="N1898" i="2" s="1"/>
  <c r="H1897" i="2"/>
  <c r="M1897" i="2" s="1"/>
  <c r="N1897" i="2" s="1"/>
  <c r="H1896" i="2"/>
  <c r="M1896" i="2" s="1"/>
  <c r="N1896" i="2" s="1"/>
  <c r="H1895" i="2"/>
  <c r="M1895" i="2" s="1"/>
  <c r="N1895" i="2" s="1"/>
  <c r="H1894" i="2"/>
  <c r="M1894" i="2" s="1"/>
  <c r="N1894" i="2" s="1"/>
  <c r="H1893" i="2"/>
  <c r="M1893" i="2" s="1"/>
  <c r="N1893" i="2" s="1"/>
  <c r="H1892" i="2"/>
  <c r="M1892" i="2" s="1"/>
  <c r="N1892" i="2" s="1"/>
  <c r="H1891" i="2"/>
  <c r="M1891" i="2" s="1"/>
  <c r="N1891" i="2" s="1"/>
  <c r="H1890" i="2"/>
  <c r="M1890" i="2" s="1"/>
  <c r="N1890" i="2" s="1"/>
  <c r="H1889" i="2"/>
  <c r="M1889" i="2" s="1"/>
  <c r="N1889" i="2" s="1"/>
  <c r="H1888" i="2"/>
  <c r="M1888" i="2" s="1"/>
  <c r="N1888" i="2" s="1"/>
  <c r="H1887" i="2"/>
  <c r="M1887" i="2" s="1"/>
  <c r="N1887" i="2" s="1"/>
  <c r="H1886" i="2"/>
  <c r="M1886" i="2" s="1"/>
  <c r="N1886" i="2" s="1"/>
  <c r="H1885" i="2"/>
  <c r="M1885" i="2" s="1"/>
  <c r="N1885" i="2" s="1"/>
  <c r="H1884" i="2"/>
  <c r="M1884" i="2" s="1"/>
  <c r="N1884" i="2" s="1"/>
  <c r="H1883" i="2"/>
  <c r="M1883" i="2" s="1"/>
  <c r="N1883" i="2" s="1"/>
  <c r="H1882" i="2"/>
  <c r="M1882" i="2" s="1"/>
  <c r="N1882" i="2" s="1"/>
  <c r="H1881" i="2"/>
  <c r="M1881" i="2" s="1"/>
  <c r="N1881" i="2" s="1"/>
  <c r="H1880" i="2"/>
  <c r="M1880" i="2" s="1"/>
  <c r="N1880" i="2" s="1"/>
  <c r="H1879" i="2"/>
  <c r="M1879" i="2" s="1"/>
  <c r="N1879" i="2" s="1"/>
  <c r="H1878" i="2"/>
  <c r="M1878" i="2" s="1"/>
  <c r="N1878" i="2" s="1"/>
  <c r="H1877" i="2"/>
  <c r="M1877" i="2" s="1"/>
  <c r="N1877" i="2" s="1"/>
  <c r="H1876" i="2"/>
  <c r="M1876" i="2" s="1"/>
  <c r="N1876" i="2" s="1"/>
  <c r="H1875" i="2"/>
  <c r="M1875" i="2" s="1"/>
  <c r="N1875" i="2" s="1"/>
  <c r="H1874" i="2"/>
  <c r="M1874" i="2" s="1"/>
  <c r="N1874" i="2" s="1"/>
  <c r="H1873" i="2"/>
  <c r="M1873" i="2" s="1"/>
  <c r="N1873" i="2" s="1"/>
  <c r="H1872" i="2"/>
  <c r="M1872" i="2" s="1"/>
  <c r="N1872" i="2" s="1"/>
  <c r="H1871" i="2"/>
  <c r="M1871" i="2" s="1"/>
  <c r="N1871" i="2" s="1"/>
  <c r="H1870" i="2"/>
  <c r="M1870" i="2" s="1"/>
  <c r="N1870" i="2" s="1"/>
  <c r="H1869" i="2"/>
  <c r="M1869" i="2" s="1"/>
  <c r="N1869" i="2" s="1"/>
  <c r="H1868" i="2"/>
  <c r="M1868" i="2" s="1"/>
  <c r="N1868" i="2" s="1"/>
  <c r="H1867" i="2"/>
  <c r="M1867" i="2" s="1"/>
  <c r="N1867" i="2" s="1"/>
  <c r="H1866" i="2"/>
  <c r="M1866" i="2" s="1"/>
  <c r="N1866" i="2" s="1"/>
  <c r="H1865" i="2"/>
  <c r="M1865" i="2" s="1"/>
  <c r="N1865" i="2" s="1"/>
  <c r="H1864" i="2"/>
  <c r="M1864" i="2" s="1"/>
  <c r="N1864" i="2" s="1"/>
  <c r="H1863" i="2"/>
  <c r="M1863" i="2" s="1"/>
  <c r="N1863" i="2" s="1"/>
  <c r="H1862" i="2"/>
  <c r="M1862" i="2" s="1"/>
  <c r="N1862" i="2" s="1"/>
  <c r="H1861" i="2"/>
  <c r="M1861" i="2" s="1"/>
  <c r="N1861" i="2" s="1"/>
  <c r="H1860" i="2"/>
  <c r="M1860" i="2" s="1"/>
  <c r="N1860" i="2" s="1"/>
  <c r="H1859" i="2"/>
  <c r="M1859" i="2" s="1"/>
  <c r="N1859" i="2" s="1"/>
  <c r="H1858" i="2"/>
  <c r="M1858" i="2" s="1"/>
  <c r="N1858" i="2" s="1"/>
  <c r="H1857" i="2"/>
  <c r="M1857" i="2" s="1"/>
  <c r="N1857" i="2" s="1"/>
  <c r="H1856" i="2"/>
  <c r="M1856" i="2" s="1"/>
  <c r="N1856" i="2" s="1"/>
  <c r="H1855" i="2"/>
  <c r="M1855" i="2" s="1"/>
  <c r="N1855" i="2" s="1"/>
  <c r="H1854" i="2"/>
  <c r="M1854" i="2" s="1"/>
  <c r="N1854" i="2" s="1"/>
  <c r="H1853" i="2"/>
  <c r="M1853" i="2" s="1"/>
  <c r="N1853" i="2" s="1"/>
  <c r="H1851" i="2"/>
  <c r="M1851" i="2" s="1"/>
  <c r="N1851" i="2" s="1"/>
  <c r="H1810" i="2"/>
  <c r="M1810" i="2" s="1"/>
  <c r="N1810" i="2" s="1"/>
  <c r="H1806" i="2"/>
  <c r="M1806" i="2" s="1"/>
  <c r="N1806" i="2" s="1"/>
  <c r="H1803" i="2"/>
  <c r="M1803" i="2" s="1"/>
  <c r="N1803" i="2" s="1"/>
  <c r="H1802" i="2"/>
  <c r="M1802" i="2" s="1"/>
  <c r="N1802" i="2" s="1"/>
  <c r="H1801" i="2"/>
  <c r="M1801" i="2" s="1"/>
  <c r="N1801" i="2" s="1"/>
  <c r="H1798" i="2"/>
  <c r="M1798" i="2" s="1"/>
  <c r="N1798" i="2" s="1"/>
  <c r="H1794" i="2"/>
  <c r="M1794" i="2" s="1"/>
  <c r="N1794" i="2" s="1"/>
  <c r="H1792" i="2"/>
  <c r="M1792" i="2" s="1"/>
  <c r="N1792" i="2" s="1"/>
  <c r="H1788" i="2"/>
  <c r="M1788" i="2" s="1"/>
  <c r="N1788" i="2" s="1"/>
  <c r="H1787" i="2"/>
  <c r="M1787" i="2" s="1"/>
  <c r="N1787" i="2" s="1"/>
  <c r="H1783" i="2"/>
  <c r="M1783" i="2" s="1"/>
  <c r="N1783" i="2" s="1"/>
  <c r="H1773" i="2"/>
  <c r="M1773" i="2" s="1"/>
  <c r="N1773" i="2" s="1"/>
  <c r="H1771" i="2"/>
  <c r="M1771" i="2" s="1"/>
  <c r="N1771" i="2" s="1"/>
  <c r="H1770" i="2"/>
  <c r="M1770" i="2" s="1"/>
  <c r="N1770" i="2" s="1"/>
  <c r="H1759" i="2"/>
  <c r="M1759" i="2" s="1"/>
  <c r="N1759" i="2" s="1"/>
  <c r="H1757" i="2"/>
  <c r="M1757" i="2" s="1"/>
  <c r="N1757" i="2" s="1"/>
  <c r="H1756" i="2"/>
  <c r="M1756" i="2" s="1"/>
  <c r="N1756" i="2" s="1"/>
  <c r="H1754" i="2"/>
  <c r="M1754" i="2" s="1"/>
  <c r="N1754" i="2" s="1"/>
  <c r="H1752" i="2"/>
  <c r="M1752" i="2" s="1"/>
  <c r="N1752" i="2" s="1"/>
  <c r="H1751" i="2"/>
  <c r="M1751" i="2" s="1"/>
  <c r="N1751" i="2" s="1"/>
  <c r="H1698" i="2"/>
  <c r="M1698" i="2" s="1"/>
  <c r="N1698" i="2" s="1"/>
  <c r="H1689" i="2"/>
  <c r="M1689" i="2" s="1"/>
  <c r="N1689" i="2" s="1"/>
  <c r="H1687" i="2"/>
  <c r="M1687" i="2" s="1"/>
  <c r="N1687" i="2" s="1"/>
  <c r="H1669" i="2"/>
  <c r="M1669" i="2" s="1"/>
  <c r="N1669" i="2" s="1"/>
  <c r="H1667" i="2"/>
  <c r="M1667" i="2" s="1"/>
  <c r="N1667" i="2" s="1"/>
  <c r="H1657" i="2"/>
  <c r="M1657" i="2" s="1"/>
  <c r="N1657" i="2" s="1"/>
  <c r="H1649" i="2"/>
  <c r="M1649" i="2" s="1"/>
  <c r="N1649" i="2" s="1"/>
  <c r="H1592" i="2"/>
  <c r="M1592" i="2" s="1"/>
  <c r="N1592" i="2" s="1"/>
  <c r="H1577" i="2"/>
  <c r="M1577" i="2" s="1"/>
  <c r="N1577" i="2" s="1"/>
  <c r="H1571" i="2"/>
  <c r="M1571" i="2" s="1"/>
  <c r="N1571" i="2" s="1"/>
  <c r="H1566" i="2"/>
  <c r="M1566" i="2" s="1"/>
  <c r="N1566" i="2" s="1"/>
  <c r="H1564" i="2"/>
  <c r="M1564" i="2" s="1"/>
  <c r="N1564" i="2" s="1"/>
  <c r="H1561" i="2"/>
  <c r="M1561" i="2" s="1"/>
  <c r="N1561" i="2" s="1"/>
  <c r="H1554" i="2"/>
  <c r="M1554" i="2" s="1"/>
  <c r="N1554" i="2" s="1"/>
  <c r="H1552" i="2"/>
  <c r="M1552" i="2" s="1"/>
  <c r="N1552" i="2" s="1"/>
  <c r="H1551" i="2"/>
  <c r="M1551" i="2" s="1"/>
  <c r="N1551" i="2" s="1"/>
  <c r="H1344" i="2"/>
  <c r="M1344" i="2" s="1"/>
  <c r="N1344" i="2" s="1"/>
  <c r="H1262" i="2"/>
  <c r="M1262" i="2" s="1"/>
  <c r="N1262" i="2" s="1"/>
  <c r="H1255" i="2"/>
  <c r="M1255" i="2" s="1"/>
  <c r="N1255" i="2" s="1"/>
  <c r="H1243" i="2"/>
  <c r="M1243" i="2" s="1"/>
  <c r="N1243" i="2" s="1"/>
  <c r="H1849" i="2"/>
  <c r="M1849" i="2" s="1"/>
  <c r="N1849" i="2" s="1"/>
  <c r="H1848" i="2"/>
  <c r="M1848" i="2" s="1"/>
  <c r="N1848" i="2" s="1"/>
  <c r="H1847" i="2"/>
  <c r="M1847" i="2" s="1"/>
  <c r="N1847" i="2" s="1"/>
  <c r="H1846" i="2"/>
  <c r="M1846" i="2" s="1"/>
  <c r="N1846" i="2" s="1"/>
  <c r="H1845" i="2"/>
  <c r="M1845" i="2" s="1"/>
  <c r="N1845" i="2" s="1"/>
  <c r="H1844" i="2"/>
  <c r="M1844" i="2" s="1"/>
  <c r="N1844" i="2" s="1"/>
  <c r="H1843" i="2"/>
  <c r="M1843" i="2" s="1"/>
  <c r="N1843" i="2" s="1"/>
  <c r="H1842" i="2"/>
  <c r="M1842" i="2" s="1"/>
  <c r="N1842" i="2" s="1"/>
  <c r="H1841" i="2"/>
  <c r="M1841" i="2" s="1"/>
  <c r="N1841" i="2" s="1"/>
  <c r="H1840" i="2"/>
  <c r="M1840" i="2" s="1"/>
  <c r="N1840" i="2" s="1"/>
  <c r="H1839" i="2"/>
  <c r="M1839" i="2" s="1"/>
  <c r="N1839" i="2" s="1"/>
  <c r="H1838" i="2"/>
  <c r="M1838" i="2" s="1"/>
  <c r="N1838" i="2" s="1"/>
  <c r="H1837" i="2"/>
  <c r="M1837" i="2" s="1"/>
  <c r="N1837" i="2" s="1"/>
  <c r="H1836" i="2"/>
  <c r="M1836" i="2" s="1"/>
  <c r="N1836" i="2" s="1"/>
  <c r="H1835" i="2"/>
  <c r="M1835" i="2" s="1"/>
  <c r="N1835" i="2" s="1"/>
  <c r="H1834" i="2"/>
  <c r="M1834" i="2" s="1"/>
  <c r="N1834" i="2" s="1"/>
  <c r="H1833" i="2"/>
  <c r="M1833" i="2" s="1"/>
  <c r="N1833" i="2" s="1"/>
  <c r="H1832" i="2"/>
  <c r="M1832" i="2" s="1"/>
  <c r="N1832" i="2" s="1"/>
  <c r="H1831" i="2"/>
  <c r="M1831" i="2" s="1"/>
  <c r="N1831" i="2" s="1"/>
  <c r="H1830" i="2"/>
  <c r="M1830" i="2" s="1"/>
  <c r="N1830" i="2" s="1"/>
  <c r="H1829" i="2"/>
  <c r="M1829" i="2" s="1"/>
  <c r="N1829" i="2" s="1"/>
  <c r="H1828" i="2"/>
  <c r="M1828" i="2" s="1"/>
  <c r="N1828" i="2" s="1"/>
  <c r="H1827" i="2"/>
  <c r="M1827" i="2" s="1"/>
  <c r="N1827" i="2" s="1"/>
  <c r="H1826" i="2"/>
  <c r="M1826" i="2" s="1"/>
  <c r="N1826" i="2" s="1"/>
  <c r="H1825" i="2"/>
  <c r="M1825" i="2" s="1"/>
  <c r="N1825" i="2" s="1"/>
  <c r="H1824" i="2"/>
  <c r="M1824" i="2" s="1"/>
  <c r="N1824" i="2" s="1"/>
  <c r="H1823" i="2"/>
  <c r="M1823" i="2" s="1"/>
  <c r="N1823" i="2" s="1"/>
  <c r="H1822" i="2"/>
  <c r="M1822" i="2" s="1"/>
  <c r="N1822" i="2" s="1"/>
  <c r="H1821" i="2"/>
  <c r="M1821" i="2" s="1"/>
  <c r="N1821" i="2" s="1"/>
  <c r="H1820" i="2"/>
  <c r="M1820" i="2" s="1"/>
  <c r="N1820" i="2" s="1"/>
  <c r="H1819" i="2"/>
  <c r="M1819" i="2" s="1"/>
  <c r="N1819" i="2" s="1"/>
  <c r="H1818" i="2"/>
  <c r="M1818" i="2" s="1"/>
  <c r="N1818" i="2" s="1"/>
  <c r="H1817" i="2"/>
  <c r="M1817" i="2" s="1"/>
  <c r="N1817" i="2" s="1"/>
  <c r="H1816" i="2"/>
  <c r="M1816" i="2" s="1"/>
  <c r="N1816" i="2" s="1"/>
  <c r="H1815" i="2"/>
  <c r="M1815" i="2" s="1"/>
  <c r="N1815" i="2" s="1"/>
  <c r="H1814" i="2"/>
  <c r="M1814" i="2" s="1"/>
  <c r="N1814" i="2" s="1"/>
  <c r="H1813" i="2"/>
  <c r="M1813" i="2" s="1"/>
  <c r="N1813" i="2" s="1"/>
  <c r="H1812" i="2"/>
  <c r="M1812" i="2" s="1"/>
  <c r="N1812" i="2" s="1"/>
  <c r="H1811" i="2"/>
  <c r="M1811" i="2" s="1"/>
  <c r="N1811" i="2" s="1"/>
  <c r="H1809" i="2"/>
  <c r="M1809" i="2" s="1"/>
  <c r="N1809" i="2" s="1"/>
  <c r="H1807" i="2"/>
  <c r="M1807" i="2" s="1"/>
  <c r="N1807" i="2" s="1"/>
  <c r="H1805" i="2"/>
  <c r="M1805" i="2" s="1"/>
  <c r="N1805" i="2" s="1"/>
  <c r="H1784" i="2"/>
  <c r="M1784" i="2" s="1"/>
  <c r="N1784" i="2" s="1"/>
  <c r="H1780" i="2"/>
  <c r="M1780" i="2" s="1"/>
  <c r="N1780" i="2" s="1"/>
  <c r="H1777" i="2"/>
  <c r="M1777" i="2" s="1"/>
  <c r="N1777" i="2" s="1"/>
  <c r="H1767" i="2"/>
  <c r="M1767" i="2" s="1"/>
  <c r="N1767" i="2" s="1"/>
  <c r="H1674" i="2"/>
  <c r="M1674" i="2" s="1"/>
  <c r="N1674" i="2" s="1"/>
  <c r="H1670" i="2"/>
  <c r="M1670" i="2" s="1"/>
  <c r="N1670" i="2" s="1"/>
  <c r="H1662" i="2"/>
  <c r="M1662" i="2" s="1"/>
  <c r="N1662" i="2" s="1"/>
  <c r="H1659" i="2"/>
  <c r="M1659" i="2" s="1"/>
  <c r="N1659" i="2" s="1"/>
  <c r="H1549" i="2"/>
  <c r="M1549" i="2" s="1"/>
  <c r="N1549" i="2" s="1"/>
  <c r="H1263" i="2"/>
  <c r="M1263" i="2" s="1"/>
  <c r="N1263" i="2" s="1"/>
  <c r="H1244" i="2"/>
  <c r="M1244" i="2" s="1"/>
  <c r="N1244" i="2" s="1"/>
  <c r="H1748" i="2"/>
  <c r="M1748" i="2" s="1"/>
  <c r="N1748" i="2" s="1"/>
  <c r="H1747" i="2"/>
  <c r="M1747" i="2" s="1"/>
  <c r="N1747" i="2" s="1"/>
  <c r="H1746" i="2"/>
  <c r="M1746" i="2" s="1"/>
  <c r="N1746" i="2" s="1"/>
  <c r="H1745" i="2"/>
  <c r="M1745" i="2" s="1"/>
  <c r="N1745" i="2" s="1"/>
  <c r="H1744" i="2"/>
  <c r="M1744" i="2" s="1"/>
  <c r="N1744" i="2" s="1"/>
  <c r="H1743" i="2"/>
  <c r="M1743" i="2" s="1"/>
  <c r="N1743" i="2" s="1"/>
  <c r="H1742" i="2"/>
  <c r="M1742" i="2" s="1"/>
  <c r="N1742" i="2" s="1"/>
  <c r="H1741" i="2"/>
  <c r="M1741" i="2" s="1"/>
  <c r="N1741" i="2" s="1"/>
  <c r="H1740" i="2"/>
  <c r="M1740" i="2" s="1"/>
  <c r="N1740" i="2" s="1"/>
  <c r="H1739" i="2"/>
  <c r="M1739" i="2" s="1"/>
  <c r="N1739" i="2" s="1"/>
  <c r="H1738" i="2"/>
  <c r="M1738" i="2" s="1"/>
  <c r="N1738" i="2" s="1"/>
  <c r="H1737" i="2"/>
  <c r="M1737" i="2" s="1"/>
  <c r="N1737" i="2" s="1"/>
  <c r="H1736" i="2"/>
  <c r="M1736" i="2" s="1"/>
  <c r="N1736" i="2" s="1"/>
  <c r="H1735" i="2"/>
  <c r="M1735" i="2" s="1"/>
  <c r="N1735" i="2" s="1"/>
  <c r="H1734" i="2"/>
  <c r="M1734" i="2" s="1"/>
  <c r="N1734" i="2" s="1"/>
  <c r="H1733" i="2"/>
  <c r="M1733" i="2" s="1"/>
  <c r="N1733" i="2" s="1"/>
  <c r="H1732" i="2"/>
  <c r="M1732" i="2" s="1"/>
  <c r="N1732" i="2" s="1"/>
  <c r="H1731" i="2"/>
  <c r="M1731" i="2" s="1"/>
  <c r="N1731" i="2" s="1"/>
  <c r="H1730" i="2"/>
  <c r="M1730" i="2" s="1"/>
  <c r="N1730" i="2" s="1"/>
  <c r="H1729" i="2"/>
  <c r="M1729" i="2" s="1"/>
  <c r="N1729" i="2" s="1"/>
  <c r="H1728" i="2"/>
  <c r="M1728" i="2" s="1"/>
  <c r="N1728" i="2" s="1"/>
  <c r="H1727" i="2"/>
  <c r="M1727" i="2" s="1"/>
  <c r="N1727" i="2" s="1"/>
  <c r="H1726" i="2"/>
  <c r="M1726" i="2" s="1"/>
  <c r="N1726" i="2" s="1"/>
  <c r="H1725" i="2"/>
  <c r="M1725" i="2" s="1"/>
  <c r="N1725" i="2" s="1"/>
  <c r="H1724" i="2"/>
  <c r="M1724" i="2" s="1"/>
  <c r="N1724" i="2" s="1"/>
  <c r="H1723" i="2"/>
  <c r="M1723" i="2" s="1"/>
  <c r="N1723" i="2" s="1"/>
  <c r="H1722" i="2"/>
  <c r="M1722" i="2" s="1"/>
  <c r="N1722" i="2" s="1"/>
  <c r="H1721" i="2"/>
  <c r="M1721" i="2" s="1"/>
  <c r="N1721" i="2" s="1"/>
  <c r="H1720" i="2"/>
  <c r="M1720" i="2" s="1"/>
  <c r="N1720" i="2" s="1"/>
  <c r="H1719" i="2"/>
  <c r="M1719" i="2" s="1"/>
  <c r="N1719" i="2" s="1"/>
  <c r="H1718" i="2"/>
  <c r="M1718" i="2" s="1"/>
  <c r="N1718" i="2" s="1"/>
  <c r="H1717" i="2"/>
  <c r="M1717" i="2" s="1"/>
  <c r="N1717" i="2" s="1"/>
  <c r="H1716" i="2"/>
  <c r="M1716" i="2" s="1"/>
  <c r="N1716" i="2" s="1"/>
  <c r="H1715" i="2"/>
  <c r="M1715" i="2" s="1"/>
  <c r="N1715" i="2" s="1"/>
  <c r="H1714" i="2"/>
  <c r="M1714" i="2" s="1"/>
  <c r="N1714" i="2" s="1"/>
  <c r="H1713" i="2"/>
  <c r="M1713" i="2" s="1"/>
  <c r="N1713" i="2" s="1"/>
  <c r="H1712" i="2"/>
  <c r="M1712" i="2" s="1"/>
  <c r="N1712" i="2" s="1"/>
  <c r="H1711" i="2"/>
  <c r="M1711" i="2" s="1"/>
  <c r="N1711" i="2" s="1"/>
  <c r="H1710" i="2"/>
  <c r="M1710" i="2" s="1"/>
  <c r="N1710" i="2" s="1"/>
  <c r="H1709" i="2"/>
  <c r="M1709" i="2" s="1"/>
  <c r="N1709" i="2" s="1"/>
  <c r="H1708" i="2"/>
  <c r="M1708" i="2" s="1"/>
  <c r="N1708" i="2" s="1"/>
  <c r="H1707" i="2"/>
  <c r="M1707" i="2" s="1"/>
  <c r="N1707" i="2" s="1"/>
  <c r="H1706" i="2"/>
  <c r="M1706" i="2" s="1"/>
  <c r="N1706" i="2" s="1"/>
  <c r="H1705" i="2"/>
  <c r="M1705" i="2" s="1"/>
  <c r="N1705" i="2" s="1"/>
  <c r="H1704" i="2"/>
  <c r="M1704" i="2" s="1"/>
  <c r="N1704" i="2" s="1"/>
  <c r="H1703" i="2"/>
  <c r="M1703" i="2" s="1"/>
  <c r="N1703" i="2" s="1"/>
  <c r="H1702" i="2"/>
  <c r="M1702" i="2" s="1"/>
  <c r="N1702" i="2" s="1"/>
  <c r="H1701" i="2"/>
  <c r="M1701" i="2" s="1"/>
  <c r="N1701" i="2" s="1"/>
  <c r="H1700" i="2"/>
  <c r="M1700" i="2" s="1"/>
  <c r="N1700" i="2" s="1"/>
  <c r="H1697" i="2"/>
  <c r="M1697" i="2" s="1"/>
  <c r="N1697" i="2" s="1"/>
  <c r="H1694" i="2"/>
  <c r="M1694" i="2" s="1"/>
  <c r="N1694" i="2" s="1"/>
  <c r="H1683" i="2"/>
  <c r="M1683" i="2" s="1"/>
  <c r="N1683" i="2" s="1"/>
  <c r="H1679" i="2"/>
  <c r="M1679" i="2" s="1"/>
  <c r="N1679" i="2" s="1"/>
  <c r="H1668" i="2"/>
  <c r="M1668" i="2" s="1"/>
  <c r="N1668" i="2" s="1"/>
  <c r="H1664" i="2"/>
  <c r="M1664" i="2" s="1"/>
  <c r="N1664" i="2" s="1"/>
  <c r="H1587" i="2"/>
  <c r="M1587" i="2" s="1"/>
  <c r="N1587" i="2" s="1"/>
  <c r="H1582" i="2"/>
  <c r="M1582" i="2" s="1"/>
  <c r="N1582" i="2" s="1"/>
  <c r="H1563" i="2"/>
  <c r="M1563" i="2" s="1"/>
  <c r="N1563" i="2" s="1"/>
  <c r="H1559" i="2"/>
  <c r="M1559" i="2" s="1"/>
  <c r="N1559" i="2" s="1"/>
  <c r="H1556" i="2"/>
  <c r="M1556" i="2" s="1"/>
  <c r="N1556" i="2" s="1"/>
  <c r="H1252" i="2"/>
  <c r="M1252" i="2" s="1"/>
  <c r="N1252" i="2" s="1"/>
  <c r="H1248" i="2"/>
  <c r="M1248" i="2" s="1"/>
  <c r="N1248" i="2" s="1"/>
  <c r="H1647" i="2"/>
  <c r="M1647" i="2" s="1"/>
  <c r="N1647" i="2" s="1"/>
  <c r="H1646" i="2"/>
  <c r="M1646" i="2" s="1"/>
  <c r="N1646" i="2" s="1"/>
  <c r="H1645" i="2"/>
  <c r="M1645" i="2" s="1"/>
  <c r="N1645" i="2" s="1"/>
  <c r="H1644" i="2"/>
  <c r="M1644" i="2" s="1"/>
  <c r="N1644" i="2" s="1"/>
  <c r="H1643" i="2"/>
  <c r="M1643" i="2" s="1"/>
  <c r="N1643" i="2" s="1"/>
  <c r="H1642" i="2"/>
  <c r="M1642" i="2" s="1"/>
  <c r="N1642" i="2" s="1"/>
  <c r="H1641" i="2"/>
  <c r="M1641" i="2" s="1"/>
  <c r="N1641" i="2" s="1"/>
  <c r="H1640" i="2"/>
  <c r="M1640" i="2" s="1"/>
  <c r="N1640" i="2" s="1"/>
  <c r="H1639" i="2"/>
  <c r="M1639" i="2" s="1"/>
  <c r="N1639" i="2" s="1"/>
  <c r="H1638" i="2"/>
  <c r="M1638" i="2" s="1"/>
  <c r="N1638" i="2" s="1"/>
  <c r="H1637" i="2"/>
  <c r="M1637" i="2" s="1"/>
  <c r="N1637" i="2" s="1"/>
  <c r="H1636" i="2"/>
  <c r="M1636" i="2" s="1"/>
  <c r="N1636" i="2" s="1"/>
  <c r="H1635" i="2"/>
  <c r="M1635" i="2" s="1"/>
  <c r="N1635" i="2" s="1"/>
  <c r="H1634" i="2"/>
  <c r="M1634" i="2" s="1"/>
  <c r="N1634" i="2" s="1"/>
  <c r="H1633" i="2"/>
  <c r="M1633" i="2" s="1"/>
  <c r="N1633" i="2" s="1"/>
  <c r="H1632" i="2"/>
  <c r="M1632" i="2" s="1"/>
  <c r="N1632" i="2" s="1"/>
  <c r="H1631" i="2"/>
  <c r="M1631" i="2" s="1"/>
  <c r="N1631" i="2" s="1"/>
  <c r="H1630" i="2"/>
  <c r="M1630" i="2" s="1"/>
  <c r="N1630" i="2" s="1"/>
  <c r="H1629" i="2"/>
  <c r="M1629" i="2" s="1"/>
  <c r="N1629" i="2" s="1"/>
  <c r="H1628" i="2"/>
  <c r="M1628" i="2" s="1"/>
  <c r="N1628" i="2" s="1"/>
  <c r="H1627" i="2"/>
  <c r="M1627" i="2" s="1"/>
  <c r="N1627" i="2" s="1"/>
  <c r="H1626" i="2"/>
  <c r="M1626" i="2" s="1"/>
  <c r="N1626" i="2" s="1"/>
  <c r="H1625" i="2"/>
  <c r="M1625" i="2" s="1"/>
  <c r="N1625" i="2" s="1"/>
  <c r="H1624" i="2"/>
  <c r="M1624" i="2" s="1"/>
  <c r="N1624" i="2" s="1"/>
  <c r="H1623" i="2"/>
  <c r="M1623" i="2" s="1"/>
  <c r="N1623" i="2" s="1"/>
  <c r="H1622" i="2"/>
  <c r="M1622" i="2" s="1"/>
  <c r="N1622" i="2" s="1"/>
  <c r="H1621" i="2"/>
  <c r="M1621" i="2" s="1"/>
  <c r="N1621" i="2" s="1"/>
  <c r="H1620" i="2"/>
  <c r="M1620" i="2" s="1"/>
  <c r="N1620" i="2" s="1"/>
  <c r="H1619" i="2"/>
  <c r="M1619" i="2" s="1"/>
  <c r="N1619" i="2" s="1"/>
  <c r="H1618" i="2"/>
  <c r="M1618" i="2" s="1"/>
  <c r="N1618" i="2" s="1"/>
  <c r="H1617" i="2"/>
  <c r="M1617" i="2" s="1"/>
  <c r="N1617" i="2" s="1"/>
  <c r="H1616" i="2"/>
  <c r="M1616" i="2" s="1"/>
  <c r="N1616" i="2" s="1"/>
  <c r="H1615" i="2"/>
  <c r="M1615" i="2" s="1"/>
  <c r="N1615" i="2" s="1"/>
  <c r="H1614" i="2"/>
  <c r="M1614" i="2" s="1"/>
  <c r="N1614" i="2" s="1"/>
  <c r="H1613" i="2"/>
  <c r="M1613" i="2" s="1"/>
  <c r="N1613" i="2" s="1"/>
  <c r="H1612" i="2"/>
  <c r="M1612" i="2" s="1"/>
  <c r="N1612" i="2" s="1"/>
  <c r="H1611" i="2"/>
  <c r="M1611" i="2" s="1"/>
  <c r="N1611" i="2" s="1"/>
  <c r="H1610" i="2"/>
  <c r="M1610" i="2" s="1"/>
  <c r="N1610" i="2" s="1"/>
  <c r="H1609" i="2"/>
  <c r="M1609" i="2" s="1"/>
  <c r="N1609" i="2" s="1"/>
  <c r="H1608" i="2"/>
  <c r="M1608" i="2" s="1"/>
  <c r="N1608" i="2" s="1"/>
  <c r="H1607" i="2"/>
  <c r="M1607" i="2" s="1"/>
  <c r="N1607" i="2" s="1"/>
  <c r="H1606" i="2"/>
  <c r="M1606" i="2" s="1"/>
  <c r="N1606" i="2" s="1"/>
  <c r="H1605" i="2"/>
  <c r="M1605" i="2" s="1"/>
  <c r="N1605" i="2" s="1"/>
  <c r="H1604" i="2"/>
  <c r="M1604" i="2" s="1"/>
  <c r="N1604" i="2" s="1"/>
  <c r="H1603" i="2"/>
  <c r="M1603" i="2" s="1"/>
  <c r="N1603" i="2" s="1"/>
  <c r="H1602" i="2"/>
  <c r="M1602" i="2" s="1"/>
  <c r="N1602" i="2" s="1"/>
  <c r="H1601" i="2"/>
  <c r="M1601" i="2" s="1"/>
  <c r="N1601" i="2" s="1"/>
  <c r="H1600" i="2"/>
  <c r="M1600" i="2" s="1"/>
  <c r="N1600" i="2" s="1"/>
  <c r="H1599" i="2"/>
  <c r="M1599" i="2" s="1"/>
  <c r="N1599" i="2" s="1"/>
  <c r="H1598" i="2"/>
  <c r="M1598" i="2" s="1"/>
  <c r="N1598" i="2" s="1"/>
  <c r="H1597" i="2"/>
  <c r="M1597" i="2" s="1"/>
  <c r="N1597" i="2" s="1"/>
  <c r="H1596" i="2"/>
  <c r="M1596" i="2" s="1"/>
  <c r="N1596" i="2" s="1"/>
  <c r="H1595" i="2"/>
  <c r="M1595" i="2" s="1"/>
  <c r="N1595" i="2" s="1"/>
  <c r="H1594" i="2"/>
  <c r="M1594" i="2" s="1"/>
  <c r="N1594" i="2" s="1"/>
  <c r="H1593" i="2"/>
  <c r="M1593" i="2" s="1"/>
  <c r="N1593" i="2" s="1"/>
  <c r="H1590" i="2"/>
  <c r="M1590" i="2" s="1"/>
  <c r="N1590" i="2" s="1"/>
  <c r="H1580" i="2"/>
  <c r="M1580" i="2" s="1"/>
  <c r="N1580" i="2" s="1"/>
  <c r="H1558" i="2"/>
  <c r="M1558" i="2" s="1"/>
  <c r="N1558" i="2" s="1"/>
  <c r="H1550" i="2"/>
  <c r="M1550" i="2" s="1"/>
  <c r="N1550" i="2" s="1"/>
  <c r="H1548" i="2"/>
  <c r="M1548" i="2" s="1"/>
  <c r="N1548" i="2" s="1"/>
  <c r="H1240" i="2"/>
  <c r="M1240" i="2" s="1"/>
  <c r="N1240" i="2" s="1"/>
  <c r="H1545" i="2"/>
  <c r="M1545" i="2" s="1"/>
  <c r="N1545" i="2" s="1"/>
  <c r="H1544" i="2"/>
  <c r="M1544" i="2" s="1"/>
  <c r="N1544" i="2" s="1"/>
  <c r="H1543" i="2"/>
  <c r="M1543" i="2" s="1"/>
  <c r="N1543" i="2" s="1"/>
  <c r="H1542" i="2"/>
  <c r="M1542" i="2" s="1"/>
  <c r="N1542" i="2" s="1"/>
  <c r="H1541" i="2"/>
  <c r="M1541" i="2" s="1"/>
  <c r="N1541" i="2" s="1"/>
  <c r="H1540" i="2"/>
  <c r="M1540" i="2" s="1"/>
  <c r="N1540" i="2" s="1"/>
  <c r="H1539" i="2"/>
  <c r="M1539" i="2" s="1"/>
  <c r="N1539" i="2" s="1"/>
  <c r="H1538" i="2"/>
  <c r="M1538" i="2" s="1"/>
  <c r="N1538" i="2" s="1"/>
  <c r="H1537" i="2"/>
  <c r="M1537" i="2" s="1"/>
  <c r="N1537" i="2" s="1"/>
  <c r="H1536" i="2"/>
  <c r="M1536" i="2" s="1"/>
  <c r="N1536" i="2" s="1"/>
  <c r="H1535" i="2"/>
  <c r="M1535" i="2" s="1"/>
  <c r="N1535" i="2" s="1"/>
  <c r="H1534" i="2"/>
  <c r="M1534" i="2" s="1"/>
  <c r="N1534" i="2" s="1"/>
  <c r="H1533" i="2"/>
  <c r="M1533" i="2" s="1"/>
  <c r="N1533" i="2" s="1"/>
  <c r="H1532" i="2"/>
  <c r="M1532" i="2" s="1"/>
  <c r="N1532" i="2" s="1"/>
  <c r="H1531" i="2"/>
  <c r="M1531" i="2" s="1"/>
  <c r="N1531" i="2" s="1"/>
  <c r="H1530" i="2"/>
  <c r="M1530" i="2" s="1"/>
  <c r="N1530" i="2" s="1"/>
  <c r="H1529" i="2"/>
  <c r="M1529" i="2" s="1"/>
  <c r="N1529" i="2" s="1"/>
  <c r="H1528" i="2"/>
  <c r="M1528" i="2" s="1"/>
  <c r="N1528" i="2" s="1"/>
  <c r="H1527" i="2"/>
  <c r="M1527" i="2" s="1"/>
  <c r="N1527" i="2" s="1"/>
  <c r="H1526" i="2"/>
  <c r="M1526" i="2" s="1"/>
  <c r="N1526" i="2" s="1"/>
  <c r="H1525" i="2"/>
  <c r="M1525" i="2" s="1"/>
  <c r="N1525" i="2" s="1"/>
  <c r="H1524" i="2"/>
  <c r="M1524" i="2" s="1"/>
  <c r="N1524" i="2" s="1"/>
  <c r="H1523" i="2"/>
  <c r="M1523" i="2" s="1"/>
  <c r="N1523" i="2" s="1"/>
  <c r="H1522" i="2"/>
  <c r="M1522" i="2" s="1"/>
  <c r="N1522" i="2" s="1"/>
  <c r="H1521" i="2"/>
  <c r="M1521" i="2" s="1"/>
  <c r="N1521" i="2" s="1"/>
  <c r="H1520" i="2"/>
  <c r="M1520" i="2" s="1"/>
  <c r="N1520" i="2" s="1"/>
  <c r="H1519" i="2"/>
  <c r="M1519" i="2" s="1"/>
  <c r="N1519" i="2" s="1"/>
  <c r="H1518" i="2"/>
  <c r="M1518" i="2" s="1"/>
  <c r="N1518" i="2" s="1"/>
  <c r="H1517" i="2"/>
  <c r="M1517" i="2" s="1"/>
  <c r="N1517" i="2" s="1"/>
  <c r="H1516" i="2"/>
  <c r="M1516" i="2" s="1"/>
  <c r="N1516" i="2" s="1"/>
  <c r="H1515" i="2"/>
  <c r="M1515" i="2" s="1"/>
  <c r="N1515" i="2" s="1"/>
  <c r="H1514" i="2"/>
  <c r="M1514" i="2" s="1"/>
  <c r="N1514" i="2" s="1"/>
  <c r="H1513" i="2"/>
  <c r="M1513" i="2" s="1"/>
  <c r="N1513" i="2" s="1"/>
  <c r="H1512" i="2"/>
  <c r="M1512" i="2" s="1"/>
  <c r="N1512" i="2" s="1"/>
  <c r="H1511" i="2"/>
  <c r="M1511" i="2" s="1"/>
  <c r="N1511" i="2" s="1"/>
  <c r="H1510" i="2"/>
  <c r="M1510" i="2" s="1"/>
  <c r="N1510" i="2" s="1"/>
  <c r="H1509" i="2"/>
  <c r="M1509" i="2" s="1"/>
  <c r="N1509" i="2" s="1"/>
  <c r="H1508" i="2"/>
  <c r="M1508" i="2" s="1"/>
  <c r="N1508" i="2" s="1"/>
  <c r="H1507" i="2"/>
  <c r="M1507" i="2" s="1"/>
  <c r="N1507" i="2" s="1"/>
  <c r="H1506" i="2"/>
  <c r="M1506" i="2" s="1"/>
  <c r="N1506" i="2" s="1"/>
  <c r="H1505" i="2"/>
  <c r="M1505" i="2" s="1"/>
  <c r="N1505" i="2" s="1"/>
  <c r="H1504" i="2"/>
  <c r="M1504" i="2" s="1"/>
  <c r="N1504" i="2" s="1"/>
  <c r="H1503" i="2"/>
  <c r="M1503" i="2" s="1"/>
  <c r="N1503" i="2" s="1"/>
  <c r="H1502" i="2"/>
  <c r="M1502" i="2" s="1"/>
  <c r="N1502" i="2" s="1"/>
  <c r="H1501" i="2"/>
  <c r="M1501" i="2" s="1"/>
  <c r="N1501" i="2" s="1"/>
  <c r="H1500" i="2"/>
  <c r="M1500" i="2" s="1"/>
  <c r="N1500" i="2" s="1"/>
  <c r="H1499" i="2"/>
  <c r="M1499" i="2" s="1"/>
  <c r="N1499" i="2" s="1"/>
  <c r="H1498" i="2"/>
  <c r="M1498" i="2" s="1"/>
  <c r="N1498" i="2" s="1"/>
  <c r="H1497" i="2"/>
  <c r="M1497" i="2" s="1"/>
  <c r="N1497" i="2" s="1"/>
  <c r="H1496" i="2"/>
  <c r="M1496" i="2" s="1"/>
  <c r="N1496" i="2" s="1"/>
  <c r="H1495" i="2"/>
  <c r="M1495" i="2" s="1"/>
  <c r="N1495" i="2" s="1"/>
  <c r="H1494" i="2"/>
  <c r="M1494" i="2" s="1"/>
  <c r="N1494" i="2" s="1"/>
  <c r="H1493" i="2"/>
  <c r="M1493" i="2" s="1"/>
  <c r="N1493" i="2" s="1"/>
  <c r="H1492" i="2"/>
  <c r="M1492" i="2" s="1"/>
  <c r="N1492" i="2" s="1"/>
  <c r="H1491" i="2"/>
  <c r="M1491" i="2" s="1"/>
  <c r="N1491" i="2" s="1"/>
  <c r="H1489" i="2"/>
  <c r="M1489" i="2" s="1"/>
  <c r="N1489" i="2" s="1"/>
  <c r="H1488" i="2"/>
  <c r="M1488" i="2" s="1"/>
  <c r="N1488" i="2" s="1"/>
  <c r="H1487" i="2"/>
  <c r="M1487" i="2" s="1"/>
  <c r="N1487" i="2" s="1"/>
  <c r="H1486" i="2"/>
  <c r="M1486" i="2" s="1"/>
  <c r="N1486" i="2" s="1"/>
  <c r="H1485" i="2"/>
  <c r="M1485" i="2" s="1"/>
  <c r="N1485" i="2" s="1"/>
  <c r="H1484" i="2"/>
  <c r="M1484" i="2" s="1"/>
  <c r="N1484" i="2" s="1"/>
  <c r="H1483" i="2"/>
  <c r="M1483" i="2" s="1"/>
  <c r="N1483" i="2" s="1"/>
  <c r="H1482" i="2"/>
  <c r="M1482" i="2" s="1"/>
  <c r="N1482" i="2" s="1"/>
  <c r="H1481" i="2"/>
  <c r="M1481" i="2" s="1"/>
  <c r="N1481" i="2" s="1"/>
  <c r="H1480" i="2"/>
  <c r="M1480" i="2" s="1"/>
  <c r="N1480" i="2" s="1"/>
  <c r="H1479" i="2"/>
  <c r="M1479" i="2" s="1"/>
  <c r="N1479" i="2" s="1"/>
  <c r="H1478" i="2"/>
  <c r="M1478" i="2" s="1"/>
  <c r="N1478" i="2" s="1"/>
  <c r="H1477" i="2"/>
  <c r="M1477" i="2" s="1"/>
  <c r="N1477" i="2" s="1"/>
  <c r="H1476" i="2"/>
  <c r="M1476" i="2" s="1"/>
  <c r="N1476" i="2" s="1"/>
  <c r="H1475" i="2"/>
  <c r="M1475" i="2" s="1"/>
  <c r="N1475" i="2" s="1"/>
  <c r="H1474" i="2"/>
  <c r="M1474" i="2" s="1"/>
  <c r="N1474" i="2" s="1"/>
  <c r="H1473" i="2"/>
  <c r="M1473" i="2" s="1"/>
  <c r="N1473" i="2" s="1"/>
  <c r="H1472" i="2"/>
  <c r="M1472" i="2" s="1"/>
  <c r="N1472" i="2" s="1"/>
  <c r="H1471" i="2"/>
  <c r="M1471" i="2" s="1"/>
  <c r="N1471" i="2" s="1"/>
  <c r="H1470" i="2"/>
  <c r="M1470" i="2" s="1"/>
  <c r="N1470" i="2" s="1"/>
  <c r="H1469" i="2"/>
  <c r="M1469" i="2" s="1"/>
  <c r="N1469" i="2" s="1"/>
  <c r="H1468" i="2"/>
  <c r="M1468" i="2" s="1"/>
  <c r="N1468" i="2" s="1"/>
  <c r="H1467" i="2"/>
  <c r="M1467" i="2" s="1"/>
  <c r="N1467" i="2" s="1"/>
  <c r="H1466" i="2"/>
  <c r="M1466" i="2" s="1"/>
  <c r="N1466" i="2" s="1"/>
  <c r="H1465" i="2"/>
  <c r="M1465" i="2" s="1"/>
  <c r="N1465" i="2" s="1"/>
  <c r="H1464" i="2"/>
  <c r="M1464" i="2" s="1"/>
  <c r="N1464" i="2" s="1"/>
  <c r="H1463" i="2"/>
  <c r="M1463" i="2" s="1"/>
  <c r="N1463" i="2" s="1"/>
  <c r="H1462" i="2"/>
  <c r="M1462" i="2" s="1"/>
  <c r="N1462" i="2" s="1"/>
  <c r="H1461" i="2"/>
  <c r="M1461" i="2" s="1"/>
  <c r="N1461" i="2" s="1"/>
  <c r="H1460" i="2"/>
  <c r="M1460" i="2" s="1"/>
  <c r="N1460" i="2" s="1"/>
  <c r="H1459" i="2"/>
  <c r="M1459" i="2" s="1"/>
  <c r="N1459" i="2" s="1"/>
  <c r="H1458" i="2"/>
  <c r="M1458" i="2" s="1"/>
  <c r="N1458" i="2" s="1"/>
  <c r="H1457" i="2"/>
  <c r="M1457" i="2" s="1"/>
  <c r="N1457" i="2" s="1"/>
  <c r="H1456" i="2"/>
  <c r="M1456" i="2" s="1"/>
  <c r="N1456" i="2" s="1"/>
  <c r="H1455" i="2"/>
  <c r="M1455" i="2" s="1"/>
  <c r="N1455" i="2" s="1"/>
  <c r="H1454" i="2"/>
  <c r="M1454" i="2" s="1"/>
  <c r="N1454" i="2" s="1"/>
  <c r="H1453" i="2"/>
  <c r="M1453" i="2" s="1"/>
  <c r="N1453" i="2" s="1"/>
  <c r="H1452" i="2"/>
  <c r="M1452" i="2" s="1"/>
  <c r="N1452" i="2" s="1"/>
  <c r="H1451" i="2"/>
  <c r="M1451" i="2" s="1"/>
  <c r="N1451" i="2" s="1"/>
  <c r="H1450" i="2"/>
  <c r="M1450" i="2" s="1"/>
  <c r="N1450" i="2" s="1"/>
  <c r="H1449" i="2"/>
  <c r="M1449" i="2" s="1"/>
  <c r="N1449" i="2" s="1"/>
  <c r="H1448" i="2"/>
  <c r="M1448" i="2" s="1"/>
  <c r="N1448" i="2" s="1"/>
  <c r="H1447" i="2"/>
  <c r="M1447" i="2" s="1"/>
  <c r="N1447" i="2" s="1"/>
  <c r="H1446" i="2"/>
  <c r="M1446" i="2" s="1"/>
  <c r="N1446" i="2" s="1"/>
  <c r="H1445" i="2"/>
  <c r="M1445" i="2" s="1"/>
  <c r="N1445" i="2" s="1"/>
  <c r="H1444" i="2"/>
  <c r="M1444" i="2" s="1"/>
  <c r="N1444" i="2" s="1"/>
  <c r="H1345" i="2"/>
  <c r="M1345" i="2" s="1"/>
  <c r="N1345" i="2" s="1"/>
  <c r="H1342" i="2"/>
  <c r="M1342" i="2" s="1"/>
  <c r="N1342" i="2" s="1"/>
  <c r="H1273" i="2"/>
  <c r="M1273" i="2" s="1"/>
  <c r="N1273" i="2" s="1"/>
  <c r="H1271" i="2"/>
  <c r="M1271" i="2" s="1"/>
  <c r="N1271" i="2" s="1"/>
  <c r="H1264" i="2"/>
  <c r="M1264" i="2" s="1"/>
  <c r="N1264" i="2" s="1"/>
  <c r="H1257" i="2"/>
  <c r="M1257" i="2" s="1"/>
  <c r="N1257" i="2" s="1"/>
  <c r="H1250" i="2"/>
  <c r="M1250" i="2" s="1"/>
  <c r="N1250" i="2" s="1"/>
  <c r="H1246" i="2"/>
  <c r="M1246" i="2" s="1"/>
  <c r="N1246" i="2" s="1"/>
  <c r="H1441" i="2"/>
  <c r="M1441" i="2" s="1"/>
  <c r="N1441" i="2" s="1"/>
  <c r="H1440" i="2"/>
  <c r="M1440" i="2" s="1"/>
  <c r="N1440" i="2" s="1"/>
  <c r="H1439" i="2"/>
  <c r="M1439" i="2" s="1"/>
  <c r="N1439" i="2" s="1"/>
  <c r="H1438" i="2"/>
  <c r="M1438" i="2" s="1"/>
  <c r="N1438" i="2" s="1"/>
  <c r="H1437" i="2"/>
  <c r="M1437" i="2" s="1"/>
  <c r="N1437" i="2" s="1"/>
  <c r="H1436" i="2"/>
  <c r="M1436" i="2" s="1"/>
  <c r="N1436" i="2" s="1"/>
  <c r="H1435" i="2"/>
  <c r="M1435" i="2" s="1"/>
  <c r="N1435" i="2" s="1"/>
  <c r="H1434" i="2"/>
  <c r="M1434" i="2" s="1"/>
  <c r="N1434" i="2" s="1"/>
  <c r="H1433" i="2"/>
  <c r="M1433" i="2" s="1"/>
  <c r="N1433" i="2" s="1"/>
  <c r="H1432" i="2"/>
  <c r="M1432" i="2" s="1"/>
  <c r="N1432" i="2" s="1"/>
  <c r="H1431" i="2"/>
  <c r="M1431" i="2" s="1"/>
  <c r="N1431" i="2" s="1"/>
  <c r="H1430" i="2"/>
  <c r="M1430" i="2" s="1"/>
  <c r="N1430" i="2" s="1"/>
  <c r="H1429" i="2"/>
  <c r="M1429" i="2" s="1"/>
  <c r="N1429" i="2" s="1"/>
  <c r="H1428" i="2"/>
  <c r="M1428" i="2" s="1"/>
  <c r="N1428" i="2" s="1"/>
  <c r="H1427" i="2"/>
  <c r="M1427" i="2" s="1"/>
  <c r="N1427" i="2" s="1"/>
  <c r="H1426" i="2"/>
  <c r="M1426" i="2" s="1"/>
  <c r="N1426" i="2" s="1"/>
  <c r="H1425" i="2"/>
  <c r="M1425" i="2" s="1"/>
  <c r="N1425" i="2" s="1"/>
  <c r="H1424" i="2"/>
  <c r="M1424" i="2" s="1"/>
  <c r="N1424" i="2" s="1"/>
  <c r="H1423" i="2"/>
  <c r="M1423" i="2" s="1"/>
  <c r="N1423" i="2" s="1"/>
  <c r="H1422" i="2"/>
  <c r="M1422" i="2" s="1"/>
  <c r="N1422" i="2" s="1"/>
  <c r="H1421" i="2"/>
  <c r="M1421" i="2" s="1"/>
  <c r="N1421" i="2" s="1"/>
  <c r="H1420" i="2"/>
  <c r="M1420" i="2" s="1"/>
  <c r="N1420" i="2" s="1"/>
  <c r="H1419" i="2"/>
  <c r="M1419" i="2" s="1"/>
  <c r="N1419" i="2" s="1"/>
  <c r="H1418" i="2"/>
  <c r="M1418" i="2" s="1"/>
  <c r="N1418" i="2" s="1"/>
  <c r="H1417" i="2"/>
  <c r="M1417" i="2" s="1"/>
  <c r="N1417" i="2" s="1"/>
  <c r="H1416" i="2"/>
  <c r="M1416" i="2" s="1"/>
  <c r="N1416" i="2" s="1"/>
  <c r="H1415" i="2"/>
  <c r="M1415" i="2" s="1"/>
  <c r="N1415" i="2" s="1"/>
  <c r="H1414" i="2"/>
  <c r="M1414" i="2" s="1"/>
  <c r="N1414" i="2" s="1"/>
  <c r="H1413" i="2"/>
  <c r="M1413" i="2" s="1"/>
  <c r="N1413" i="2" s="1"/>
  <c r="H1412" i="2"/>
  <c r="M1412" i="2" s="1"/>
  <c r="N1412" i="2" s="1"/>
  <c r="H1411" i="2"/>
  <c r="M1411" i="2" s="1"/>
  <c r="N1411" i="2" s="1"/>
  <c r="H1410" i="2"/>
  <c r="M1410" i="2" s="1"/>
  <c r="N1410" i="2" s="1"/>
  <c r="H1409" i="2"/>
  <c r="M1409" i="2" s="1"/>
  <c r="N1409" i="2" s="1"/>
  <c r="H1408" i="2"/>
  <c r="M1408" i="2" s="1"/>
  <c r="N1408" i="2" s="1"/>
  <c r="H1407" i="2"/>
  <c r="M1407" i="2" s="1"/>
  <c r="N1407" i="2" s="1"/>
  <c r="H1406" i="2"/>
  <c r="M1406" i="2" s="1"/>
  <c r="N1406" i="2" s="1"/>
  <c r="H1405" i="2"/>
  <c r="M1405" i="2" s="1"/>
  <c r="N1405" i="2" s="1"/>
  <c r="H1404" i="2"/>
  <c r="M1404" i="2" s="1"/>
  <c r="N1404" i="2" s="1"/>
  <c r="H1403" i="2"/>
  <c r="M1403" i="2" s="1"/>
  <c r="N1403" i="2" s="1"/>
  <c r="H1402" i="2"/>
  <c r="M1402" i="2" s="1"/>
  <c r="N1402" i="2" s="1"/>
  <c r="H1401" i="2"/>
  <c r="M1401" i="2" s="1"/>
  <c r="N1401" i="2" s="1"/>
  <c r="H1400" i="2"/>
  <c r="M1400" i="2" s="1"/>
  <c r="N1400" i="2" s="1"/>
  <c r="H1399" i="2"/>
  <c r="M1399" i="2" s="1"/>
  <c r="N1399" i="2" s="1"/>
  <c r="H1398" i="2"/>
  <c r="M1398" i="2" s="1"/>
  <c r="N1398" i="2" s="1"/>
  <c r="H1397" i="2"/>
  <c r="M1397" i="2" s="1"/>
  <c r="N1397" i="2" s="1"/>
  <c r="H1396" i="2"/>
  <c r="M1396" i="2" s="1"/>
  <c r="N1396" i="2" s="1"/>
  <c r="H1395" i="2"/>
  <c r="M1395" i="2" s="1"/>
  <c r="N1395" i="2" s="1"/>
  <c r="H1394" i="2"/>
  <c r="M1394" i="2" s="1"/>
  <c r="N1394" i="2" s="1"/>
  <c r="H1393" i="2"/>
  <c r="M1393" i="2" s="1"/>
  <c r="N1393" i="2" s="1"/>
  <c r="H1392" i="2"/>
  <c r="M1392" i="2" s="1"/>
  <c r="N1392" i="2" s="1"/>
  <c r="H1391" i="2"/>
  <c r="M1391" i="2" s="1"/>
  <c r="N1391" i="2" s="1"/>
  <c r="H1390" i="2"/>
  <c r="M1390" i="2" s="1"/>
  <c r="N1390" i="2" s="1"/>
  <c r="H1389" i="2"/>
  <c r="M1389" i="2" s="1"/>
  <c r="N1389" i="2" s="1"/>
  <c r="H1388" i="2"/>
  <c r="M1388" i="2" s="1"/>
  <c r="N1388" i="2" s="1"/>
  <c r="H1387" i="2"/>
  <c r="M1387" i="2" s="1"/>
  <c r="N1387" i="2" s="1"/>
  <c r="H1386" i="2"/>
  <c r="M1386" i="2" s="1"/>
  <c r="N1386" i="2" s="1"/>
  <c r="H1385" i="2"/>
  <c r="M1385" i="2" s="1"/>
  <c r="N1385" i="2" s="1"/>
  <c r="H1384" i="2"/>
  <c r="M1384" i="2" s="1"/>
  <c r="N1384" i="2" s="1"/>
  <c r="H1383" i="2"/>
  <c r="M1383" i="2" s="1"/>
  <c r="N1383" i="2" s="1"/>
  <c r="H1382" i="2"/>
  <c r="M1382" i="2" s="1"/>
  <c r="N1382" i="2" s="1"/>
  <c r="H1381" i="2"/>
  <c r="M1381" i="2" s="1"/>
  <c r="N1381" i="2" s="1"/>
  <c r="H1380" i="2"/>
  <c r="M1380" i="2" s="1"/>
  <c r="N1380" i="2" s="1"/>
  <c r="H1379" i="2"/>
  <c r="M1379" i="2" s="1"/>
  <c r="N1379" i="2" s="1"/>
  <c r="H1378" i="2"/>
  <c r="M1378" i="2" s="1"/>
  <c r="N1378" i="2" s="1"/>
  <c r="H1377" i="2"/>
  <c r="M1377" i="2" s="1"/>
  <c r="N1377" i="2" s="1"/>
  <c r="H1376" i="2"/>
  <c r="M1376" i="2" s="1"/>
  <c r="N1376" i="2" s="1"/>
  <c r="H1375" i="2"/>
  <c r="M1375" i="2" s="1"/>
  <c r="N1375" i="2" s="1"/>
  <c r="H1374" i="2"/>
  <c r="M1374" i="2" s="1"/>
  <c r="N1374" i="2" s="1"/>
  <c r="H1373" i="2"/>
  <c r="M1373" i="2" s="1"/>
  <c r="N1373" i="2" s="1"/>
  <c r="H1372" i="2"/>
  <c r="M1372" i="2" s="1"/>
  <c r="N1372" i="2" s="1"/>
  <c r="H1371" i="2"/>
  <c r="M1371" i="2" s="1"/>
  <c r="N1371" i="2" s="1"/>
  <c r="H1370" i="2"/>
  <c r="M1370" i="2" s="1"/>
  <c r="N1370" i="2" s="1"/>
  <c r="H1369" i="2"/>
  <c r="M1369" i="2" s="1"/>
  <c r="N1369" i="2" s="1"/>
  <c r="H1368" i="2"/>
  <c r="M1368" i="2" s="1"/>
  <c r="N1368" i="2" s="1"/>
  <c r="H1367" i="2"/>
  <c r="M1367" i="2" s="1"/>
  <c r="N1367" i="2" s="1"/>
  <c r="H1366" i="2"/>
  <c r="M1366" i="2" s="1"/>
  <c r="N1366" i="2" s="1"/>
  <c r="H1365" i="2"/>
  <c r="M1365" i="2" s="1"/>
  <c r="N1365" i="2" s="1"/>
  <c r="H1364" i="2"/>
  <c r="M1364" i="2" s="1"/>
  <c r="N1364" i="2" s="1"/>
  <c r="H1363" i="2"/>
  <c r="M1363" i="2" s="1"/>
  <c r="N1363" i="2" s="1"/>
  <c r="H1362" i="2"/>
  <c r="M1362" i="2" s="1"/>
  <c r="N1362" i="2" s="1"/>
  <c r="H1361" i="2"/>
  <c r="M1361" i="2" s="1"/>
  <c r="N1361" i="2" s="1"/>
  <c r="H1360" i="2"/>
  <c r="M1360" i="2" s="1"/>
  <c r="N1360" i="2" s="1"/>
  <c r="H1359" i="2"/>
  <c r="M1359" i="2" s="1"/>
  <c r="N1359" i="2" s="1"/>
  <c r="H1358" i="2"/>
  <c r="M1358" i="2" s="1"/>
  <c r="N1358" i="2" s="1"/>
  <c r="H1357" i="2"/>
  <c r="M1357" i="2" s="1"/>
  <c r="N1357" i="2" s="1"/>
  <c r="H1356" i="2"/>
  <c r="M1356" i="2" s="1"/>
  <c r="N1356" i="2" s="1"/>
  <c r="H1355" i="2"/>
  <c r="M1355" i="2" s="1"/>
  <c r="N1355" i="2" s="1"/>
  <c r="H1354" i="2"/>
  <c r="M1354" i="2" s="1"/>
  <c r="N1354" i="2" s="1"/>
  <c r="H1353" i="2"/>
  <c r="M1353" i="2" s="1"/>
  <c r="N1353" i="2" s="1"/>
  <c r="H1352" i="2"/>
  <c r="M1352" i="2" s="1"/>
  <c r="N1352" i="2" s="1"/>
  <c r="H1351" i="2"/>
  <c r="M1351" i="2" s="1"/>
  <c r="N1351" i="2" s="1"/>
  <c r="H1350" i="2"/>
  <c r="M1350" i="2" s="1"/>
  <c r="N1350" i="2" s="1"/>
  <c r="H1349" i="2"/>
  <c r="M1349" i="2" s="1"/>
  <c r="N1349" i="2" s="1"/>
  <c r="H1348" i="2"/>
  <c r="M1348" i="2" s="1"/>
  <c r="N1348" i="2" s="1"/>
  <c r="H1347" i="2"/>
  <c r="M1347" i="2" s="1"/>
  <c r="N1347" i="2" s="1"/>
  <c r="H1346" i="2"/>
  <c r="M1346" i="2" s="1"/>
  <c r="N1346" i="2" s="1"/>
  <c r="H1260" i="2"/>
  <c r="M1260" i="2" s="1"/>
  <c r="N1260" i="2" s="1"/>
  <c r="H1256" i="2"/>
  <c r="M1256" i="2" s="1"/>
  <c r="N1256" i="2" s="1"/>
  <c r="H1253" i="2"/>
  <c r="M1253" i="2" s="1"/>
  <c r="N1253" i="2" s="1"/>
  <c r="H1249" i="2"/>
  <c r="M1249" i="2" s="1"/>
  <c r="N1249" i="2" s="1"/>
  <c r="H1241" i="2"/>
  <c r="M1241" i="2" s="1"/>
  <c r="N1241" i="2" s="1"/>
  <c r="H1340" i="2"/>
  <c r="M1340" i="2" s="1"/>
  <c r="N1340" i="2" s="1"/>
  <c r="H1339" i="2"/>
  <c r="M1339" i="2" s="1"/>
  <c r="N1339" i="2" s="1"/>
  <c r="H1338" i="2"/>
  <c r="M1338" i="2" s="1"/>
  <c r="N1338" i="2" s="1"/>
  <c r="H1337" i="2"/>
  <c r="M1337" i="2" s="1"/>
  <c r="N1337" i="2" s="1"/>
  <c r="H1336" i="2"/>
  <c r="M1336" i="2" s="1"/>
  <c r="N1336" i="2" s="1"/>
  <c r="H1335" i="2"/>
  <c r="M1335" i="2" s="1"/>
  <c r="N1335" i="2" s="1"/>
  <c r="H1334" i="2"/>
  <c r="M1334" i="2" s="1"/>
  <c r="N1334" i="2" s="1"/>
  <c r="H1333" i="2"/>
  <c r="M1333" i="2" s="1"/>
  <c r="N1333" i="2" s="1"/>
  <c r="H1332" i="2"/>
  <c r="M1332" i="2" s="1"/>
  <c r="N1332" i="2" s="1"/>
  <c r="H1331" i="2"/>
  <c r="M1331" i="2" s="1"/>
  <c r="N1331" i="2" s="1"/>
  <c r="H1330" i="2"/>
  <c r="M1330" i="2" s="1"/>
  <c r="N1330" i="2" s="1"/>
  <c r="H1329" i="2"/>
  <c r="M1329" i="2" s="1"/>
  <c r="N1329" i="2" s="1"/>
  <c r="H1328" i="2"/>
  <c r="M1328" i="2" s="1"/>
  <c r="N1328" i="2" s="1"/>
  <c r="H1327" i="2"/>
  <c r="M1327" i="2" s="1"/>
  <c r="N1327" i="2" s="1"/>
  <c r="H1326" i="2"/>
  <c r="M1326" i="2" s="1"/>
  <c r="N1326" i="2" s="1"/>
  <c r="H1325" i="2"/>
  <c r="M1325" i="2" s="1"/>
  <c r="N1325" i="2" s="1"/>
  <c r="H1324" i="2"/>
  <c r="M1324" i="2" s="1"/>
  <c r="N1324" i="2" s="1"/>
  <c r="H1323" i="2"/>
  <c r="M1323" i="2" s="1"/>
  <c r="N1323" i="2" s="1"/>
  <c r="H1322" i="2"/>
  <c r="M1322" i="2" s="1"/>
  <c r="N1322" i="2" s="1"/>
  <c r="H1321" i="2"/>
  <c r="M1321" i="2" s="1"/>
  <c r="N1321" i="2" s="1"/>
  <c r="H1320" i="2"/>
  <c r="M1320" i="2" s="1"/>
  <c r="N1320" i="2" s="1"/>
  <c r="H1319" i="2"/>
  <c r="M1319" i="2" s="1"/>
  <c r="N1319" i="2" s="1"/>
  <c r="H1318" i="2"/>
  <c r="M1318" i="2" s="1"/>
  <c r="N1318" i="2" s="1"/>
  <c r="H1317" i="2"/>
  <c r="M1317" i="2" s="1"/>
  <c r="N1317" i="2" s="1"/>
  <c r="H1316" i="2"/>
  <c r="M1316" i="2" s="1"/>
  <c r="N1316" i="2" s="1"/>
  <c r="H1315" i="2"/>
  <c r="M1315" i="2" s="1"/>
  <c r="N1315" i="2" s="1"/>
  <c r="H1314" i="2"/>
  <c r="M1314" i="2" s="1"/>
  <c r="N1314" i="2" s="1"/>
  <c r="H1313" i="2"/>
  <c r="M1313" i="2" s="1"/>
  <c r="N1313" i="2" s="1"/>
  <c r="H1312" i="2"/>
  <c r="M1312" i="2" s="1"/>
  <c r="N1312" i="2" s="1"/>
  <c r="H1311" i="2"/>
  <c r="M1311" i="2" s="1"/>
  <c r="N1311" i="2" s="1"/>
  <c r="H1310" i="2"/>
  <c r="M1310" i="2" s="1"/>
  <c r="N1310" i="2" s="1"/>
  <c r="H1309" i="2"/>
  <c r="M1309" i="2" s="1"/>
  <c r="N1309" i="2" s="1"/>
  <c r="H1308" i="2"/>
  <c r="M1308" i="2" s="1"/>
  <c r="N1308" i="2" s="1"/>
  <c r="H1307" i="2"/>
  <c r="M1307" i="2" s="1"/>
  <c r="N1307" i="2" s="1"/>
  <c r="H1306" i="2"/>
  <c r="M1306" i="2" s="1"/>
  <c r="N1306" i="2" s="1"/>
  <c r="H1305" i="2"/>
  <c r="M1305" i="2" s="1"/>
  <c r="N1305" i="2" s="1"/>
  <c r="H1304" i="2"/>
  <c r="M1304" i="2" s="1"/>
  <c r="N1304" i="2" s="1"/>
  <c r="H1303" i="2"/>
  <c r="M1303" i="2" s="1"/>
  <c r="N1303" i="2" s="1"/>
  <c r="H1302" i="2"/>
  <c r="M1302" i="2" s="1"/>
  <c r="N1302" i="2" s="1"/>
  <c r="H1301" i="2"/>
  <c r="M1301" i="2" s="1"/>
  <c r="N1301" i="2" s="1"/>
  <c r="H1300" i="2"/>
  <c r="M1300" i="2" s="1"/>
  <c r="N1300" i="2" s="1"/>
  <c r="H1299" i="2"/>
  <c r="M1299" i="2" s="1"/>
  <c r="N1299" i="2" s="1"/>
  <c r="H1298" i="2"/>
  <c r="M1298" i="2" s="1"/>
  <c r="N1298" i="2" s="1"/>
  <c r="H1297" i="2"/>
  <c r="M1297" i="2" s="1"/>
  <c r="N1297" i="2" s="1"/>
  <c r="H1296" i="2"/>
  <c r="M1296" i="2" s="1"/>
  <c r="N1296" i="2" s="1"/>
  <c r="H1295" i="2"/>
  <c r="M1295" i="2" s="1"/>
  <c r="N1295" i="2" s="1"/>
  <c r="H1294" i="2"/>
  <c r="M1294" i="2" s="1"/>
  <c r="N1294" i="2" s="1"/>
  <c r="H1293" i="2"/>
  <c r="M1293" i="2" s="1"/>
  <c r="N1293" i="2" s="1"/>
  <c r="H1292" i="2"/>
  <c r="M1292" i="2" s="1"/>
  <c r="N1292" i="2" s="1"/>
  <c r="H1291" i="2"/>
  <c r="M1291" i="2" s="1"/>
  <c r="N1291" i="2" s="1"/>
  <c r="H1290" i="2"/>
  <c r="M1290" i="2" s="1"/>
  <c r="N1290" i="2" s="1"/>
  <c r="H1289" i="2"/>
  <c r="M1289" i="2" s="1"/>
  <c r="N1289" i="2" s="1"/>
  <c r="H1288" i="2"/>
  <c r="M1288" i="2" s="1"/>
  <c r="N1288" i="2" s="1"/>
  <c r="H1287" i="2"/>
  <c r="M1287" i="2" s="1"/>
  <c r="N1287" i="2" s="1"/>
  <c r="H1286" i="2"/>
  <c r="M1286" i="2" s="1"/>
  <c r="N1286" i="2" s="1"/>
  <c r="H1285" i="2"/>
  <c r="M1285" i="2" s="1"/>
  <c r="N1285" i="2" s="1"/>
  <c r="H1284" i="2"/>
  <c r="M1284" i="2" s="1"/>
  <c r="N1284" i="2" s="1"/>
  <c r="H1283" i="2"/>
  <c r="M1283" i="2" s="1"/>
  <c r="N1283" i="2" s="1"/>
  <c r="H1282" i="2"/>
  <c r="M1282" i="2" s="1"/>
  <c r="N1282" i="2" s="1"/>
  <c r="H1281" i="2"/>
  <c r="M1281" i="2" s="1"/>
  <c r="N1281" i="2" s="1"/>
  <c r="H1280" i="2"/>
  <c r="M1280" i="2" s="1"/>
  <c r="N1280" i="2" s="1"/>
  <c r="H1279" i="2"/>
  <c r="M1279" i="2" s="1"/>
  <c r="N1279" i="2" s="1"/>
  <c r="H1278" i="2"/>
  <c r="M1278" i="2" s="1"/>
  <c r="N1278" i="2" s="1"/>
  <c r="H1277" i="2"/>
  <c r="M1277" i="2" s="1"/>
  <c r="N1277" i="2" s="1"/>
  <c r="H1276" i="2"/>
  <c r="M1276" i="2" s="1"/>
  <c r="N1276" i="2" s="1"/>
  <c r="H1275" i="2"/>
  <c r="M1275" i="2" s="1"/>
  <c r="N1275" i="2" s="1"/>
  <c r="H1274" i="2"/>
  <c r="M1274" i="2" s="1"/>
  <c r="N1274" i="2" s="1"/>
  <c r="H1269" i="2"/>
  <c r="M1269" i="2" s="1"/>
  <c r="N1269" i="2" s="1"/>
  <c r="H1242" i="2"/>
  <c r="M1242" i="2" s="1"/>
  <c r="N1242" i="2" s="1"/>
  <c r="H1237" i="2"/>
  <c r="M1237" i="2" s="1"/>
  <c r="N1237" i="2" s="1"/>
  <c r="H1236" i="2"/>
  <c r="M1236" i="2" s="1"/>
  <c r="N1236" i="2" s="1"/>
  <c r="H1235" i="2"/>
  <c r="M1235" i="2" s="1"/>
  <c r="N1235" i="2" s="1"/>
  <c r="H1234" i="2"/>
  <c r="M1234" i="2" s="1"/>
  <c r="N1234" i="2" s="1"/>
  <c r="H1233" i="2"/>
  <c r="M1233" i="2" s="1"/>
  <c r="N1233" i="2" s="1"/>
  <c r="H1232" i="2"/>
  <c r="M1232" i="2" s="1"/>
  <c r="N1232" i="2" s="1"/>
  <c r="H1231" i="2"/>
  <c r="M1231" i="2" s="1"/>
  <c r="N1231" i="2" s="1"/>
  <c r="H1230" i="2"/>
  <c r="M1230" i="2" s="1"/>
  <c r="N1230" i="2" s="1"/>
  <c r="H1229" i="2"/>
  <c r="M1229" i="2" s="1"/>
  <c r="N1229" i="2" s="1"/>
  <c r="H1228" i="2"/>
  <c r="M1228" i="2" s="1"/>
  <c r="N1228" i="2" s="1"/>
  <c r="H1227" i="2"/>
  <c r="M1227" i="2" s="1"/>
  <c r="N1227" i="2" s="1"/>
  <c r="H1226" i="2"/>
  <c r="M1226" i="2" s="1"/>
  <c r="N1226" i="2" s="1"/>
  <c r="H1225" i="2"/>
  <c r="M1225" i="2" s="1"/>
  <c r="N1225" i="2" s="1"/>
  <c r="H1224" i="2"/>
  <c r="M1224" i="2" s="1"/>
  <c r="N1224" i="2" s="1"/>
  <c r="H1223" i="2"/>
  <c r="M1223" i="2" s="1"/>
  <c r="N1223" i="2" s="1"/>
  <c r="H1222" i="2"/>
  <c r="M1222" i="2" s="1"/>
  <c r="N1222" i="2" s="1"/>
  <c r="H1221" i="2"/>
  <c r="M1221" i="2" s="1"/>
  <c r="N1221" i="2" s="1"/>
  <c r="H1220" i="2"/>
  <c r="M1220" i="2" s="1"/>
  <c r="N1220" i="2" s="1"/>
  <c r="H1219" i="2"/>
  <c r="M1219" i="2" s="1"/>
  <c r="N1219" i="2" s="1"/>
  <c r="H1218" i="2"/>
  <c r="M1218" i="2" s="1"/>
  <c r="N1218" i="2" s="1"/>
  <c r="H1217" i="2"/>
  <c r="M1217" i="2" s="1"/>
  <c r="N1217" i="2" s="1"/>
  <c r="H1216" i="2"/>
  <c r="M1216" i="2" s="1"/>
  <c r="N1216" i="2" s="1"/>
  <c r="H1215" i="2"/>
  <c r="M1215" i="2" s="1"/>
  <c r="N1215" i="2" s="1"/>
  <c r="H1214" i="2"/>
  <c r="M1214" i="2" s="1"/>
  <c r="N1214" i="2" s="1"/>
  <c r="H1213" i="2"/>
  <c r="M1213" i="2" s="1"/>
  <c r="N1213" i="2" s="1"/>
  <c r="H1212" i="2"/>
  <c r="M1212" i="2" s="1"/>
  <c r="N1212" i="2" s="1"/>
  <c r="H1211" i="2"/>
  <c r="M1211" i="2" s="1"/>
  <c r="N1211" i="2" s="1"/>
  <c r="H1210" i="2"/>
  <c r="M1210" i="2" s="1"/>
  <c r="N1210" i="2" s="1"/>
  <c r="H1209" i="2"/>
  <c r="M1209" i="2" s="1"/>
  <c r="N1209" i="2" s="1"/>
  <c r="H1208" i="2"/>
  <c r="M1208" i="2" s="1"/>
  <c r="N1208" i="2" s="1"/>
  <c r="H1207" i="2"/>
  <c r="M1207" i="2" s="1"/>
  <c r="N1207" i="2" s="1"/>
  <c r="H1206" i="2"/>
  <c r="M1206" i="2" s="1"/>
  <c r="N1206" i="2" s="1"/>
  <c r="H1205" i="2"/>
  <c r="M1205" i="2" s="1"/>
  <c r="N1205" i="2" s="1"/>
  <c r="H1204" i="2"/>
  <c r="M1204" i="2" s="1"/>
  <c r="N1204" i="2" s="1"/>
  <c r="H1203" i="2"/>
  <c r="M1203" i="2" s="1"/>
  <c r="N1203" i="2" s="1"/>
  <c r="H1202" i="2"/>
  <c r="M1202" i="2" s="1"/>
  <c r="N1202" i="2" s="1"/>
  <c r="H1201" i="2"/>
  <c r="M1201" i="2" s="1"/>
  <c r="N1201" i="2" s="1"/>
  <c r="H1200" i="2"/>
  <c r="M1200" i="2" s="1"/>
  <c r="N1200" i="2" s="1"/>
  <c r="H1199" i="2"/>
  <c r="M1199" i="2" s="1"/>
  <c r="N1199" i="2" s="1"/>
  <c r="H1198" i="2"/>
  <c r="M1198" i="2" s="1"/>
  <c r="N1198" i="2" s="1"/>
  <c r="H1197" i="2"/>
  <c r="M1197" i="2" s="1"/>
  <c r="N1197" i="2" s="1"/>
  <c r="H1196" i="2"/>
  <c r="M1196" i="2" s="1"/>
  <c r="N1196" i="2" s="1"/>
  <c r="H1195" i="2"/>
  <c r="M1195" i="2" s="1"/>
  <c r="N1195" i="2" s="1"/>
  <c r="H1194" i="2"/>
  <c r="M1194" i="2" s="1"/>
  <c r="N1194" i="2" s="1"/>
  <c r="H1193" i="2"/>
  <c r="M1193" i="2" s="1"/>
  <c r="N1193" i="2" s="1"/>
  <c r="H1192" i="2"/>
  <c r="M1192" i="2" s="1"/>
  <c r="N1192" i="2" s="1"/>
  <c r="H1191" i="2"/>
  <c r="M1191" i="2" s="1"/>
  <c r="N1191" i="2" s="1"/>
  <c r="H1190" i="2"/>
  <c r="M1190" i="2" s="1"/>
  <c r="N1190" i="2" s="1"/>
  <c r="H1189" i="2"/>
  <c r="M1189" i="2" s="1"/>
  <c r="N1189" i="2" s="1"/>
  <c r="H1188" i="2"/>
  <c r="M1188" i="2" s="1"/>
  <c r="N1188" i="2" s="1"/>
  <c r="H1187" i="2"/>
  <c r="M1187" i="2" s="1"/>
  <c r="N1187" i="2" s="1"/>
  <c r="H1186" i="2"/>
  <c r="M1186" i="2" s="1"/>
  <c r="N1186" i="2" s="1"/>
  <c r="H1185" i="2"/>
  <c r="M1185" i="2" s="1"/>
  <c r="N1185" i="2" s="1"/>
  <c r="H1184" i="2"/>
  <c r="M1184" i="2" s="1"/>
  <c r="N1184" i="2" s="1"/>
  <c r="H1183" i="2"/>
  <c r="M1183" i="2" s="1"/>
  <c r="N1183" i="2" s="1"/>
  <c r="H1182" i="2"/>
  <c r="M1182" i="2" s="1"/>
  <c r="N1182" i="2" s="1"/>
  <c r="H1181" i="2"/>
  <c r="M1181" i="2" s="1"/>
  <c r="N1181" i="2" s="1"/>
  <c r="H1180" i="2"/>
  <c r="M1180" i="2" s="1"/>
  <c r="N1180" i="2" s="1"/>
  <c r="H1179" i="2"/>
  <c r="M1179" i="2" s="1"/>
  <c r="N1179" i="2" s="1"/>
  <c r="H1178" i="2"/>
  <c r="M1178" i="2" s="1"/>
  <c r="N1178" i="2" s="1"/>
  <c r="H1177" i="2"/>
  <c r="M1177" i="2" s="1"/>
  <c r="N1177" i="2" s="1"/>
  <c r="H1176" i="2"/>
  <c r="M1176" i="2" s="1"/>
  <c r="N1176" i="2" s="1"/>
  <c r="H1175" i="2"/>
  <c r="M1175" i="2" s="1"/>
  <c r="N1175" i="2" s="1"/>
  <c r="H1174" i="2"/>
  <c r="M1174" i="2" s="1"/>
  <c r="N1174" i="2" s="1"/>
  <c r="H1173" i="2"/>
  <c r="M1173" i="2" s="1"/>
  <c r="N1173" i="2" s="1"/>
  <c r="H1172" i="2"/>
  <c r="M1172" i="2" s="1"/>
  <c r="N1172" i="2" s="1"/>
  <c r="H1171" i="2"/>
  <c r="M1171" i="2" s="1"/>
  <c r="N1171" i="2" s="1"/>
  <c r="H1170" i="2"/>
  <c r="M1170" i="2" s="1"/>
  <c r="N1170" i="2" s="1"/>
  <c r="H1169" i="2"/>
  <c r="M1169" i="2" s="1"/>
  <c r="N1169" i="2" s="1"/>
  <c r="H1168" i="2"/>
  <c r="M1168" i="2" s="1"/>
  <c r="N1168" i="2" s="1"/>
  <c r="H1167" i="2"/>
  <c r="M1167" i="2" s="1"/>
  <c r="N1167" i="2" s="1"/>
  <c r="H1166" i="2"/>
  <c r="M1166" i="2" s="1"/>
  <c r="N1166" i="2" s="1"/>
  <c r="H1165" i="2"/>
  <c r="M1165" i="2" s="1"/>
  <c r="N1165" i="2" s="1"/>
  <c r="H1164" i="2"/>
  <c r="M1164" i="2" s="1"/>
  <c r="N1164" i="2" s="1"/>
  <c r="H1163" i="2"/>
  <c r="M1163" i="2" s="1"/>
  <c r="N1163" i="2" s="1"/>
  <c r="H1162" i="2"/>
  <c r="M1162" i="2" s="1"/>
  <c r="N1162" i="2" s="1"/>
  <c r="H1161" i="2"/>
  <c r="M1161" i="2" s="1"/>
  <c r="N1161" i="2" s="1"/>
  <c r="H1160" i="2"/>
  <c r="M1160" i="2" s="1"/>
  <c r="N1160" i="2" s="1"/>
  <c r="H1159" i="2"/>
  <c r="M1159" i="2" s="1"/>
  <c r="N1159" i="2" s="1"/>
  <c r="H1158" i="2"/>
  <c r="M1158" i="2" s="1"/>
  <c r="N1158" i="2" s="1"/>
  <c r="H1157" i="2"/>
  <c r="M1157" i="2" s="1"/>
  <c r="N1157" i="2" s="1"/>
  <c r="H1156" i="2"/>
  <c r="M1156" i="2" s="1"/>
  <c r="N1156" i="2" s="1"/>
  <c r="H1155" i="2"/>
  <c r="M1155" i="2" s="1"/>
  <c r="N1155" i="2" s="1"/>
  <c r="H1154" i="2"/>
  <c r="M1154" i="2" s="1"/>
  <c r="N1154" i="2" s="1"/>
  <c r="H1153" i="2"/>
  <c r="M1153" i="2" s="1"/>
  <c r="N1153" i="2" s="1"/>
  <c r="H1152" i="2"/>
  <c r="M1152" i="2" s="1"/>
  <c r="N1152" i="2" s="1"/>
  <c r="H1151" i="2"/>
  <c r="M1151" i="2" s="1"/>
  <c r="N1151" i="2" s="1"/>
  <c r="H1150" i="2"/>
  <c r="M1150" i="2" s="1"/>
  <c r="N1150" i="2" s="1"/>
  <c r="H1149" i="2"/>
  <c r="M1149" i="2" s="1"/>
  <c r="N1149" i="2" s="1"/>
  <c r="H1148" i="2"/>
  <c r="M1148" i="2" s="1"/>
  <c r="N1148" i="2" s="1"/>
  <c r="H1147" i="2"/>
  <c r="M1147" i="2" s="1"/>
  <c r="N1147" i="2" s="1"/>
  <c r="H1146" i="2"/>
  <c r="M1146" i="2" s="1"/>
  <c r="N1146" i="2" s="1"/>
  <c r="H1145" i="2"/>
  <c r="M1145" i="2" s="1"/>
  <c r="N1145" i="2" s="1"/>
  <c r="H1144" i="2"/>
  <c r="M1144" i="2" s="1"/>
  <c r="N1144" i="2" s="1"/>
  <c r="H1143" i="2"/>
  <c r="M1143" i="2" s="1"/>
  <c r="N1143" i="2" s="1"/>
  <c r="H1142" i="2"/>
  <c r="M1142" i="2" s="1"/>
  <c r="N1142" i="2" s="1"/>
  <c r="H1141" i="2"/>
  <c r="M1141" i="2" s="1"/>
  <c r="N1141" i="2" s="1"/>
  <c r="H1140" i="2"/>
  <c r="M1140" i="2" s="1"/>
  <c r="N1140" i="2" s="1"/>
  <c r="H1139" i="2"/>
  <c r="M1139" i="2" s="1"/>
  <c r="N1139" i="2" s="1"/>
  <c r="H1138" i="2"/>
  <c r="M1138" i="2" s="1"/>
  <c r="N1138" i="2" s="1"/>
  <c r="H1137" i="2"/>
  <c r="M1137" i="2" s="1"/>
  <c r="N1137" i="2" s="1"/>
  <c r="H545" i="2"/>
  <c r="M545" i="2" s="1"/>
  <c r="N545" i="2" s="1"/>
  <c r="H532" i="2"/>
  <c r="M532" i="2" s="1"/>
  <c r="N532" i="2" s="1"/>
  <c r="H475" i="2"/>
  <c r="M475" i="2" s="1"/>
  <c r="N475" i="2" s="1"/>
  <c r="H472" i="2"/>
  <c r="M472" i="2" s="1"/>
  <c r="N472" i="2" s="1"/>
  <c r="H469" i="2"/>
  <c r="M469" i="2" s="1"/>
  <c r="N469" i="2" s="1"/>
  <c r="H466" i="2"/>
  <c r="M466" i="2" s="1"/>
  <c r="N466" i="2" s="1"/>
  <c r="H447" i="2"/>
  <c r="M447" i="2" s="1"/>
  <c r="N447" i="2" s="1"/>
  <c r="H433" i="2"/>
  <c r="M433" i="2" s="1"/>
  <c r="N433" i="2" s="1"/>
  <c r="H431" i="2"/>
  <c r="M431" i="2" s="1"/>
  <c r="N431" i="2" s="1"/>
  <c r="H425" i="2"/>
  <c r="M425" i="2" s="1"/>
  <c r="N425" i="2" s="1"/>
  <c r="H367" i="2"/>
  <c r="M367" i="2" s="1"/>
  <c r="N367" i="2" s="1"/>
  <c r="H365" i="2"/>
  <c r="M365" i="2" s="1"/>
  <c r="N365" i="2" s="1"/>
  <c r="H358" i="2"/>
  <c r="M358" i="2" s="1"/>
  <c r="N358" i="2" s="1"/>
  <c r="H355" i="2"/>
  <c r="M355" i="2" s="1"/>
  <c r="N355" i="2" s="1"/>
  <c r="H353" i="2"/>
  <c r="M353" i="2" s="1"/>
  <c r="N353" i="2" s="1"/>
  <c r="H351" i="2"/>
  <c r="M351" i="2" s="1"/>
  <c r="N351" i="2" s="1"/>
  <c r="H331" i="2"/>
  <c r="M331" i="2" s="1"/>
  <c r="N331" i="2" s="1"/>
  <c r="H324" i="2"/>
  <c r="M324" i="2" s="1"/>
  <c r="N324" i="2" s="1"/>
  <c r="H259" i="2"/>
  <c r="M259" i="2" s="1"/>
  <c r="N259" i="2" s="1"/>
  <c r="H252" i="2"/>
  <c r="M252" i="2" s="1"/>
  <c r="N252" i="2" s="1"/>
  <c r="H249" i="2"/>
  <c r="M249" i="2" s="1"/>
  <c r="N249" i="2" s="1"/>
  <c r="H241" i="2"/>
  <c r="M241" i="2" s="1"/>
  <c r="N241" i="2" s="1"/>
  <c r="H239" i="2"/>
  <c r="M239" i="2" s="1"/>
  <c r="N239" i="2" s="1"/>
  <c r="H227" i="2"/>
  <c r="M227" i="2" s="1"/>
  <c r="N227" i="2" s="1"/>
  <c r="H223" i="2"/>
  <c r="M223" i="2" s="1"/>
  <c r="N223" i="2" s="1"/>
  <c r="H25" i="2"/>
  <c r="H20" i="2"/>
  <c r="H2278" i="2"/>
  <c r="M2278" i="2" s="1"/>
  <c r="N2278" i="2" s="1"/>
  <c r="H1136" i="2"/>
  <c r="M1136" i="2" s="1"/>
  <c r="N1136" i="2" s="1"/>
  <c r="H1135" i="2"/>
  <c r="M1135" i="2" s="1"/>
  <c r="N1135" i="2" s="1"/>
  <c r="H1134" i="2"/>
  <c r="M1134" i="2" s="1"/>
  <c r="N1134" i="2" s="1"/>
  <c r="H1133" i="2"/>
  <c r="M1133" i="2" s="1"/>
  <c r="N1133" i="2" s="1"/>
  <c r="H1132" i="2"/>
  <c r="M1132" i="2" s="1"/>
  <c r="N1132" i="2" s="1"/>
  <c r="H1131" i="2"/>
  <c r="M1131" i="2" s="1"/>
  <c r="N1131" i="2" s="1"/>
  <c r="H1130" i="2"/>
  <c r="M1130" i="2" s="1"/>
  <c r="N1130" i="2" s="1"/>
  <c r="H1129" i="2"/>
  <c r="M1129" i="2" s="1"/>
  <c r="N1129" i="2" s="1"/>
  <c r="H1128" i="2"/>
  <c r="M1128" i="2" s="1"/>
  <c r="N1128" i="2" s="1"/>
  <c r="H1127" i="2"/>
  <c r="M1127" i="2" s="1"/>
  <c r="N1127" i="2" s="1"/>
  <c r="H1126" i="2"/>
  <c r="M1126" i="2" s="1"/>
  <c r="N1126" i="2" s="1"/>
  <c r="H1125" i="2"/>
  <c r="M1125" i="2" s="1"/>
  <c r="N1125" i="2" s="1"/>
  <c r="H1124" i="2"/>
  <c r="M1124" i="2" s="1"/>
  <c r="N1124" i="2" s="1"/>
  <c r="H1123" i="2"/>
  <c r="M1123" i="2" s="1"/>
  <c r="N1123" i="2" s="1"/>
  <c r="H1122" i="2"/>
  <c r="M1122" i="2" s="1"/>
  <c r="N1122" i="2" s="1"/>
  <c r="H1121" i="2"/>
  <c r="M1121" i="2" s="1"/>
  <c r="N1121" i="2" s="1"/>
  <c r="H1120" i="2"/>
  <c r="M1120" i="2" s="1"/>
  <c r="N1120" i="2" s="1"/>
  <c r="H1119" i="2"/>
  <c r="M1119" i="2" s="1"/>
  <c r="N1119" i="2" s="1"/>
  <c r="H1118" i="2"/>
  <c r="M1118" i="2" s="1"/>
  <c r="N1118" i="2" s="1"/>
  <c r="H1117" i="2"/>
  <c r="M1117" i="2" s="1"/>
  <c r="N1117" i="2" s="1"/>
  <c r="H1116" i="2"/>
  <c r="M1116" i="2" s="1"/>
  <c r="N1116" i="2" s="1"/>
  <c r="H1115" i="2"/>
  <c r="M1115" i="2" s="1"/>
  <c r="N1115" i="2" s="1"/>
  <c r="H1114" i="2"/>
  <c r="M1114" i="2" s="1"/>
  <c r="N1114" i="2" s="1"/>
  <c r="H1113" i="2"/>
  <c r="M1113" i="2" s="1"/>
  <c r="N1113" i="2" s="1"/>
  <c r="H1112" i="2"/>
  <c r="M1112" i="2" s="1"/>
  <c r="N1112" i="2" s="1"/>
  <c r="H1111" i="2"/>
  <c r="M1111" i="2" s="1"/>
  <c r="N1111" i="2" s="1"/>
  <c r="H1110" i="2"/>
  <c r="M1110" i="2" s="1"/>
  <c r="N1110" i="2" s="1"/>
  <c r="H1109" i="2"/>
  <c r="M1109" i="2" s="1"/>
  <c r="N1109" i="2" s="1"/>
  <c r="H1108" i="2"/>
  <c r="M1108" i="2" s="1"/>
  <c r="N1108" i="2" s="1"/>
  <c r="H1107" i="2"/>
  <c r="M1107" i="2" s="1"/>
  <c r="N1107" i="2" s="1"/>
  <c r="H1106" i="2"/>
  <c r="M1106" i="2" s="1"/>
  <c r="N1106" i="2" s="1"/>
  <c r="H1105" i="2"/>
  <c r="M1105" i="2" s="1"/>
  <c r="N1105" i="2" s="1"/>
  <c r="H1104" i="2"/>
  <c r="M1104" i="2" s="1"/>
  <c r="N1104" i="2" s="1"/>
  <c r="H1103" i="2"/>
  <c r="M1103" i="2" s="1"/>
  <c r="N1103" i="2" s="1"/>
  <c r="H1102" i="2"/>
  <c r="M1102" i="2" s="1"/>
  <c r="N1102" i="2" s="1"/>
  <c r="H1101" i="2"/>
  <c r="M1101" i="2" s="1"/>
  <c r="N1101" i="2" s="1"/>
  <c r="H1100" i="2"/>
  <c r="M1100" i="2" s="1"/>
  <c r="N1100" i="2" s="1"/>
  <c r="H1099" i="2"/>
  <c r="M1099" i="2" s="1"/>
  <c r="N1099" i="2" s="1"/>
  <c r="H1098" i="2"/>
  <c r="M1098" i="2" s="1"/>
  <c r="N1098" i="2" s="1"/>
  <c r="H1097" i="2"/>
  <c r="M1097" i="2" s="1"/>
  <c r="N1097" i="2" s="1"/>
  <c r="H1096" i="2"/>
  <c r="M1096" i="2" s="1"/>
  <c r="N1096" i="2" s="1"/>
  <c r="H1095" i="2"/>
  <c r="M1095" i="2" s="1"/>
  <c r="N1095" i="2" s="1"/>
  <c r="H1094" i="2"/>
  <c r="M1094" i="2" s="1"/>
  <c r="N1094" i="2" s="1"/>
  <c r="H1093" i="2"/>
  <c r="M1093" i="2" s="1"/>
  <c r="N1093" i="2" s="1"/>
  <c r="H1092" i="2"/>
  <c r="M1092" i="2" s="1"/>
  <c r="N1092" i="2" s="1"/>
  <c r="H1091" i="2"/>
  <c r="M1091" i="2" s="1"/>
  <c r="N1091" i="2" s="1"/>
  <c r="H1090" i="2"/>
  <c r="M1090" i="2" s="1"/>
  <c r="N1090" i="2" s="1"/>
  <c r="H1089" i="2"/>
  <c r="M1089" i="2" s="1"/>
  <c r="N1089" i="2" s="1"/>
  <c r="H1088" i="2"/>
  <c r="M1088" i="2" s="1"/>
  <c r="N1088" i="2" s="1"/>
  <c r="H1087" i="2"/>
  <c r="M1087" i="2" s="1"/>
  <c r="N1087" i="2" s="1"/>
  <c r="H1086" i="2"/>
  <c r="M1086" i="2" s="1"/>
  <c r="N1086" i="2" s="1"/>
  <c r="H1085" i="2"/>
  <c r="M1085" i="2" s="1"/>
  <c r="N1085" i="2" s="1"/>
  <c r="H1084" i="2"/>
  <c r="M1084" i="2" s="1"/>
  <c r="N1084" i="2" s="1"/>
  <c r="H1083" i="2"/>
  <c r="M1083" i="2" s="1"/>
  <c r="N1083" i="2" s="1"/>
  <c r="H1082" i="2"/>
  <c r="M1082" i="2" s="1"/>
  <c r="N1082" i="2" s="1"/>
  <c r="H1081" i="2"/>
  <c r="M1081" i="2" s="1"/>
  <c r="N1081" i="2" s="1"/>
  <c r="H1080" i="2"/>
  <c r="M1080" i="2" s="1"/>
  <c r="N1080" i="2" s="1"/>
  <c r="H1079" i="2"/>
  <c r="M1079" i="2" s="1"/>
  <c r="N1079" i="2" s="1"/>
  <c r="H1078" i="2"/>
  <c r="M1078" i="2" s="1"/>
  <c r="N1078" i="2" s="1"/>
  <c r="H1077" i="2"/>
  <c r="M1077" i="2" s="1"/>
  <c r="N1077" i="2" s="1"/>
  <c r="H1076" i="2"/>
  <c r="M1076" i="2" s="1"/>
  <c r="N1076" i="2" s="1"/>
  <c r="H1075" i="2"/>
  <c r="M1075" i="2" s="1"/>
  <c r="N1075" i="2" s="1"/>
  <c r="H1074" i="2"/>
  <c r="M1074" i="2" s="1"/>
  <c r="N1074" i="2" s="1"/>
  <c r="H1073" i="2"/>
  <c r="M1073" i="2" s="1"/>
  <c r="N1073" i="2" s="1"/>
  <c r="H1072" i="2"/>
  <c r="M1072" i="2" s="1"/>
  <c r="N1072" i="2" s="1"/>
  <c r="H1071" i="2"/>
  <c r="M1071" i="2" s="1"/>
  <c r="N1071" i="2" s="1"/>
  <c r="H1070" i="2"/>
  <c r="M1070" i="2" s="1"/>
  <c r="N1070" i="2" s="1"/>
  <c r="H1069" i="2"/>
  <c r="M1069" i="2" s="1"/>
  <c r="N1069" i="2" s="1"/>
  <c r="H1068" i="2"/>
  <c r="M1068" i="2" s="1"/>
  <c r="N1068" i="2" s="1"/>
  <c r="H1067" i="2"/>
  <c r="M1067" i="2" s="1"/>
  <c r="N1067" i="2" s="1"/>
  <c r="H1066" i="2"/>
  <c r="M1066" i="2" s="1"/>
  <c r="N1066" i="2" s="1"/>
  <c r="H1065" i="2"/>
  <c r="M1065" i="2" s="1"/>
  <c r="N1065" i="2" s="1"/>
  <c r="H1064" i="2"/>
  <c r="M1064" i="2" s="1"/>
  <c r="N1064" i="2" s="1"/>
  <c r="H1063" i="2"/>
  <c r="M1063" i="2" s="1"/>
  <c r="N1063" i="2" s="1"/>
  <c r="H1062" i="2"/>
  <c r="M1062" i="2" s="1"/>
  <c r="N1062" i="2" s="1"/>
  <c r="H1061" i="2"/>
  <c r="M1061" i="2" s="1"/>
  <c r="N1061" i="2" s="1"/>
  <c r="H1060" i="2"/>
  <c r="M1060" i="2" s="1"/>
  <c r="N1060" i="2" s="1"/>
  <c r="H1059" i="2"/>
  <c r="M1059" i="2" s="1"/>
  <c r="N1059" i="2" s="1"/>
  <c r="H1058" i="2"/>
  <c r="M1058" i="2" s="1"/>
  <c r="N1058" i="2" s="1"/>
  <c r="H1057" i="2"/>
  <c r="M1057" i="2" s="1"/>
  <c r="N1057" i="2" s="1"/>
  <c r="H1056" i="2"/>
  <c r="M1056" i="2" s="1"/>
  <c r="N1056" i="2" s="1"/>
  <c r="H1055" i="2"/>
  <c r="M1055" i="2" s="1"/>
  <c r="N1055" i="2" s="1"/>
  <c r="H1054" i="2"/>
  <c r="M1054" i="2" s="1"/>
  <c r="N1054" i="2" s="1"/>
  <c r="H1053" i="2"/>
  <c r="M1053" i="2" s="1"/>
  <c r="N1053" i="2" s="1"/>
  <c r="H1052" i="2"/>
  <c r="M1052" i="2" s="1"/>
  <c r="N1052" i="2" s="1"/>
  <c r="H1051" i="2"/>
  <c r="M1051" i="2" s="1"/>
  <c r="N1051" i="2" s="1"/>
  <c r="H1050" i="2"/>
  <c r="M1050" i="2" s="1"/>
  <c r="N1050" i="2" s="1"/>
  <c r="H1049" i="2"/>
  <c r="M1049" i="2" s="1"/>
  <c r="N1049" i="2" s="1"/>
  <c r="H1048" i="2"/>
  <c r="M1048" i="2" s="1"/>
  <c r="N1048" i="2" s="1"/>
  <c r="H1047" i="2"/>
  <c r="M1047" i="2" s="1"/>
  <c r="N1047" i="2" s="1"/>
  <c r="H1046" i="2"/>
  <c r="M1046" i="2" s="1"/>
  <c r="N1046" i="2" s="1"/>
  <c r="H1045" i="2"/>
  <c r="M1045" i="2" s="1"/>
  <c r="N1045" i="2" s="1"/>
  <c r="H1044" i="2"/>
  <c r="M1044" i="2" s="1"/>
  <c r="N1044" i="2" s="1"/>
  <c r="H1043" i="2"/>
  <c r="M1043" i="2" s="1"/>
  <c r="N1043" i="2" s="1"/>
  <c r="H1042" i="2"/>
  <c r="M1042" i="2" s="1"/>
  <c r="N1042" i="2" s="1"/>
  <c r="H1041" i="2"/>
  <c r="M1041" i="2" s="1"/>
  <c r="N1041" i="2" s="1"/>
  <c r="H1040" i="2"/>
  <c r="M1040" i="2" s="1"/>
  <c r="N1040" i="2" s="1"/>
  <c r="H1039" i="2"/>
  <c r="M1039" i="2" s="1"/>
  <c r="N1039" i="2" s="1"/>
  <c r="H1038" i="2"/>
  <c r="M1038" i="2" s="1"/>
  <c r="N1038" i="2" s="1"/>
  <c r="H1037" i="2"/>
  <c r="M1037" i="2" s="1"/>
  <c r="N1037" i="2" s="1"/>
  <c r="H1036" i="2"/>
  <c r="M1036" i="2" s="1"/>
  <c r="N1036" i="2" s="1"/>
  <c r="H1035" i="2"/>
  <c r="M1035" i="2" s="1"/>
  <c r="N1035" i="2" s="1"/>
  <c r="H1034" i="2"/>
  <c r="M1034" i="2" s="1"/>
  <c r="N1034" i="2" s="1"/>
  <c r="H949" i="2"/>
  <c r="M949" i="2" s="1"/>
  <c r="N949" i="2" s="1"/>
  <c r="H947" i="2"/>
  <c r="M947" i="2" s="1"/>
  <c r="N947" i="2" s="1"/>
  <c r="H934" i="2"/>
  <c r="M934" i="2" s="1"/>
  <c r="N934" i="2" s="1"/>
  <c r="H933" i="2"/>
  <c r="M933" i="2" s="1"/>
  <c r="N933" i="2" s="1"/>
  <c r="H835" i="2"/>
  <c r="M835" i="2" s="1"/>
  <c r="N835" i="2" s="1"/>
  <c r="H833" i="2"/>
  <c r="M833" i="2" s="1"/>
  <c r="N833" i="2" s="1"/>
  <c r="H645" i="2"/>
  <c r="M645" i="2" s="1"/>
  <c r="N645" i="2" s="1"/>
  <c r="H636" i="2"/>
  <c r="M636" i="2" s="1"/>
  <c r="N636" i="2" s="1"/>
  <c r="H571" i="2"/>
  <c r="M571" i="2" s="1"/>
  <c r="N571" i="2" s="1"/>
  <c r="H559" i="2"/>
  <c r="M559" i="2" s="1"/>
  <c r="N559" i="2" s="1"/>
  <c r="H371" i="2"/>
  <c r="M371" i="2" s="1"/>
  <c r="N371" i="2" s="1"/>
  <c r="H366" i="2"/>
  <c r="M366" i="2" s="1"/>
  <c r="N366" i="2" s="1"/>
  <c r="H340" i="2"/>
  <c r="M340" i="2" s="1"/>
  <c r="N340" i="2" s="1"/>
  <c r="H335" i="2"/>
  <c r="M335" i="2" s="1"/>
  <c r="N335" i="2" s="1"/>
  <c r="H38" i="2"/>
  <c r="M38" i="2" s="1"/>
  <c r="N38" i="2" s="1"/>
  <c r="H31" i="2"/>
  <c r="M31" i="2" s="1"/>
  <c r="N31" i="2" s="1"/>
  <c r="H27" i="2"/>
  <c r="M27" i="2" s="1"/>
  <c r="N27" i="2" s="1"/>
  <c r="H2279" i="2"/>
  <c r="M2279" i="2" s="1"/>
  <c r="N2279" i="2" s="1"/>
  <c r="H1033" i="2"/>
  <c r="M1033" i="2" s="1"/>
  <c r="N1033" i="2" s="1"/>
  <c r="H1032" i="2"/>
  <c r="M1032" i="2" s="1"/>
  <c r="N1032" i="2" s="1"/>
  <c r="H1031" i="2"/>
  <c r="M1031" i="2" s="1"/>
  <c r="N1031" i="2" s="1"/>
  <c r="H1030" i="2"/>
  <c r="M1030" i="2" s="1"/>
  <c r="N1030" i="2" s="1"/>
  <c r="H1029" i="2"/>
  <c r="M1029" i="2" s="1"/>
  <c r="N1029" i="2" s="1"/>
  <c r="H1028" i="2"/>
  <c r="M1028" i="2" s="1"/>
  <c r="N1028" i="2" s="1"/>
  <c r="H1027" i="2"/>
  <c r="M1027" i="2" s="1"/>
  <c r="N1027" i="2" s="1"/>
  <c r="H1026" i="2"/>
  <c r="M1026" i="2" s="1"/>
  <c r="N1026" i="2" s="1"/>
  <c r="H1025" i="2"/>
  <c r="M1025" i="2" s="1"/>
  <c r="N1025" i="2" s="1"/>
  <c r="H1024" i="2"/>
  <c r="M1024" i="2" s="1"/>
  <c r="N1024" i="2" s="1"/>
  <c r="H1023" i="2"/>
  <c r="M1023" i="2" s="1"/>
  <c r="N1023" i="2" s="1"/>
  <c r="H1022" i="2"/>
  <c r="M1022" i="2" s="1"/>
  <c r="N1022" i="2" s="1"/>
  <c r="H1021" i="2"/>
  <c r="M1021" i="2" s="1"/>
  <c r="N1021" i="2" s="1"/>
  <c r="H1020" i="2"/>
  <c r="M1020" i="2" s="1"/>
  <c r="N1020" i="2" s="1"/>
  <c r="H1019" i="2"/>
  <c r="M1019" i="2" s="1"/>
  <c r="N1019" i="2" s="1"/>
  <c r="H1018" i="2"/>
  <c r="M1018" i="2" s="1"/>
  <c r="N1018" i="2" s="1"/>
  <c r="H1017" i="2"/>
  <c r="M1017" i="2" s="1"/>
  <c r="N1017" i="2" s="1"/>
  <c r="H1016" i="2"/>
  <c r="M1016" i="2" s="1"/>
  <c r="N1016" i="2" s="1"/>
  <c r="H1015" i="2"/>
  <c r="M1015" i="2" s="1"/>
  <c r="N1015" i="2" s="1"/>
  <c r="H1014" i="2"/>
  <c r="M1014" i="2" s="1"/>
  <c r="N1014" i="2" s="1"/>
  <c r="H1013" i="2"/>
  <c r="M1013" i="2" s="1"/>
  <c r="N1013" i="2" s="1"/>
  <c r="H1012" i="2"/>
  <c r="M1012" i="2" s="1"/>
  <c r="N1012" i="2" s="1"/>
  <c r="H1011" i="2"/>
  <c r="M1011" i="2" s="1"/>
  <c r="N1011" i="2" s="1"/>
  <c r="H1010" i="2"/>
  <c r="M1010" i="2" s="1"/>
  <c r="N1010" i="2" s="1"/>
  <c r="H1009" i="2"/>
  <c r="M1009" i="2" s="1"/>
  <c r="N1009" i="2" s="1"/>
  <c r="H1008" i="2"/>
  <c r="M1008" i="2" s="1"/>
  <c r="N1008" i="2" s="1"/>
  <c r="H1007" i="2"/>
  <c r="M1007" i="2" s="1"/>
  <c r="N1007" i="2" s="1"/>
  <c r="H1006" i="2"/>
  <c r="M1006" i="2" s="1"/>
  <c r="N1006" i="2" s="1"/>
  <c r="H1005" i="2"/>
  <c r="M1005" i="2" s="1"/>
  <c r="N1005" i="2" s="1"/>
  <c r="H1004" i="2"/>
  <c r="M1004" i="2" s="1"/>
  <c r="N1004" i="2" s="1"/>
  <c r="H1003" i="2"/>
  <c r="M1003" i="2" s="1"/>
  <c r="N1003" i="2" s="1"/>
  <c r="H1002" i="2"/>
  <c r="M1002" i="2" s="1"/>
  <c r="N1002" i="2" s="1"/>
  <c r="H1001" i="2"/>
  <c r="M1001" i="2" s="1"/>
  <c r="N1001" i="2" s="1"/>
  <c r="H1000" i="2"/>
  <c r="M1000" i="2" s="1"/>
  <c r="N1000" i="2" s="1"/>
  <c r="H999" i="2"/>
  <c r="M999" i="2" s="1"/>
  <c r="N999" i="2" s="1"/>
  <c r="H998" i="2"/>
  <c r="M998" i="2" s="1"/>
  <c r="N998" i="2" s="1"/>
  <c r="H997" i="2"/>
  <c r="M997" i="2" s="1"/>
  <c r="N997" i="2" s="1"/>
  <c r="H996" i="2"/>
  <c r="M996" i="2" s="1"/>
  <c r="N996" i="2" s="1"/>
  <c r="H995" i="2"/>
  <c r="M995" i="2" s="1"/>
  <c r="N995" i="2" s="1"/>
  <c r="H994" i="2"/>
  <c r="M994" i="2" s="1"/>
  <c r="N994" i="2" s="1"/>
  <c r="H993" i="2"/>
  <c r="M993" i="2" s="1"/>
  <c r="N993" i="2" s="1"/>
  <c r="H992" i="2"/>
  <c r="M992" i="2" s="1"/>
  <c r="N992" i="2" s="1"/>
  <c r="H991" i="2"/>
  <c r="M991" i="2" s="1"/>
  <c r="N991" i="2" s="1"/>
  <c r="H990" i="2"/>
  <c r="M990" i="2" s="1"/>
  <c r="N990" i="2" s="1"/>
  <c r="H989" i="2"/>
  <c r="M989" i="2" s="1"/>
  <c r="N989" i="2" s="1"/>
  <c r="H988" i="2"/>
  <c r="M988" i="2" s="1"/>
  <c r="N988" i="2" s="1"/>
  <c r="H987" i="2"/>
  <c r="M987" i="2" s="1"/>
  <c r="N987" i="2" s="1"/>
  <c r="H986" i="2"/>
  <c r="M986" i="2" s="1"/>
  <c r="N986" i="2" s="1"/>
  <c r="H985" i="2"/>
  <c r="M985" i="2" s="1"/>
  <c r="N985" i="2" s="1"/>
  <c r="H984" i="2"/>
  <c r="M984" i="2" s="1"/>
  <c r="N984" i="2" s="1"/>
  <c r="H983" i="2"/>
  <c r="M983" i="2" s="1"/>
  <c r="N983" i="2" s="1"/>
  <c r="H982" i="2"/>
  <c r="M982" i="2" s="1"/>
  <c r="N982" i="2" s="1"/>
  <c r="H981" i="2"/>
  <c r="M981" i="2" s="1"/>
  <c r="N981" i="2" s="1"/>
  <c r="H980" i="2"/>
  <c r="M980" i="2" s="1"/>
  <c r="N980" i="2" s="1"/>
  <c r="H979" i="2"/>
  <c r="M979" i="2" s="1"/>
  <c r="N979" i="2" s="1"/>
  <c r="H978" i="2"/>
  <c r="M978" i="2" s="1"/>
  <c r="N978" i="2" s="1"/>
  <c r="H977" i="2"/>
  <c r="M977" i="2" s="1"/>
  <c r="N977" i="2" s="1"/>
  <c r="H976" i="2"/>
  <c r="M976" i="2" s="1"/>
  <c r="N976" i="2" s="1"/>
  <c r="H975" i="2"/>
  <c r="M975" i="2" s="1"/>
  <c r="N975" i="2" s="1"/>
  <c r="H974" i="2"/>
  <c r="M974" i="2" s="1"/>
  <c r="N974" i="2" s="1"/>
  <c r="H973" i="2"/>
  <c r="M973" i="2" s="1"/>
  <c r="N973" i="2" s="1"/>
  <c r="H972" i="2"/>
  <c r="M972" i="2" s="1"/>
  <c r="N972" i="2" s="1"/>
  <c r="H971" i="2"/>
  <c r="M971" i="2" s="1"/>
  <c r="N971" i="2" s="1"/>
  <c r="H970" i="2"/>
  <c r="M970" i="2" s="1"/>
  <c r="N970" i="2" s="1"/>
  <c r="H969" i="2"/>
  <c r="M969" i="2" s="1"/>
  <c r="N969" i="2" s="1"/>
  <c r="H968" i="2"/>
  <c r="M968" i="2" s="1"/>
  <c r="N968" i="2" s="1"/>
  <c r="H967" i="2"/>
  <c r="M967" i="2" s="1"/>
  <c r="N967" i="2" s="1"/>
  <c r="H966" i="2"/>
  <c r="M966" i="2" s="1"/>
  <c r="N966" i="2" s="1"/>
  <c r="H965" i="2"/>
  <c r="M965" i="2" s="1"/>
  <c r="N965" i="2" s="1"/>
  <c r="H964" i="2"/>
  <c r="M964" i="2" s="1"/>
  <c r="N964" i="2" s="1"/>
  <c r="H963" i="2"/>
  <c r="M963" i="2" s="1"/>
  <c r="N963" i="2" s="1"/>
  <c r="H962" i="2"/>
  <c r="M962" i="2" s="1"/>
  <c r="N962" i="2" s="1"/>
  <c r="H961" i="2"/>
  <c r="M961" i="2" s="1"/>
  <c r="N961" i="2" s="1"/>
  <c r="H960" i="2"/>
  <c r="M960" i="2" s="1"/>
  <c r="N960" i="2" s="1"/>
  <c r="H959" i="2"/>
  <c r="M959" i="2" s="1"/>
  <c r="N959" i="2" s="1"/>
  <c r="H958" i="2"/>
  <c r="M958" i="2" s="1"/>
  <c r="N958" i="2" s="1"/>
  <c r="H957" i="2"/>
  <c r="M957" i="2" s="1"/>
  <c r="N957" i="2" s="1"/>
  <c r="H956" i="2"/>
  <c r="M956" i="2" s="1"/>
  <c r="N956" i="2" s="1"/>
  <c r="H955" i="2"/>
  <c r="M955" i="2" s="1"/>
  <c r="N955" i="2" s="1"/>
  <c r="H954" i="2"/>
  <c r="M954" i="2" s="1"/>
  <c r="N954" i="2" s="1"/>
  <c r="H953" i="2"/>
  <c r="M953" i="2" s="1"/>
  <c r="N953" i="2" s="1"/>
  <c r="H952" i="2"/>
  <c r="M952" i="2" s="1"/>
  <c r="N952" i="2" s="1"/>
  <c r="H951" i="2"/>
  <c r="M951" i="2" s="1"/>
  <c r="N951" i="2" s="1"/>
  <c r="H950" i="2"/>
  <c r="M950" i="2" s="1"/>
  <c r="N950" i="2" s="1"/>
  <c r="H948" i="2"/>
  <c r="M948" i="2" s="1"/>
  <c r="N948" i="2" s="1"/>
  <c r="H946" i="2"/>
  <c r="M946" i="2" s="1"/>
  <c r="N946" i="2" s="1"/>
  <c r="H945" i="2"/>
  <c r="M945" i="2" s="1"/>
  <c r="N945" i="2" s="1"/>
  <c r="H944" i="2"/>
  <c r="M944" i="2" s="1"/>
  <c r="N944" i="2" s="1"/>
  <c r="H943" i="2"/>
  <c r="M943" i="2" s="1"/>
  <c r="N943" i="2" s="1"/>
  <c r="H942" i="2"/>
  <c r="M942" i="2" s="1"/>
  <c r="N942" i="2" s="1"/>
  <c r="H941" i="2"/>
  <c r="M941" i="2" s="1"/>
  <c r="N941" i="2" s="1"/>
  <c r="H940" i="2"/>
  <c r="M940" i="2" s="1"/>
  <c r="N940" i="2" s="1"/>
  <c r="H939" i="2"/>
  <c r="M939" i="2" s="1"/>
  <c r="N939" i="2" s="1"/>
  <c r="H938" i="2"/>
  <c r="M938" i="2" s="1"/>
  <c r="N938" i="2" s="1"/>
  <c r="H937" i="2"/>
  <c r="M937" i="2" s="1"/>
  <c r="N937" i="2" s="1"/>
  <c r="H936" i="2"/>
  <c r="M936" i="2" s="1"/>
  <c r="N936" i="2" s="1"/>
  <c r="H935" i="2"/>
  <c r="M935" i="2" s="1"/>
  <c r="N935" i="2" s="1"/>
  <c r="H838" i="2"/>
  <c r="M838" i="2" s="1"/>
  <c r="N838" i="2" s="1"/>
  <c r="H837" i="2"/>
  <c r="M837" i="2" s="1"/>
  <c r="N837" i="2" s="1"/>
  <c r="H832" i="2"/>
  <c r="M832" i="2" s="1"/>
  <c r="N832" i="2" s="1"/>
  <c r="H831" i="2"/>
  <c r="M831" i="2" s="1"/>
  <c r="N831" i="2" s="1"/>
  <c r="H830" i="2"/>
  <c r="M830" i="2" s="1"/>
  <c r="N830" i="2" s="1"/>
  <c r="H829" i="2"/>
  <c r="M829" i="2" s="1"/>
  <c r="N829" i="2" s="1"/>
  <c r="H657" i="2"/>
  <c r="M657" i="2" s="1"/>
  <c r="N657" i="2" s="1"/>
  <c r="H652" i="2"/>
  <c r="M652" i="2" s="1"/>
  <c r="N652" i="2" s="1"/>
  <c r="H650" i="2"/>
  <c r="M650" i="2" s="1"/>
  <c r="N650" i="2" s="1"/>
  <c r="H646" i="2"/>
  <c r="M646" i="2" s="1"/>
  <c r="N646" i="2" s="1"/>
  <c r="H640" i="2"/>
  <c r="M640" i="2" s="1"/>
  <c r="N640" i="2" s="1"/>
  <c r="H633" i="2"/>
  <c r="M633" i="2" s="1"/>
  <c r="N633" i="2" s="1"/>
  <c r="H631" i="2"/>
  <c r="M631" i="2" s="1"/>
  <c r="N631" i="2" s="1"/>
  <c r="H569" i="2"/>
  <c r="M569" i="2" s="1"/>
  <c r="N569" i="2" s="1"/>
  <c r="H566" i="2"/>
  <c r="M566" i="2" s="1"/>
  <c r="N566" i="2" s="1"/>
  <c r="H548" i="2"/>
  <c r="M548" i="2" s="1"/>
  <c r="N548" i="2" s="1"/>
  <c r="H543" i="2"/>
  <c r="M543" i="2" s="1"/>
  <c r="N543" i="2" s="1"/>
  <c r="H537" i="2"/>
  <c r="M537" i="2" s="1"/>
  <c r="N537" i="2" s="1"/>
  <c r="H531" i="2"/>
  <c r="M531" i="2" s="1"/>
  <c r="N531" i="2" s="1"/>
  <c r="H529" i="2"/>
  <c r="M529" i="2" s="1"/>
  <c r="N529" i="2" s="1"/>
  <c r="H468" i="2"/>
  <c r="M468" i="2" s="1"/>
  <c r="N468" i="2" s="1"/>
  <c r="H464" i="2"/>
  <c r="M464" i="2" s="1"/>
  <c r="N464" i="2" s="1"/>
  <c r="H460" i="2"/>
  <c r="M460" i="2" s="1"/>
  <c r="N460" i="2" s="1"/>
  <c r="H457" i="2"/>
  <c r="M457" i="2" s="1"/>
  <c r="N457" i="2" s="1"/>
  <c r="H453" i="2"/>
  <c r="M453" i="2" s="1"/>
  <c r="N453" i="2" s="1"/>
  <c r="H448" i="2"/>
  <c r="M448" i="2" s="1"/>
  <c r="N448" i="2" s="1"/>
  <c r="H434" i="2"/>
  <c r="M434" i="2" s="1"/>
  <c r="N434" i="2" s="1"/>
  <c r="H428" i="2"/>
  <c r="M428" i="2" s="1"/>
  <c r="N428" i="2" s="1"/>
  <c r="H426" i="2"/>
  <c r="M426" i="2" s="1"/>
  <c r="N426" i="2" s="1"/>
  <c r="H369" i="2"/>
  <c r="M369" i="2" s="1"/>
  <c r="N369" i="2" s="1"/>
  <c r="H363" i="2"/>
  <c r="M363" i="2" s="1"/>
  <c r="N363" i="2" s="1"/>
  <c r="H360" i="2"/>
  <c r="M360" i="2" s="1"/>
  <c r="N360" i="2" s="1"/>
  <c r="H350" i="2"/>
  <c r="M350" i="2" s="1"/>
  <c r="N350" i="2" s="1"/>
  <c r="H343" i="2"/>
  <c r="M343" i="2" s="1"/>
  <c r="N343" i="2" s="1"/>
  <c r="H336" i="2"/>
  <c r="M336" i="2" s="1"/>
  <c r="N336" i="2" s="1"/>
  <c r="H329" i="2"/>
  <c r="M329" i="2" s="1"/>
  <c r="N329" i="2" s="1"/>
  <c r="H263" i="2"/>
  <c r="M263" i="2" s="1"/>
  <c r="N263" i="2" s="1"/>
  <c r="H247" i="2"/>
  <c r="M247" i="2" s="1"/>
  <c r="N247" i="2" s="1"/>
  <c r="H235" i="2"/>
  <c r="M235" i="2" s="1"/>
  <c r="N235" i="2" s="1"/>
  <c r="H231" i="2"/>
  <c r="M231" i="2" s="1"/>
  <c r="N231" i="2" s="1"/>
  <c r="H228" i="2"/>
  <c r="M228" i="2" s="1"/>
  <c r="N228" i="2" s="1"/>
  <c r="H2276" i="2"/>
  <c r="M2276" i="2" s="1"/>
  <c r="N2276" i="2" s="1"/>
  <c r="H932" i="2"/>
  <c r="M932" i="2" s="1"/>
  <c r="N932" i="2" s="1"/>
  <c r="H931" i="2"/>
  <c r="M931" i="2" s="1"/>
  <c r="N931" i="2" s="1"/>
  <c r="H930" i="2"/>
  <c r="M930" i="2" s="1"/>
  <c r="N930" i="2" s="1"/>
  <c r="H929" i="2"/>
  <c r="M929" i="2" s="1"/>
  <c r="N929" i="2" s="1"/>
  <c r="H928" i="2"/>
  <c r="M928" i="2" s="1"/>
  <c r="N928" i="2" s="1"/>
  <c r="H927" i="2"/>
  <c r="M927" i="2" s="1"/>
  <c r="N927" i="2" s="1"/>
  <c r="H926" i="2"/>
  <c r="M926" i="2" s="1"/>
  <c r="N926" i="2" s="1"/>
  <c r="H925" i="2"/>
  <c r="M925" i="2" s="1"/>
  <c r="N925" i="2" s="1"/>
  <c r="H924" i="2"/>
  <c r="M924" i="2" s="1"/>
  <c r="N924" i="2" s="1"/>
  <c r="H923" i="2"/>
  <c r="M923" i="2" s="1"/>
  <c r="N923" i="2" s="1"/>
  <c r="H922" i="2"/>
  <c r="M922" i="2" s="1"/>
  <c r="N922" i="2" s="1"/>
  <c r="H921" i="2"/>
  <c r="M921" i="2" s="1"/>
  <c r="N921" i="2" s="1"/>
  <c r="H920" i="2"/>
  <c r="M920" i="2" s="1"/>
  <c r="N920" i="2" s="1"/>
  <c r="H919" i="2"/>
  <c r="M919" i="2" s="1"/>
  <c r="N919" i="2" s="1"/>
  <c r="H918" i="2"/>
  <c r="M918" i="2" s="1"/>
  <c r="N918" i="2" s="1"/>
  <c r="H917" i="2"/>
  <c r="M917" i="2" s="1"/>
  <c r="N917" i="2" s="1"/>
  <c r="H916" i="2"/>
  <c r="M916" i="2" s="1"/>
  <c r="N916" i="2" s="1"/>
  <c r="H915" i="2"/>
  <c r="M915" i="2" s="1"/>
  <c r="N915" i="2" s="1"/>
  <c r="H914" i="2"/>
  <c r="M914" i="2" s="1"/>
  <c r="N914" i="2" s="1"/>
  <c r="H913" i="2"/>
  <c r="M913" i="2" s="1"/>
  <c r="N913" i="2" s="1"/>
  <c r="H912" i="2"/>
  <c r="M912" i="2" s="1"/>
  <c r="N912" i="2" s="1"/>
  <c r="H911" i="2"/>
  <c r="M911" i="2" s="1"/>
  <c r="N911" i="2" s="1"/>
  <c r="H910" i="2"/>
  <c r="M910" i="2" s="1"/>
  <c r="N910" i="2" s="1"/>
  <c r="H909" i="2"/>
  <c r="M909" i="2" s="1"/>
  <c r="N909" i="2" s="1"/>
  <c r="H908" i="2"/>
  <c r="M908" i="2" s="1"/>
  <c r="N908" i="2" s="1"/>
  <c r="H907" i="2"/>
  <c r="M907" i="2" s="1"/>
  <c r="N907" i="2" s="1"/>
  <c r="H906" i="2"/>
  <c r="M906" i="2" s="1"/>
  <c r="N906" i="2" s="1"/>
  <c r="H905" i="2"/>
  <c r="M905" i="2" s="1"/>
  <c r="N905" i="2" s="1"/>
  <c r="H904" i="2"/>
  <c r="M904" i="2" s="1"/>
  <c r="N904" i="2" s="1"/>
  <c r="H903" i="2"/>
  <c r="M903" i="2" s="1"/>
  <c r="N903" i="2" s="1"/>
  <c r="H902" i="2"/>
  <c r="M902" i="2" s="1"/>
  <c r="N902" i="2" s="1"/>
  <c r="H901" i="2"/>
  <c r="M901" i="2" s="1"/>
  <c r="N901" i="2" s="1"/>
  <c r="H900" i="2"/>
  <c r="M900" i="2" s="1"/>
  <c r="N900" i="2" s="1"/>
  <c r="H899" i="2"/>
  <c r="M899" i="2" s="1"/>
  <c r="N899" i="2" s="1"/>
  <c r="H898" i="2"/>
  <c r="M898" i="2" s="1"/>
  <c r="N898" i="2" s="1"/>
  <c r="H897" i="2"/>
  <c r="M897" i="2" s="1"/>
  <c r="N897" i="2" s="1"/>
  <c r="H896" i="2"/>
  <c r="M896" i="2" s="1"/>
  <c r="N896" i="2" s="1"/>
  <c r="H895" i="2"/>
  <c r="M895" i="2" s="1"/>
  <c r="N895" i="2" s="1"/>
  <c r="H894" i="2"/>
  <c r="M894" i="2" s="1"/>
  <c r="N894" i="2" s="1"/>
  <c r="H893" i="2"/>
  <c r="M893" i="2" s="1"/>
  <c r="N893" i="2" s="1"/>
  <c r="H892" i="2"/>
  <c r="M892" i="2" s="1"/>
  <c r="N892" i="2" s="1"/>
  <c r="H891" i="2"/>
  <c r="M891" i="2" s="1"/>
  <c r="N891" i="2" s="1"/>
  <c r="H890" i="2"/>
  <c r="M890" i="2" s="1"/>
  <c r="N890" i="2" s="1"/>
  <c r="H889" i="2"/>
  <c r="M889" i="2" s="1"/>
  <c r="N889" i="2" s="1"/>
  <c r="H888" i="2"/>
  <c r="M888" i="2" s="1"/>
  <c r="N888" i="2" s="1"/>
  <c r="H887" i="2"/>
  <c r="M887" i="2" s="1"/>
  <c r="N887" i="2" s="1"/>
  <c r="H886" i="2"/>
  <c r="M886" i="2" s="1"/>
  <c r="N886" i="2" s="1"/>
  <c r="H885" i="2"/>
  <c r="M885" i="2" s="1"/>
  <c r="N885" i="2" s="1"/>
  <c r="H884" i="2"/>
  <c r="M884" i="2" s="1"/>
  <c r="N884" i="2" s="1"/>
  <c r="H883" i="2"/>
  <c r="M883" i="2" s="1"/>
  <c r="N883" i="2" s="1"/>
  <c r="H882" i="2"/>
  <c r="M882" i="2" s="1"/>
  <c r="N882" i="2" s="1"/>
  <c r="H881" i="2"/>
  <c r="M881" i="2" s="1"/>
  <c r="N881" i="2" s="1"/>
  <c r="H880" i="2"/>
  <c r="M880" i="2" s="1"/>
  <c r="N880" i="2" s="1"/>
  <c r="H879" i="2"/>
  <c r="M879" i="2" s="1"/>
  <c r="N879" i="2" s="1"/>
  <c r="H878" i="2"/>
  <c r="M878" i="2" s="1"/>
  <c r="N878" i="2" s="1"/>
  <c r="H877" i="2"/>
  <c r="M877" i="2" s="1"/>
  <c r="N877" i="2" s="1"/>
  <c r="H876" i="2"/>
  <c r="M876" i="2" s="1"/>
  <c r="N876" i="2" s="1"/>
  <c r="H875" i="2"/>
  <c r="M875" i="2" s="1"/>
  <c r="N875" i="2" s="1"/>
  <c r="H874" i="2"/>
  <c r="M874" i="2" s="1"/>
  <c r="N874" i="2" s="1"/>
  <c r="H873" i="2"/>
  <c r="M873" i="2" s="1"/>
  <c r="N873" i="2" s="1"/>
  <c r="H872" i="2"/>
  <c r="M872" i="2" s="1"/>
  <c r="N872" i="2" s="1"/>
  <c r="H871" i="2"/>
  <c r="M871" i="2" s="1"/>
  <c r="N871" i="2" s="1"/>
  <c r="H870" i="2"/>
  <c r="M870" i="2" s="1"/>
  <c r="N870" i="2" s="1"/>
  <c r="H869" i="2"/>
  <c r="M869" i="2" s="1"/>
  <c r="N869" i="2" s="1"/>
  <c r="H868" i="2"/>
  <c r="M868" i="2" s="1"/>
  <c r="N868" i="2" s="1"/>
  <c r="H867" i="2"/>
  <c r="M867" i="2" s="1"/>
  <c r="N867" i="2" s="1"/>
  <c r="H866" i="2"/>
  <c r="M866" i="2" s="1"/>
  <c r="N866" i="2" s="1"/>
  <c r="H865" i="2"/>
  <c r="M865" i="2" s="1"/>
  <c r="N865" i="2" s="1"/>
  <c r="H864" i="2"/>
  <c r="M864" i="2" s="1"/>
  <c r="N864" i="2" s="1"/>
  <c r="H863" i="2"/>
  <c r="M863" i="2" s="1"/>
  <c r="N863" i="2" s="1"/>
  <c r="H862" i="2"/>
  <c r="M862" i="2" s="1"/>
  <c r="N862" i="2" s="1"/>
  <c r="H861" i="2"/>
  <c r="M861" i="2" s="1"/>
  <c r="N861" i="2" s="1"/>
  <c r="H860" i="2"/>
  <c r="M860" i="2" s="1"/>
  <c r="N860" i="2" s="1"/>
  <c r="H859" i="2"/>
  <c r="M859" i="2" s="1"/>
  <c r="N859" i="2" s="1"/>
  <c r="H858" i="2"/>
  <c r="M858" i="2" s="1"/>
  <c r="N858" i="2" s="1"/>
  <c r="H857" i="2"/>
  <c r="M857" i="2" s="1"/>
  <c r="N857" i="2" s="1"/>
  <c r="H856" i="2"/>
  <c r="M856" i="2" s="1"/>
  <c r="N856" i="2" s="1"/>
  <c r="H855" i="2"/>
  <c r="M855" i="2" s="1"/>
  <c r="N855" i="2" s="1"/>
  <c r="H854" i="2"/>
  <c r="M854" i="2" s="1"/>
  <c r="N854" i="2" s="1"/>
  <c r="H853" i="2"/>
  <c r="M853" i="2" s="1"/>
  <c r="N853" i="2" s="1"/>
  <c r="H852" i="2"/>
  <c r="M852" i="2" s="1"/>
  <c r="N852" i="2" s="1"/>
  <c r="H851" i="2"/>
  <c r="M851" i="2" s="1"/>
  <c r="N851" i="2" s="1"/>
  <c r="H850" i="2"/>
  <c r="M850" i="2" s="1"/>
  <c r="N850" i="2" s="1"/>
  <c r="H849" i="2"/>
  <c r="M849" i="2" s="1"/>
  <c r="N849" i="2" s="1"/>
  <c r="H848" i="2"/>
  <c r="M848" i="2" s="1"/>
  <c r="N848" i="2" s="1"/>
  <c r="H847" i="2"/>
  <c r="M847" i="2" s="1"/>
  <c r="N847" i="2" s="1"/>
  <c r="H846" i="2"/>
  <c r="M846" i="2" s="1"/>
  <c r="N846" i="2" s="1"/>
  <c r="H845" i="2"/>
  <c r="M845" i="2" s="1"/>
  <c r="N845" i="2" s="1"/>
  <c r="H844" i="2"/>
  <c r="M844" i="2" s="1"/>
  <c r="N844" i="2" s="1"/>
  <c r="H843" i="2"/>
  <c r="M843" i="2" s="1"/>
  <c r="N843" i="2" s="1"/>
  <c r="H842" i="2"/>
  <c r="M842" i="2" s="1"/>
  <c r="N842" i="2" s="1"/>
  <c r="H841" i="2"/>
  <c r="M841" i="2" s="1"/>
  <c r="N841" i="2" s="1"/>
  <c r="H840" i="2"/>
  <c r="M840" i="2" s="1"/>
  <c r="N840" i="2" s="1"/>
  <c r="H839" i="2"/>
  <c r="M839" i="2" s="1"/>
  <c r="N839" i="2" s="1"/>
  <c r="H836" i="2"/>
  <c r="M836" i="2" s="1"/>
  <c r="N836" i="2" s="1"/>
  <c r="H834" i="2"/>
  <c r="M834" i="2" s="1"/>
  <c r="N834" i="2" s="1"/>
  <c r="H651" i="2"/>
  <c r="M651" i="2" s="1"/>
  <c r="N651" i="2" s="1"/>
  <c r="H648" i="2"/>
  <c r="M648" i="2" s="1"/>
  <c r="N648" i="2" s="1"/>
  <c r="H647" i="2"/>
  <c r="M647" i="2" s="1"/>
  <c r="N647" i="2" s="1"/>
  <c r="H643" i="2"/>
  <c r="M643" i="2" s="1"/>
  <c r="N643" i="2" s="1"/>
  <c r="H642" i="2"/>
  <c r="M642" i="2" s="1"/>
  <c r="N642" i="2" s="1"/>
  <c r="H638" i="2"/>
  <c r="M638" i="2" s="1"/>
  <c r="N638" i="2" s="1"/>
  <c r="H634" i="2"/>
  <c r="M634" i="2" s="1"/>
  <c r="N634" i="2" s="1"/>
  <c r="H629" i="2"/>
  <c r="M629" i="2" s="1"/>
  <c r="N629" i="2" s="1"/>
  <c r="H579" i="2"/>
  <c r="M579" i="2" s="1"/>
  <c r="N579" i="2" s="1"/>
  <c r="H577" i="2"/>
  <c r="M577" i="2" s="1"/>
  <c r="N577" i="2" s="1"/>
  <c r="H557" i="2"/>
  <c r="M557" i="2" s="1"/>
  <c r="N557" i="2" s="1"/>
  <c r="H555" i="2"/>
  <c r="M555" i="2" s="1"/>
  <c r="N555" i="2" s="1"/>
  <c r="H553" i="2"/>
  <c r="M553" i="2" s="1"/>
  <c r="N553" i="2" s="1"/>
  <c r="H550" i="2"/>
  <c r="M550" i="2" s="1"/>
  <c r="N550" i="2" s="1"/>
  <c r="H549" i="2"/>
  <c r="M549" i="2" s="1"/>
  <c r="N549" i="2" s="1"/>
  <c r="H546" i="2"/>
  <c r="M546" i="2" s="1"/>
  <c r="N546" i="2" s="1"/>
  <c r="H539" i="2"/>
  <c r="M539" i="2" s="1"/>
  <c r="N539" i="2" s="1"/>
  <c r="H535" i="2"/>
  <c r="M535" i="2" s="1"/>
  <c r="N535" i="2" s="1"/>
  <c r="H530" i="2"/>
  <c r="M530" i="2" s="1"/>
  <c r="N530" i="2" s="1"/>
  <c r="H474" i="2"/>
  <c r="M474" i="2" s="1"/>
  <c r="N474" i="2" s="1"/>
  <c r="H459" i="2"/>
  <c r="M459" i="2" s="1"/>
  <c r="N459" i="2" s="1"/>
  <c r="H456" i="2"/>
  <c r="M456" i="2" s="1"/>
  <c r="N456" i="2" s="1"/>
  <c r="H454" i="2"/>
  <c r="M454" i="2" s="1"/>
  <c r="N454" i="2" s="1"/>
  <c r="H443" i="2"/>
  <c r="M443" i="2" s="1"/>
  <c r="N443" i="2" s="1"/>
  <c r="H440" i="2"/>
  <c r="M440" i="2" s="1"/>
  <c r="N440" i="2" s="1"/>
  <c r="H438" i="2"/>
  <c r="M438" i="2" s="1"/>
  <c r="N438" i="2" s="1"/>
  <c r="H368" i="2"/>
  <c r="M368" i="2" s="1"/>
  <c r="N368" i="2" s="1"/>
  <c r="H356" i="2"/>
  <c r="M356" i="2" s="1"/>
  <c r="N356" i="2" s="1"/>
  <c r="H337" i="2"/>
  <c r="M337" i="2" s="1"/>
  <c r="N337" i="2" s="1"/>
  <c r="H330" i="2"/>
  <c r="M330" i="2" s="1"/>
  <c r="N330" i="2" s="1"/>
  <c r="H326" i="2"/>
  <c r="M326" i="2" s="1"/>
  <c r="N326" i="2" s="1"/>
  <c r="H257" i="2"/>
  <c r="M257" i="2" s="1"/>
  <c r="N257" i="2" s="1"/>
  <c r="H222" i="2"/>
  <c r="M222" i="2" s="1"/>
  <c r="N222" i="2" s="1"/>
  <c r="H40" i="2"/>
  <c r="M40" i="2" s="1"/>
  <c r="N40" i="2" s="1"/>
  <c r="H30" i="2"/>
  <c r="M30" i="2" s="1"/>
  <c r="N30" i="2" s="1"/>
  <c r="H24" i="2"/>
  <c r="H21" i="2"/>
  <c r="H18" i="2"/>
  <c r="H2283" i="2"/>
  <c r="M2283" i="2" s="1"/>
  <c r="N2283" i="2" s="1"/>
  <c r="H828" i="2"/>
  <c r="M828" i="2" s="1"/>
  <c r="N828" i="2" s="1"/>
  <c r="H827" i="2"/>
  <c r="M827" i="2" s="1"/>
  <c r="N827" i="2" s="1"/>
  <c r="H826" i="2"/>
  <c r="M826" i="2" s="1"/>
  <c r="N826" i="2" s="1"/>
  <c r="H825" i="2"/>
  <c r="M825" i="2" s="1"/>
  <c r="N825" i="2" s="1"/>
  <c r="H824" i="2"/>
  <c r="M824" i="2" s="1"/>
  <c r="N824" i="2" s="1"/>
  <c r="H823" i="2"/>
  <c r="M823" i="2" s="1"/>
  <c r="N823" i="2" s="1"/>
  <c r="H822" i="2"/>
  <c r="M822" i="2" s="1"/>
  <c r="N822" i="2" s="1"/>
  <c r="H821" i="2"/>
  <c r="M821" i="2" s="1"/>
  <c r="N821" i="2" s="1"/>
  <c r="H820" i="2"/>
  <c r="M820" i="2" s="1"/>
  <c r="N820" i="2" s="1"/>
  <c r="H819" i="2"/>
  <c r="M819" i="2" s="1"/>
  <c r="N819" i="2" s="1"/>
  <c r="H818" i="2"/>
  <c r="M818" i="2" s="1"/>
  <c r="N818" i="2" s="1"/>
  <c r="H817" i="2"/>
  <c r="M817" i="2" s="1"/>
  <c r="N817" i="2" s="1"/>
  <c r="H816" i="2"/>
  <c r="M816" i="2" s="1"/>
  <c r="N816" i="2" s="1"/>
  <c r="H815" i="2"/>
  <c r="M815" i="2" s="1"/>
  <c r="N815" i="2" s="1"/>
  <c r="H814" i="2"/>
  <c r="M814" i="2" s="1"/>
  <c r="N814" i="2" s="1"/>
  <c r="H813" i="2"/>
  <c r="M813" i="2" s="1"/>
  <c r="N813" i="2" s="1"/>
  <c r="H812" i="2"/>
  <c r="M812" i="2" s="1"/>
  <c r="N812" i="2" s="1"/>
  <c r="H811" i="2"/>
  <c r="M811" i="2" s="1"/>
  <c r="N811" i="2" s="1"/>
  <c r="H810" i="2"/>
  <c r="M810" i="2" s="1"/>
  <c r="N810" i="2" s="1"/>
  <c r="H809" i="2"/>
  <c r="M809" i="2" s="1"/>
  <c r="N809" i="2" s="1"/>
  <c r="H808" i="2"/>
  <c r="M808" i="2" s="1"/>
  <c r="N808" i="2" s="1"/>
  <c r="H807" i="2"/>
  <c r="M807" i="2" s="1"/>
  <c r="N807" i="2" s="1"/>
  <c r="H806" i="2"/>
  <c r="M806" i="2" s="1"/>
  <c r="N806" i="2" s="1"/>
  <c r="H805" i="2"/>
  <c r="M805" i="2" s="1"/>
  <c r="N805" i="2" s="1"/>
  <c r="H804" i="2"/>
  <c r="M804" i="2" s="1"/>
  <c r="N804" i="2" s="1"/>
  <c r="H803" i="2"/>
  <c r="M803" i="2" s="1"/>
  <c r="N803" i="2" s="1"/>
  <c r="H802" i="2"/>
  <c r="M802" i="2" s="1"/>
  <c r="N802" i="2" s="1"/>
  <c r="H801" i="2"/>
  <c r="M801" i="2" s="1"/>
  <c r="N801" i="2" s="1"/>
  <c r="H800" i="2"/>
  <c r="M800" i="2" s="1"/>
  <c r="N800" i="2" s="1"/>
  <c r="H799" i="2"/>
  <c r="M799" i="2" s="1"/>
  <c r="N799" i="2" s="1"/>
  <c r="H798" i="2"/>
  <c r="M798" i="2" s="1"/>
  <c r="N798" i="2" s="1"/>
  <c r="H797" i="2"/>
  <c r="M797" i="2" s="1"/>
  <c r="N797" i="2" s="1"/>
  <c r="H796" i="2"/>
  <c r="M796" i="2" s="1"/>
  <c r="N796" i="2" s="1"/>
  <c r="H795" i="2"/>
  <c r="M795" i="2" s="1"/>
  <c r="N795" i="2" s="1"/>
  <c r="H794" i="2"/>
  <c r="M794" i="2" s="1"/>
  <c r="N794" i="2" s="1"/>
  <c r="H793" i="2"/>
  <c r="M793" i="2" s="1"/>
  <c r="N793" i="2" s="1"/>
  <c r="H792" i="2"/>
  <c r="M792" i="2" s="1"/>
  <c r="N792" i="2" s="1"/>
  <c r="H791" i="2"/>
  <c r="M791" i="2" s="1"/>
  <c r="N791" i="2" s="1"/>
  <c r="H790" i="2"/>
  <c r="M790" i="2" s="1"/>
  <c r="N790" i="2" s="1"/>
  <c r="H789" i="2"/>
  <c r="M789" i="2" s="1"/>
  <c r="N789" i="2" s="1"/>
  <c r="H788" i="2"/>
  <c r="M788" i="2" s="1"/>
  <c r="N788" i="2" s="1"/>
  <c r="H787" i="2"/>
  <c r="M787" i="2" s="1"/>
  <c r="N787" i="2" s="1"/>
  <c r="H786" i="2"/>
  <c r="M786" i="2" s="1"/>
  <c r="N786" i="2" s="1"/>
  <c r="H785" i="2"/>
  <c r="M785" i="2" s="1"/>
  <c r="N785" i="2" s="1"/>
  <c r="H784" i="2"/>
  <c r="M784" i="2" s="1"/>
  <c r="N784" i="2" s="1"/>
  <c r="H783" i="2"/>
  <c r="M783" i="2" s="1"/>
  <c r="N783" i="2" s="1"/>
  <c r="H782" i="2"/>
  <c r="M782" i="2" s="1"/>
  <c r="N782" i="2" s="1"/>
  <c r="H781" i="2"/>
  <c r="M781" i="2" s="1"/>
  <c r="N781" i="2" s="1"/>
  <c r="H780" i="2"/>
  <c r="M780" i="2" s="1"/>
  <c r="N780" i="2" s="1"/>
  <c r="H779" i="2"/>
  <c r="M779" i="2" s="1"/>
  <c r="N779" i="2" s="1"/>
  <c r="H778" i="2"/>
  <c r="M778" i="2" s="1"/>
  <c r="N778" i="2" s="1"/>
  <c r="H777" i="2"/>
  <c r="M777" i="2" s="1"/>
  <c r="N777" i="2" s="1"/>
  <c r="H776" i="2"/>
  <c r="M776" i="2" s="1"/>
  <c r="N776" i="2" s="1"/>
  <c r="H775" i="2"/>
  <c r="M775" i="2" s="1"/>
  <c r="N775" i="2" s="1"/>
  <c r="H774" i="2"/>
  <c r="M774" i="2" s="1"/>
  <c r="N774" i="2" s="1"/>
  <c r="H773" i="2"/>
  <c r="M773" i="2" s="1"/>
  <c r="N773" i="2" s="1"/>
  <c r="H772" i="2"/>
  <c r="M772" i="2" s="1"/>
  <c r="N772" i="2" s="1"/>
  <c r="H771" i="2"/>
  <c r="M771" i="2" s="1"/>
  <c r="N771" i="2" s="1"/>
  <c r="H770" i="2"/>
  <c r="M770" i="2" s="1"/>
  <c r="N770" i="2" s="1"/>
  <c r="H769" i="2"/>
  <c r="M769" i="2" s="1"/>
  <c r="N769" i="2" s="1"/>
  <c r="H768" i="2"/>
  <c r="M768" i="2" s="1"/>
  <c r="N768" i="2" s="1"/>
  <c r="H767" i="2"/>
  <c r="M767" i="2" s="1"/>
  <c r="N767" i="2" s="1"/>
  <c r="H766" i="2"/>
  <c r="M766" i="2" s="1"/>
  <c r="N766" i="2" s="1"/>
  <c r="H765" i="2"/>
  <c r="M765" i="2" s="1"/>
  <c r="N765" i="2" s="1"/>
  <c r="H764" i="2"/>
  <c r="M764" i="2" s="1"/>
  <c r="N764" i="2" s="1"/>
  <c r="H763" i="2"/>
  <c r="M763" i="2" s="1"/>
  <c r="N763" i="2" s="1"/>
  <c r="H762" i="2"/>
  <c r="M762" i="2" s="1"/>
  <c r="N762" i="2" s="1"/>
  <c r="H761" i="2"/>
  <c r="M761" i="2" s="1"/>
  <c r="N761" i="2" s="1"/>
  <c r="H760" i="2"/>
  <c r="M760" i="2" s="1"/>
  <c r="N760" i="2" s="1"/>
  <c r="H759" i="2"/>
  <c r="M759" i="2" s="1"/>
  <c r="N759" i="2" s="1"/>
  <c r="H758" i="2"/>
  <c r="M758" i="2" s="1"/>
  <c r="N758" i="2" s="1"/>
  <c r="H757" i="2"/>
  <c r="M757" i="2" s="1"/>
  <c r="N757" i="2" s="1"/>
  <c r="H756" i="2"/>
  <c r="M756" i="2" s="1"/>
  <c r="N756" i="2" s="1"/>
  <c r="H755" i="2"/>
  <c r="M755" i="2" s="1"/>
  <c r="N755" i="2" s="1"/>
  <c r="H754" i="2"/>
  <c r="M754" i="2" s="1"/>
  <c r="N754" i="2" s="1"/>
  <c r="H753" i="2"/>
  <c r="M753" i="2" s="1"/>
  <c r="N753" i="2" s="1"/>
  <c r="H752" i="2"/>
  <c r="M752" i="2" s="1"/>
  <c r="N752" i="2" s="1"/>
  <c r="H751" i="2"/>
  <c r="M751" i="2" s="1"/>
  <c r="N751" i="2" s="1"/>
  <c r="H750" i="2"/>
  <c r="M750" i="2" s="1"/>
  <c r="N750" i="2" s="1"/>
  <c r="H749" i="2"/>
  <c r="M749" i="2" s="1"/>
  <c r="N749" i="2" s="1"/>
  <c r="H748" i="2"/>
  <c r="M748" i="2" s="1"/>
  <c r="N748" i="2" s="1"/>
  <c r="H747" i="2"/>
  <c r="M747" i="2" s="1"/>
  <c r="N747" i="2" s="1"/>
  <c r="H746" i="2"/>
  <c r="M746" i="2" s="1"/>
  <c r="N746" i="2" s="1"/>
  <c r="H745" i="2"/>
  <c r="M745" i="2" s="1"/>
  <c r="N745" i="2" s="1"/>
  <c r="H744" i="2"/>
  <c r="M744" i="2" s="1"/>
  <c r="N744" i="2" s="1"/>
  <c r="H743" i="2"/>
  <c r="M743" i="2" s="1"/>
  <c r="N743" i="2" s="1"/>
  <c r="H742" i="2"/>
  <c r="M742" i="2" s="1"/>
  <c r="N742" i="2" s="1"/>
  <c r="H741" i="2"/>
  <c r="M741" i="2" s="1"/>
  <c r="N741" i="2" s="1"/>
  <c r="H740" i="2"/>
  <c r="M740" i="2" s="1"/>
  <c r="N740" i="2" s="1"/>
  <c r="H739" i="2"/>
  <c r="M739" i="2" s="1"/>
  <c r="N739" i="2" s="1"/>
  <c r="H738" i="2"/>
  <c r="M738" i="2" s="1"/>
  <c r="N738" i="2" s="1"/>
  <c r="H737" i="2"/>
  <c r="M737" i="2" s="1"/>
  <c r="N737" i="2" s="1"/>
  <c r="H736" i="2"/>
  <c r="M736" i="2" s="1"/>
  <c r="N736" i="2" s="1"/>
  <c r="H735" i="2"/>
  <c r="M735" i="2" s="1"/>
  <c r="N735" i="2" s="1"/>
  <c r="H734" i="2"/>
  <c r="M734" i="2" s="1"/>
  <c r="N734" i="2" s="1"/>
  <c r="H733" i="2"/>
  <c r="M733" i="2" s="1"/>
  <c r="N733" i="2" s="1"/>
  <c r="H732" i="2"/>
  <c r="M732" i="2" s="1"/>
  <c r="N732" i="2" s="1"/>
  <c r="H731" i="2"/>
  <c r="M731" i="2" s="1"/>
  <c r="N731" i="2" s="1"/>
  <c r="H730" i="2"/>
  <c r="M730" i="2" s="1"/>
  <c r="N730" i="2" s="1"/>
  <c r="H729" i="2"/>
  <c r="M729" i="2" s="1"/>
  <c r="N729" i="2" s="1"/>
  <c r="H655" i="2"/>
  <c r="M655" i="2" s="1"/>
  <c r="N655" i="2" s="1"/>
  <c r="H644" i="2"/>
  <c r="M644" i="2" s="1"/>
  <c r="N644" i="2" s="1"/>
  <c r="H639" i="2"/>
  <c r="M639" i="2" s="1"/>
  <c r="N639" i="2" s="1"/>
  <c r="H632" i="2"/>
  <c r="M632" i="2" s="1"/>
  <c r="N632" i="2" s="1"/>
  <c r="H630" i="2"/>
  <c r="M630" i="2" s="1"/>
  <c r="N630" i="2" s="1"/>
  <c r="H576" i="2"/>
  <c r="M576" i="2" s="1"/>
  <c r="N576" i="2" s="1"/>
  <c r="H574" i="2"/>
  <c r="M574" i="2" s="1"/>
  <c r="N574" i="2" s="1"/>
  <c r="H572" i="2"/>
  <c r="M572" i="2" s="1"/>
  <c r="N572" i="2" s="1"/>
  <c r="H567" i="2"/>
  <c r="M567" i="2" s="1"/>
  <c r="N567" i="2" s="1"/>
  <c r="H564" i="2"/>
  <c r="M564" i="2" s="1"/>
  <c r="N564" i="2" s="1"/>
  <c r="H563" i="2"/>
  <c r="M563" i="2" s="1"/>
  <c r="N563" i="2" s="1"/>
  <c r="H561" i="2"/>
  <c r="M561" i="2" s="1"/>
  <c r="N561" i="2" s="1"/>
  <c r="H558" i="2"/>
  <c r="M558" i="2" s="1"/>
  <c r="N558" i="2" s="1"/>
  <c r="H551" i="2"/>
  <c r="M551" i="2" s="1"/>
  <c r="N551" i="2" s="1"/>
  <c r="H547" i="2"/>
  <c r="M547" i="2" s="1"/>
  <c r="N547" i="2" s="1"/>
  <c r="H541" i="2"/>
  <c r="M541" i="2" s="1"/>
  <c r="N541" i="2" s="1"/>
  <c r="H538" i="2"/>
  <c r="M538" i="2" s="1"/>
  <c r="N538" i="2" s="1"/>
  <c r="H476" i="2"/>
  <c r="M476" i="2" s="1"/>
  <c r="N476" i="2" s="1"/>
  <c r="H465" i="2"/>
  <c r="M465" i="2" s="1"/>
  <c r="N465" i="2" s="1"/>
  <c r="H462" i="2"/>
  <c r="M462" i="2" s="1"/>
  <c r="N462" i="2" s="1"/>
  <c r="H449" i="2"/>
  <c r="M449" i="2" s="1"/>
  <c r="N449" i="2" s="1"/>
  <c r="H445" i="2"/>
  <c r="M445" i="2" s="1"/>
  <c r="N445" i="2" s="1"/>
  <c r="H439" i="2"/>
  <c r="M439" i="2" s="1"/>
  <c r="N439" i="2" s="1"/>
  <c r="H436" i="2"/>
  <c r="M436" i="2" s="1"/>
  <c r="N436" i="2" s="1"/>
  <c r="H374" i="2"/>
  <c r="M374" i="2" s="1"/>
  <c r="N374" i="2" s="1"/>
  <c r="H354" i="2"/>
  <c r="M354" i="2" s="1"/>
  <c r="N354" i="2" s="1"/>
  <c r="H348" i="2"/>
  <c r="M348" i="2" s="1"/>
  <c r="N348" i="2" s="1"/>
  <c r="H333" i="2"/>
  <c r="M333" i="2" s="1"/>
  <c r="N333" i="2" s="1"/>
  <c r="H327" i="2"/>
  <c r="M327" i="2" s="1"/>
  <c r="N327" i="2" s="1"/>
  <c r="H325" i="2"/>
  <c r="M325" i="2" s="1"/>
  <c r="N325" i="2" s="1"/>
  <c r="H264" i="2"/>
  <c r="M264" i="2" s="1"/>
  <c r="N264" i="2" s="1"/>
  <c r="H254" i="2"/>
  <c r="M254" i="2" s="1"/>
  <c r="N254" i="2" s="1"/>
  <c r="H250" i="2"/>
  <c r="M250" i="2" s="1"/>
  <c r="N250" i="2" s="1"/>
  <c r="H248" i="2"/>
  <c r="M248" i="2" s="1"/>
  <c r="N248" i="2" s="1"/>
  <c r="H245" i="2"/>
  <c r="M245" i="2" s="1"/>
  <c r="N245" i="2" s="1"/>
  <c r="H243" i="2"/>
  <c r="M243" i="2" s="1"/>
  <c r="N243" i="2" s="1"/>
  <c r="H233" i="2"/>
  <c r="M233" i="2" s="1"/>
  <c r="N233" i="2" s="1"/>
  <c r="H225" i="2"/>
  <c r="M225" i="2" s="1"/>
  <c r="N225" i="2" s="1"/>
  <c r="H16" i="2"/>
  <c r="H728" i="2"/>
  <c r="M728" i="2" s="1"/>
  <c r="N728" i="2" s="1"/>
  <c r="H727" i="2"/>
  <c r="M727" i="2" s="1"/>
  <c r="N727" i="2" s="1"/>
  <c r="H726" i="2"/>
  <c r="M726" i="2" s="1"/>
  <c r="N726" i="2" s="1"/>
  <c r="H725" i="2"/>
  <c r="M725" i="2" s="1"/>
  <c r="N725" i="2" s="1"/>
  <c r="H724" i="2"/>
  <c r="M724" i="2" s="1"/>
  <c r="N724" i="2" s="1"/>
  <c r="H723" i="2"/>
  <c r="M723" i="2" s="1"/>
  <c r="N723" i="2" s="1"/>
  <c r="H722" i="2"/>
  <c r="M722" i="2" s="1"/>
  <c r="N722" i="2" s="1"/>
  <c r="H721" i="2"/>
  <c r="M721" i="2" s="1"/>
  <c r="N721" i="2" s="1"/>
  <c r="H720" i="2"/>
  <c r="M720" i="2" s="1"/>
  <c r="N720" i="2" s="1"/>
  <c r="H719" i="2"/>
  <c r="M719" i="2" s="1"/>
  <c r="N719" i="2" s="1"/>
  <c r="H718" i="2"/>
  <c r="M718" i="2" s="1"/>
  <c r="N718" i="2" s="1"/>
  <c r="H717" i="2"/>
  <c r="M717" i="2" s="1"/>
  <c r="N717" i="2" s="1"/>
  <c r="H716" i="2"/>
  <c r="M716" i="2" s="1"/>
  <c r="N716" i="2" s="1"/>
  <c r="H715" i="2"/>
  <c r="M715" i="2" s="1"/>
  <c r="N715" i="2" s="1"/>
  <c r="H714" i="2"/>
  <c r="M714" i="2" s="1"/>
  <c r="N714" i="2" s="1"/>
  <c r="H713" i="2"/>
  <c r="M713" i="2" s="1"/>
  <c r="N713" i="2" s="1"/>
  <c r="H712" i="2"/>
  <c r="M712" i="2" s="1"/>
  <c r="N712" i="2" s="1"/>
  <c r="H711" i="2"/>
  <c r="M711" i="2" s="1"/>
  <c r="N711" i="2" s="1"/>
  <c r="H710" i="2"/>
  <c r="M710" i="2" s="1"/>
  <c r="N710" i="2" s="1"/>
  <c r="H709" i="2"/>
  <c r="M709" i="2" s="1"/>
  <c r="N709" i="2" s="1"/>
  <c r="H708" i="2"/>
  <c r="M708" i="2" s="1"/>
  <c r="N708" i="2" s="1"/>
  <c r="H707" i="2"/>
  <c r="M707" i="2" s="1"/>
  <c r="N707" i="2" s="1"/>
  <c r="H706" i="2"/>
  <c r="M706" i="2" s="1"/>
  <c r="N706" i="2" s="1"/>
  <c r="H705" i="2"/>
  <c r="M705" i="2" s="1"/>
  <c r="N705" i="2" s="1"/>
  <c r="H704" i="2"/>
  <c r="M704" i="2" s="1"/>
  <c r="N704" i="2" s="1"/>
  <c r="H703" i="2"/>
  <c r="M703" i="2" s="1"/>
  <c r="N703" i="2" s="1"/>
  <c r="H702" i="2"/>
  <c r="M702" i="2" s="1"/>
  <c r="N702" i="2" s="1"/>
  <c r="H701" i="2"/>
  <c r="M701" i="2" s="1"/>
  <c r="N701" i="2" s="1"/>
  <c r="H700" i="2"/>
  <c r="M700" i="2" s="1"/>
  <c r="N700" i="2" s="1"/>
  <c r="H699" i="2"/>
  <c r="M699" i="2" s="1"/>
  <c r="N699" i="2" s="1"/>
  <c r="H698" i="2"/>
  <c r="M698" i="2" s="1"/>
  <c r="N698" i="2" s="1"/>
  <c r="H697" i="2"/>
  <c r="M697" i="2" s="1"/>
  <c r="N697" i="2" s="1"/>
  <c r="H696" i="2"/>
  <c r="M696" i="2" s="1"/>
  <c r="N696" i="2" s="1"/>
  <c r="H695" i="2"/>
  <c r="M695" i="2" s="1"/>
  <c r="N695" i="2" s="1"/>
  <c r="H694" i="2"/>
  <c r="M694" i="2" s="1"/>
  <c r="N694" i="2" s="1"/>
  <c r="H693" i="2"/>
  <c r="M693" i="2" s="1"/>
  <c r="N693" i="2" s="1"/>
  <c r="H692" i="2"/>
  <c r="M692" i="2" s="1"/>
  <c r="N692" i="2" s="1"/>
  <c r="H691" i="2"/>
  <c r="M691" i="2" s="1"/>
  <c r="N691" i="2" s="1"/>
  <c r="H690" i="2"/>
  <c r="M690" i="2" s="1"/>
  <c r="N690" i="2" s="1"/>
  <c r="H689" i="2"/>
  <c r="M689" i="2" s="1"/>
  <c r="N689" i="2" s="1"/>
  <c r="H688" i="2"/>
  <c r="M688" i="2" s="1"/>
  <c r="N688" i="2" s="1"/>
  <c r="H687" i="2"/>
  <c r="M687" i="2" s="1"/>
  <c r="N687" i="2" s="1"/>
  <c r="H686" i="2"/>
  <c r="M686" i="2" s="1"/>
  <c r="N686" i="2" s="1"/>
  <c r="H685" i="2"/>
  <c r="M685" i="2" s="1"/>
  <c r="N685" i="2" s="1"/>
  <c r="H684" i="2"/>
  <c r="M684" i="2" s="1"/>
  <c r="N684" i="2" s="1"/>
  <c r="H683" i="2"/>
  <c r="M683" i="2" s="1"/>
  <c r="N683" i="2" s="1"/>
  <c r="H682" i="2"/>
  <c r="M682" i="2" s="1"/>
  <c r="N682" i="2" s="1"/>
  <c r="H681" i="2"/>
  <c r="M681" i="2" s="1"/>
  <c r="N681" i="2" s="1"/>
  <c r="H680" i="2"/>
  <c r="M680" i="2" s="1"/>
  <c r="N680" i="2" s="1"/>
  <c r="H679" i="2"/>
  <c r="M679" i="2" s="1"/>
  <c r="N679" i="2" s="1"/>
  <c r="H678" i="2"/>
  <c r="M678" i="2" s="1"/>
  <c r="N678" i="2" s="1"/>
  <c r="H677" i="2"/>
  <c r="M677" i="2" s="1"/>
  <c r="N677" i="2" s="1"/>
  <c r="H676" i="2"/>
  <c r="M676" i="2" s="1"/>
  <c r="N676" i="2" s="1"/>
  <c r="H675" i="2"/>
  <c r="M675" i="2" s="1"/>
  <c r="N675" i="2" s="1"/>
  <c r="H674" i="2"/>
  <c r="M674" i="2" s="1"/>
  <c r="N674" i="2" s="1"/>
  <c r="H673" i="2"/>
  <c r="M673" i="2" s="1"/>
  <c r="N673" i="2" s="1"/>
  <c r="H672" i="2"/>
  <c r="M672" i="2" s="1"/>
  <c r="N672" i="2" s="1"/>
  <c r="H671" i="2"/>
  <c r="M671" i="2" s="1"/>
  <c r="N671" i="2" s="1"/>
  <c r="H670" i="2"/>
  <c r="M670" i="2" s="1"/>
  <c r="N670" i="2" s="1"/>
  <c r="H669" i="2"/>
  <c r="M669" i="2" s="1"/>
  <c r="N669" i="2" s="1"/>
  <c r="H668" i="2"/>
  <c r="M668" i="2" s="1"/>
  <c r="N668" i="2" s="1"/>
  <c r="H667" i="2"/>
  <c r="M667" i="2" s="1"/>
  <c r="N667" i="2" s="1"/>
  <c r="H666" i="2"/>
  <c r="M666" i="2" s="1"/>
  <c r="N666" i="2" s="1"/>
  <c r="H665" i="2"/>
  <c r="M665" i="2" s="1"/>
  <c r="N665" i="2" s="1"/>
  <c r="H664" i="2"/>
  <c r="M664" i="2" s="1"/>
  <c r="N664" i="2" s="1"/>
  <c r="H663" i="2"/>
  <c r="M663" i="2" s="1"/>
  <c r="N663" i="2" s="1"/>
  <c r="H662" i="2"/>
  <c r="M662" i="2" s="1"/>
  <c r="N662" i="2" s="1"/>
  <c r="H661" i="2"/>
  <c r="M661" i="2" s="1"/>
  <c r="N661" i="2" s="1"/>
  <c r="H660" i="2"/>
  <c r="M660" i="2" s="1"/>
  <c r="N660" i="2" s="1"/>
  <c r="H659" i="2"/>
  <c r="M659" i="2" s="1"/>
  <c r="N659" i="2" s="1"/>
  <c r="H658" i="2"/>
  <c r="M658" i="2" s="1"/>
  <c r="N658" i="2" s="1"/>
  <c r="H656" i="2"/>
  <c r="M656" i="2" s="1"/>
  <c r="N656" i="2" s="1"/>
  <c r="H654" i="2"/>
  <c r="M654" i="2" s="1"/>
  <c r="N654" i="2" s="1"/>
  <c r="H653" i="2"/>
  <c r="M653" i="2" s="1"/>
  <c r="N653" i="2" s="1"/>
  <c r="H649" i="2"/>
  <c r="M649" i="2" s="1"/>
  <c r="N649" i="2" s="1"/>
  <c r="H641" i="2"/>
  <c r="M641" i="2" s="1"/>
  <c r="N641" i="2" s="1"/>
  <c r="H637" i="2"/>
  <c r="M637" i="2" s="1"/>
  <c r="N637" i="2" s="1"/>
  <c r="H635" i="2"/>
  <c r="M635" i="2" s="1"/>
  <c r="N635" i="2" s="1"/>
  <c r="H628" i="2"/>
  <c r="M628" i="2" s="1"/>
  <c r="N628" i="2" s="1"/>
  <c r="H568" i="2"/>
  <c r="M568" i="2" s="1"/>
  <c r="N568" i="2" s="1"/>
  <c r="H562" i="2"/>
  <c r="M562" i="2" s="1"/>
  <c r="N562" i="2" s="1"/>
  <c r="H560" i="2"/>
  <c r="M560" i="2" s="1"/>
  <c r="N560" i="2" s="1"/>
  <c r="H540" i="2"/>
  <c r="M540" i="2" s="1"/>
  <c r="N540" i="2" s="1"/>
  <c r="H534" i="2"/>
  <c r="M534" i="2" s="1"/>
  <c r="N534" i="2" s="1"/>
  <c r="H528" i="2"/>
  <c r="M528" i="2" s="1"/>
  <c r="N528" i="2" s="1"/>
  <c r="H470" i="2"/>
  <c r="M470" i="2" s="1"/>
  <c r="N470" i="2" s="1"/>
  <c r="H463" i="2"/>
  <c r="M463" i="2" s="1"/>
  <c r="N463" i="2" s="1"/>
  <c r="H450" i="2"/>
  <c r="M450" i="2" s="1"/>
  <c r="N450" i="2" s="1"/>
  <c r="H441" i="2"/>
  <c r="M441" i="2" s="1"/>
  <c r="N441" i="2" s="1"/>
  <c r="H437" i="2"/>
  <c r="M437" i="2" s="1"/>
  <c r="N437" i="2" s="1"/>
  <c r="H430" i="2"/>
  <c r="M430" i="2" s="1"/>
  <c r="N430" i="2" s="1"/>
  <c r="H427" i="2"/>
  <c r="M427" i="2" s="1"/>
  <c r="N427" i="2" s="1"/>
  <c r="H373" i="2"/>
  <c r="M373" i="2" s="1"/>
  <c r="N373" i="2" s="1"/>
  <c r="H362" i="2"/>
  <c r="M362" i="2" s="1"/>
  <c r="N362" i="2" s="1"/>
  <c r="H359" i="2"/>
  <c r="M359" i="2" s="1"/>
  <c r="N359" i="2" s="1"/>
  <c r="H357" i="2"/>
  <c r="M357" i="2" s="1"/>
  <c r="N357" i="2" s="1"/>
  <c r="H347" i="2"/>
  <c r="M347" i="2" s="1"/>
  <c r="N347" i="2" s="1"/>
  <c r="H345" i="2"/>
  <c r="M345" i="2" s="1"/>
  <c r="N345" i="2" s="1"/>
  <c r="H338" i="2"/>
  <c r="M338" i="2" s="1"/>
  <c r="N338" i="2" s="1"/>
  <c r="H334" i="2"/>
  <c r="M334" i="2" s="1"/>
  <c r="N334" i="2" s="1"/>
  <c r="H262" i="2"/>
  <c r="M262" i="2" s="1"/>
  <c r="N262" i="2" s="1"/>
  <c r="H255" i="2"/>
  <c r="M255" i="2" s="1"/>
  <c r="N255" i="2" s="1"/>
  <c r="H242" i="2"/>
  <c r="M242" i="2" s="1"/>
  <c r="N242" i="2" s="1"/>
  <c r="H238" i="2"/>
  <c r="M238" i="2" s="1"/>
  <c r="N238" i="2" s="1"/>
  <c r="H229" i="2"/>
  <c r="M229" i="2" s="1"/>
  <c r="N229" i="2" s="1"/>
  <c r="H35" i="2"/>
  <c r="M35" i="2" s="1"/>
  <c r="N35" i="2" s="1"/>
  <c r="H32" i="2"/>
  <c r="M32" i="2" s="1"/>
  <c r="N32" i="2" s="1"/>
  <c r="H28" i="2"/>
  <c r="M28" i="2" s="1"/>
  <c r="N28" i="2" s="1"/>
  <c r="H23" i="2"/>
  <c r="H2285" i="2"/>
  <c r="M2285" i="2" s="1"/>
  <c r="N2285" i="2" s="1"/>
  <c r="H627" i="2"/>
  <c r="M627" i="2" s="1"/>
  <c r="N627" i="2" s="1"/>
  <c r="H626" i="2"/>
  <c r="M626" i="2" s="1"/>
  <c r="N626" i="2" s="1"/>
  <c r="H625" i="2"/>
  <c r="M625" i="2" s="1"/>
  <c r="N625" i="2" s="1"/>
  <c r="H624" i="2"/>
  <c r="M624" i="2" s="1"/>
  <c r="N624" i="2" s="1"/>
  <c r="H623" i="2"/>
  <c r="M623" i="2" s="1"/>
  <c r="N623" i="2" s="1"/>
  <c r="H622" i="2"/>
  <c r="M622" i="2" s="1"/>
  <c r="N622" i="2" s="1"/>
  <c r="H621" i="2"/>
  <c r="M621" i="2" s="1"/>
  <c r="N621" i="2" s="1"/>
  <c r="H620" i="2"/>
  <c r="M620" i="2" s="1"/>
  <c r="N620" i="2" s="1"/>
  <c r="H619" i="2"/>
  <c r="M619" i="2" s="1"/>
  <c r="N619" i="2" s="1"/>
  <c r="H618" i="2"/>
  <c r="M618" i="2" s="1"/>
  <c r="N618" i="2" s="1"/>
  <c r="H617" i="2"/>
  <c r="M617" i="2" s="1"/>
  <c r="N617" i="2" s="1"/>
  <c r="H616" i="2"/>
  <c r="M616" i="2" s="1"/>
  <c r="N616" i="2" s="1"/>
  <c r="H615" i="2"/>
  <c r="M615" i="2" s="1"/>
  <c r="N615" i="2" s="1"/>
  <c r="H614" i="2"/>
  <c r="M614" i="2" s="1"/>
  <c r="N614" i="2" s="1"/>
  <c r="H613" i="2"/>
  <c r="M613" i="2" s="1"/>
  <c r="N613" i="2" s="1"/>
  <c r="H612" i="2"/>
  <c r="M612" i="2" s="1"/>
  <c r="N612" i="2" s="1"/>
  <c r="H611" i="2"/>
  <c r="M611" i="2" s="1"/>
  <c r="N611" i="2" s="1"/>
  <c r="H610" i="2"/>
  <c r="M610" i="2" s="1"/>
  <c r="N610" i="2" s="1"/>
  <c r="H609" i="2"/>
  <c r="M609" i="2" s="1"/>
  <c r="N609" i="2" s="1"/>
  <c r="H608" i="2"/>
  <c r="M608" i="2" s="1"/>
  <c r="N608" i="2" s="1"/>
  <c r="H607" i="2"/>
  <c r="M607" i="2" s="1"/>
  <c r="N607" i="2" s="1"/>
  <c r="H606" i="2"/>
  <c r="M606" i="2" s="1"/>
  <c r="N606" i="2" s="1"/>
  <c r="H605" i="2"/>
  <c r="M605" i="2" s="1"/>
  <c r="N605" i="2" s="1"/>
  <c r="H604" i="2"/>
  <c r="M604" i="2" s="1"/>
  <c r="N604" i="2" s="1"/>
  <c r="H603" i="2"/>
  <c r="M603" i="2" s="1"/>
  <c r="N603" i="2" s="1"/>
  <c r="H602" i="2"/>
  <c r="M602" i="2" s="1"/>
  <c r="N602" i="2" s="1"/>
  <c r="H601" i="2"/>
  <c r="M601" i="2" s="1"/>
  <c r="N601" i="2" s="1"/>
  <c r="H600" i="2"/>
  <c r="M600" i="2" s="1"/>
  <c r="N600" i="2" s="1"/>
  <c r="H599" i="2"/>
  <c r="M599" i="2" s="1"/>
  <c r="N599" i="2" s="1"/>
  <c r="H598" i="2"/>
  <c r="M598" i="2" s="1"/>
  <c r="N598" i="2" s="1"/>
  <c r="H597" i="2"/>
  <c r="M597" i="2" s="1"/>
  <c r="N597" i="2" s="1"/>
  <c r="H596" i="2"/>
  <c r="M596" i="2" s="1"/>
  <c r="N596" i="2" s="1"/>
  <c r="H595" i="2"/>
  <c r="M595" i="2" s="1"/>
  <c r="N595" i="2" s="1"/>
  <c r="H594" i="2"/>
  <c r="M594" i="2" s="1"/>
  <c r="N594" i="2" s="1"/>
  <c r="H593" i="2"/>
  <c r="M593" i="2" s="1"/>
  <c r="N593" i="2" s="1"/>
  <c r="H592" i="2"/>
  <c r="M592" i="2" s="1"/>
  <c r="N592" i="2" s="1"/>
  <c r="H591" i="2"/>
  <c r="M591" i="2" s="1"/>
  <c r="N591" i="2" s="1"/>
  <c r="H590" i="2"/>
  <c r="M590" i="2" s="1"/>
  <c r="N590" i="2" s="1"/>
  <c r="H589" i="2"/>
  <c r="M589" i="2" s="1"/>
  <c r="N589" i="2" s="1"/>
  <c r="H588" i="2"/>
  <c r="M588" i="2" s="1"/>
  <c r="N588" i="2" s="1"/>
  <c r="H587" i="2"/>
  <c r="M587" i="2" s="1"/>
  <c r="N587" i="2" s="1"/>
  <c r="H586" i="2"/>
  <c r="M586" i="2" s="1"/>
  <c r="N586" i="2" s="1"/>
  <c r="H585" i="2"/>
  <c r="M585" i="2" s="1"/>
  <c r="N585" i="2" s="1"/>
  <c r="H584" i="2"/>
  <c r="M584" i="2" s="1"/>
  <c r="N584" i="2" s="1"/>
  <c r="H583" i="2"/>
  <c r="M583" i="2" s="1"/>
  <c r="N583" i="2" s="1"/>
  <c r="H582" i="2"/>
  <c r="M582" i="2" s="1"/>
  <c r="N582" i="2" s="1"/>
  <c r="H581" i="2"/>
  <c r="M581" i="2" s="1"/>
  <c r="N581" i="2" s="1"/>
  <c r="H580" i="2"/>
  <c r="M580" i="2" s="1"/>
  <c r="N580" i="2" s="1"/>
  <c r="H578" i="2"/>
  <c r="M578" i="2" s="1"/>
  <c r="N578" i="2" s="1"/>
  <c r="H575" i="2"/>
  <c r="M575" i="2" s="1"/>
  <c r="N575" i="2" s="1"/>
  <c r="H573" i="2"/>
  <c r="M573" i="2" s="1"/>
  <c r="N573" i="2" s="1"/>
  <c r="H570" i="2"/>
  <c r="M570" i="2" s="1"/>
  <c r="N570" i="2" s="1"/>
  <c r="H565" i="2"/>
  <c r="M565" i="2" s="1"/>
  <c r="N565" i="2" s="1"/>
  <c r="H556" i="2"/>
  <c r="M556" i="2" s="1"/>
  <c r="N556" i="2" s="1"/>
  <c r="H554" i="2"/>
  <c r="M554" i="2" s="1"/>
  <c r="N554" i="2" s="1"/>
  <c r="H552" i="2"/>
  <c r="M552" i="2" s="1"/>
  <c r="N552" i="2" s="1"/>
  <c r="H544" i="2"/>
  <c r="M544" i="2" s="1"/>
  <c r="N544" i="2" s="1"/>
  <c r="H542" i="2"/>
  <c r="M542" i="2" s="1"/>
  <c r="N542" i="2" s="1"/>
  <c r="H536" i="2"/>
  <c r="M536" i="2" s="1"/>
  <c r="N536" i="2" s="1"/>
  <c r="H533" i="2"/>
  <c r="M533" i="2" s="1"/>
  <c r="N533" i="2" s="1"/>
  <c r="H527" i="2"/>
  <c r="M527" i="2" s="1"/>
  <c r="N527" i="2" s="1"/>
  <c r="H473" i="2"/>
  <c r="M473" i="2" s="1"/>
  <c r="N473" i="2" s="1"/>
  <c r="H471" i="2"/>
  <c r="M471" i="2" s="1"/>
  <c r="N471" i="2" s="1"/>
  <c r="H467" i="2"/>
  <c r="M467" i="2" s="1"/>
  <c r="N467" i="2" s="1"/>
  <c r="H455" i="2"/>
  <c r="M455" i="2" s="1"/>
  <c r="N455" i="2" s="1"/>
  <c r="H451" i="2"/>
  <c r="M451" i="2" s="1"/>
  <c r="N451" i="2" s="1"/>
  <c r="H444" i="2"/>
  <c r="M444" i="2" s="1"/>
  <c r="N444" i="2" s="1"/>
  <c r="H442" i="2"/>
  <c r="M442" i="2" s="1"/>
  <c r="N442" i="2" s="1"/>
  <c r="H435" i="2"/>
  <c r="M435" i="2" s="1"/>
  <c r="N435" i="2" s="1"/>
  <c r="H432" i="2"/>
  <c r="M432" i="2" s="1"/>
  <c r="N432" i="2" s="1"/>
  <c r="H429" i="2"/>
  <c r="M429" i="2" s="1"/>
  <c r="N429" i="2" s="1"/>
  <c r="H372" i="2"/>
  <c r="M372" i="2" s="1"/>
  <c r="N372" i="2" s="1"/>
  <c r="H370" i="2"/>
  <c r="M370" i="2" s="1"/>
  <c r="N370" i="2" s="1"/>
  <c r="H364" i="2"/>
  <c r="M364" i="2" s="1"/>
  <c r="N364" i="2" s="1"/>
  <c r="H352" i="2"/>
  <c r="M352" i="2" s="1"/>
  <c r="N352" i="2" s="1"/>
  <c r="H349" i="2"/>
  <c r="M349" i="2" s="1"/>
  <c r="N349" i="2" s="1"/>
  <c r="H346" i="2"/>
  <c r="M346" i="2" s="1"/>
  <c r="N346" i="2" s="1"/>
  <c r="H344" i="2"/>
  <c r="M344" i="2" s="1"/>
  <c r="N344" i="2" s="1"/>
  <c r="H341" i="2"/>
  <c r="M341" i="2" s="1"/>
  <c r="N341" i="2" s="1"/>
  <c r="H332" i="2"/>
  <c r="M332" i="2" s="1"/>
  <c r="N332" i="2" s="1"/>
  <c r="H261" i="2"/>
  <c r="M261" i="2" s="1"/>
  <c r="N261" i="2" s="1"/>
  <c r="H258" i="2"/>
  <c r="M258" i="2" s="1"/>
  <c r="N258" i="2" s="1"/>
  <c r="H256" i="2"/>
  <c r="M256" i="2" s="1"/>
  <c r="N256" i="2" s="1"/>
  <c r="H253" i="2"/>
  <c r="M253" i="2" s="1"/>
  <c r="N253" i="2" s="1"/>
  <c r="H251" i="2"/>
  <c r="M251" i="2" s="1"/>
  <c r="N251" i="2" s="1"/>
  <c r="H246" i="2"/>
  <c r="M246" i="2" s="1"/>
  <c r="N246" i="2" s="1"/>
  <c r="H244" i="2"/>
  <c r="M244" i="2" s="1"/>
  <c r="N244" i="2" s="1"/>
  <c r="H236" i="2"/>
  <c r="M236" i="2" s="1"/>
  <c r="N236" i="2" s="1"/>
  <c r="H232" i="2"/>
  <c r="M232" i="2" s="1"/>
  <c r="N232" i="2" s="1"/>
  <c r="H224" i="2"/>
  <c r="M224" i="2" s="1"/>
  <c r="N224" i="2" s="1"/>
  <c r="H26" i="2"/>
  <c r="M26" i="2" s="1"/>
  <c r="N26" i="2" s="1"/>
  <c r="H22" i="2"/>
  <c r="H2284" i="2"/>
  <c r="M2284" i="2" s="1"/>
  <c r="N2284" i="2" s="1"/>
  <c r="H526" i="2"/>
  <c r="M526" i="2" s="1"/>
  <c r="N526" i="2" s="1"/>
  <c r="H525" i="2"/>
  <c r="M525" i="2" s="1"/>
  <c r="N525" i="2" s="1"/>
  <c r="H524" i="2"/>
  <c r="M524" i="2" s="1"/>
  <c r="N524" i="2" s="1"/>
  <c r="H523" i="2"/>
  <c r="M523" i="2" s="1"/>
  <c r="N523" i="2" s="1"/>
  <c r="H522" i="2"/>
  <c r="M522" i="2" s="1"/>
  <c r="N522" i="2" s="1"/>
  <c r="H521" i="2"/>
  <c r="M521" i="2" s="1"/>
  <c r="N521" i="2" s="1"/>
  <c r="H520" i="2"/>
  <c r="M520" i="2" s="1"/>
  <c r="N520" i="2" s="1"/>
  <c r="H519" i="2"/>
  <c r="M519" i="2" s="1"/>
  <c r="N519" i="2" s="1"/>
  <c r="H518" i="2"/>
  <c r="M518" i="2" s="1"/>
  <c r="N518" i="2" s="1"/>
  <c r="H517" i="2"/>
  <c r="M517" i="2" s="1"/>
  <c r="N517" i="2" s="1"/>
  <c r="H516" i="2"/>
  <c r="M516" i="2" s="1"/>
  <c r="N516" i="2" s="1"/>
  <c r="H515" i="2"/>
  <c r="M515" i="2" s="1"/>
  <c r="N515" i="2" s="1"/>
  <c r="H514" i="2"/>
  <c r="M514" i="2" s="1"/>
  <c r="N514" i="2" s="1"/>
  <c r="H513" i="2"/>
  <c r="M513" i="2" s="1"/>
  <c r="N513" i="2" s="1"/>
  <c r="H512" i="2"/>
  <c r="M512" i="2" s="1"/>
  <c r="N512" i="2" s="1"/>
  <c r="H511" i="2"/>
  <c r="M511" i="2" s="1"/>
  <c r="N511" i="2" s="1"/>
  <c r="H510" i="2"/>
  <c r="M510" i="2" s="1"/>
  <c r="N510" i="2" s="1"/>
  <c r="H509" i="2"/>
  <c r="M509" i="2" s="1"/>
  <c r="N509" i="2" s="1"/>
  <c r="H508" i="2"/>
  <c r="M508" i="2" s="1"/>
  <c r="N508" i="2" s="1"/>
  <c r="H507" i="2"/>
  <c r="M507" i="2" s="1"/>
  <c r="N507" i="2" s="1"/>
  <c r="H506" i="2"/>
  <c r="M506" i="2" s="1"/>
  <c r="N506" i="2" s="1"/>
  <c r="H505" i="2"/>
  <c r="M505" i="2" s="1"/>
  <c r="N505" i="2" s="1"/>
  <c r="H504" i="2"/>
  <c r="M504" i="2" s="1"/>
  <c r="N504" i="2" s="1"/>
  <c r="H503" i="2"/>
  <c r="M503" i="2" s="1"/>
  <c r="N503" i="2" s="1"/>
  <c r="H502" i="2"/>
  <c r="M502" i="2" s="1"/>
  <c r="N502" i="2" s="1"/>
  <c r="H501" i="2"/>
  <c r="M501" i="2" s="1"/>
  <c r="N501" i="2" s="1"/>
  <c r="H500" i="2"/>
  <c r="M500" i="2" s="1"/>
  <c r="N500" i="2" s="1"/>
  <c r="H499" i="2"/>
  <c r="M499" i="2" s="1"/>
  <c r="N499" i="2" s="1"/>
  <c r="H498" i="2"/>
  <c r="M498" i="2" s="1"/>
  <c r="N498" i="2" s="1"/>
  <c r="H497" i="2"/>
  <c r="M497" i="2" s="1"/>
  <c r="N497" i="2" s="1"/>
  <c r="H496" i="2"/>
  <c r="M496" i="2" s="1"/>
  <c r="N496" i="2" s="1"/>
  <c r="H495" i="2"/>
  <c r="M495" i="2" s="1"/>
  <c r="N495" i="2" s="1"/>
  <c r="H494" i="2"/>
  <c r="M494" i="2" s="1"/>
  <c r="N494" i="2" s="1"/>
  <c r="H493" i="2"/>
  <c r="M493" i="2" s="1"/>
  <c r="N493" i="2" s="1"/>
  <c r="H492" i="2"/>
  <c r="M492" i="2" s="1"/>
  <c r="N492" i="2" s="1"/>
  <c r="H491" i="2"/>
  <c r="M491" i="2" s="1"/>
  <c r="N491" i="2" s="1"/>
  <c r="H490" i="2"/>
  <c r="M490" i="2" s="1"/>
  <c r="N490" i="2" s="1"/>
  <c r="H489" i="2"/>
  <c r="M489" i="2" s="1"/>
  <c r="N489" i="2" s="1"/>
  <c r="H488" i="2"/>
  <c r="M488" i="2" s="1"/>
  <c r="N488" i="2" s="1"/>
  <c r="H487" i="2"/>
  <c r="M487" i="2" s="1"/>
  <c r="N487" i="2" s="1"/>
  <c r="H486" i="2"/>
  <c r="M486" i="2" s="1"/>
  <c r="N486" i="2" s="1"/>
  <c r="H485" i="2"/>
  <c r="M485" i="2" s="1"/>
  <c r="N485" i="2" s="1"/>
  <c r="H484" i="2"/>
  <c r="M484" i="2" s="1"/>
  <c r="N484" i="2" s="1"/>
  <c r="H483" i="2"/>
  <c r="M483" i="2" s="1"/>
  <c r="N483" i="2" s="1"/>
  <c r="H482" i="2"/>
  <c r="M482" i="2" s="1"/>
  <c r="N482" i="2" s="1"/>
  <c r="H481" i="2"/>
  <c r="M481" i="2" s="1"/>
  <c r="N481" i="2" s="1"/>
  <c r="H480" i="2"/>
  <c r="M480" i="2" s="1"/>
  <c r="N480" i="2" s="1"/>
  <c r="H479" i="2"/>
  <c r="M479" i="2" s="1"/>
  <c r="N479" i="2" s="1"/>
  <c r="H478" i="2"/>
  <c r="M478" i="2" s="1"/>
  <c r="N478" i="2" s="1"/>
  <c r="H477" i="2"/>
  <c r="M477" i="2" s="1"/>
  <c r="N477" i="2" s="1"/>
  <c r="H461" i="2"/>
  <c r="M461" i="2" s="1"/>
  <c r="N461" i="2" s="1"/>
  <c r="H458" i="2"/>
  <c r="M458" i="2" s="1"/>
  <c r="N458" i="2" s="1"/>
  <c r="H452" i="2"/>
  <c r="M452" i="2" s="1"/>
  <c r="N452" i="2" s="1"/>
  <c r="H446" i="2"/>
  <c r="M446" i="2" s="1"/>
  <c r="N446" i="2" s="1"/>
  <c r="H342" i="2"/>
  <c r="M342" i="2" s="1"/>
  <c r="N342" i="2" s="1"/>
  <c r="H323" i="2"/>
  <c r="M323" i="2" s="1"/>
  <c r="N323" i="2" s="1"/>
  <c r="H234" i="2"/>
  <c r="M234" i="2" s="1"/>
  <c r="N234" i="2" s="1"/>
  <c r="H41" i="2"/>
  <c r="M41" i="2" s="1"/>
  <c r="N41" i="2" s="1"/>
  <c r="H34" i="2"/>
  <c r="M34" i="2" s="1"/>
  <c r="N34" i="2" s="1"/>
  <c r="H29" i="2"/>
  <c r="M29" i="2" s="1"/>
  <c r="N29" i="2" s="1"/>
  <c r="H2277" i="2"/>
  <c r="M2277" i="2" s="1"/>
  <c r="N2277" i="2" s="1"/>
  <c r="H424" i="2"/>
  <c r="M424" i="2" s="1"/>
  <c r="N424" i="2" s="1"/>
  <c r="H423" i="2"/>
  <c r="M423" i="2" s="1"/>
  <c r="N423" i="2" s="1"/>
  <c r="H422" i="2"/>
  <c r="M422" i="2" s="1"/>
  <c r="N422" i="2" s="1"/>
  <c r="H421" i="2"/>
  <c r="M421" i="2" s="1"/>
  <c r="N421" i="2" s="1"/>
  <c r="H420" i="2"/>
  <c r="M420" i="2" s="1"/>
  <c r="N420" i="2" s="1"/>
  <c r="H419" i="2"/>
  <c r="M419" i="2" s="1"/>
  <c r="N419" i="2" s="1"/>
  <c r="H418" i="2"/>
  <c r="M418" i="2" s="1"/>
  <c r="N418" i="2" s="1"/>
  <c r="H417" i="2"/>
  <c r="M417" i="2" s="1"/>
  <c r="N417" i="2" s="1"/>
  <c r="H416" i="2"/>
  <c r="M416" i="2" s="1"/>
  <c r="N416" i="2" s="1"/>
  <c r="H415" i="2"/>
  <c r="M415" i="2" s="1"/>
  <c r="N415" i="2" s="1"/>
  <c r="H414" i="2"/>
  <c r="M414" i="2" s="1"/>
  <c r="N414" i="2" s="1"/>
  <c r="H413" i="2"/>
  <c r="M413" i="2" s="1"/>
  <c r="N413" i="2" s="1"/>
  <c r="H412" i="2"/>
  <c r="M412" i="2" s="1"/>
  <c r="N412" i="2" s="1"/>
  <c r="H411" i="2"/>
  <c r="M411" i="2" s="1"/>
  <c r="N411" i="2" s="1"/>
  <c r="H410" i="2"/>
  <c r="M410" i="2" s="1"/>
  <c r="N410" i="2" s="1"/>
  <c r="H409" i="2"/>
  <c r="M409" i="2" s="1"/>
  <c r="N409" i="2" s="1"/>
  <c r="H408" i="2"/>
  <c r="M408" i="2" s="1"/>
  <c r="N408" i="2" s="1"/>
  <c r="H407" i="2"/>
  <c r="M407" i="2" s="1"/>
  <c r="N407" i="2" s="1"/>
  <c r="H406" i="2"/>
  <c r="M406" i="2" s="1"/>
  <c r="N406" i="2" s="1"/>
  <c r="H405" i="2"/>
  <c r="M405" i="2" s="1"/>
  <c r="N405" i="2" s="1"/>
  <c r="H404" i="2"/>
  <c r="M404" i="2" s="1"/>
  <c r="N404" i="2" s="1"/>
  <c r="H403" i="2"/>
  <c r="M403" i="2" s="1"/>
  <c r="N403" i="2" s="1"/>
  <c r="H402" i="2"/>
  <c r="M402" i="2" s="1"/>
  <c r="N402" i="2" s="1"/>
  <c r="H401" i="2"/>
  <c r="M401" i="2" s="1"/>
  <c r="N401" i="2" s="1"/>
  <c r="H400" i="2"/>
  <c r="M400" i="2" s="1"/>
  <c r="N400" i="2" s="1"/>
  <c r="H399" i="2"/>
  <c r="M399" i="2" s="1"/>
  <c r="N399" i="2" s="1"/>
  <c r="H398" i="2"/>
  <c r="M398" i="2" s="1"/>
  <c r="N398" i="2" s="1"/>
  <c r="H397" i="2"/>
  <c r="M397" i="2" s="1"/>
  <c r="N397" i="2" s="1"/>
  <c r="H396" i="2"/>
  <c r="M396" i="2" s="1"/>
  <c r="N396" i="2" s="1"/>
  <c r="H395" i="2"/>
  <c r="M395" i="2" s="1"/>
  <c r="N395" i="2" s="1"/>
  <c r="H394" i="2"/>
  <c r="M394" i="2" s="1"/>
  <c r="N394" i="2" s="1"/>
  <c r="H393" i="2"/>
  <c r="M393" i="2" s="1"/>
  <c r="N393" i="2" s="1"/>
  <c r="H392" i="2"/>
  <c r="M392" i="2" s="1"/>
  <c r="N392" i="2" s="1"/>
  <c r="H391" i="2"/>
  <c r="M391" i="2" s="1"/>
  <c r="N391" i="2" s="1"/>
  <c r="H390" i="2"/>
  <c r="M390" i="2" s="1"/>
  <c r="N390" i="2" s="1"/>
  <c r="H389" i="2"/>
  <c r="M389" i="2" s="1"/>
  <c r="N389" i="2" s="1"/>
  <c r="H388" i="2"/>
  <c r="M388" i="2" s="1"/>
  <c r="N388" i="2" s="1"/>
  <c r="H387" i="2"/>
  <c r="M387" i="2" s="1"/>
  <c r="N387" i="2" s="1"/>
  <c r="H386" i="2"/>
  <c r="M386" i="2" s="1"/>
  <c r="N386" i="2" s="1"/>
  <c r="H385" i="2"/>
  <c r="M385" i="2" s="1"/>
  <c r="N385" i="2" s="1"/>
  <c r="H384" i="2"/>
  <c r="M384" i="2" s="1"/>
  <c r="N384" i="2" s="1"/>
  <c r="H383" i="2"/>
  <c r="M383" i="2" s="1"/>
  <c r="N383" i="2" s="1"/>
  <c r="H382" i="2"/>
  <c r="M382" i="2" s="1"/>
  <c r="N382" i="2" s="1"/>
  <c r="H381" i="2"/>
  <c r="M381" i="2" s="1"/>
  <c r="N381" i="2" s="1"/>
  <c r="H380" i="2"/>
  <c r="M380" i="2" s="1"/>
  <c r="N380" i="2" s="1"/>
  <c r="H379" i="2"/>
  <c r="M379" i="2" s="1"/>
  <c r="N379" i="2" s="1"/>
  <c r="H378" i="2"/>
  <c r="M378" i="2" s="1"/>
  <c r="N378" i="2" s="1"/>
  <c r="H377" i="2"/>
  <c r="M377" i="2" s="1"/>
  <c r="N377" i="2" s="1"/>
  <c r="H376" i="2"/>
  <c r="M376" i="2" s="1"/>
  <c r="N376" i="2" s="1"/>
  <c r="H375" i="2"/>
  <c r="M375" i="2" s="1"/>
  <c r="N375" i="2" s="1"/>
  <c r="H361" i="2"/>
  <c r="M361" i="2" s="1"/>
  <c r="N361" i="2" s="1"/>
  <c r="H328" i="2"/>
  <c r="M328" i="2" s="1"/>
  <c r="N328" i="2" s="1"/>
  <c r="H260" i="2"/>
  <c r="M260" i="2" s="1"/>
  <c r="N260" i="2" s="1"/>
  <c r="H240" i="2"/>
  <c r="M240" i="2" s="1"/>
  <c r="N240" i="2" s="1"/>
  <c r="H230" i="2"/>
  <c r="M230" i="2" s="1"/>
  <c r="N230" i="2" s="1"/>
  <c r="H19" i="2"/>
  <c r="H2281" i="2"/>
  <c r="M2281" i="2" s="1"/>
  <c r="N2281" i="2" s="1"/>
  <c r="H322" i="2"/>
  <c r="M322" i="2" s="1"/>
  <c r="N322" i="2" s="1"/>
  <c r="H321" i="2"/>
  <c r="M321" i="2" s="1"/>
  <c r="N321" i="2" s="1"/>
  <c r="H320" i="2"/>
  <c r="M320" i="2" s="1"/>
  <c r="N320" i="2" s="1"/>
  <c r="H319" i="2"/>
  <c r="M319" i="2" s="1"/>
  <c r="N319" i="2" s="1"/>
  <c r="H318" i="2"/>
  <c r="M318" i="2" s="1"/>
  <c r="N318" i="2" s="1"/>
  <c r="H317" i="2"/>
  <c r="M317" i="2" s="1"/>
  <c r="N317" i="2" s="1"/>
  <c r="H316" i="2"/>
  <c r="M316" i="2" s="1"/>
  <c r="N316" i="2" s="1"/>
  <c r="H315" i="2"/>
  <c r="M315" i="2" s="1"/>
  <c r="N315" i="2" s="1"/>
  <c r="H314" i="2"/>
  <c r="M314" i="2" s="1"/>
  <c r="N314" i="2" s="1"/>
  <c r="H313" i="2"/>
  <c r="M313" i="2" s="1"/>
  <c r="N313" i="2" s="1"/>
  <c r="H312" i="2"/>
  <c r="M312" i="2" s="1"/>
  <c r="N312" i="2" s="1"/>
  <c r="H311" i="2"/>
  <c r="M311" i="2" s="1"/>
  <c r="N311" i="2" s="1"/>
  <c r="H310" i="2"/>
  <c r="M310" i="2" s="1"/>
  <c r="N310" i="2" s="1"/>
  <c r="H309" i="2"/>
  <c r="M309" i="2" s="1"/>
  <c r="N309" i="2" s="1"/>
  <c r="H308" i="2"/>
  <c r="M308" i="2" s="1"/>
  <c r="N308" i="2" s="1"/>
  <c r="H307" i="2"/>
  <c r="M307" i="2" s="1"/>
  <c r="N307" i="2" s="1"/>
  <c r="H306" i="2"/>
  <c r="M306" i="2" s="1"/>
  <c r="N306" i="2" s="1"/>
  <c r="H305" i="2"/>
  <c r="M305" i="2" s="1"/>
  <c r="N305" i="2" s="1"/>
  <c r="H304" i="2"/>
  <c r="M304" i="2" s="1"/>
  <c r="N304" i="2" s="1"/>
  <c r="H303" i="2"/>
  <c r="M303" i="2" s="1"/>
  <c r="N303" i="2" s="1"/>
  <c r="H302" i="2"/>
  <c r="M302" i="2" s="1"/>
  <c r="N302" i="2" s="1"/>
  <c r="H301" i="2"/>
  <c r="M301" i="2" s="1"/>
  <c r="N301" i="2" s="1"/>
  <c r="H300" i="2"/>
  <c r="M300" i="2" s="1"/>
  <c r="N300" i="2" s="1"/>
  <c r="H299" i="2"/>
  <c r="M299" i="2" s="1"/>
  <c r="N299" i="2" s="1"/>
  <c r="H298" i="2"/>
  <c r="M298" i="2" s="1"/>
  <c r="N298" i="2" s="1"/>
  <c r="H297" i="2"/>
  <c r="M297" i="2" s="1"/>
  <c r="N297" i="2" s="1"/>
  <c r="H296" i="2"/>
  <c r="M296" i="2" s="1"/>
  <c r="N296" i="2" s="1"/>
  <c r="H295" i="2"/>
  <c r="M295" i="2" s="1"/>
  <c r="N295" i="2" s="1"/>
  <c r="H294" i="2"/>
  <c r="M294" i="2" s="1"/>
  <c r="N294" i="2" s="1"/>
  <c r="H293" i="2"/>
  <c r="M293" i="2" s="1"/>
  <c r="N293" i="2" s="1"/>
  <c r="H292" i="2"/>
  <c r="M292" i="2" s="1"/>
  <c r="N292" i="2" s="1"/>
  <c r="H291" i="2"/>
  <c r="M291" i="2" s="1"/>
  <c r="N291" i="2" s="1"/>
  <c r="H290" i="2"/>
  <c r="M290" i="2" s="1"/>
  <c r="N290" i="2" s="1"/>
  <c r="H289" i="2"/>
  <c r="M289" i="2" s="1"/>
  <c r="N289" i="2" s="1"/>
  <c r="H288" i="2"/>
  <c r="M288" i="2" s="1"/>
  <c r="N288" i="2" s="1"/>
  <c r="H287" i="2"/>
  <c r="M287" i="2" s="1"/>
  <c r="N287" i="2" s="1"/>
  <c r="H286" i="2"/>
  <c r="M286" i="2" s="1"/>
  <c r="N286" i="2" s="1"/>
  <c r="H285" i="2"/>
  <c r="M285" i="2" s="1"/>
  <c r="N285" i="2" s="1"/>
  <c r="H284" i="2"/>
  <c r="M284" i="2" s="1"/>
  <c r="N284" i="2" s="1"/>
  <c r="H283" i="2"/>
  <c r="M283" i="2" s="1"/>
  <c r="N283" i="2" s="1"/>
  <c r="H282" i="2"/>
  <c r="M282" i="2" s="1"/>
  <c r="N282" i="2" s="1"/>
  <c r="H281" i="2"/>
  <c r="M281" i="2" s="1"/>
  <c r="N281" i="2" s="1"/>
  <c r="H280" i="2"/>
  <c r="M280" i="2" s="1"/>
  <c r="N280" i="2" s="1"/>
  <c r="H279" i="2"/>
  <c r="M279" i="2" s="1"/>
  <c r="N279" i="2" s="1"/>
  <c r="H278" i="2"/>
  <c r="M278" i="2" s="1"/>
  <c r="N278" i="2" s="1"/>
  <c r="H277" i="2"/>
  <c r="M277" i="2" s="1"/>
  <c r="N277" i="2" s="1"/>
  <c r="H276" i="2"/>
  <c r="M276" i="2" s="1"/>
  <c r="N276" i="2" s="1"/>
  <c r="H275" i="2"/>
  <c r="M275" i="2" s="1"/>
  <c r="N275" i="2" s="1"/>
  <c r="H274" i="2"/>
  <c r="M274" i="2" s="1"/>
  <c r="N274" i="2" s="1"/>
  <c r="H273" i="2"/>
  <c r="M273" i="2" s="1"/>
  <c r="N273" i="2" s="1"/>
  <c r="H272" i="2"/>
  <c r="M272" i="2" s="1"/>
  <c r="N272" i="2" s="1"/>
  <c r="H271" i="2"/>
  <c r="M271" i="2" s="1"/>
  <c r="N271" i="2" s="1"/>
  <c r="H270" i="2"/>
  <c r="M270" i="2" s="1"/>
  <c r="N270" i="2" s="1"/>
  <c r="H269" i="2"/>
  <c r="M269" i="2" s="1"/>
  <c r="N269" i="2" s="1"/>
  <c r="H268" i="2"/>
  <c r="M268" i="2" s="1"/>
  <c r="N268" i="2" s="1"/>
  <c r="H267" i="2"/>
  <c r="M267" i="2" s="1"/>
  <c r="N267" i="2" s="1"/>
  <c r="H266" i="2"/>
  <c r="M266" i="2" s="1"/>
  <c r="N266" i="2" s="1"/>
  <c r="H265" i="2"/>
  <c r="M265" i="2" s="1"/>
  <c r="N265" i="2" s="1"/>
  <c r="H226" i="2"/>
  <c r="M226" i="2" s="1"/>
  <c r="N226" i="2" s="1"/>
  <c r="H42" i="2"/>
  <c r="M42" i="2" s="1"/>
  <c r="N42" i="2" s="1"/>
  <c r="H37" i="2"/>
  <c r="M37" i="2" s="1"/>
  <c r="N37" i="2" s="1"/>
  <c r="H17" i="2"/>
  <c r="H221" i="2"/>
  <c r="M221" i="2" s="1"/>
  <c r="N221" i="2" s="1"/>
  <c r="H220" i="2"/>
  <c r="M220" i="2" s="1"/>
  <c r="N220" i="2" s="1"/>
  <c r="H219" i="2"/>
  <c r="M219" i="2" s="1"/>
  <c r="N219" i="2" s="1"/>
  <c r="H218" i="2"/>
  <c r="M218" i="2" s="1"/>
  <c r="N218" i="2" s="1"/>
  <c r="H217" i="2"/>
  <c r="M217" i="2" s="1"/>
  <c r="N217" i="2" s="1"/>
  <c r="H216" i="2"/>
  <c r="M216" i="2" s="1"/>
  <c r="N216" i="2" s="1"/>
  <c r="H215" i="2"/>
  <c r="M215" i="2" s="1"/>
  <c r="N215" i="2" s="1"/>
  <c r="H214" i="2"/>
  <c r="M214" i="2" s="1"/>
  <c r="N214" i="2" s="1"/>
  <c r="H213" i="2"/>
  <c r="M213" i="2" s="1"/>
  <c r="N213" i="2" s="1"/>
  <c r="H212" i="2"/>
  <c r="M212" i="2" s="1"/>
  <c r="N212" i="2" s="1"/>
  <c r="H211" i="2"/>
  <c r="M211" i="2" s="1"/>
  <c r="N211" i="2" s="1"/>
  <c r="H210" i="2"/>
  <c r="M210" i="2" s="1"/>
  <c r="N210" i="2" s="1"/>
  <c r="H209" i="2"/>
  <c r="M209" i="2" s="1"/>
  <c r="N209" i="2" s="1"/>
  <c r="H208" i="2"/>
  <c r="M208" i="2" s="1"/>
  <c r="N208" i="2" s="1"/>
  <c r="H207" i="2"/>
  <c r="M207" i="2" s="1"/>
  <c r="N207" i="2" s="1"/>
  <c r="H206" i="2"/>
  <c r="M206" i="2" s="1"/>
  <c r="N206" i="2" s="1"/>
  <c r="H205" i="2"/>
  <c r="M205" i="2" s="1"/>
  <c r="N205" i="2" s="1"/>
  <c r="H204" i="2"/>
  <c r="M204" i="2" s="1"/>
  <c r="N204" i="2" s="1"/>
  <c r="H203" i="2"/>
  <c r="M203" i="2" s="1"/>
  <c r="N203" i="2" s="1"/>
  <c r="H202" i="2"/>
  <c r="M202" i="2" s="1"/>
  <c r="N202" i="2" s="1"/>
  <c r="H201" i="2"/>
  <c r="M201" i="2" s="1"/>
  <c r="N201" i="2" s="1"/>
  <c r="H200" i="2"/>
  <c r="M200" i="2" s="1"/>
  <c r="N200" i="2" s="1"/>
  <c r="H199" i="2"/>
  <c r="M199" i="2" s="1"/>
  <c r="N199" i="2" s="1"/>
  <c r="H198" i="2"/>
  <c r="M198" i="2" s="1"/>
  <c r="N198" i="2" s="1"/>
  <c r="H197" i="2"/>
  <c r="M197" i="2" s="1"/>
  <c r="N197" i="2" s="1"/>
  <c r="H196" i="2"/>
  <c r="M196" i="2" s="1"/>
  <c r="N196" i="2" s="1"/>
  <c r="H195" i="2"/>
  <c r="M195" i="2" s="1"/>
  <c r="N195" i="2" s="1"/>
  <c r="H194" i="2"/>
  <c r="M194" i="2" s="1"/>
  <c r="N194" i="2" s="1"/>
  <c r="H193" i="2"/>
  <c r="M193" i="2" s="1"/>
  <c r="N193" i="2" s="1"/>
  <c r="H192" i="2"/>
  <c r="M192" i="2" s="1"/>
  <c r="N192" i="2" s="1"/>
  <c r="H191" i="2"/>
  <c r="M191" i="2" s="1"/>
  <c r="N191" i="2" s="1"/>
  <c r="H190" i="2"/>
  <c r="M190" i="2" s="1"/>
  <c r="N190" i="2" s="1"/>
  <c r="H189" i="2"/>
  <c r="M189" i="2" s="1"/>
  <c r="N189" i="2" s="1"/>
  <c r="H188" i="2"/>
  <c r="M188" i="2" s="1"/>
  <c r="N188" i="2" s="1"/>
  <c r="H187" i="2"/>
  <c r="M187" i="2" s="1"/>
  <c r="N187" i="2" s="1"/>
  <c r="H186" i="2"/>
  <c r="M186" i="2" s="1"/>
  <c r="N186" i="2" s="1"/>
  <c r="H185" i="2"/>
  <c r="M185" i="2" s="1"/>
  <c r="N185" i="2" s="1"/>
  <c r="H184" i="2"/>
  <c r="M184" i="2" s="1"/>
  <c r="N184" i="2" s="1"/>
  <c r="H183" i="2"/>
  <c r="M183" i="2" s="1"/>
  <c r="N183" i="2" s="1"/>
  <c r="H182" i="2"/>
  <c r="M182" i="2" s="1"/>
  <c r="N182" i="2" s="1"/>
  <c r="H181" i="2"/>
  <c r="M181" i="2" s="1"/>
  <c r="N181" i="2" s="1"/>
  <c r="H180" i="2"/>
  <c r="M180" i="2" s="1"/>
  <c r="N180" i="2" s="1"/>
  <c r="H179" i="2"/>
  <c r="M179" i="2" s="1"/>
  <c r="N179" i="2" s="1"/>
  <c r="H178" i="2"/>
  <c r="M178" i="2" s="1"/>
  <c r="N178" i="2" s="1"/>
  <c r="H177" i="2"/>
  <c r="M177" i="2" s="1"/>
  <c r="N177" i="2" s="1"/>
  <c r="H176" i="2"/>
  <c r="M176" i="2" s="1"/>
  <c r="N176" i="2" s="1"/>
  <c r="H175" i="2"/>
  <c r="M175" i="2" s="1"/>
  <c r="N175" i="2" s="1"/>
  <c r="H174" i="2"/>
  <c r="M174" i="2" s="1"/>
  <c r="N174" i="2" s="1"/>
  <c r="H173" i="2"/>
  <c r="M173" i="2" s="1"/>
  <c r="N173" i="2" s="1"/>
  <c r="H172" i="2"/>
  <c r="M172" i="2" s="1"/>
  <c r="N172" i="2" s="1"/>
  <c r="H171" i="2"/>
  <c r="M171" i="2" s="1"/>
  <c r="N171" i="2" s="1"/>
  <c r="H170" i="2"/>
  <c r="M170" i="2" s="1"/>
  <c r="N170" i="2" s="1"/>
  <c r="H169" i="2"/>
  <c r="M169" i="2" s="1"/>
  <c r="N169" i="2" s="1"/>
  <c r="H168" i="2"/>
  <c r="M168" i="2" s="1"/>
  <c r="N168" i="2" s="1"/>
  <c r="H167" i="2"/>
  <c r="M167" i="2" s="1"/>
  <c r="N167" i="2" s="1"/>
  <c r="H166" i="2"/>
  <c r="M166" i="2" s="1"/>
  <c r="N166" i="2" s="1"/>
  <c r="H165" i="2"/>
  <c r="M165" i="2" s="1"/>
  <c r="N165" i="2" s="1"/>
  <c r="H164" i="2"/>
  <c r="M164" i="2" s="1"/>
  <c r="N164" i="2" s="1"/>
  <c r="H163" i="2"/>
  <c r="M163" i="2" s="1"/>
  <c r="N163" i="2" s="1"/>
  <c r="H162" i="2"/>
  <c r="M162" i="2" s="1"/>
  <c r="N162" i="2" s="1"/>
  <c r="H161" i="2"/>
  <c r="M161" i="2" s="1"/>
  <c r="N161" i="2" s="1"/>
  <c r="H160" i="2"/>
  <c r="M160" i="2" s="1"/>
  <c r="N160" i="2" s="1"/>
  <c r="H159" i="2"/>
  <c r="M159" i="2" s="1"/>
  <c r="N159" i="2" s="1"/>
  <c r="H158" i="2"/>
  <c r="M158" i="2" s="1"/>
  <c r="N158" i="2" s="1"/>
  <c r="H157" i="2"/>
  <c r="M157" i="2" s="1"/>
  <c r="N157" i="2" s="1"/>
  <c r="H156" i="2"/>
  <c r="M156" i="2" s="1"/>
  <c r="N156" i="2" s="1"/>
  <c r="H155" i="2"/>
  <c r="M155" i="2" s="1"/>
  <c r="N155" i="2" s="1"/>
  <c r="H154" i="2"/>
  <c r="M154" i="2" s="1"/>
  <c r="N154" i="2" s="1"/>
  <c r="H153" i="2"/>
  <c r="M153" i="2" s="1"/>
  <c r="N153" i="2" s="1"/>
  <c r="H152" i="2"/>
  <c r="M152" i="2" s="1"/>
  <c r="N152" i="2" s="1"/>
  <c r="H151" i="2"/>
  <c r="M151" i="2" s="1"/>
  <c r="N151" i="2" s="1"/>
  <c r="H150" i="2"/>
  <c r="M150" i="2" s="1"/>
  <c r="N150" i="2" s="1"/>
  <c r="H149" i="2"/>
  <c r="M149" i="2" s="1"/>
  <c r="N149" i="2" s="1"/>
  <c r="H148" i="2"/>
  <c r="M148" i="2" s="1"/>
  <c r="N148" i="2" s="1"/>
  <c r="H147" i="2"/>
  <c r="M147" i="2" s="1"/>
  <c r="N147" i="2" s="1"/>
  <c r="H146" i="2"/>
  <c r="M146" i="2" s="1"/>
  <c r="N146" i="2" s="1"/>
  <c r="H145" i="2"/>
  <c r="M145" i="2" s="1"/>
  <c r="N145" i="2" s="1"/>
  <c r="H144" i="2"/>
  <c r="M144" i="2" s="1"/>
  <c r="N144" i="2" s="1"/>
  <c r="H143" i="2"/>
  <c r="M143" i="2" s="1"/>
  <c r="N143" i="2" s="1"/>
  <c r="H142" i="2"/>
  <c r="M142" i="2" s="1"/>
  <c r="N142" i="2" s="1"/>
  <c r="H141" i="2"/>
  <c r="M141" i="2" s="1"/>
  <c r="N141" i="2" s="1"/>
  <c r="H140" i="2"/>
  <c r="M140" i="2" s="1"/>
  <c r="N140" i="2" s="1"/>
  <c r="H139" i="2"/>
  <c r="M139" i="2" s="1"/>
  <c r="N139" i="2" s="1"/>
  <c r="H138" i="2"/>
  <c r="M138" i="2" s="1"/>
  <c r="N138" i="2" s="1"/>
  <c r="H137" i="2"/>
  <c r="M137" i="2" s="1"/>
  <c r="N137" i="2" s="1"/>
  <c r="H136" i="2"/>
  <c r="M136" i="2" s="1"/>
  <c r="N136" i="2" s="1"/>
  <c r="H135" i="2"/>
  <c r="M135" i="2" s="1"/>
  <c r="N135" i="2" s="1"/>
  <c r="H134" i="2"/>
  <c r="M134" i="2" s="1"/>
  <c r="N134" i="2" s="1"/>
  <c r="H133" i="2"/>
  <c r="M133" i="2" s="1"/>
  <c r="N133" i="2" s="1"/>
  <c r="H132" i="2"/>
  <c r="M132" i="2" s="1"/>
  <c r="N132" i="2" s="1"/>
  <c r="H131" i="2"/>
  <c r="M131" i="2" s="1"/>
  <c r="N131" i="2" s="1"/>
  <c r="H130" i="2"/>
  <c r="M130" i="2" s="1"/>
  <c r="N130" i="2" s="1"/>
  <c r="H129" i="2"/>
  <c r="M129" i="2" s="1"/>
  <c r="N129" i="2" s="1"/>
  <c r="H128" i="2"/>
  <c r="M128" i="2" s="1"/>
  <c r="N128" i="2" s="1"/>
  <c r="H127" i="2"/>
  <c r="M127" i="2" s="1"/>
  <c r="N127" i="2" s="1"/>
  <c r="H126" i="2"/>
  <c r="M126" i="2" s="1"/>
  <c r="N126" i="2" s="1"/>
  <c r="H125" i="2"/>
  <c r="M125" i="2" s="1"/>
  <c r="N125" i="2" s="1"/>
  <c r="H124" i="2"/>
  <c r="M124" i="2" s="1"/>
  <c r="N124" i="2" s="1"/>
  <c r="H123" i="2"/>
  <c r="M123" i="2" s="1"/>
  <c r="N123" i="2" s="1"/>
  <c r="H122" i="2"/>
  <c r="M122" i="2" s="1"/>
  <c r="N122" i="2" s="1"/>
  <c r="H121" i="2"/>
  <c r="M121" i="2" s="1"/>
  <c r="N121" i="2" s="1"/>
  <c r="H120" i="2"/>
  <c r="M120" i="2" s="1"/>
  <c r="N120" i="2" s="1"/>
  <c r="H119" i="2"/>
  <c r="M119" i="2" s="1"/>
  <c r="N119" i="2" s="1"/>
  <c r="H118" i="2"/>
  <c r="M118" i="2" s="1"/>
  <c r="N118" i="2" s="1"/>
  <c r="H56" i="2"/>
  <c r="M56" i="2" s="1"/>
  <c r="N56" i="2" s="1"/>
  <c r="H51" i="2"/>
  <c r="M51" i="2" s="1"/>
  <c r="N51" i="2" s="1"/>
  <c r="H45" i="2"/>
  <c r="M45" i="2" s="1"/>
  <c r="N45" i="2" s="1"/>
  <c r="H44" i="2"/>
  <c r="M44" i="2" s="1"/>
  <c r="N44" i="2" s="1"/>
  <c r="H36" i="2"/>
  <c r="M36" i="2" s="1"/>
  <c r="N36" i="2" s="1"/>
  <c r="H2282" i="2"/>
  <c r="M2282" i="2" s="1"/>
  <c r="N2282" i="2" s="1"/>
  <c r="H117" i="2"/>
  <c r="M117" i="2" s="1"/>
  <c r="N117" i="2" s="1"/>
  <c r="H116" i="2"/>
  <c r="M116" i="2" s="1"/>
  <c r="N116" i="2" s="1"/>
  <c r="H115" i="2"/>
  <c r="M115" i="2" s="1"/>
  <c r="N115" i="2" s="1"/>
  <c r="H114" i="2"/>
  <c r="M114" i="2" s="1"/>
  <c r="N114" i="2" s="1"/>
  <c r="H113" i="2"/>
  <c r="M113" i="2" s="1"/>
  <c r="N113" i="2" s="1"/>
  <c r="H112" i="2"/>
  <c r="M112" i="2" s="1"/>
  <c r="N112" i="2" s="1"/>
  <c r="H111" i="2"/>
  <c r="M111" i="2" s="1"/>
  <c r="N111" i="2" s="1"/>
  <c r="H110" i="2"/>
  <c r="M110" i="2" s="1"/>
  <c r="N110" i="2" s="1"/>
  <c r="H109" i="2"/>
  <c r="M109" i="2" s="1"/>
  <c r="N109" i="2" s="1"/>
  <c r="H108" i="2"/>
  <c r="M108" i="2" s="1"/>
  <c r="N108" i="2" s="1"/>
  <c r="H107" i="2"/>
  <c r="M107" i="2" s="1"/>
  <c r="N107" i="2" s="1"/>
  <c r="H106" i="2"/>
  <c r="M106" i="2" s="1"/>
  <c r="N106" i="2" s="1"/>
  <c r="H105" i="2"/>
  <c r="M105" i="2" s="1"/>
  <c r="N105" i="2" s="1"/>
  <c r="H104" i="2"/>
  <c r="M104" i="2" s="1"/>
  <c r="N104" i="2" s="1"/>
  <c r="H103" i="2"/>
  <c r="M103" i="2" s="1"/>
  <c r="N103" i="2" s="1"/>
  <c r="H102" i="2"/>
  <c r="M102" i="2" s="1"/>
  <c r="N102" i="2" s="1"/>
  <c r="H101" i="2"/>
  <c r="M101" i="2" s="1"/>
  <c r="N101" i="2" s="1"/>
  <c r="H100" i="2"/>
  <c r="M100" i="2" s="1"/>
  <c r="N100" i="2" s="1"/>
  <c r="H99" i="2"/>
  <c r="M99" i="2" s="1"/>
  <c r="N99" i="2" s="1"/>
  <c r="H98" i="2"/>
  <c r="M98" i="2" s="1"/>
  <c r="N98" i="2" s="1"/>
  <c r="H97" i="2"/>
  <c r="M97" i="2" s="1"/>
  <c r="N97" i="2" s="1"/>
  <c r="H96" i="2"/>
  <c r="M96" i="2" s="1"/>
  <c r="N96" i="2" s="1"/>
  <c r="H95" i="2"/>
  <c r="M95" i="2" s="1"/>
  <c r="N95" i="2" s="1"/>
  <c r="H94" i="2"/>
  <c r="M94" i="2" s="1"/>
  <c r="N94" i="2" s="1"/>
  <c r="H93" i="2"/>
  <c r="M93" i="2" s="1"/>
  <c r="N93" i="2" s="1"/>
  <c r="H92" i="2"/>
  <c r="M92" i="2" s="1"/>
  <c r="N92" i="2" s="1"/>
  <c r="H91" i="2"/>
  <c r="M91" i="2" s="1"/>
  <c r="N91" i="2" s="1"/>
  <c r="H90" i="2"/>
  <c r="M90" i="2" s="1"/>
  <c r="N90" i="2" s="1"/>
  <c r="H89" i="2"/>
  <c r="M89" i="2" s="1"/>
  <c r="N89" i="2" s="1"/>
  <c r="H88" i="2"/>
  <c r="M88" i="2" s="1"/>
  <c r="N88" i="2" s="1"/>
  <c r="H87" i="2"/>
  <c r="M87" i="2" s="1"/>
  <c r="N87" i="2" s="1"/>
  <c r="H86" i="2"/>
  <c r="M86" i="2" s="1"/>
  <c r="N86" i="2" s="1"/>
  <c r="H85" i="2"/>
  <c r="M85" i="2" s="1"/>
  <c r="N85" i="2" s="1"/>
  <c r="H84" i="2"/>
  <c r="M84" i="2" s="1"/>
  <c r="N84" i="2" s="1"/>
  <c r="H83" i="2"/>
  <c r="M83" i="2" s="1"/>
  <c r="N83" i="2" s="1"/>
  <c r="H82" i="2"/>
  <c r="M82" i="2" s="1"/>
  <c r="N82" i="2" s="1"/>
  <c r="H81" i="2"/>
  <c r="M81" i="2" s="1"/>
  <c r="N81" i="2" s="1"/>
  <c r="H80" i="2"/>
  <c r="M80" i="2" s="1"/>
  <c r="N80" i="2" s="1"/>
  <c r="H79" i="2"/>
  <c r="M79" i="2" s="1"/>
  <c r="N79" i="2" s="1"/>
  <c r="H78" i="2"/>
  <c r="M78" i="2" s="1"/>
  <c r="N78" i="2" s="1"/>
  <c r="H77" i="2"/>
  <c r="M77" i="2" s="1"/>
  <c r="N77" i="2" s="1"/>
  <c r="H76" i="2"/>
  <c r="M76" i="2" s="1"/>
  <c r="N76" i="2" s="1"/>
  <c r="H75" i="2"/>
  <c r="M75" i="2" s="1"/>
  <c r="N75" i="2" s="1"/>
  <c r="H74" i="2"/>
  <c r="M74" i="2" s="1"/>
  <c r="N74" i="2" s="1"/>
  <c r="H73" i="2"/>
  <c r="M73" i="2" s="1"/>
  <c r="N73" i="2" s="1"/>
  <c r="H72" i="2"/>
  <c r="M72" i="2" s="1"/>
  <c r="N72" i="2" s="1"/>
  <c r="H71" i="2"/>
  <c r="M71" i="2" s="1"/>
  <c r="N71" i="2" s="1"/>
  <c r="H70" i="2"/>
  <c r="M70" i="2" s="1"/>
  <c r="N70" i="2" s="1"/>
  <c r="H69" i="2"/>
  <c r="M69" i="2" s="1"/>
  <c r="N69" i="2" s="1"/>
  <c r="H68" i="2"/>
  <c r="M68" i="2" s="1"/>
  <c r="N68" i="2" s="1"/>
  <c r="H67" i="2"/>
  <c r="M67" i="2" s="1"/>
  <c r="N67" i="2" s="1"/>
  <c r="H66" i="2"/>
  <c r="M66" i="2" s="1"/>
  <c r="N66" i="2" s="1"/>
  <c r="H65" i="2"/>
  <c r="M65" i="2" s="1"/>
  <c r="N65" i="2" s="1"/>
  <c r="H64" i="2"/>
  <c r="M64" i="2" s="1"/>
  <c r="N64" i="2" s="1"/>
  <c r="H63" i="2"/>
  <c r="M63" i="2" s="1"/>
  <c r="N63" i="2" s="1"/>
  <c r="H62" i="2"/>
  <c r="M62" i="2" s="1"/>
  <c r="N62" i="2" s="1"/>
  <c r="H61" i="2"/>
  <c r="M61" i="2" s="1"/>
  <c r="N61" i="2" s="1"/>
  <c r="H60" i="2"/>
  <c r="M60" i="2" s="1"/>
  <c r="N60" i="2" s="1"/>
  <c r="H59" i="2"/>
  <c r="M59" i="2" s="1"/>
  <c r="N59" i="2" s="1"/>
  <c r="H58" i="2"/>
  <c r="M58" i="2" s="1"/>
  <c r="N58" i="2" s="1"/>
  <c r="H57" i="2"/>
  <c r="M57" i="2" s="1"/>
  <c r="N57" i="2" s="1"/>
  <c r="H55" i="2"/>
  <c r="M55" i="2" s="1"/>
  <c r="N55" i="2" s="1"/>
  <c r="H54" i="2"/>
  <c r="M54" i="2" s="1"/>
  <c r="N54" i="2" s="1"/>
  <c r="H53" i="2"/>
  <c r="M53" i="2" s="1"/>
  <c r="N53" i="2" s="1"/>
  <c r="H50" i="2"/>
  <c r="M50" i="2" s="1"/>
  <c r="N50" i="2" s="1"/>
  <c r="H49" i="2"/>
  <c r="M49" i="2" s="1"/>
  <c r="N49" i="2" s="1"/>
  <c r="H48" i="2"/>
  <c r="M48" i="2" s="1"/>
  <c r="N48" i="2" s="1"/>
  <c r="H47" i="2"/>
  <c r="M47" i="2" s="1"/>
  <c r="N47" i="2" s="1"/>
  <c r="H46" i="2"/>
  <c r="M46" i="2" s="1"/>
  <c r="N46" i="2" s="1"/>
  <c r="H43" i="2"/>
  <c r="M43" i="2" s="1"/>
  <c r="N43" i="2" s="1"/>
  <c r="H39" i="2"/>
  <c r="M39" i="2" s="1"/>
  <c r="N39" i="2" s="1"/>
  <c r="H33" i="2"/>
  <c r="M33" i="2" s="1"/>
  <c r="N33" i="2" s="1"/>
  <c r="H2275" i="2"/>
  <c r="M2275" i="2" s="1"/>
  <c r="N2275" i="2" s="1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2325" i="2"/>
  <c r="M2325" i="2" s="1"/>
  <c r="N2325" i="2" s="1"/>
  <c r="H2321" i="2"/>
  <c r="M2321" i="2" s="1"/>
  <c r="N2321" i="2" s="1"/>
  <c r="H2298" i="2"/>
  <c r="M2298" i="2" s="1"/>
  <c r="N2298" i="2" s="1"/>
  <c r="H2297" i="2"/>
  <c r="M2297" i="2" s="1"/>
  <c r="N2297" i="2" s="1"/>
  <c r="H2324" i="2"/>
  <c r="M2324" i="2" s="1"/>
  <c r="N2324" i="2" s="1"/>
  <c r="H2322" i="2"/>
  <c r="M2322" i="2" s="1"/>
  <c r="N2322" i="2" s="1"/>
  <c r="H2320" i="2"/>
  <c r="M2320" i="2" s="1"/>
  <c r="N2320" i="2" s="1"/>
  <c r="H2319" i="2"/>
  <c r="M2319" i="2" s="1"/>
  <c r="N2319" i="2" s="1"/>
  <c r="H2317" i="2"/>
  <c r="M2317" i="2" s="1"/>
  <c r="N2317" i="2" s="1"/>
  <c r="H2316" i="2"/>
  <c r="M2316" i="2" s="1"/>
  <c r="N2316" i="2" s="1"/>
  <c r="H2315" i="2"/>
  <c r="M2315" i="2" s="1"/>
  <c r="N2315" i="2" s="1"/>
  <c r="H2314" i="2"/>
  <c r="M2314" i="2" s="1"/>
  <c r="N2314" i="2" s="1"/>
  <c r="H2312" i="2"/>
  <c r="M2312" i="2" s="1"/>
  <c r="N2312" i="2" s="1"/>
  <c r="H2311" i="2"/>
  <c r="M2311" i="2" s="1"/>
  <c r="N2311" i="2" s="1"/>
  <c r="H2310" i="2"/>
  <c r="M2310" i="2" s="1"/>
  <c r="N2310" i="2" s="1"/>
  <c r="H2309" i="2"/>
  <c r="M2309" i="2" s="1"/>
  <c r="N2309" i="2" s="1"/>
  <c r="H2307" i="2"/>
  <c r="M2307" i="2" s="1"/>
  <c r="N2307" i="2" s="1"/>
  <c r="H2306" i="2"/>
  <c r="M2306" i="2" s="1"/>
  <c r="N2306" i="2" s="1"/>
  <c r="H2305" i="2"/>
  <c r="M2305" i="2" s="1"/>
  <c r="N2305" i="2" s="1"/>
  <c r="H2304" i="2"/>
  <c r="M2304" i="2" s="1"/>
  <c r="N2304" i="2" s="1"/>
  <c r="H2303" i="2"/>
  <c r="M2303" i="2" s="1"/>
  <c r="N2303" i="2" s="1"/>
  <c r="H2302" i="2"/>
  <c r="M2302" i="2" s="1"/>
  <c r="N2302" i="2" s="1"/>
  <c r="H2301" i="2"/>
  <c r="M2301" i="2" s="1"/>
  <c r="N2301" i="2" s="1"/>
  <c r="H2299" i="2"/>
  <c r="M2299" i="2" s="1"/>
  <c r="N2299" i="2" s="1"/>
  <c r="H2295" i="2"/>
  <c r="M2295" i="2" s="1"/>
  <c r="N2295" i="2" s="1"/>
  <c r="H2294" i="2"/>
  <c r="M2294" i="2" s="1"/>
  <c r="N2294" i="2" s="1"/>
  <c r="H2293" i="2"/>
  <c r="M2293" i="2" s="1"/>
  <c r="N2293" i="2" s="1"/>
  <c r="H2292" i="2"/>
  <c r="M2292" i="2" s="1"/>
  <c r="N2292" i="2" s="1"/>
  <c r="H2291" i="2"/>
  <c r="M2291" i="2" s="1"/>
  <c r="N2291" i="2" s="1"/>
  <c r="H2290" i="2"/>
  <c r="M2290" i="2" s="1"/>
  <c r="N2290" i="2" s="1"/>
  <c r="H2326" i="2"/>
  <c r="M2326" i="2" s="1"/>
  <c r="N2326" i="2" s="1"/>
  <c r="H2288" i="2"/>
  <c r="M2288" i="2" s="1"/>
  <c r="N2288" i="2" s="1"/>
  <c r="H2287" i="2"/>
  <c r="M2287" i="2" s="1"/>
  <c r="N2287" i="2" s="1"/>
  <c r="H2286" i="2"/>
  <c r="M2286" i="2" s="1"/>
  <c r="N2286" i="2" s="1"/>
  <c r="H2329" i="2"/>
  <c r="M2329" i="2" s="1"/>
  <c r="N2329" i="2" s="1"/>
  <c r="H2328" i="2"/>
  <c r="M2328" i="2" s="1"/>
  <c r="N2328" i="2" s="1"/>
  <c r="H2327" i="2"/>
  <c r="M2327" i="2" s="1"/>
  <c r="N2327" i="2" s="1"/>
  <c r="E5" i="4"/>
  <c r="G5" i="4"/>
  <c r="D6" i="4"/>
  <c r="F5" i="4"/>
  <c r="H70" i="3"/>
  <c r="C70" i="3"/>
  <c r="D70" i="3"/>
  <c r="D69" i="3"/>
  <c r="C69" i="3"/>
  <c r="H69" i="3"/>
  <c r="H68" i="3"/>
  <c r="D68" i="3"/>
  <c r="C68" i="3"/>
  <c r="D67" i="3"/>
  <c r="C67" i="3"/>
  <c r="H67" i="3"/>
  <c r="O1345" i="2"/>
  <c r="O482" i="2"/>
  <c r="O191" i="2"/>
  <c r="O1918" i="2"/>
  <c r="C66" i="3"/>
  <c r="D66" i="3"/>
  <c r="H66" i="3"/>
  <c r="O480" i="2"/>
  <c r="O189" i="2"/>
  <c r="O910" i="2"/>
  <c r="H65" i="3"/>
  <c r="C65" i="3"/>
  <c r="D65" i="3"/>
  <c r="H64" i="3"/>
  <c r="C64" i="3"/>
  <c r="D64" i="3"/>
  <c r="O2204" i="2"/>
  <c r="O1631" i="2"/>
  <c r="O1482" i="2"/>
  <c r="H63" i="3"/>
  <c r="C63" i="3"/>
  <c r="D63" i="3"/>
  <c r="D62" i="3"/>
  <c r="C62" i="3"/>
  <c r="H62" i="3"/>
  <c r="H61" i="3"/>
  <c r="C61" i="3"/>
  <c r="D61" i="3"/>
  <c r="C60" i="3"/>
  <c r="H60" i="3"/>
  <c r="D60" i="3"/>
  <c r="H59" i="3"/>
  <c r="C59" i="3"/>
  <c r="D59" i="3"/>
  <c r="O2197" i="2"/>
  <c r="O2064" i="2"/>
  <c r="D58" i="3"/>
  <c r="C58" i="3"/>
  <c r="H58" i="3"/>
  <c r="D57" i="3"/>
  <c r="C57" i="3"/>
  <c r="H57" i="3"/>
  <c r="O1199" i="2"/>
  <c r="O1489" i="2"/>
  <c r="O1633" i="2"/>
  <c r="O1050" i="2"/>
  <c r="H56" i="3"/>
  <c r="D56" i="3"/>
  <c r="C56" i="3"/>
  <c r="D55" i="3"/>
  <c r="H55" i="3"/>
  <c r="C55" i="3"/>
  <c r="C54" i="3"/>
  <c r="H54" i="3"/>
  <c r="D54" i="3"/>
  <c r="O476" i="2"/>
  <c r="O902" i="2"/>
  <c r="D53" i="3"/>
  <c r="H53" i="3"/>
  <c r="C53" i="3"/>
  <c r="O1337" i="2"/>
  <c r="O46" i="2"/>
  <c r="C52" i="3"/>
  <c r="D52" i="3"/>
  <c r="H52" i="3"/>
  <c r="O182" i="2"/>
  <c r="O912" i="2"/>
  <c r="O900" i="2"/>
  <c r="O48" i="2"/>
  <c r="D51" i="3"/>
  <c r="C51" i="3"/>
  <c r="H51" i="3"/>
  <c r="O1776" i="2"/>
  <c r="O2200" i="2"/>
  <c r="H50" i="3"/>
  <c r="D50" i="3"/>
  <c r="C50" i="3"/>
  <c r="H49" i="3"/>
  <c r="D49" i="3"/>
  <c r="C49" i="3"/>
  <c r="O1915" i="2"/>
  <c r="O42" i="2"/>
  <c r="O2191" i="2"/>
  <c r="C48" i="3"/>
  <c r="H48" i="3"/>
  <c r="D48" i="3"/>
  <c r="D47" i="3"/>
  <c r="H47" i="3"/>
  <c r="C47" i="3"/>
  <c r="C46" i="3"/>
  <c r="H46" i="3"/>
  <c r="D46" i="3"/>
  <c r="D45" i="3"/>
  <c r="C45" i="3"/>
  <c r="H45" i="3"/>
  <c r="D44" i="3"/>
  <c r="C44" i="3"/>
  <c r="H44" i="3"/>
  <c r="C43" i="3"/>
  <c r="D43" i="3"/>
  <c r="H43" i="3"/>
  <c r="H42" i="3"/>
  <c r="D42" i="3"/>
  <c r="C42" i="3"/>
  <c r="C41" i="3"/>
  <c r="D41" i="3"/>
  <c r="H41" i="3"/>
  <c r="O336" i="2"/>
  <c r="O330" i="2"/>
  <c r="C40" i="3"/>
  <c r="D40" i="3"/>
  <c r="H40" i="3"/>
  <c r="C39" i="3"/>
  <c r="D39" i="3"/>
  <c r="H39" i="3"/>
  <c r="O335" i="2"/>
  <c r="O477" i="2"/>
  <c r="O1333" i="2"/>
  <c r="O2206" i="2"/>
  <c r="H38" i="3"/>
  <c r="C38" i="3"/>
  <c r="D38" i="3"/>
  <c r="D37" i="3"/>
  <c r="C37" i="3"/>
  <c r="H37" i="3"/>
  <c r="C36" i="3"/>
  <c r="H36" i="3"/>
  <c r="D36" i="3"/>
  <c r="D35" i="3"/>
  <c r="C35" i="3"/>
  <c r="H35" i="3"/>
  <c r="O1773" i="2"/>
  <c r="O1629" i="2"/>
  <c r="O894" i="2"/>
  <c r="O2208" i="2"/>
  <c r="H34" i="3"/>
  <c r="C34" i="3"/>
  <c r="D34" i="3"/>
  <c r="C33" i="3"/>
  <c r="H33" i="3"/>
  <c r="D33" i="3"/>
  <c r="O1479" i="2"/>
  <c r="O1910" i="2"/>
  <c r="O50" i="2"/>
  <c r="O183" i="2"/>
  <c r="O1330" i="2"/>
  <c r="O1341" i="2"/>
  <c r="O892" i="2"/>
  <c r="D32" i="3"/>
  <c r="C32" i="3"/>
  <c r="H32" i="3"/>
  <c r="H31" i="3"/>
  <c r="D31" i="3"/>
  <c r="C31" i="3"/>
  <c r="O911" i="2"/>
  <c r="O2205" i="2"/>
  <c r="O899" i="2"/>
  <c r="O1043" i="2"/>
  <c r="H30" i="3"/>
  <c r="C30" i="3"/>
  <c r="D30" i="3"/>
  <c r="H29" i="3"/>
  <c r="D29" i="3"/>
  <c r="C29" i="3"/>
  <c r="O1200" i="2"/>
  <c r="O1051" i="2"/>
  <c r="C28" i="3"/>
  <c r="H28" i="3"/>
  <c r="D28" i="3"/>
  <c r="C27" i="3"/>
  <c r="H27" i="3"/>
  <c r="D27" i="3"/>
  <c r="O904" i="2"/>
  <c r="O325" i="2"/>
  <c r="C26" i="3"/>
  <c r="H26" i="3"/>
  <c r="D26" i="3"/>
  <c r="H25" i="3"/>
  <c r="C25" i="3"/>
  <c r="D25" i="3"/>
  <c r="C24" i="3"/>
  <c r="D24" i="3"/>
  <c r="H24" i="3"/>
  <c r="O1911" i="2"/>
  <c r="O2207" i="2"/>
  <c r="H23" i="3"/>
  <c r="D23" i="3"/>
  <c r="C23" i="3"/>
  <c r="O1626" i="2"/>
  <c r="O1340" i="2"/>
  <c r="O1488" i="2"/>
  <c r="H22" i="3"/>
  <c r="D22" i="3"/>
  <c r="C22" i="3"/>
  <c r="O1044" i="2"/>
  <c r="O1331" i="2"/>
  <c r="O1920" i="2"/>
  <c r="O1909" i="2"/>
  <c r="O178" i="2"/>
  <c r="O188" i="2"/>
  <c r="O1198" i="2"/>
  <c r="C21" i="3"/>
  <c r="H21" i="3"/>
  <c r="D21" i="3"/>
  <c r="O194" i="2"/>
  <c r="O1774" i="2"/>
  <c r="O905" i="2"/>
  <c r="O1049" i="2"/>
  <c r="O1919" i="2"/>
  <c r="O322" i="2"/>
  <c r="O1483" i="2"/>
  <c r="O2189" i="2"/>
  <c r="O1194" i="2"/>
  <c r="O338" i="2"/>
  <c r="O1481" i="2"/>
  <c r="O2183" i="2"/>
  <c r="O175" i="2"/>
  <c r="O1627" i="2"/>
  <c r="D20" i="3"/>
  <c r="C20" i="3"/>
  <c r="H20" i="3"/>
  <c r="O472" i="2"/>
  <c r="O334" i="2"/>
  <c r="D19" i="3"/>
  <c r="C19" i="3"/>
  <c r="H19" i="3"/>
  <c r="O1477" i="2"/>
  <c r="O1332" i="2"/>
  <c r="O890" i="2"/>
  <c r="O332" i="2"/>
  <c r="O1053" i="2"/>
  <c r="H18" i="3"/>
  <c r="D18" i="3"/>
  <c r="C18" i="3"/>
  <c r="O1472" i="2"/>
  <c r="O2201" i="2"/>
  <c r="O1057" i="2"/>
  <c r="O909" i="2"/>
  <c r="O896" i="2"/>
  <c r="O1616" i="2"/>
  <c r="O1336" i="2"/>
  <c r="O45" i="2"/>
  <c r="O170" i="2"/>
  <c r="C17" i="3"/>
  <c r="H17" i="3"/>
  <c r="D17" i="3"/>
  <c r="O1769" i="2"/>
  <c r="O1916" i="2"/>
  <c r="H16" i="3"/>
  <c r="C16" i="3"/>
  <c r="D16" i="3"/>
  <c r="O1343" i="2"/>
  <c r="O1622" i="2"/>
  <c r="O1478" i="2"/>
  <c r="O1056" i="2"/>
  <c r="H15" i="3"/>
  <c r="D15" i="3"/>
  <c r="C15" i="3"/>
  <c r="O185" i="2"/>
  <c r="O2184" i="2"/>
  <c r="O2187" i="2"/>
  <c r="O333" i="2"/>
  <c r="O168" i="2"/>
  <c r="O903" i="2"/>
  <c r="O1344" i="2"/>
  <c r="O1469" i="2"/>
  <c r="O1485" i="2"/>
  <c r="O33" i="2"/>
  <c r="O1768" i="2"/>
  <c r="O1045" i="2"/>
  <c r="O1630" i="2"/>
  <c r="O41" i="2"/>
  <c r="C14" i="3"/>
  <c r="D14" i="3"/>
  <c r="H14" i="3"/>
  <c r="O906" i="2"/>
  <c r="O1329" i="2"/>
  <c r="O171" i="2"/>
  <c r="O321" i="2"/>
  <c r="O1623" i="2"/>
  <c r="O190" i="2"/>
  <c r="O2202" i="2"/>
  <c r="O1480" i="2"/>
  <c r="O35" i="2"/>
  <c r="O1339" i="2"/>
  <c r="O478" i="2"/>
  <c r="O907" i="2"/>
  <c r="O1917" i="2"/>
  <c r="O469" i="2"/>
  <c r="O44" i="2"/>
  <c r="O1201" i="2"/>
  <c r="C13" i="3"/>
  <c r="H13" i="3"/>
  <c r="D13" i="3"/>
  <c r="O481" i="2"/>
  <c r="O192" i="2"/>
  <c r="O1039" i="2"/>
  <c r="O908" i="2"/>
  <c r="O1187" i="2"/>
  <c r="O901" i="2"/>
  <c r="O1334" i="2"/>
  <c r="O319" i="2"/>
  <c r="O1324" i="2"/>
  <c r="O167" i="2"/>
  <c r="O47" i="2"/>
  <c r="C12" i="3"/>
  <c r="H12" i="3"/>
  <c r="D12" i="3"/>
  <c r="O169" i="2"/>
  <c r="O1475" i="2"/>
  <c r="O2203" i="2"/>
  <c r="O1192" i="2"/>
  <c r="O913" i="2"/>
  <c r="O889" i="2"/>
  <c r="O193" i="2"/>
  <c r="O1046" i="2"/>
  <c r="O1771" i="2"/>
  <c r="O1486" i="2"/>
  <c r="O471" i="2"/>
  <c r="D11" i="3"/>
  <c r="C11" i="3"/>
  <c r="H11" i="3"/>
  <c r="O1197" i="2"/>
  <c r="O1763" i="2"/>
  <c r="O2194" i="2"/>
  <c r="O888" i="2"/>
  <c r="O1914" i="2"/>
  <c r="C10" i="3"/>
  <c r="D10" i="3"/>
  <c r="H10" i="3"/>
  <c r="O898" i="2"/>
  <c r="O1335" i="2"/>
  <c r="O1327" i="2"/>
  <c r="O2198" i="2"/>
  <c r="O331" i="2"/>
  <c r="O1628" i="2"/>
  <c r="O173" i="2"/>
  <c r="O184" i="2"/>
  <c r="O1765" i="2"/>
  <c r="O1055" i="2"/>
  <c r="C9" i="3"/>
  <c r="H9" i="3"/>
  <c r="D9" i="3"/>
  <c r="C8" i="3"/>
  <c r="H8" i="3"/>
  <c r="D8" i="3"/>
  <c r="O887" i="2"/>
  <c r="O1195" i="2"/>
  <c r="O1040" i="2"/>
  <c r="H7" i="3"/>
  <c r="D7" i="3"/>
  <c r="C7" i="3"/>
  <c r="O1188" i="2"/>
  <c r="O1484" i="2"/>
  <c r="O1912" i="2"/>
  <c r="O1460" i="2"/>
  <c r="O1038" i="2"/>
  <c r="O2192" i="2"/>
  <c r="O1621" i="2"/>
  <c r="O1471" i="2"/>
  <c r="H6" i="3"/>
  <c r="D6" i="3"/>
  <c r="C6" i="3"/>
  <c r="C5" i="3"/>
  <c r="D5" i="3"/>
  <c r="H5" i="3"/>
  <c r="H4" i="3"/>
  <c r="D4" i="3"/>
  <c r="C4" i="3"/>
  <c r="H3" i="3"/>
  <c r="C3" i="3"/>
  <c r="D3" i="3"/>
  <c r="O37" i="2"/>
  <c r="O1342" i="2"/>
  <c r="O881" i="2"/>
  <c r="O1323" i="2"/>
  <c r="O1476" i="2"/>
  <c r="O1615" i="2"/>
  <c r="O324" i="2"/>
  <c r="O180" i="2"/>
  <c r="O164" i="2"/>
  <c r="O1772" i="2"/>
  <c r="O181" i="2"/>
  <c r="O2195" i="2"/>
  <c r="O1905" i="2"/>
  <c r="O1054" i="2"/>
  <c r="O1913" i="2"/>
  <c r="O475" i="2"/>
  <c r="O43" i="2"/>
  <c r="O1459" i="2"/>
  <c r="O897" i="2"/>
  <c r="H2" i="3"/>
  <c r="D2" i="3"/>
  <c r="C2" i="3"/>
  <c r="H1490" i="2"/>
  <c r="M1490" i="2" s="1"/>
  <c r="N1490" i="2" s="1"/>
  <c r="H237" i="2"/>
  <c r="M237" i="2" s="1"/>
  <c r="N237" i="2" s="1"/>
  <c r="H52" i="2"/>
  <c r="M52" i="2" s="1"/>
  <c r="H339" i="2"/>
  <c r="M339" i="2" s="1"/>
  <c r="N339" i="2" s="1"/>
  <c r="N2" i="2"/>
  <c r="M257" i="1"/>
  <c r="N257" i="1"/>
  <c r="P257" i="1"/>
  <c r="R257" i="1"/>
  <c r="T257" i="1"/>
  <c r="U257" i="1"/>
  <c r="V257" i="1"/>
  <c r="W257" i="1"/>
  <c r="X257" i="1"/>
  <c r="Y257" i="1"/>
  <c r="Z257" i="1"/>
  <c r="AA257" i="1"/>
  <c r="M256" i="1"/>
  <c r="N256" i="1"/>
  <c r="P256" i="1"/>
  <c r="R256" i="1"/>
  <c r="T256" i="1"/>
  <c r="U256" i="1"/>
  <c r="V256" i="1"/>
  <c r="W256" i="1"/>
  <c r="X256" i="1"/>
  <c r="Y256" i="1"/>
  <c r="Z256" i="1"/>
  <c r="AA256" i="1"/>
  <c r="M255" i="1"/>
  <c r="N255" i="1"/>
  <c r="P255" i="1"/>
  <c r="R255" i="1"/>
  <c r="T255" i="1"/>
  <c r="U255" i="1"/>
  <c r="V255" i="1"/>
  <c r="W255" i="1"/>
  <c r="X255" i="1"/>
  <c r="Y255" i="1"/>
  <c r="Z255" i="1"/>
  <c r="AA255" i="1"/>
  <c r="M254" i="1"/>
  <c r="N254" i="1"/>
  <c r="P254" i="1"/>
  <c r="R254" i="1"/>
  <c r="T254" i="1"/>
  <c r="U254" i="1"/>
  <c r="V254" i="1"/>
  <c r="W254" i="1"/>
  <c r="X254" i="1"/>
  <c r="Y254" i="1"/>
  <c r="Z254" i="1"/>
  <c r="AA254" i="1"/>
  <c r="M253" i="1"/>
  <c r="N253" i="1"/>
  <c r="P253" i="1"/>
  <c r="R253" i="1"/>
  <c r="T253" i="1"/>
  <c r="U253" i="1"/>
  <c r="V253" i="1"/>
  <c r="W253" i="1"/>
  <c r="X253" i="1"/>
  <c r="Y253" i="1"/>
  <c r="Z253" i="1"/>
  <c r="AA253" i="1"/>
  <c r="M252" i="1"/>
  <c r="N252" i="1"/>
  <c r="P252" i="1"/>
  <c r="R252" i="1"/>
  <c r="T252" i="1"/>
  <c r="U252" i="1"/>
  <c r="V252" i="1"/>
  <c r="W252" i="1"/>
  <c r="X252" i="1"/>
  <c r="Y252" i="1"/>
  <c r="Z252" i="1"/>
  <c r="AA252" i="1"/>
  <c r="M251" i="1"/>
  <c r="N251" i="1"/>
  <c r="P251" i="1"/>
  <c r="R251" i="1"/>
  <c r="T251" i="1"/>
  <c r="U251" i="1"/>
  <c r="V251" i="1"/>
  <c r="W251" i="1"/>
  <c r="X251" i="1"/>
  <c r="Y251" i="1"/>
  <c r="Z251" i="1"/>
  <c r="AA251" i="1"/>
  <c r="M250" i="1"/>
  <c r="N250" i="1"/>
  <c r="P250" i="1"/>
  <c r="R250" i="1"/>
  <c r="T250" i="1"/>
  <c r="U250" i="1"/>
  <c r="V250" i="1"/>
  <c r="W250" i="1"/>
  <c r="X250" i="1"/>
  <c r="Y250" i="1"/>
  <c r="Z250" i="1"/>
  <c r="AA250" i="1"/>
  <c r="M249" i="1"/>
  <c r="N249" i="1"/>
  <c r="P249" i="1"/>
  <c r="R249" i="1"/>
  <c r="T249" i="1"/>
  <c r="U249" i="1"/>
  <c r="V249" i="1"/>
  <c r="W249" i="1"/>
  <c r="X249" i="1"/>
  <c r="Y249" i="1"/>
  <c r="Z249" i="1"/>
  <c r="AA249" i="1"/>
  <c r="M248" i="1"/>
  <c r="N248" i="1"/>
  <c r="P248" i="1"/>
  <c r="R248" i="1"/>
  <c r="T248" i="1"/>
  <c r="U248" i="1"/>
  <c r="V248" i="1"/>
  <c r="W248" i="1"/>
  <c r="X248" i="1"/>
  <c r="Y248" i="1"/>
  <c r="Z248" i="1"/>
  <c r="AA248" i="1"/>
  <c r="M247" i="1"/>
  <c r="N247" i="1"/>
  <c r="P247" i="1"/>
  <c r="R247" i="1"/>
  <c r="T247" i="1"/>
  <c r="U247" i="1"/>
  <c r="V247" i="1"/>
  <c r="W247" i="1"/>
  <c r="X247" i="1"/>
  <c r="Y247" i="1"/>
  <c r="Z247" i="1"/>
  <c r="AA247" i="1"/>
  <c r="M246" i="1"/>
  <c r="N246" i="1"/>
  <c r="P246" i="1"/>
  <c r="R246" i="1"/>
  <c r="T246" i="1"/>
  <c r="U246" i="1"/>
  <c r="V246" i="1"/>
  <c r="W246" i="1"/>
  <c r="X246" i="1"/>
  <c r="Y246" i="1"/>
  <c r="Z246" i="1"/>
  <c r="AA246" i="1"/>
  <c r="M245" i="1"/>
  <c r="N245" i="1"/>
  <c r="P245" i="1"/>
  <c r="R245" i="1"/>
  <c r="T245" i="1"/>
  <c r="U245" i="1"/>
  <c r="V245" i="1"/>
  <c r="W245" i="1"/>
  <c r="X245" i="1"/>
  <c r="Y245" i="1"/>
  <c r="Z245" i="1"/>
  <c r="AA245" i="1"/>
  <c r="M244" i="1"/>
  <c r="N244" i="1"/>
  <c r="P244" i="1"/>
  <c r="R244" i="1"/>
  <c r="T244" i="1"/>
  <c r="U244" i="1"/>
  <c r="V244" i="1"/>
  <c r="W244" i="1"/>
  <c r="X244" i="1"/>
  <c r="Y244" i="1"/>
  <c r="Z244" i="1"/>
  <c r="AA244" i="1"/>
  <c r="M243" i="1"/>
  <c r="N243" i="1"/>
  <c r="P243" i="1"/>
  <c r="R243" i="1"/>
  <c r="T243" i="1"/>
  <c r="U243" i="1"/>
  <c r="V243" i="1"/>
  <c r="W243" i="1"/>
  <c r="X243" i="1"/>
  <c r="Y243" i="1"/>
  <c r="Z243" i="1"/>
  <c r="AA243" i="1"/>
  <c r="M242" i="1"/>
  <c r="N242" i="1"/>
  <c r="P242" i="1"/>
  <c r="R242" i="1"/>
  <c r="T242" i="1"/>
  <c r="U242" i="1"/>
  <c r="V242" i="1"/>
  <c r="W242" i="1"/>
  <c r="X242" i="1"/>
  <c r="Y242" i="1"/>
  <c r="Z242" i="1"/>
  <c r="AA242" i="1"/>
  <c r="M241" i="1"/>
  <c r="N241" i="1"/>
  <c r="P241" i="1"/>
  <c r="R241" i="1"/>
  <c r="T241" i="1"/>
  <c r="U241" i="1"/>
  <c r="V241" i="1"/>
  <c r="W241" i="1"/>
  <c r="X241" i="1"/>
  <c r="Y241" i="1"/>
  <c r="Z241" i="1"/>
  <c r="AA241" i="1"/>
  <c r="M240" i="1"/>
  <c r="N240" i="1"/>
  <c r="P240" i="1"/>
  <c r="R240" i="1"/>
  <c r="T240" i="1"/>
  <c r="U240" i="1"/>
  <c r="V240" i="1"/>
  <c r="W240" i="1"/>
  <c r="X240" i="1"/>
  <c r="Y240" i="1"/>
  <c r="Z240" i="1"/>
  <c r="AA240" i="1"/>
  <c r="M239" i="1"/>
  <c r="N239" i="1"/>
  <c r="P239" i="1"/>
  <c r="R239" i="1"/>
  <c r="T239" i="1"/>
  <c r="U239" i="1"/>
  <c r="V239" i="1"/>
  <c r="W239" i="1"/>
  <c r="X239" i="1"/>
  <c r="Y239" i="1"/>
  <c r="Z239" i="1"/>
  <c r="AA239" i="1"/>
  <c r="M238" i="1"/>
  <c r="N238" i="1"/>
  <c r="P238" i="1"/>
  <c r="R238" i="1"/>
  <c r="T238" i="1"/>
  <c r="U238" i="1"/>
  <c r="V238" i="1"/>
  <c r="W238" i="1"/>
  <c r="X238" i="1"/>
  <c r="Y238" i="1"/>
  <c r="Z238" i="1"/>
  <c r="AA238" i="1"/>
  <c r="M237" i="1"/>
  <c r="N237" i="1"/>
  <c r="P237" i="1"/>
  <c r="R237" i="1"/>
  <c r="T237" i="1"/>
  <c r="U237" i="1"/>
  <c r="V237" i="1"/>
  <c r="W237" i="1"/>
  <c r="X237" i="1"/>
  <c r="Y237" i="1"/>
  <c r="Z237" i="1"/>
  <c r="AA237" i="1"/>
  <c r="M236" i="1"/>
  <c r="N236" i="1"/>
  <c r="P236" i="1"/>
  <c r="R236" i="1"/>
  <c r="T236" i="1"/>
  <c r="U236" i="1"/>
  <c r="V236" i="1"/>
  <c r="W236" i="1"/>
  <c r="X236" i="1"/>
  <c r="Y236" i="1"/>
  <c r="Z236" i="1"/>
  <c r="AA236" i="1"/>
  <c r="M235" i="1"/>
  <c r="N235" i="1"/>
  <c r="P235" i="1"/>
  <c r="R235" i="1"/>
  <c r="T235" i="1"/>
  <c r="U235" i="1"/>
  <c r="V235" i="1"/>
  <c r="W235" i="1"/>
  <c r="X235" i="1"/>
  <c r="Y235" i="1"/>
  <c r="Z235" i="1"/>
  <c r="AA235" i="1"/>
  <c r="M234" i="1"/>
  <c r="N234" i="1"/>
  <c r="P234" i="1"/>
  <c r="R234" i="1"/>
  <c r="T234" i="1"/>
  <c r="U234" i="1"/>
  <c r="V234" i="1"/>
  <c r="W234" i="1"/>
  <c r="X234" i="1"/>
  <c r="Y234" i="1"/>
  <c r="Z234" i="1"/>
  <c r="AA234" i="1"/>
  <c r="M233" i="1"/>
  <c r="N233" i="1"/>
  <c r="P233" i="1"/>
  <c r="R233" i="1"/>
  <c r="T233" i="1"/>
  <c r="U233" i="1"/>
  <c r="V233" i="1"/>
  <c r="W233" i="1"/>
  <c r="X233" i="1"/>
  <c r="Y233" i="1"/>
  <c r="Z233" i="1"/>
  <c r="AA233" i="1"/>
  <c r="M232" i="1"/>
  <c r="N232" i="1"/>
  <c r="P232" i="1"/>
  <c r="R232" i="1"/>
  <c r="T232" i="1"/>
  <c r="U232" i="1"/>
  <c r="V232" i="1"/>
  <c r="W232" i="1"/>
  <c r="X232" i="1"/>
  <c r="Y232" i="1"/>
  <c r="Z232" i="1"/>
  <c r="AA232" i="1"/>
  <c r="M231" i="1"/>
  <c r="N231" i="1"/>
  <c r="P231" i="1"/>
  <c r="R231" i="1"/>
  <c r="T231" i="1"/>
  <c r="U231" i="1"/>
  <c r="V231" i="1"/>
  <c r="W231" i="1"/>
  <c r="X231" i="1"/>
  <c r="Y231" i="1"/>
  <c r="Z231" i="1"/>
  <c r="AA231" i="1"/>
  <c r="M230" i="1"/>
  <c r="N230" i="1"/>
  <c r="P230" i="1"/>
  <c r="R230" i="1"/>
  <c r="T230" i="1"/>
  <c r="U230" i="1"/>
  <c r="V230" i="1"/>
  <c r="W230" i="1"/>
  <c r="X230" i="1"/>
  <c r="Y230" i="1"/>
  <c r="Z230" i="1"/>
  <c r="AA230" i="1"/>
  <c r="M229" i="1"/>
  <c r="N229" i="1"/>
  <c r="P229" i="1"/>
  <c r="R229" i="1"/>
  <c r="T229" i="1"/>
  <c r="U229" i="1"/>
  <c r="V229" i="1"/>
  <c r="W229" i="1"/>
  <c r="X229" i="1"/>
  <c r="Y229" i="1"/>
  <c r="Z229" i="1"/>
  <c r="AA229" i="1"/>
  <c r="M228" i="1"/>
  <c r="N228" i="1"/>
  <c r="P228" i="1"/>
  <c r="R228" i="1"/>
  <c r="T228" i="1"/>
  <c r="U228" i="1"/>
  <c r="V228" i="1"/>
  <c r="W228" i="1"/>
  <c r="X228" i="1"/>
  <c r="Y228" i="1"/>
  <c r="Z228" i="1"/>
  <c r="AA228" i="1"/>
  <c r="M227" i="1"/>
  <c r="N227" i="1"/>
  <c r="P227" i="1"/>
  <c r="R227" i="1"/>
  <c r="T227" i="1"/>
  <c r="U227" i="1"/>
  <c r="V227" i="1"/>
  <c r="W227" i="1"/>
  <c r="X227" i="1"/>
  <c r="Y227" i="1"/>
  <c r="Z227" i="1"/>
  <c r="AA227" i="1"/>
  <c r="M226" i="1"/>
  <c r="N226" i="1"/>
  <c r="P226" i="1"/>
  <c r="R226" i="1"/>
  <c r="T226" i="1"/>
  <c r="U226" i="1"/>
  <c r="V226" i="1"/>
  <c r="W226" i="1"/>
  <c r="X226" i="1"/>
  <c r="Y226" i="1"/>
  <c r="Z226" i="1"/>
  <c r="AA226" i="1"/>
  <c r="M225" i="1"/>
  <c r="N225" i="1"/>
  <c r="P225" i="1"/>
  <c r="R225" i="1"/>
  <c r="T225" i="1"/>
  <c r="U225" i="1"/>
  <c r="V225" i="1"/>
  <c r="W225" i="1"/>
  <c r="X225" i="1"/>
  <c r="Y225" i="1"/>
  <c r="Z225" i="1"/>
  <c r="AA225" i="1"/>
  <c r="M224" i="1"/>
  <c r="N224" i="1"/>
  <c r="P224" i="1"/>
  <c r="R224" i="1"/>
  <c r="T224" i="1"/>
  <c r="U224" i="1"/>
  <c r="V224" i="1"/>
  <c r="W224" i="1"/>
  <c r="X224" i="1"/>
  <c r="Y224" i="1"/>
  <c r="Z224" i="1"/>
  <c r="AA224" i="1"/>
  <c r="M223" i="1"/>
  <c r="N223" i="1"/>
  <c r="P223" i="1"/>
  <c r="R223" i="1"/>
  <c r="T223" i="1"/>
  <c r="U223" i="1"/>
  <c r="V223" i="1"/>
  <c r="W223" i="1"/>
  <c r="X223" i="1"/>
  <c r="Y223" i="1"/>
  <c r="Z223" i="1"/>
  <c r="AA223" i="1"/>
  <c r="M222" i="1"/>
  <c r="N222" i="1"/>
  <c r="P222" i="1"/>
  <c r="R222" i="1"/>
  <c r="T222" i="1"/>
  <c r="U222" i="1"/>
  <c r="V222" i="1"/>
  <c r="W222" i="1"/>
  <c r="X222" i="1"/>
  <c r="Y222" i="1"/>
  <c r="Z222" i="1"/>
  <c r="AA222" i="1"/>
  <c r="M221" i="1"/>
  <c r="N221" i="1"/>
  <c r="P221" i="1"/>
  <c r="R221" i="1"/>
  <c r="T221" i="1"/>
  <c r="U221" i="1"/>
  <c r="V221" i="1"/>
  <c r="W221" i="1"/>
  <c r="X221" i="1"/>
  <c r="Y221" i="1"/>
  <c r="Z221" i="1"/>
  <c r="AA221" i="1"/>
  <c r="M220" i="1"/>
  <c r="N220" i="1"/>
  <c r="P220" i="1"/>
  <c r="R220" i="1"/>
  <c r="T220" i="1"/>
  <c r="U220" i="1"/>
  <c r="V220" i="1"/>
  <c r="W220" i="1"/>
  <c r="X220" i="1"/>
  <c r="Y220" i="1"/>
  <c r="Z220" i="1"/>
  <c r="AA220" i="1"/>
  <c r="M219" i="1"/>
  <c r="N219" i="1"/>
  <c r="P219" i="1"/>
  <c r="R219" i="1"/>
  <c r="T219" i="1"/>
  <c r="U219" i="1"/>
  <c r="V219" i="1"/>
  <c r="W219" i="1"/>
  <c r="X219" i="1"/>
  <c r="Y219" i="1"/>
  <c r="Z219" i="1"/>
  <c r="AA219" i="1"/>
  <c r="M218" i="1"/>
  <c r="N218" i="1"/>
  <c r="P218" i="1"/>
  <c r="R218" i="1"/>
  <c r="T218" i="1"/>
  <c r="U218" i="1"/>
  <c r="V218" i="1"/>
  <c r="W218" i="1"/>
  <c r="X218" i="1"/>
  <c r="Y218" i="1"/>
  <c r="Z218" i="1"/>
  <c r="AA218" i="1"/>
  <c r="M217" i="1"/>
  <c r="N217" i="1"/>
  <c r="P217" i="1"/>
  <c r="R217" i="1"/>
  <c r="T217" i="1"/>
  <c r="U217" i="1"/>
  <c r="V217" i="1"/>
  <c r="W217" i="1"/>
  <c r="X217" i="1"/>
  <c r="Y217" i="1"/>
  <c r="Z217" i="1"/>
  <c r="AA217" i="1"/>
  <c r="M216" i="1"/>
  <c r="N216" i="1"/>
  <c r="P216" i="1"/>
  <c r="R216" i="1"/>
  <c r="T216" i="1"/>
  <c r="U216" i="1"/>
  <c r="V216" i="1"/>
  <c r="W216" i="1"/>
  <c r="X216" i="1"/>
  <c r="Y216" i="1"/>
  <c r="Z216" i="1"/>
  <c r="AA216" i="1"/>
  <c r="M215" i="1"/>
  <c r="N215" i="1"/>
  <c r="P215" i="1"/>
  <c r="R215" i="1"/>
  <c r="T215" i="1"/>
  <c r="U215" i="1"/>
  <c r="V215" i="1"/>
  <c r="W215" i="1"/>
  <c r="X215" i="1"/>
  <c r="Y215" i="1"/>
  <c r="Z215" i="1"/>
  <c r="AA215" i="1"/>
  <c r="M214" i="1"/>
  <c r="N214" i="1"/>
  <c r="P214" i="1"/>
  <c r="R214" i="1"/>
  <c r="T214" i="1"/>
  <c r="U214" i="1"/>
  <c r="V214" i="1"/>
  <c r="W214" i="1"/>
  <c r="X214" i="1"/>
  <c r="Y214" i="1"/>
  <c r="Z214" i="1"/>
  <c r="AA214" i="1"/>
  <c r="M213" i="1"/>
  <c r="N213" i="1"/>
  <c r="P213" i="1"/>
  <c r="R213" i="1"/>
  <c r="T213" i="1"/>
  <c r="U213" i="1"/>
  <c r="V213" i="1"/>
  <c r="W213" i="1"/>
  <c r="X213" i="1"/>
  <c r="Y213" i="1"/>
  <c r="Z213" i="1"/>
  <c r="AA213" i="1"/>
  <c r="M212" i="1"/>
  <c r="N212" i="1"/>
  <c r="P212" i="1"/>
  <c r="R212" i="1"/>
  <c r="T212" i="1"/>
  <c r="U212" i="1"/>
  <c r="V212" i="1"/>
  <c r="W212" i="1"/>
  <c r="X212" i="1"/>
  <c r="Y212" i="1"/>
  <c r="Z212" i="1"/>
  <c r="AA212" i="1"/>
  <c r="M211" i="1"/>
  <c r="N211" i="1"/>
  <c r="P211" i="1"/>
  <c r="R211" i="1"/>
  <c r="T211" i="1"/>
  <c r="U211" i="1"/>
  <c r="V211" i="1"/>
  <c r="W211" i="1"/>
  <c r="X211" i="1"/>
  <c r="Y211" i="1"/>
  <c r="Z211" i="1"/>
  <c r="AA211" i="1"/>
  <c r="M210" i="1"/>
  <c r="N210" i="1"/>
  <c r="P210" i="1"/>
  <c r="R210" i="1"/>
  <c r="T210" i="1"/>
  <c r="U210" i="1"/>
  <c r="V210" i="1"/>
  <c r="W210" i="1"/>
  <c r="X210" i="1"/>
  <c r="Y210" i="1"/>
  <c r="Z210" i="1"/>
  <c r="AA210" i="1"/>
  <c r="M209" i="1"/>
  <c r="N209" i="1"/>
  <c r="P209" i="1"/>
  <c r="R209" i="1"/>
  <c r="T209" i="1"/>
  <c r="U209" i="1"/>
  <c r="V209" i="1"/>
  <c r="W209" i="1"/>
  <c r="X209" i="1"/>
  <c r="Y209" i="1"/>
  <c r="Z209" i="1"/>
  <c r="AA209" i="1"/>
  <c r="M208" i="1"/>
  <c r="N208" i="1"/>
  <c r="P208" i="1"/>
  <c r="R208" i="1"/>
  <c r="T208" i="1"/>
  <c r="U208" i="1"/>
  <c r="V208" i="1"/>
  <c r="W208" i="1"/>
  <c r="X208" i="1"/>
  <c r="Y208" i="1"/>
  <c r="Z208" i="1"/>
  <c r="AA208" i="1"/>
  <c r="M207" i="1"/>
  <c r="N207" i="1"/>
  <c r="P207" i="1"/>
  <c r="R207" i="1"/>
  <c r="T207" i="1"/>
  <c r="U207" i="1"/>
  <c r="V207" i="1"/>
  <c r="W207" i="1"/>
  <c r="X207" i="1"/>
  <c r="Y207" i="1"/>
  <c r="Z207" i="1"/>
  <c r="AA207" i="1"/>
  <c r="M206" i="1"/>
  <c r="N206" i="1"/>
  <c r="P206" i="1"/>
  <c r="R206" i="1"/>
  <c r="T206" i="1"/>
  <c r="U206" i="1"/>
  <c r="V206" i="1"/>
  <c r="W206" i="1"/>
  <c r="X206" i="1"/>
  <c r="Y206" i="1"/>
  <c r="Z206" i="1"/>
  <c r="AA206" i="1"/>
  <c r="M205" i="1"/>
  <c r="N205" i="1"/>
  <c r="P205" i="1"/>
  <c r="R205" i="1"/>
  <c r="T205" i="1"/>
  <c r="U205" i="1"/>
  <c r="V205" i="1"/>
  <c r="W205" i="1"/>
  <c r="X205" i="1"/>
  <c r="Y205" i="1"/>
  <c r="Z205" i="1"/>
  <c r="AA205" i="1"/>
  <c r="M204" i="1"/>
  <c r="N204" i="1"/>
  <c r="P204" i="1"/>
  <c r="R204" i="1"/>
  <c r="T204" i="1"/>
  <c r="U204" i="1"/>
  <c r="V204" i="1"/>
  <c r="W204" i="1"/>
  <c r="X204" i="1"/>
  <c r="Y204" i="1"/>
  <c r="Z204" i="1"/>
  <c r="AA204" i="1"/>
  <c r="M203" i="1"/>
  <c r="N203" i="1"/>
  <c r="P203" i="1"/>
  <c r="R203" i="1"/>
  <c r="T203" i="1"/>
  <c r="U203" i="1"/>
  <c r="V203" i="1"/>
  <c r="W203" i="1"/>
  <c r="X203" i="1"/>
  <c r="Y203" i="1"/>
  <c r="Z203" i="1"/>
  <c r="AA203" i="1"/>
  <c r="M202" i="1"/>
  <c r="N202" i="1"/>
  <c r="P202" i="1"/>
  <c r="R202" i="1"/>
  <c r="T202" i="1"/>
  <c r="U202" i="1"/>
  <c r="V202" i="1"/>
  <c r="W202" i="1"/>
  <c r="X202" i="1"/>
  <c r="Y202" i="1"/>
  <c r="Z202" i="1"/>
  <c r="AA202" i="1"/>
  <c r="M201" i="1"/>
  <c r="N201" i="1"/>
  <c r="P201" i="1"/>
  <c r="R201" i="1"/>
  <c r="T201" i="1"/>
  <c r="U201" i="1"/>
  <c r="V201" i="1"/>
  <c r="W201" i="1"/>
  <c r="X201" i="1"/>
  <c r="Y201" i="1"/>
  <c r="Z201" i="1"/>
  <c r="AA201" i="1"/>
  <c r="M200" i="1"/>
  <c r="N200" i="1"/>
  <c r="P200" i="1"/>
  <c r="R200" i="1"/>
  <c r="T200" i="1"/>
  <c r="U200" i="1"/>
  <c r="V200" i="1"/>
  <c r="W200" i="1"/>
  <c r="X200" i="1"/>
  <c r="Y200" i="1"/>
  <c r="Z200" i="1"/>
  <c r="AA200" i="1"/>
  <c r="M199" i="1"/>
  <c r="N199" i="1"/>
  <c r="P199" i="1"/>
  <c r="R199" i="1"/>
  <c r="T199" i="1"/>
  <c r="U199" i="1"/>
  <c r="V199" i="1"/>
  <c r="W199" i="1"/>
  <c r="X199" i="1"/>
  <c r="Y199" i="1"/>
  <c r="Z199" i="1"/>
  <c r="AA199" i="1"/>
  <c r="M198" i="1"/>
  <c r="N198" i="1"/>
  <c r="P198" i="1"/>
  <c r="R198" i="1"/>
  <c r="T198" i="1"/>
  <c r="U198" i="1"/>
  <c r="V198" i="1"/>
  <c r="W198" i="1"/>
  <c r="X198" i="1"/>
  <c r="Y198" i="1"/>
  <c r="Z198" i="1"/>
  <c r="AA198" i="1"/>
  <c r="M197" i="1"/>
  <c r="N197" i="1"/>
  <c r="P197" i="1"/>
  <c r="R197" i="1"/>
  <c r="T197" i="1"/>
  <c r="U197" i="1"/>
  <c r="V197" i="1"/>
  <c r="W197" i="1"/>
  <c r="X197" i="1"/>
  <c r="Y197" i="1"/>
  <c r="Z197" i="1"/>
  <c r="AA197" i="1"/>
  <c r="M196" i="1"/>
  <c r="N196" i="1"/>
  <c r="P196" i="1"/>
  <c r="R196" i="1"/>
  <c r="T196" i="1"/>
  <c r="U196" i="1"/>
  <c r="V196" i="1"/>
  <c r="W196" i="1"/>
  <c r="X196" i="1"/>
  <c r="Y196" i="1"/>
  <c r="Z196" i="1"/>
  <c r="AA196" i="1"/>
  <c r="M195" i="1"/>
  <c r="N195" i="1"/>
  <c r="P195" i="1"/>
  <c r="R195" i="1"/>
  <c r="T195" i="1"/>
  <c r="U195" i="1"/>
  <c r="V195" i="1"/>
  <c r="W195" i="1"/>
  <c r="X195" i="1"/>
  <c r="Y195" i="1"/>
  <c r="Z195" i="1"/>
  <c r="AA195" i="1"/>
  <c r="M194" i="1"/>
  <c r="N194" i="1"/>
  <c r="P194" i="1"/>
  <c r="R194" i="1"/>
  <c r="T194" i="1"/>
  <c r="U194" i="1"/>
  <c r="V194" i="1"/>
  <c r="W194" i="1"/>
  <c r="X194" i="1"/>
  <c r="Y194" i="1"/>
  <c r="Z194" i="1"/>
  <c r="AA194" i="1"/>
  <c r="M193" i="1"/>
  <c r="N193" i="1"/>
  <c r="P193" i="1"/>
  <c r="R193" i="1"/>
  <c r="T193" i="1"/>
  <c r="U193" i="1"/>
  <c r="V193" i="1"/>
  <c r="W193" i="1"/>
  <c r="X193" i="1"/>
  <c r="Y193" i="1"/>
  <c r="Z193" i="1"/>
  <c r="AA193" i="1"/>
  <c r="M192" i="1"/>
  <c r="N192" i="1"/>
  <c r="P192" i="1"/>
  <c r="R192" i="1"/>
  <c r="T192" i="1"/>
  <c r="U192" i="1"/>
  <c r="V192" i="1"/>
  <c r="W192" i="1"/>
  <c r="X192" i="1"/>
  <c r="Y192" i="1"/>
  <c r="Z192" i="1"/>
  <c r="AA192" i="1"/>
  <c r="M191" i="1"/>
  <c r="N191" i="1"/>
  <c r="P191" i="1"/>
  <c r="R191" i="1"/>
  <c r="T191" i="1"/>
  <c r="U191" i="1"/>
  <c r="V191" i="1"/>
  <c r="W191" i="1"/>
  <c r="X191" i="1"/>
  <c r="Y191" i="1"/>
  <c r="Z191" i="1"/>
  <c r="AA191" i="1"/>
  <c r="M190" i="1"/>
  <c r="N190" i="1"/>
  <c r="P190" i="1"/>
  <c r="R190" i="1"/>
  <c r="T190" i="1"/>
  <c r="U190" i="1"/>
  <c r="V190" i="1"/>
  <c r="W190" i="1"/>
  <c r="X190" i="1"/>
  <c r="Y190" i="1"/>
  <c r="Z190" i="1"/>
  <c r="AA190" i="1"/>
  <c r="M189" i="1"/>
  <c r="N189" i="1"/>
  <c r="P189" i="1"/>
  <c r="R189" i="1"/>
  <c r="T189" i="1"/>
  <c r="U189" i="1"/>
  <c r="V189" i="1"/>
  <c r="W189" i="1"/>
  <c r="X189" i="1"/>
  <c r="Y189" i="1"/>
  <c r="Z189" i="1"/>
  <c r="AA189" i="1"/>
  <c r="M188" i="1"/>
  <c r="N188" i="1"/>
  <c r="P188" i="1"/>
  <c r="R188" i="1"/>
  <c r="T188" i="1"/>
  <c r="U188" i="1"/>
  <c r="V188" i="1"/>
  <c r="W188" i="1"/>
  <c r="X188" i="1"/>
  <c r="Y188" i="1"/>
  <c r="Z188" i="1"/>
  <c r="AA188" i="1"/>
  <c r="M187" i="1"/>
  <c r="N187" i="1"/>
  <c r="P187" i="1"/>
  <c r="R187" i="1"/>
  <c r="T187" i="1"/>
  <c r="U187" i="1"/>
  <c r="V187" i="1"/>
  <c r="W187" i="1"/>
  <c r="X187" i="1"/>
  <c r="Y187" i="1"/>
  <c r="Z187" i="1"/>
  <c r="AA187" i="1"/>
  <c r="M186" i="1"/>
  <c r="N186" i="1"/>
  <c r="P186" i="1"/>
  <c r="R186" i="1"/>
  <c r="T186" i="1"/>
  <c r="U186" i="1"/>
  <c r="V186" i="1"/>
  <c r="W186" i="1"/>
  <c r="X186" i="1"/>
  <c r="Y186" i="1"/>
  <c r="Z186" i="1"/>
  <c r="AA186" i="1"/>
  <c r="M185" i="1"/>
  <c r="N185" i="1"/>
  <c r="P185" i="1"/>
  <c r="R185" i="1"/>
  <c r="T185" i="1"/>
  <c r="U185" i="1"/>
  <c r="V185" i="1"/>
  <c r="W185" i="1"/>
  <c r="X185" i="1"/>
  <c r="Y185" i="1"/>
  <c r="Z185" i="1"/>
  <c r="AA185" i="1"/>
  <c r="M184" i="1"/>
  <c r="N184" i="1"/>
  <c r="P184" i="1"/>
  <c r="R184" i="1"/>
  <c r="T184" i="1"/>
  <c r="U184" i="1"/>
  <c r="V184" i="1"/>
  <c r="W184" i="1"/>
  <c r="X184" i="1"/>
  <c r="Y184" i="1"/>
  <c r="Z184" i="1"/>
  <c r="AA184" i="1"/>
  <c r="M183" i="1"/>
  <c r="N183" i="1"/>
  <c r="P183" i="1"/>
  <c r="R183" i="1"/>
  <c r="T183" i="1"/>
  <c r="U183" i="1"/>
  <c r="V183" i="1"/>
  <c r="W183" i="1"/>
  <c r="X183" i="1"/>
  <c r="Y183" i="1"/>
  <c r="Z183" i="1"/>
  <c r="AA183" i="1"/>
  <c r="M182" i="1"/>
  <c r="N182" i="1"/>
  <c r="P182" i="1"/>
  <c r="R182" i="1"/>
  <c r="T182" i="1"/>
  <c r="U182" i="1"/>
  <c r="V182" i="1"/>
  <c r="W182" i="1"/>
  <c r="X182" i="1"/>
  <c r="Y182" i="1"/>
  <c r="Z182" i="1"/>
  <c r="AA182" i="1"/>
  <c r="M181" i="1"/>
  <c r="N181" i="1"/>
  <c r="P181" i="1"/>
  <c r="R181" i="1"/>
  <c r="T181" i="1"/>
  <c r="U181" i="1"/>
  <c r="V181" i="1"/>
  <c r="W181" i="1"/>
  <c r="X181" i="1"/>
  <c r="Y181" i="1"/>
  <c r="Z181" i="1"/>
  <c r="AA181" i="1"/>
  <c r="M180" i="1"/>
  <c r="N180" i="1"/>
  <c r="P180" i="1"/>
  <c r="R180" i="1"/>
  <c r="T180" i="1"/>
  <c r="U180" i="1"/>
  <c r="V180" i="1"/>
  <c r="W180" i="1"/>
  <c r="X180" i="1"/>
  <c r="Y180" i="1"/>
  <c r="Z180" i="1"/>
  <c r="AA180" i="1"/>
  <c r="M179" i="1"/>
  <c r="N179" i="1"/>
  <c r="P179" i="1"/>
  <c r="R179" i="1"/>
  <c r="T179" i="1"/>
  <c r="U179" i="1"/>
  <c r="V179" i="1"/>
  <c r="W179" i="1"/>
  <c r="X179" i="1"/>
  <c r="Y179" i="1"/>
  <c r="Z179" i="1"/>
  <c r="AA179" i="1"/>
  <c r="M178" i="1"/>
  <c r="N178" i="1"/>
  <c r="P178" i="1"/>
  <c r="R178" i="1"/>
  <c r="T178" i="1"/>
  <c r="U178" i="1"/>
  <c r="V178" i="1"/>
  <c r="W178" i="1"/>
  <c r="X178" i="1"/>
  <c r="Y178" i="1"/>
  <c r="Z178" i="1"/>
  <c r="AA178" i="1"/>
  <c r="M177" i="1"/>
  <c r="N177" i="1"/>
  <c r="P177" i="1"/>
  <c r="R177" i="1"/>
  <c r="T177" i="1"/>
  <c r="U177" i="1"/>
  <c r="V177" i="1"/>
  <c r="W177" i="1"/>
  <c r="X177" i="1"/>
  <c r="Y177" i="1"/>
  <c r="Z177" i="1"/>
  <c r="AA177" i="1"/>
  <c r="M176" i="1"/>
  <c r="N176" i="1"/>
  <c r="P176" i="1"/>
  <c r="R176" i="1"/>
  <c r="T176" i="1"/>
  <c r="U176" i="1"/>
  <c r="V176" i="1"/>
  <c r="W176" i="1"/>
  <c r="X176" i="1"/>
  <c r="Y176" i="1"/>
  <c r="Z176" i="1"/>
  <c r="AA176" i="1"/>
  <c r="M175" i="1"/>
  <c r="N175" i="1"/>
  <c r="P175" i="1"/>
  <c r="R175" i="1"/>
  <c r="T175" i="1"/>
  <c r="U175" i="1"/>
  <c r="V175" i="1"/>
  <c r="W175" i="1"/>
  <c r="X175" i="1"/>
  <c r="Y175" i="1"/>
  <c r="Z175" i="1"/>
  <c r="AA175" i="1"/>
  <c r="M174" i="1"/>
  <c r="N174" i="1"/>
  <c r="P174" i="1"/>
  <c r="R174" i="1"/>
  <c r="T174" i="1"/>
  <c r="U174" i="1"/>
  <c r="V174" i="1"/>
  <c r="W174" i="1"/>
  <c r="X174" i="1"/>
  <c r="Y174" i="1"/>
  <c r="Z174" i="1"/>
  <c r="AA174" i="1"/>
  <c r="M173" i="1"/>
  <c r="N173" i="1"/>
  <c r="P173" i="1"/>
  <c r="R173" i="1"/>
  <c r="T173" i="1"/>
  <c r="U173" i="1"/>
  <c r="V173" i="1"/>
  <c r="W173" i="1"/>
  <c r="X173" i="1"/>
  <c r="Y173" i="1"/>
  <c r="Z173" i="1"/>
  <c r="AA173" i="1"/>
  <c r="M172" i="1"/>
  <c r="N172" i="1"/>
  <c r="P172" i="1"/>
  <c r="R172" i="1"/>
  <c r="T172" i="1"/>
  <c r="U172" i="1"/>
  <c r="V172" i="1"/>
  <c r="W172" i="1"/>
  <c r="X172" i="1"/>
  <c r="Y172" i="1"/>
  <c r="Z172" i="1"/>
  <c r="AA172" i="1"/>
  <c r="M171" i="1"/>
  <c r="N171" i="1"/>
  <c r="P171" i="1"/>
  <c r="R171" i="1"/>
  <c r="T171" i="1"/>
  <c r="U171" i="1"/>
  <c r="V171" i="1"/>
  <c r="W171" i="1"/>
  <c r="X171" i="1"/>
  <c r="Y171" i="1"/>
  <c r="Z171" i="1"/>
  <c r="AA171" i="1"/>
  <c r="M170" i="1"/>
  <c r="N170" i="1"/>
  <c r="P170" i="1"/>
  <c r="R170" i="1"/>
  <c r="T170" i="1"/>
  <c r="U170" i="1"/>
  <c r="V170" i="1"/>
  <c r="W170" i="1"/>
  <c r="X170" i="1"/>
  <c r="Y170" i="1"/>
  <c r="Z170" i="1"/>
  <c r="AA170" i="1"/>
  <c r="M169" i="1"/>
  <c r="N169" i="1"/>
  <c r="P169" i="1"/>
  <c r="R169" i="1"/>
  <c r="T169" i="1"/>
  <c r="U169" i="1"/>
  <c r="V169" i="1"/>
  <c r="W169" i="1"/>
  <c r="X169" i="1"/>
  <c r="Y169" i="1"/>
  <c r="Z169" i="1"/>
  <c r="AA169" i="1"/>
  <c r="M168" i="1"/>
  <c r="N168" i="1"/>
  <c r="P168" i="1"/>
  <c r="R168" i="1"/>
  <c r="T168" i="1"/>
  <c r="U168" i="1"/>
  <c r="V168" i="1"/>
  <c r="W168" i="1"/>
  <c r="X168" i="1"/>
  <c r="Y168" i="1"/>
  <c r="Z168" i="1"/>
  <c r="AA168" i="1"/>
  <c r="M167" i="1"/>
  <c r="N167" i="1"/>
  <c r="P167" i="1"/>
  <c r="R167" i="1"/>
  <c r="T167" i="1"/>
  <c r="U167" i="1"/>
  <c r="V167" i="1"/>
  <c r="W167" i="1"/>
  <c r="X167" i="1"/>
  <c r="Y167" i="1"/>
  <c r="Z167" i="1"/>
  <c r="AA167" i="1"/>
  <c r="M166" i="1"/>
  <c r="N166" i="1"/>
  <c r="P166" i="1"/>
  <c r="R166" i="1"/>
  <c r="T166" i="1"/>
  <c r="U166" i="1"/>
  <c r="V166" i="1"/>
  <c r="W166" i="1"/>
  <c r="X166" i="1"/>
  <c r="Y166" i="1"/>
  <c r="Z166" i="1"/>
  <c r="AA166" i="1"/>
  <c r="M165" i="1"/>
  <c r="N165" i="1"/>
  <c r="P165" i="1"/>
  <c r="R165" i="1"/>
  <c r="T165" i="1"/>
  <c r="U165" i="1"/>
  <c r="V165" i="1"/>
  <c r="W165" i="1"/>
  <c r="X165" i="1"/>
  <c r="Y165" i="1"/>
  <c r="Z165" i="1"/>
  <c r="AA165" i="1"/>
  <c r="M164" i="1"/>
  <c r="N164" i="1"/>
  <c r="P164" i="1"/>
  <c r="R164" i="1"/>
  <c r="T164" i="1"/>
  <c r="U164" i="1"/>
  <c r="V164" i="1"/>
  <c r="W164" i="1"/>
  <c r="X164" i="1"/>
  <c r="Y164" i="1"/>
  <c r="Z164" i="1"/>
  <c r="AA164" i="1"/>
  <c r="M163" i="1"/>
  <c r="N163" i="1"/>
  <c r="P163" i="1"/>
  <c r="R163" i="1"/>
  <c r="T163" i="1"/>
  <c r="U163" i="1"/>
  <c r="V163" i="1"/>
  <c r="W163" i="1"/>
  <c r="X163" i="1"/>
  <c r="Y163" i="1"/>
  <c r="Z163" i="1"/>
  <c r="AA163" i="1"/>
  <c r="M162" i="1"/>
  <c r="N162" i="1"/>
  <c r="P162" i="1"/>
  <c r="R162" i="1"/>
  <c r="T162" i="1"/>
  <c r="U162" i="1"/>
  <c r="V162" i="1"/>
  <c r="W162" i="1"/>
  <c r="X162" i="1"/>
  <c r="Y162" i="1"/>
  <c r="Z162" i="1"/>
  <c r="AA162" i="1"/>
  <c r="R161" i="1"/>
  <c r="U161" i="1"/>
  <c r="W161" i="1"/>
  <c r="Y161" i="1"/>
  <c r="AA161" i="1"/>
  <c r="M161" i="1"/>
  <c r="N161" i="1"/>
  <c r="P161" i="1"/>
  <c r="T161" i="1"/>
  <c r="V161" i="1"/>
  <c r="X161" i="1"/>
  <c r="Z161" i="1"/>
  <c r="U160" i="1"/>
  <c r="X160" i="1"/>
  <c r="Z160" i="1"/>
  <c r="M160" i="1"/>
  <c r="N160" i="1"/>
  <c r="P160" i="1"/>
  <c r="R160" i="1"/>
  <c r="T160" i="1"/>
  <c r="V160" i="1"/>
  <c r="W160" i="1"/>
  <c r="Y160" i="1"/>
  <c r="AA160" i="1"/>
  <c r="M159" i="1"/>
  <c r="T159" i="1"/>
  <c r="U159" i="1"/>
  <c r="V159" i="1"/>
  <c r="W159" i="1"/>
  <c r="Y159" i="1"/>
  <c r="AA159" i="1"/>
  <c r="N159" i="1"/>
  <c r="P159" i="1"/>
  <c r="R159" i="1"/>
  <c r="X159" i="1"/>
  <c r="Z159" i="1"/>
  <c r="N158" i="1"/>
  <c r="U158" i="1"/>
  <c r="W158" i="1"/>
  <c r="X158" i="1"/>
  <c r="Z158" i="1"/>
  <c r="AA158" i="1"/>
  <c r="M158" i="1"/>
  <c r="P158" i="1"/>
  <c r="R158" i="1"/>
  <c r="T158" i="1"/>
  <c r="V158" i="1"/>
  <c r="Y158" i="1"/>
  <c r="N157" i="1"/>
  <c r="U157" i="1"/>
  <c r="V157" i="1"/>
  <c r="X157" i="1"/>
  <c r="Z157" i="1"/>
  <c r="M157" i="1"/>
  <c r="P157" i="1"/>
  <c r="R157" i="1"/>
  <c r="T157" i="1"/>
  <c r="W157" i="1"/>
  <c r="Y157" i="1"/>
  <c r="AA157" i="1"/>
  <c r="N156" i="1"/>
  <c r="U156" i="1"/>
  <c r="V156" i="1"/>
  <c r="X156" i="1"/>
  <c r="Z156" i="1"/>
  <c r="M156" i="1"/>
  <c r="P156" i="1"/>
  <c r="R156" i="1"/>
  <c r="T156" i="1"/>
  <c r="W156" i="1"/>
  <c r="Y156" i="1"/>
  <c r="AA156" i="1"/>
  <c r="N155" i="1"/>
  <c r="R155" i="1"/>
  <c r="T155" i="1"/>
  <c r="U155" i="1"/>
  <c r="V155" i="1"/>
  <c r="X155" i="1"/>
  <c r="Z155" i="1"/>
  <c r="M155" i="1"/>
  <c r="P155" i="1"/>
  <c r="W155" i="1"/>
  <c r="Y155" i="1"/>
  <c r="AA155" i="1"/>
  <c r="M154" i="1"/>
  <c r="N154" i="1"/>
  <c r="P154" i="1"/>
  <c r="U154" i="1"/>
  <c r="X154" i="1"/>
  <c r="Z154" i="1"/>
  <c r="R154" i="1"/>
  <c r="T154" i="1"/>
  <c r="V154" i="1"/>
  <c r="W154" i="1"/>
  <c r="Y154" i="1"/>
  <c r="AA154" i="1"/>
  <c r="N153" i="1"/>
  <c r="P153" i="1"/>
  <c r="R153" i="1"/>
  <c r="T153" i="1"/>
  <c r="V153" i="1"/>
  <c r="X153" i="1"/>
  <c r="Z153" i="1"/>
  <c r="AA153" i="1"/>
  <c r="M153" i="1"/>
  <c r="U153" i="1"/>
  <c r="W153" i="1"/>
  <c r="Y153" i="1"/>
  <c r="N152" i="1"/>
  <c r="P152" i="1"/>
  <c r="R152" i="1"/>
  <c r="U152" i="1"/>
  <c r="V152" i="1"/>
  <c r="X152" i="1"/>
  <c r="Z152" i="1"/>
  <c r="M152" i="1"/>
  <c r="T152" i="1"/>
  <c r="W152" i="1"/>
  <c r="Y152" i="1"/>
  <c r="AA152" i="1"/>
  <c r="M151" i="1"/>
  <c r="R151" i="1"/>
  <c r="U151" i="1"/>
  <c r="W151" i="1"/>
  <c r="Y151" i="1"/>
  <c r="Z151" i="1"/>
  <c r="AA151" i="1"/>
  <c r="N151" i="1"/>
  <c r="P151" i="1"/>
  <c r="T151" i="1"/>
  <c r="V151" i="1"/>
  <c r="X151" i="1"/>
  <c r="M150" i="1"/>
  <c r="U150" i="1"/>
  <c r="X150" i="1"/>
  <c r="Z150" i="1"/>
  <c r="N150" i="1"/>
  <c r="P150" i="1"/>
  <c r="R150" i="1"/>
  <c r="T150" i="1"/>
  <c r="V150" i="1"/>
  <c r="W150" i="1"/>
  <c r="Y150" i="1"/>
  <c r="AA150" i="1"/>
  <c r="M149" i="1"/>
  <c r="N149" i="1"/>
  <c r="P149" i="1"/>
  <c r="R149" i="1"/>
  <c r="T149" i="1"/>
  <c r="U149" i="1"/>
  <c r="V149" i="1"/>
  <c r="W149" i="1"/>
  <c r="X149" i="1"/>
  <c r="Y149" i="1"/>
  <c r="Z149" i="1"/>
  <c r="AA149" i="1"/>
  <c r="N148" i="1"/>
  <c r="P148" i="1"/>
  <c r="R148" i="1"/>
  <c r="V148" i="1"/>
  <c r="W148" i="1"/>
  <c r="X148" i="1"/>
  <c r="AA148" i="1"/>
  <c r="M148" i="1"/>
  <c r="T148" i="1"/>
  <c r="U148" i="1"/>
  <c r="Y148" i="1"/>
  <c r="Z148" i="1"/>
  <c r="U147" i="1"/>
  <c r="V147" i="1"/>
  <c r="X147" i="1"/>
  <c r="Y147" i="1"/>
  <c r="AA147" i="1"/>
  <c r="M147" i="1"/>
  <c r="N147" i="1"/>
  <c r="P147" i="1"/>
  <c r="R147" i="1"/>
  <c r="T147" i="1"/>
  <c r="W147" i="1"/>
  <c r="Z147" i="1"/>
  <c r="N146" i="1"/>
  <c r="T146" i="1"/>
  <c r="V146" i="1"/>
  <c r="X146" i="1"/>
  <c r="Z146" i="1"/>
  <c r="M146" i="1"/>
  <c r="P146" i="1"/>
  <c r="R146" i="1"/>
  <c r="U146" i="1"/>
  <c r="W146" i="1"/>
  <c r="Y146" i="1"/>
  <c r="AA146" i="1"/>
  <c r="N145" i="1"/>
  <c r="P145" i="1"/>
  <c r="R145" i="1"/>
  <c r="U145" i="1"/>
  <c r="V145" i="1"/>
  <c r="X145" i="1"/>
  <c r="Y145" i="1"/>
  <c r="AA145" i="1"/>
  <c r="M145" i="1"/>
  <c r="T145" i="1"/>
  <c r="W145" i="1"/>
  <c r="Z145" i="1"/>
  <c r="M144" i="1"/>
  <c r="P144" i="1"/>
  <c r="R144" i="1"/>
  <c r="U144" i="1"/>
  <c r="X144" i="1"/>
  <c r="Z144" i="1"/>
  <c r="N144" i="1"/>
  <c r="T144" i="1"/>
  <c r="V144" i="1"/>
  <c r="W144" i="1"/>
  <c r="Y144" i="1"/>
  <c r="AA144" i="1"/>
  <c r="N143" i="1"/>
  <c r="R143" i="1"/>
  <c r="U143" i="1"/>
  <c r="W143" i="1"/>
  <c r="Y143" i="1"/>
  <c r="AA143" i="1"/>
  <c r="M143" i="1"/>
  <c r="T143" i="1"/>
  <c r="V143" i="1"/>
  <c r="X143" i="1"/>
  <c r="Z143" i="1"/>
  <c r="B142" i="1"/>
  <c r="L142" i="1"/>
  <c r="P143" i="1" s="1"/>
  <c r="P141" i="1"/>
  <c r="W141" i="1"/>
  <c r="Y141" i="1"/>
  <c r="Z141" i="1"/>
  <c r="M141" i="1"/>
  <c r="N141" i="1"/>
  <c r="R141" i="1"/>
  <c r="T141" i="1"/>
  <c r="U141" i="1"/>
  <c r="V141" i="1"/>
  <c r="X141" i="1"/>
  <c r="AA141" i="1"/>
  <c r="T140" i="1"/>
  <c r="AA140" i="1"/>
  <c r="N140" i="1"/>
  <c r="W140" i="1"/>
  <c r="X140" i="1"/>
  <c r="Z140" i="1"/>
  <c r="U140" i="1"/>
  <c r="P140" i="1"/>
  <c r="R140" i="1"/>
  <c r="M140" i="1"/>
  <c r="V140" i="1"/>
  <c r="Y140" i="1"/>
  <c r="M139" i="1"/>
  <c r="N139" i="1"/>
  <c r="P139" i="1"/>
  <c r="R139" i="1"/>
  <c r="T139" i="1"/>
  <c r="U139" i="1"/>
  <c r="V139" i="1"/>
  <c r="W139" i="1"/>
  <c r="X139" i="1"/>
  <c r="Y139" i="1"/>
  <c r="Z139" i="1"/>
  <c r="AA139" i="1"/>
  <c r="M138" i="1"/>
  <c r="N138" i="1"/>
  <c r="P138" i="1"/>
  <c r="R138" i="1"/>
  <c r="T138" i="1"/>
  <c r="U138" i="1"/>
  <c r="V138" i="1"/>
  <c r="W138" i="1"/>
  <c r="X138" i="1"/>
  <c r="Y138" i="1"/>
  <c r="Z138" i="1"/>
  <c r="AA138" i="1"/>
  <c r="M137" i="1"/>
  <c r="N137" i="1"/>
  <c r="P137" i="1"/>
  <c r="R137" i="1"/>
  <c r="T137" i="1"/>
  <c r="U137" i="1"/>
  <c r="V137" i="1"/>
  <c r="W137" i="1"/>
  <c r="X137" i="1"/>
  <c r="Y137" i="1"/>
  <c r="Z137" i="1"/>
  <c r="AA137" i="1"/>
  <c r="M136" i="1"/>
  <c r="N136" i="1"/>
  <c r="P136" i="1"/>
  <c r="R136" i="1"/>
  <c r="T136" i="1"/>
  <c r="U136" i="1"/>
  <c r="V136" i="1"/>
  <c r="W136" i="1"/>
  <c r="X136" i="1"/>
  <c r="Y136" i="1"/>
  <c r="Z136" i="1"/>
  <c r="AA136" i="1"/>
  <c r="M135" i="1"/>
  <c r="N135" i="1"/>
  <c r="P135" i="1"/>
  <c r="R135" i="1"/>
  <c r="T135" i="1"/>
  <c r="U135" i="1"/>
  <c r="V135" i="1"/>
  <c r="W135" i="1"/>
  <c r="X135" i="1"/>
  <c r="Y135" i="1"/>
  <c r="Z135" i="1"/>
  <c r="AA135" i="1"/>
  <c r="M134" i="1"/>
  <c r="N134" i="1"/>
  <c r="P134" i="1"/>
  <c r="R134" i="1"/>
  <c r="T134" i="1"/>
  <c r="U134" i="1"/>
  <c r="V134" i="1"/>
  <c r="W134" i="1"/>
  <c r="X134" i="1"/>
  <c r="Y134" i="1"/>
  <c r="Z134" i="1"/>
  <c r="AA134" i="1"/>
  <c r="M133" i="1"/>
  <c r="N133" i="1"/>
  <c r="P133" i="1"/>
  <c r="R133" i="1"/>
  <c r="T133" i="1"/>
  <c r="U133" i="1"/>
  <c r="V133" i="1"/>
  <c r="W133" i="1"/>
  <c r="X133" i="1"/>
  <c r="Y133" i="1"/>
  <c r="Z133" i="1"/>
  <c r="AA133" i="1"/>
  <c r="M132" i="1"/>
  <c r="N132" i="1"/>
  <c r="P132" i="1"/>
  <c r="R132" i="1"/>
  <c r="T132" i="1"/>
  <c r="U132" i="1"/>
  <c r="V132" i="1"/>
  <c r="W132" i="1"/>
  <c r="X132" i="1"/>
  <c r="Y132" i="1"/>
  <c r="Z132" i="1"/>
  <c r="AA132" i="1"/>
  <c r="M131" i="1"/>
  <c r="N131" i="1"/>
  <c r="P131" i="1"/>
  <c r="R131" i="1"/>
  <c r="T131" i="1"/>
  <c r="U131" i="1"/>
  <c r="V131" i="1"/>
  <c r="W131" i="1"/>
  <c r="X131" i="1"/>
  <c r="Y131" i="1"/>
  <c r="Z131" i="1"/>
  <c r="AA131" i="1"/>
  <c r="M130" i="1"/>
  <c r="N130" i="1"/>
  <c r="P130" i="1"/>
  <c r="R130" i="1"/>
  <c r="T130" i="1"/>
  <c r="U130" i="1"/>
  <c r="V130" i="1"/>
  <c r="W130" i="1"/>
  <c r="X130" i="1"/>
  <c r="Y130" i="1"/>
  <c r="Z130" i="1"/>
  <c r="AA130" i="1"/>
  <c r="M129" i="1"/>
  <c r="N129" i="1"/>
  <c r="P129" i="1"/>
  <c r="R129" i="1"/>
  <c r="T129" i="1"/>
  <c r="U129" i="1"/>
  <c r="V129" i="1"/>
  <c r="W129" i="1"/>
  <c r="X129" i="1"/>
  <c r="Y129" i="1"/>
  <c r="Z129" i="1"/>
  <c r="AA129" i="1"/>
  <c r="M128" i="1"/>
  <c r="N128" i="1"/>
  <c r="P128" i="1"/>
  <c r="R128" i="1"/>
  <c r="T128" i="1"/>
  <c r="U128" i="1"/>
  <c r="V128" i="1"/>
  <c r="W128" i="1"/>
  <c r="X128" i="1"/>
  <c r="Y128" i="1"/>
  <c r="Z128" i="1"/>
  <c r="AA128" i="1"/>
  <c r="M127" i="1"/>
  <c r="N127" i="1"/>
  <c r="P127" i="1"/>
  <c r="R127" i="1"/>
  <c r="T127" i="1"/>
  <c r="U127" i="1"/>
  <c r="V127" i="1"/>
  <c r="W127" i="1"/>
  <c r="X127" i="1"/>
  <c r="Y127" i="1"/>
  <c r="Z127" i="1"/>
  <c r="AA127" i="1"/>
  <c r="M126" i="1"/>
  <c r="N126" i="1"/>
  <c r="P126" i="1"/>
  <c r="R126" i="1"/>
  <c r="T126" i="1"/>
  <c r="U126" i="1"/>
  <c r="V126" i="1"/>
  <c r="W126" i="1"/>
  <c r="X126" i="1"/>
  <c r="Y126" i="1"/>
  <c r="Z126" i="1"/>
  <c r="AA126" i="1"/>
  <c r="M125" i="1"/>
  <c r="N125" i="1"/>
  <c r="P125" i="1"/>
  <c r="R125" i="1"/>
  <c r="T125" i="1"/>
  <c r="U125" i="1"/>
  <c r="V125" i="1"/>
  <c r="W125" i="1"/>
  <c r="X125" i="1"/>
  <c r="Y125" i="1"/>
  <c r="Z125" i="1"/>
  <c r="AA125" i="1"/>
  <c r="M124" i="1"/>
  <c r="N124" i="1"/>
  <c r="P124" i="1"/>
  <c r="R124" i="1"/>
  <c r="T124" i="1"/>
  <c r="U124" i="1"/>
  <c r="V124" i="1"/>
  <c r="W124" i="1"/>
  <c r="X124" i="1"/>
  <c r="Y124" i="1"/>
  <c r="Z124" i="1"/>
  <c r="AA124" i="1"/>
  <c r="M123" i="1"/>
  <c r="N123" i="1"/>
  <c r="P123" i="1"/>
  <c r="R123" i="1"/>
  <c r="T123" i="1"/>
  <c r="U123" i="1"/>
  <c r="V123" i="1"/>
  <c r="W123" i="1"/>
  <c r="X123" i="1"/>
  <c r="Y123" i="1"/>
  <c r="Z123" i="1"/>
  <c r="AA123" i="1"/>
  <c r="M122" i="1"/>
  <c r="N122" i="1"/>
  <c r="P122" i="1"/>
  <c r="R122" i="1"/>
  <c r="T122" i="1"/>
  <c r="U122" i="1"/>
  <c r="V122" i="1"/>
  <c r="W122" i="1"/>
  <c r="X122" i="1"/>
  <c r="Y122" i="1"/>
  <c r="Z122" i="1"/>
  <c r="AA122" i="1"/>
  <c r="M121" i="1"/>
  <c r="N121" i="1"/>
  <c r="P121" i="1"/>
  <c r="R121" i="1"/>
  <c r="T121" i="1"/>
  <c r="U121" i="1"/>
  <c r="V121" i="1"/>
  <c r="W121" i="1"/>
  <c r="X121" i="1"/>
  <c r="Y121" i="1"/>
  <c r="Z121" i="1"/>
  <c r="AA121" i="1"/>
  <c r="M120" i="1"/>
  <c r="N120" i="1"/>
  <c r="P120" i="1"/>
  <c r="R120" i="1"/>
  <c r="T120" i="1"/>
  <c r="U120" i="1"/>
  <c r="V120" i="1"/>
  <c r="W120" i="1"/>
  <c r="X120" i="1"/>
  <c r="Y120" i="1"/>
  <c r="Z120" i="1"/>
  <c r="AA120" i="1"/>
  <c r="M119" i="1"/>
  <c r="N119" i="1"/>
  <c r="P119" i="1"/>
  <c r="R119" i="1"/>
  <c r="T119" i="1"/>
  <c r="U119" i="1"/>
  <c r="V119" i="1"/>
  <c r="W119" i="1"/>
  <c r="X119" i="1"/>
  <c r="Y119" i="1"/>
  <c r="Z119" i="1"/>
  <c r="AA119" i="1"/>
  <c r="M118" i="1"/>
  <c r="N118" i="1"/>
  <c r="P118" i="1"/>
  <c r="R118" i="1"/>
  <c r="T118" i="1"/>
  <c r="U118" i="1"/>
  <c r="V118" i="1"/>
  <c r="W118" i="1"/>
  <c r="X118" i="1"/>
  <c r="Y118" i="1"/>
  <c r="Z118" i="1"/>
  <c r="AA118" i="1"/>
  <c r="M117" i="1"/>
  <c r="N117" i="1"/>
  <c r="P117" i="1"/>
  <c r="R117" i="1"/>
  <c r="T117" i="1"/>
  <c r="U117" i="1"/>
  <c r="V117" i="1"/>
  <c r="W117" i="1"/>
  <c r="X117" i="1"/>
  <c r="Y117" i="1"/>
  <c r="Z117" i="1"/>
  <c r="AA117" i="1"/>
  <c r="M116" i="1"/>
  <c r="N116" i="1"/>
  <c r="P116" i="1"/>
  <c r="R116" i="1"/>
  <c r="T116" i="1"/>
  <c r="U116" i="1"/>
  <c r="V116" i="1"/>
  <c r="W116" i="1"/>
  <c r="X116" i="1"/>
  <c r="Y116" i="1"/>
  <c r="Z116" i="1"/>
  <c r="AA116" i="1"/>
  <c r="M115" i="1"/>
  <c r="N115" i="1"/>
  <c r="P115" i="1"/>
  <c r="R115" i="1"/>
  <c r="T115" i="1"/>
  <c r="U115" i="1"/>
  <c r="V115" i="1"/>
  <c r="W115" i="1"/>
  <c r="X115" i="1"/>
  <c r="Y115" i="1"/>
  <c r="Z115" i="1"/>
  <c r="AA115" i="1"/>
  <c r="M114" i="1"/>
  <c r="N114" i="1"/>
  <c r="P114" i="1"/>
  <c r="R114" i="1"/>
  <c r="T114" i="1"/>
  <c r="U114" i="1"/>
  <c r="V114" i="1"/>
  <c r="W114" i="1"/>
  <c r="X114" i="1"/>
  <c r="Y114" i="1"/>
  <c r="Z114" i="1"/>
  <c r="AA114" i="1"/>
  <c r="M113" i="1"/>
  <c r="N113" i="1"/>
  <c r="P113" i="1"/>
  <c r="R113" i="1"/>
  <c r="T113" i="1"/>
  <c r="U113" i="1"/>
  <c r="V113" i="1"/>
  <c r="W113" i="1"/>
  <c r="X113" i="1"/>
  <c r="Y113" i="1"/>
  <c r="Z113" i="1"/>
  <c r="AA113" i="1"/>
  <c r="M112" i="1"/>
  <c r="N112" i="1"/>
  <c r="P112" i="1"/>
  <c r="R112" i="1"/>
  <c r="T112" i="1"/>
  <c r="U112" i="1"/>
  <c r="V112" i="1"/>
  <c r="W112" i="1"/>
  <c r="X112" i="1"/>
  <c r="Y112" i="1"/>
  <c r="Z112" i="1"/>
  <c r="AA112" i="1"/>
  <c r="M111" i="1"/>
  <c r="N111" i="1"/>
  <c r="P111" i="1"/>
  <c r="R111" i="1"/>
  <c r="T111" i="1"/>
  <c r="U111" i="1"/>
  <c r="V111" i="1"/>
  <c r="W111" i="1"/>
  <c r="X111" i="1"/>
  <c r="Y111" i="1"/>
  <c r="Z111" i="1"/>
  <c r="AA111" i="1"/>
  <c r="M110" i="1"/>
  <c r="N110" i="1"/>
  <c r="P110" i="1"/>
  <c r="R110" i="1"/>
  <c r="T110" i="1"/>
  <c r="U110" i="1"/>
  <c r="V110" i="1"/>
  <c r="W110" i="1"/>
  <c r="X110" i="1"/>
  <c r="Y110" i="1"/>
  <c r="Z110" i="1"/>
  <c r="AA110" i="1"/>
  <c r="M109" i="1"/>
  <c r="N109" i="1"/>
  <c r="P109" i="1"/>
  <c r="R109" i="1"/>
  <c r="T109" i="1"/>
  <c r="U109" i="1"/>
  <c r="V109" i="1"/>
  <c r="W109" i="1"/>
  <c r="X109" i="1"/>
  <c r="Y109" i="1"/>
  <c r="Z109" i="1"/>
  <c r="AA109" i="1"/>
  <c r="M108" i="1"/>
  <c r="N108" i="1"/>
  <c r="P108" i="1"/>
  <c r="R108" i="1"/>
  <c r="T108" i="1"/>
  <c r="U108" i="1"/>
  <c r="V108" i="1"/>
  <c r="W108" i="1"/>
  <c r="X108" i="1"/>
  <c r="Y108" i="1"/>
  <c r="Z108" i="1"/>
  <c r="AA108" i="1"/>
  <c r="M107" i="1"/>
  <c r="N107" i="1"/>
  <c r="P107" i="1"/>
  <c r="R107" i="1"/>
  <c r="T107" i="1"/>
  <c r="U107" i="1"/>
  <c r="V107" i="1"/>
  <c r="W107" i="1"/>
  <c r="X107" i="1"/>
  <c r="Y107" i="1"/>
  <c r="Z107" i="1"/>
  <c r="AA107" i="1"/>
  <c r="M106" i="1"/>
  <c r="N106" i="1"/>
  <c r="P106" i="1"/>
  <c r="R106" i="1"/>
  <c r="T106" i="1"/>
  <c r="U106" i="1"/>
  <c r="V106" i="1"/>
  <c r="W106" i="1"/>
  <c r="X106" i="1"/>
  <c r="Y106" i="1"/>
  <c r="Z106" i="1"/>
  <c r="AA106" i="1"/>
  <c r="M105" i="1"/>
  <c r="N105" i="1"/>
  <c r="P105" i="1"/>
  <c r="R105" i="1"/>
  <c r="T105" i="1"/>
  <c r="U105" i="1"/>
  <c r="V105" i="1"/>
  <c r="W105" i="1"/>
  <c r="X105" i="1"/>
  <c r="Y105" i="1"/>
  <c r="Z105" i="1"/>
  <c r="AA105" i="1"/>
  <c r="M104" i="1"/>
  <c r="N104" i="1"/>
  <c r="P104" i="1"/>
  <c r="R104" i="1"/>
  <c r="T104" i="1"/>
  <c r="U104" i="1"/>
  <c r="V104" i="1"/>
  <c r="W104" i="1"/>
  <c r="X104" i="1"/>
  <c r="Y104" i="1"/>
  <c r="Z104" i="1"/>
  <c r="AA104" i="1"/>
  <c r="M103" i="1"/>
  <c r="N103" i="1"/>
  <c r="P103" i="1"/>
  <c r="R103" i="1"/>
  <c r="T103" i="1"/>
  <c r="U103" i="1"/>
  <c r="V103" i="1"/>
  <c r="W103" i="1"/>
  <c r="X103" i="1"/>
  <c r="Y103" i="1"/>
  <c r="Z103" i="1"/>
  <c r="AA103" i="1"/>
  <c r="M102" i="1"/>
  <c r="N102" i="1"/>
  <c r="P102" i="1"/>
  <c r="R102" i="1"/>
  <c r="T102" i="1"/>
  <c r="U102" i="1"/>
  <c r="V102" i="1"/>
  <c r="W102" i="1"/>
  <c r="X102" i="1"/>
  <c r="Y102" i="1"/>
  <c r="Z102" i="1"/>
  <c r="AA102" i="1"/>
  <c r="M101" i="1"/>
  <c r="N101" i="1"/>
  <c r="P101" i="1"/>
  <c r="R101" i="1"/>
  <c r="T101" i="1"/>
  <c r="U101" i="1"/>
  <c r="V101" i="1"/>
  <c r="W101" i="1"/>
  <c r="X101" i="1"/>
  <c r="Y101" i="1"/>
  <c r="Z101" i="1"/>
  <c r="AA101" i="1"/>
  <c r="N100" i="1"/>
  <c r="R100" i="1"/>
  <c r="T100" i="1"/>
  <c r="X100" i="1"/>
  <c r="M100" i="1"/>
  <c r="P100" i="1"/>
  <c r="U100" i="1"/>
  <c r="W100" i="1"/>
  <c r="V100" i="1"/>
  <c r="Y100" i="1"/>
  <c r="Z100" i="1"/>
  <c r="AA100" i="1"/>
  <c r="N99" i="1"/>
  <c r="P99" i="1"/>
  <c r="T99" i="1"/>
  <c r="X99" i="1"/>
  <c r="M99" i="1"/>
  <c r="V99" i="1"/>
  <c r="Y99" i="1"/>
  <c r="AA99" i="1"/>
  <c r="R99" i="1"/>
  <c r="U99" i="1"/>
  <c r="W99" i="1"/>
  <c r="Z99" i="1"/>
  <c r="P98" i="1"/>
  <c r="U98" i="1"/>
  <c r="X98" i="1"/>
  <c r="Y98" i="1"/>
  <c r="AA98" i="1"/>
  <c r="M98" i="1"/>
  <c r="N98" i="1"/>
  <c r="R98" i="1"/>
  <c r="T98" i="1"/>
  <c r="V98" i="1"/>
  <c r="W98" i="1"/>
  <c r="Z98" i="1"/>
  <c r="U97" i="1"/>
  <c r="W97" i="1"/>
  <c r="Y97" i="1"/>
  <c r="AA97" i="1"/>
  <c r="M97" i="1"/>
  <c r="N97" i="1"/>
  <c r="R97" i="1"/>
  <c r="T97" i="1"/>
  <c r="V97" i="1"/>
  <c r="X97" i="1"/>
  <c r="Z97" i="1"/>
  <c r="B96" i="1"/>
  <c r="L96" i="1"/>
  <c r="M95" i="1"/>
  <c r="N95" i="1"/>
  <c r="P95" i="1"/>
  <c r="R95" i="1"/>
  <c r="T95" i="1"/>
  <c r="U95" i="1"/>
  <c r="V95" i="1"/>
  <c r="W95" i="1"/>
  <c r="X95" i="1"/>
  <c r="Y95" i="1"/>
  <c r="Z95" i="1"/>
  <c r="AA95" i="1"/>
  <c r="M94" i="1"/>
  <c r="N94" i="1"/>
  <c r="P94" i="1"/>
  <c r="R94" i="1"/>
  <c r="T94" i="1"/>
  <c r="U94" i="1"/>
  <c r="V94" i="1"/>
  <c r="W94" i="1"/>
  <c r="X94" i="1"/>
  <c r="Y94" i="1"/>
  <c r="Z94" i="1"/>
  <c r="AA94" i="1"/>
  <c r="M93" i="1"/>
  <c r="N93" i="1"/>
  <c r="P93" i="1"/>
  <c r="R93" i="1"/>
  <c r="T93" i="1"/>
  <c r="U93" i="1"/>
  <c r="V93" i="1"/>
  <c r="W93" i="1"/>
  <c r="X93" i="1"/>
  <c r="Y93" i="1"/>
  <c r="Z93" i="1"/>
  <c r="AA93" i="1"/>
  <c r="M92" i="1"/>
  <c r="N92" i="1"/>
  <c r="P92" i="1"/>
  <c r="R92" i="1"/>
  <c r="T92" i="1"/>
  <c r="U92" i="1"/>
  <c r="V92" i="1"/>
  <c r="W92" i="1"/>
  <c r="X92" i="1"/>
  <c r="Y92" i="1"/>
  <c r="Z92" i="1"/>
  <c r="AA92" i="1"/>
  <c r="M91" i="1"/>
  <c r="N91" i="1"/>
  <c r="P91" i="1"/>
  <c r="R91" i="1"/>
  <c r="T91" i="1"/>
  <c r="U91" i="1"/>
  <c r="V91" i="1"/>
  <c r="W91" i="1"/>
  <c r="X91" i="1"/>
  <c r="Y91" i="1"/>
  <c r="Z91" i="1"/>
  <c r="AA91" i="1"/>
  <c r="M90" i="1"/>
  <c r="N90" i="1"/>
  <c r="P90" i="1"/>
  <c r="R90" i="1"/>
  <c r="T90" i="1"/>
  <c r="U90" i="1"/>
  <c r="V90" i="1"/>
  <c r="W90" i="1"/>
  <c r="X90" i="1"/>
  <c r="Y90" i="1"/>
  <c r="Z90" i="1"/>
  <c r="AA90" i="1"/>
  <c r="M89" i="1"/>
  <c r="N89" i="1"/>
  <c r="P89" i="1"/>
  <c r="R89" i="1"/>
  <c r="T89" i="1"/>
  <c r="U89" i="1"/>
  <c r="V89" i="1"/>
  <c r="W89" i="1"/>
  <c r="X89" i="1"/>
  <c r="Y89" i="1"/>
  <c r="Z89" i="1"/>
  <c r="AA89" i="1"/>
  <c r="M88" i="1"/>
  <c r="N88" i="1"/>
  <c r="P88" i="1"/>
  <c r="R88" i="1"/>
  <c r="T88" i="1"/>
  <c r="U88" i="1"/>
  <c r="V88" i="1"/>
  <c r="W88" i="1"/>
  <c r="X88" i="1"/>
  <c r="Y88" i="1"/>
  <c r="Z88" i="1"/>
  <c r="AA88" i="1"/>
  <c r="M87" i="1"/>
  <c r="N87" i="1"/>
  <c r="P87" i="1"/>
  <c r="R87" i="1"/>
  <c r="T87" i="1"/>
  <c r="U87" i="1"/>
  <c r="V87" i="1"/>
  <c r="W87" i="1"/>
  <c r="X87" i="1"/>
  <c r="Y87" i="1"/>
  <c r="Z87" i="1"/>
  <c r="AA87" i="1"/>
  <c r="M86" i="1"/>
  <c r="N86" i="1"/>
  <c r="P86" i="1"/>
  <c r="R86" i="1"/>
  <c r="T86" i="1"/>
  <c r="U86" i="1"/>
  <c r="V86" i="1"/>
  <c r="W86" i="1"/>
  <c r="X86" i="1"/>
  <c r="Y86" i="1"/>
  <c r="Z86" i="1"/>
  <c r="AA86" i="1"/>
  <c r="M85" i="1"/>
  <c r="N85" i="1"/>
  <c r="P85" i="1"/>
  <c r="R85" i="1"/>
  <c r="T85" i="1"/>
  <c r="U85" i="1"/>
  <c r="V85" i="1"/>
  <c r="W85" i="1"/>
  <c r="X85" i="1"/>
  <c r="Y85" i="1"/>
  <c r="Z85" i="1"/>
  <c r="AA85" i="1"/>
  <c r="M84" i="1"/>
  <c r="N84" i="1"/>
  <c r="P84" i="1"/>
  <c r="R84" i="1"/>
  <c r="T84" i="1"/>
  <c r="U84" i="1"/>
  <c r="V84" i="1"/>
  <c r="W84" i="1"/>
  <c r="X84" i="1"/>
  <c r="Y84" i="1"/>
  <c r="Z84" i="1"/>
  <c r="AA84" i="1"/>
  <c r="M83" i="1"/>
  <c r="N83" i="1"/>
  <c r="P83" i="1"/>
  <c r="R83" i="1"/>
  <c r="T83" i="1"/>
  <c r="U83" i="1"/>
  <c r="V83" i="1"/>
  <c r="W83" i="1"/>
  <c r="X83" i="1"/>
  <c r="Y83" i="1"/>
  <c r="Z83" i="1"/>
  <c r="AA83" i="1"/>
  <c r="M82" i="1"/>
  <c r="N82" i="1"/>
  <c r="P82" i="1"/>
  <c r="R82" i="1"/>
  <c r="T82" i="1"/>
  <c r="U82" i="1"/>
  <c r="V82" i="1"/>
  <c r="W82" i="1"/>
  <c r="X82" i="1"/>
  <c r="Y82" i="1"/>
  <c r="Z82" i="1"/>
  <c r="AA82" i="1"/>
  <c r="M81" i="1"/>
  <c r="N81" i="1"/>
  <c r="P81" i="1"/>
  <c r="R81" i="1"/>
  <c r="T81" i="1"/>
  <c r="U81" i="1"/>
  <c r="V81" i="1"/>
  <c r="W81" i="1"/>
  <c r="X81" i="1"/>
  <c r="Y81" i="1"/>
  <c r="Z81" i="1"/>
  <c r="AA81" i="1"/>
  <c r="M80" i="1"/>
  <c r="N80" i="1"/>
  <c r="P80" i="1"/>
  <c r="R80" i="1"/>
  <c r="T80" i="1"/>
  <c r="U80" i="1"/>
  <c r="V80" i="1"/>
  <c r="W80" i="1"/>
  <c r="X80" i="1"/>
  <c r="Y80" i="1"/>
  <c r="Z80" i="1"/>
  <c r="AA80" i="1"/>
  <c r="M79" i="1"/>
  <c r="N79" i="1"/>
  <c r="P79" i="1"/>
  <c r="R79" i="1"/>
  <c r="T79" i="1"/>
  <c r="U79" i="1"/>
  <c r="V79" i="1"/>
  <c r="W79" i="1"/>
  <c r="X79" i="1"/>
  <c r="Y79" i="1"/>
  <c r="Z79" i="1"/>
  <c r="AA79" i="1"/>
  <c r="M78" i="1"/>
  <c r="N78" i="1"/>
  <c r="P78" i="1"/>
  <c r="R78" i="1"/>
  <c r="T78" i="1"/>
  <c r="U78" i="1"/>
  <c r="V78" i="1"/>
  <c r="W78" i="1"/>
  <c r="X78" i="1"/>
  <c r="Y78" i="1"/>
  <c r="Z78" i="1"/>
  <c r="AA78" i="1"/>
  <c r="M77" i="1"/>
  <c r="N77" i="1"/>
  <c r="P77" i="1"/>
  <c r="R77" i="1"/>
  <c r="T77" i="1"/>
  <c r="U77" i="1"/>
  <c r="V77" i="1"/>
  <c r="W77" i="1"/>
  <c r="X77" i="1"/>
  <c r="Y77" i="1"/>
  <c r="Z77" i="1"/>
  <c r="AA77" i="1"/>
  <c r="M76" i="1"/>
  <c r="N76" i="1"/>
  <c r="P76" i="1"/>
  <c r="R76" i="1"/>
  <c r="T76" i="1"/>
  <c r="U76" i="1"/>
  <c r="V76" i="1"/>
  <c r="W76" i="1"/>
  <c r="X76" i="1"/>
  <c r="Y76" i="1"/>
  <c r="Z76" i="1"/>
  <c r="AA76" i="1"/>
  <c r="M75" i="1"/>
  <c r="N75" i="1"/>
  <c r="P75" i="1"/>
  <c r="R75" i="1"/>
  <c r="T75" i="1"/>
  <c r="U75" i="1"/>
  <c r="V75" i="1"/>
  <c r="W75" i="1"/>
  <c r="X75" i="1"/>
  <c r="Y75" i="1"/>
  <c r="Z75" i="1"/>
  <c r="AA75" i="1"/>
  <c r="M74" i="1"/>
  <c r="N74" i="1"/>
  <c r="P74" i="1"/>
  <c r="R74" i="1"/>
  <c r="T74" i="1"/>
  <c r="U74" i="1"/>
  <c r="V74" i="1"/>
  <c r="W74" i="1"/>
  <c r="X74" i="1"/>
  <c r="Y74" i="1"/>
  <c r="Z74" i="1"/>
  <c r="AA74" i="1"/>
  <c r="M73" i="1"/>
  <c r="N73" i="1"/>
  <c r="P73" i="1"/>
  <c r="R73" i="1"/>
  <c r="T73" i="1"/>
  <c r="U73" i="1"/>
  <c r="V73" i="1"/>
  <c r="W73" i="1"/>
  <c r="X73" i="1"/>
  <c r="Y73" i="1"/>
  <c r="Z73" i="1"/>
  <c r="AA73" i="1"/>
  <c r="M72" i="1"/>
  <c r="N72" i="1"/>
  <c r="P72" i="1"/>
  <c r="R72" i="1"/>
  <c r="T72" i="1"/>
  <c r="U72" i="1"/>
  <c r="V72" i="1"/>
  <c r="W72" i="1"/>
  <c r="X72" i="1"/>
  <c r="Y72" i="1"/>
  <c r="Z72" i="1"/>
  <c r="AA72" i="1"/>
  <c r="M71" i="1"/>
  <c r="N71" i="1"/>
  <c r="P71" i="1"/>
  <c r="R71" i="1"/>
  <c r="T71" i="1"/>
  <c r="U71" i="1"/>
  <c r="V71" i="1"/>
  <c r="W71" i="1"/>
  <c r="X71" i="1"/>
  <c r="Y71" i="1"/>
  <c r="Z71" i="1"/>
  <c r="AA71" i="1"/>
  <c r="M70" i="1"/>
  <c r="N70" i="1"/>
  <c r="P70" i="1"/>
  <c r="R70" i="1"/>
  <c r="T70" i="1"/>
  <c r="U70" i="1"/>
  <c r="V70" i="1"/>
  <c r="W70" i="1"/>
  <c r="X70" i="1"/>
  <c r="Y70" i="1"/>
  <c r="Z70" i="1"/>
  <c r="AA70" i="1"/>
  <c r="M69" i="1"/>
  <c r="N69" i="1"/>
  <c r="P69" i="1"/>
  <c r="R69" i="1"/>
  <c r="T69" i="1"/>
  <c r="U69" i="1"/>
  <c r="V69" i="1"/>
  <c r="W69" i="1"/>
  <c r="X69" i="1"/>
  <c r="Y69" i="1"/>
  <c r="Z69" i="1"/>
  <c r="AA69" i="1"/>
  <c r="M68" i="1"/>
  <c r="N68" i="1"/>
  <c r="P68" i="1"/>
  <c r="R68" i="1"/>
  <c r="T68" i="1"/>
  <c r="U68" i="1"/>
  <c r="V68" i="1"/>
  <c r="W68" i="1"/>
  <c r="X68" i="1"/>
  <c r="Y68" i="1"/>
  <c r="Z68" i="1"/>
  <c r="AA68" i="1"/>
  <c r="M67" i="1"/>
  <c r="N67" i="1"/>
  <c r="P67" i="1"/>
  <c r="R67" i="1"/>
  <c r="T67" i="1"/>
  <c r="U67" i="1"/>
  <c r="V67" i="1"/>
  <c r="W67" i="1"/>
  <c r="X67" i="1"/>
  <c r="Y67" i="1"/>
  <c r="Z67" i="1"/>
  <c r="AA67" i="1"/>
  <c r="M66" i="1"/>
  <c r="N66" i="1"/>
  <c r="P66" i="1"/>
  <c r="AA66" i="1"/>
  <c r="Y66" i="1" s="1"/>
  <c r="M65" i="1"/>
  <c r="N65" i="1"/>
  <c r="P65" i="1"/>
  <c r="Y65" i="1"/>
  <c r="X65" i="1" s="1"/>
  <c r="AA65" i="1"/>
  <c r="M64" i="1"/>
  <c r="N64" i="1"/>
  <c r="P64" i="1"/>
  <c r="R64" i="1"/>
  <c r="R65" i="1" s="1"/>
  <c r="R66" i="1" s="1"/>
  <c r="AA64" i="1"/>
  <c r="Y64" i="1" s="1"/>
  <c r="M63" i="1"/>
  <c r="N63" i="1"/>
  <c r="P63" i="1"/>
  <c r="R63" i="1"/>
  <c r="T63" i="1"/>
  <c r="U63" i="1"/>
  <c r="V63" i="1"/>
  <c r="W63" i="1"/>
  <c r="X63" i="1"/>
  <c r="Y63" i="1"/>
  <c r="Z63" i="1"/>
  <c r="AA63" i="1"/>
  <c r="M62" i="1"/>
  <c r="N62" i="1"/>
  <c r="P62" i="1"/>
  <c r="Y62" i="1"/>
  <c r="AA62" i="1"/>
  <c r="M61" i="1"/>
  <c r="N61" i="1"/>
  <c r="P61" i="1"/>
  <c r="AA61" i="1"/>
  <c r="Y61" i="1" s="1"/>
  <c r="M60" i="1"/>
  <c r="N60" i="1"/>
  <c r="P60" i="1"/>
  <c r="R60" i="1"/>
  <c r="R61" i="1" s="1"/>
  <c r="Y60" i="1"/>
  <c r="AA60" i="1"/>
  <c r="M59" i="1"/>
  <c r="N59" i="1"/>
  <c r="P59" i="1"/>
  <c r="R59" i="1"/>
  <c r="T59" i="1"/>
  <c r="U59" i="1"/>
  <c r="V59" i="1"/>
  <c r="W59" i="1"/>
  <c r="X59" i="1"/>
  <c r="Y59" i="1"/>
  <c r="Z59" i="1"/>
  <c r="AA59" i="1"/>
  <c r="M58" i="1"/>
  <c r="N58" i="1"/>
  <c r="P58" i="1"/>
  <c r="Y58" i="1"/>
  <c r="AA58" i="1"/>
  <c r="M57" i="1"/>
  <c r="N57" i="1"/>
  <c r="P57" i="1"/>
  <c r="Y57" i="1"/>
  <c r="AA57" i="1"/>
  <c r="M56" i="1"/>
  <c r="N56" i="1"/>
  <c r="P56" i="1"/>
  <c r="AA56" i="1"/>
  <c r="Y56" i="1" s="1"/>
  <c r="M55" i="1"/>
  <c r="N55" i="1"/>
  <c r="P55" i="1"/>
  <c r="R55" i="1" s="1"/>
  <c r="M54" i="1"/>
  <c r="N54" i="1"/>
  <c r="P54" i="1"/>
  <c r="R54" i="1"/>
  <c r="T54" i="1"/>
  <c r="U54" i="1"/>
  <c r="V54" i="1"/>
  <c r="W54" i="1"/>
  <c r="X54" i="1"/>
  <c r="Y54" i="1"/>
  <c r="Z54" i="1"/>
  <c r="AA54" i="1"/>
  <c r="M53" i="1"/>
  <c r="N53" i="1"/>
  <c r="P53" i="1"/>
  <c r="Y53" i="1"/>
  <c r="X53" i="1" s="1"/>
  <c r="AA53" i="1"/>
  <c r="M52" i="1"/>
  <c r="N52" i="1"/>
  <c r="P52" i="1"/>
  <c r="Y52" i="1"/>
  <c r="X52" i="1" s="1"/>
  <c r="AA52" i="1"/>
  <c r="M51" i="1"/>
  <c r="N51" i="1"/>
  <c r="P51" i="1"/>
  <c r="Y51" i="1"/>
  <c r="X51" i="1" s="1"/>
  <c r="AA51" i="1"/>
  <c r="M50" i="1"/>
  <c r="N50" i="1"/>
  <c r="P50" i="1"/>
  <c r="R50" i="1"/>
  <c r="R51" i="1" s="1"/>
  <c r="R52" i="1" s="1"/>
  <c r="R53" i="1" s="1"/>
  <c r="AA50" i="1"/>
  <c r="Y50" i="1" s="1"/>
  <c r="M49" i="1"/>
  <c r="N49" i="1"/>
  <c r="P49" i="1"/>
  <c r="R49" i="1"/>
  <c r="T49" i="1"/>
  <c r="U49" i="1"/>
  <c r="V49" i="1"/>
  <c r="W49" i="1"/>
  <c r="X49" i="1"/>
  <c r="Y49" i="1"/>
  <c r="Z49" i="1"/>
  <c r="AA49" i="1"/>
  <c r="M48" i="1"/>
  <c r="N48" i="1"/>
  <c r="P48" i="1"/>
  <c r="AA48" i="1"/>
  <c r="Y48" i="1" s="1"/>
  <c r="M47" i="1"/>
  <c r="N47" i="1"/>
  <c r="P47" i="1"/>
  <c r="Y47" i="1"/>
  <c r="X47" i="1" s="1"/>
  <c r="AA47" i="1"/>
  <c r="M46" i="1"/>
  <c r="N46" i="1"/>
  <c r="P46" i="1"/>
  <c r="AA46" i="1"/>
  <c r="Y46" i="1" s="1"/>
  <c r="M45" i="1"/>
  <c r="N45" i="1"/>
  <c r="P45" i="1"/>
  <c r="R45" i="1" s="1"/>
  <c r="Y45" i="1"/>
  <c r="AA45" i="1"/>
  <c r="M44" i="1"/>
  <c r="N44" i="1"/>
  <c r="P44" i="1"/>
  <c r="R44" i="1"/>
  <c r="T44" i="1"/>
  <c r="U44" i="1"/>
  <c r="V44" i="1"/>
  <c r="W44" i="1"/>
  <c r="X44" i="1"/>
  <c r="Y44" i="1"/>
  <c r="Z44" i="1"/>
  <c r="AA44" i="1"/>
  <c r="M43" i="1"/>
  <c r="N43" i="1"/>
  <c r="P43" i="1"/>
  <c r="Y43" i="1"/>
  <c r="AA43" i="1"/>
  <c r="M42" i="1"/>
  <c r="N42" i="1"/>
  <c r="P42" i="1"/>
  <c r="M41" i="1"/>
  <c r="AA41" i="1" s="1"/>
  <c r="Y41" i="1" s="1"/>
  <c r="N41" i="1"/>
  <c r="P41" i="1"/>
  <c r="M40" i="1"/>
  <c r="N40" i="1"/>
  <c r="P40" i="1"/>
  <c r="R40" i="1"/>
  <c r="R41" i="1" s="1"/>
  <c r="R42" i="1" s="1"/>
  <c r="Y40" i="1"/>
  <c r="X40" i="1" s="1"/>
  <c r="AA40" i="1"/>
  <c r="M39" i="1"/>
  <c r="N39" i="1"/>
  <c r="P39" i="1"/>
  <c r="R39" i="1"/>
  <c r="T39" i="1"/>
  <c r="U39" i="1"/>
  <c r="V39" i="1"/>
  <c r="W39" i="1"/>
  <c r="X39" i="1"/>
  <c r="Y39" i="1"/>
  <c r="Z39" i="1"/>
  <c r="AA39" i="1"/>
  <c r="M38" i="1"/>
  <c r="N38" i="1"/>
  <c r="P38" i="1"/>
  <c r="R38" i="1"/>
  <c r="T38" i="1"/>
  <c r="U38" i="1"/>
  <c r="V38" i="1"/>
  <c r="W38" i="1"/>
  <c r="X38" i="1"/>
  <c r="Y38" i="1"/>
  <c r="Z38" i="1"/>
  <c r="AA38" i="1"/>
  <c r="M37" i="1"/>
  <c r="N37" i="1"/>
  <c r="P37" i="1"/>
  <c r="R37" i="1"/>
  <c r="T37" i="1"/>
  <c r="U37" i="1"/>
  <c r="V37" i="1"/>
  <c r="W37" i="1"/>
  <c r="X37" i="1"/>
  <c r="Y37" i="1"/>
  <c r="Z37" i="1"/>
  <c r="AA37" i="1"/>
  <c r="M36" i="1"/>
  <c r="N36" i="1"/>
  <c r="P36" i="1"/>
  <c r="AA36" i="1"/>
  <c r="Y36" i="1" s="1"/>
  <c r="M35" i="1"/>
  <c r="N35" i="1"/>
  <c r="P35" i="1"/>
  <c r="M34" i="1"/>
  <c r="N34" i="1"/>
  <c r="P34" i="1"/>
  <c r="R34" i="1" s="1"/>
  <c r="AA34" i="1"/>
  <c r="Y34" i="1" s="1"/>
  <c r="M33" i="1"/>
  <c r="N33" i="1"/>
  <c r="P33" i="1"/>
  <c r="R33" i="1"/>
  <c r="T33" i="1"/>
  <c r="U33" i="1"/>
  <c r="V33" i="1"/>
  <c r="W33" i="1"/>
  <c r="X33" i="1"/>
  <c r="Y33" i="1"/>
  <c r="Z33" i="1"/>
  <c r="AA33" i="1"/>
  <c r="M32" i="1"/>
  <c r="N32" i="1"/>
  <c r="P32" i="1"/>
  <c r="AA32" i="1"/>
  <c r="Y32" i="1" s="1"/>
  <c r="M31" i="1"/>
  <c r="N31" i="1"/>
  <c r="P31" i="1"/>
  <c r="R31" i="1" s="1"/>
  <c r="Y31" i="1"/>
  <c r="AA31" i="1"/>
  <c r="M30" i="1"/>
  <c r="N30" i="1"/>
  <c r="P30" i="1"/>
  <c r="R30" i="1" s="1"/>
  <c r="M29" i="1"/>
  <c r="N29" i="1"/>
  <c r="P29" i="1"/>
  <c r="R29" i="1"/>
  <c r="T29" i="1"/>
  <c r="U29" i="1"/>
  <c r="V29" i="1"/>
  <c r="W29" i="1"/>
  <c r="X29" i="1"/>
  <c r="Y29" i="1"/>
  <c r="Z29" i="1"/>
  <c r="AA29" i="1"/>
  <c r="M28" i="1"/>
  <c r="N28" i="1"/>
  <c r="P28" i="1"/>
  <c r="AA28" i="1"/>
  <c r="Y28" i="1" s="1"/>
  <c r="M27" i="1"/>
  <c r="N27" i="1"/>
  <c r="P27" i="1"/>
  <c r="Y27" i="1"/>
  <c r="X27" i="1" s="1"/>
  <c r="AA27" i="1"/>
  <c r="M26" i="1"/>
  <c r="N26" i="1"/>
  <c r="P26" i="1"/>
  <c r="AA26" i="1"/>
  <c r="Y26" i="1" s="1"/>
  <c r="M25" i="1"/>
  <c r="N25" i="1"/>
  <c r="P25" i="1"/>
  <c r="R25" i="1"/>
  <c r="R26" i="1" s="1"/>
  <c r="R27" i="1" s="1"/>
  <c r="R28" i="1" s="1"/>
  <c r="Y25" i="1"/>
  <c r="X25" i="1" s="1"/>
  <c r="AA25" i="1"/>
  <c r="M24" i="1"/>
  <c r="N24" i="1"/>
  <c r="P24" i="1"/>
  <c r="R24" i="1"/>
  <c r="T24" i="1"/>
  <c r="U24" i="1"/>
  <c r="V24" i="1"/>
  <c r="W24" i="1"/>
  <c r="X24" i="1"/>
  <c r="Y24" i="1"/>
  <c r="Z24" i="1"/>
  <c r="AA24" i="1"/>
  <c r="M23" i="1"/>
  <c r="N23" i="1"/>
  <c r="P23" i="1"/>
  <c r="AA23" i="1"/>
  <c r="Y23" i="1" s="1"/>
  <c r="M22" i="1"/>
  <c r="N22" i="1"/>
  <c r="P22" i="1"/>
  <c r="Y22" i="1"/>
  <c r="AA22" i="1"/>
  <c r="M21" i="1"/>
  <c r="N21" i="1"/>
  <c r="P21" i="1"/>
  <c r="Y21" i="1"/>
  <c r="AA21" i="1"/>
  <c r="M20" i="1"/>
  <c r="N20" i="1"/>
  <c r="P20" i="1"/>
  <c r="R20" i="1" s="1"/>
  <c r="AA20" i="1"/>
  <c r="Y20" i="1" s="1"/>
  <c r="M19" i="1"/>
  <c r="N19" i="1"/>
  <c r="P19" i="1"/>
  <c r="R19" i="1"/>
  <c r="T19" i="1"/>
  <c r="U19" i="1"/>
  <c r="V19" i="1"/>
  <c r="W19" i="1"/>
  <c r="X19" i="1"/>
  <c r="Y19" i="1"/>
  <c r="Z19" i="1"/>
  <c r="AA19" i="1"/>
  <c r="M18" i="1"/>
  <c r="N18" i="1"/>
  <c r="P18" i="1"/>
  <c r="AA18" i="1"/>
  <c r="Y18" i="1" s="1"/>
  <c r="M17" i="1"/>
  <c r="N17" i="1"/>
  <c r="P17" i="1"/>
  <c r="AA17" i="1"/>
  <c r="Y17" i="1" s="1"/>
  <c r="M16" i="1"/>
  <c r="N16" i="1"/>
  <c r="P16" i="1"/>
  <c r="Y16" i="1"/>
  <c r="X16" i="1" s="1"/>
  <c r="AA16" i="1"/>
  <c r="M15" i="1"/>
  <c r="N15" i="1"/>
  <c r="P15" i="1"/>
  <c r="R15" i="1"/>
  <c r="R16" i="1" s="1"/>
  <c r="R17" i="1" s="1"/>
  <c r="R18" i="1" s="1"/>
  <c r="Y15" i="1"/>
  <c r="X15" i="1" s="1"/>
  <c r="AA15" i="1"/>
  <c r="M14" i="1"/>
  <c r="N14" i="1"/>
  <c r="P14" i="1"/>
  <c r="R14" i="1"/>
  <c r="T14" i="1"/>
  <c r="U14" i="1"/>
  <c r="V14" i="1"/>
  <c r="W14" i="1"/>
  <c r="X14" i="1"/>
  <c r="Y14" i="1"/>
  <c r="Z14" i="1"/>
  <c r="AA14" i="1"/>
  <c r="M13" i="1"/>
  <c r="N13" i="1"/>
  <c r="P13" i="1"/>
  <c r="Y13" i="1"/>
  <c r="X13" i="1" s="1"/>
  <c r="AA13" i="1"/>
  <c r="M12" i="1"/>
  <c r="N12" i="1"/>
  <c r="P12" i="1"/>
  <c r="AA12" i="1"/>
  <c r="Y12" i="1" s="1"/>
  <c r="M11" i="1"/>
  <c r="N11" i="1"/>
  <c r="P11" i="1"/>
  <c r="AA11" i="1"/>
  <c r="Y11" i="1" s="1"/>
  <c r="M10" i="1"/>
  <c r="N10" i="1"/>
  <c r="P10" i="1"/>
  <c r="R10" i="1" s="1"/>
  <c r="R11" i="1" s="1"/>
  <c r="R12" i="1" s="1"/>
  <c r="R13" i="1" s="1"/>
  <c r="Y10" i="1"/>
  <c r="AA10" i="1"/>
  <c r="M9" i="1"/>
  <c r="N9" i="1"/>
  <c r="P9" i="1"/>
  <c r="R9" i="1"/>
  <c r="T9" i="1"/>
  <c r="U9" i="1"/>
  <c r="V9" i="1"/>
  <c r="W9" i="1"/>
  <c r="X9" i="1"/>
  <c r="Y9" i="1"/>
  <c r="Z9" i="1"/>
  <c r="AA9" i="1"/>
  <c r="M8" i="1"/>
  <c r="N8" i="1"/>
  <c r="O8" i="1"/>
  <c r="O9" i="1" s="1"/>
  <c r="O10" i="1" s="1"/>
  <c r="P8" i="1"/>
  <c r="Q8" i="1"/>
  <c r="R8" i="1"/>
  <c r="S8" i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T8" i="1"/>
  <c r="U8" i="1"/>
  <c r="V8" i="1"/>
  <c r="W8" i="1"/>
  <c r="X8" i="1"/>
  <c r="Y8" i="1"/>
  <c r="Z8" i="1"/>
  <c r="AA8" i="1"/>
  <c r="B16" i="4" l="1"/>
  <c r="Q9" i="1"/>
  <c r="Q10" i="1" s="1"/>
  <c r="X66" i="1"/>
  <c r="X64" i="1"/>
  <c r="X62" i="1"/>
  <c r="X61" i="1"/>
  <c r="X60" i="1"/>
  <c r="X58" i="1"/>
  <c r="X57" i="1"/>
  <c r="X56" i="1"/>
  <c r="AA55" i="1"/>
  <c r="Y55" i="1" s="1"/>
  <c r="X50" i="1"/>
  <c r="X48" i="1"/>
  <c r="X46" i="1"/>
  <c r="X45" i="1"/>
  <c r="X43" i="1"/>
  <c r="AA42" i="1"/>
  <c r="Y42" i="1" s="1"/>
  <c r="X41" i="1"/>
  <c r="X36" i="1"/>
  <c r="AA35" i="1"/>
  <c r="Y35" i="1"/>
  <c r="X35" i="1" s="1"/>
  <c r="X34" i="1"/>
  <c r="X32" i="1"/>
  <c r="X31" i="1"/>
  <c r="Y30" i="1"/>
  <c r="AA30" i="1"/>
  <c r="X28" i="1"/>
  <c r="X26" i="1"/>
  <c r="X23" i="1"/>
  <c r="X22" i="1"/>
  <c r="X21" i="1"/>
  <c r="X20" i="1"/>
  <c r="X18" i="1"/>
  <c r="X17" i="1"/>
  <c r="X12" i="1"/>
  <c r="X11" i="1"/>
  <c r="X10" i="1"/>
  <c r="O11" i="1"/>
  <c r="R35" i="1"/>
  <c r="R36" i="1" s="1"/>
  <c r="R43" i="1"/>
  <c r="R32" i="1"/>
  <c r="R62" i="1"/>
  <c r="R56" i="1"/>
  <c r="R57" i="1" s="1"/>
  <c r="R58" i="1" s="1"/>
  <c r="R46" i="1"/>
  <c r="R47" i="1" s="1"/>
  <c r="R48" i="1" s="1"/>
  <c r="R21" i="1"/>
  <c r="R22" i="1" s="1"/>
  <c r="R23" i="1" s="1"/>
  <c r="P97" i="1"/>
  <c r="AC2" i="1"/>
  <c r="AC3" i="1" s="1"/>
  <c r="E6" i="4"/>
  <c r="G6" i="4"/>
  <c r="D7" i="4"/>
  <c r="F6" i="4"/>
  <c r="I54" i="4"/>
  <c r="I58" i="4"/>
  <c r="I71" i="4"/>
  <c r="I92" i="4"/>
  <c r="I97" i="4"/>
  <c r="I98" i="4"/>
  <c r="I99" i="4"/>
  <c r="I102" i="4"/>
  <c r="I103" i="4"/>
  <c r="I104" i="4"/>
  <c r="I105" i="4"/>
  <c r="I106" i="4"/>
  <c r="I107" i="4"/>
  <c r="I108" i="4"/>
  <c r="I109" i="4"/>
  <c r="I110" i="4"/>
  <c r="I116" i="4"/>
  <c r="I117" i="4"/>
  <c r="I118" i="4"/>
  <c r="I119" i="4"/>
  <c r="I120" i="4"/>
  <c r="I121" i="4"/>
  <c r="I122" i="4"/>
  <c r="I123" i="4"/>
  <c r="I124" i="4"/>
  <c r="I216" i="4"/>
  <c r="I227" i="4"/>
  <c r="I228" i="4"/>
  <c r="I231" i="4"/>
  <c r="I236" i="4"/>
  <c r="I238" i="4"/>
  <c r="I239" i="4"/>
  <c r="I241" i="4"/>
  <c r="I243" i="4"/>
  <c r="I244" i="4"/>
  <c r="I247" i="4"/>
  <c r="I249" i="4"/>
  <c r="I255" i="4"/>
  <c r="I257" i="4"/>
  <c r="I259" i="4"/>
  <c r="I260" i="4"/>
  <c r="I261" i="4"/>
  <c r="I263" i="4"/>
  <c r="I264" i="4"/>
  <c r="I271" i="4"/>
  <c r="I272" i="4"/>
  <c r="I273" i="4"/>
  <c r="I274" i="4"/>
  <c r="I275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20" i="4"/>
  <c r="I25" i="4"/>
  <c r="I162" i="4"/>
  <c r="I163" i="4"/>
  <c r="I164" i="4"/>
  <c r="I166" i="4"/>
  <c r="I167" i="4"/>
  <c r="I168" i="4"/>
  <c r="I171" i="4"/>
  <c r="I174" i="4"/>
  <c r="I175" i="4"/>
  <c r="I176" i="4"/>
  <c r="I177" i="4"/>
  <c r="I179" i="4"/>
  <c r="I183" i="4"/>
  <c r="I184" i="4"/>
  <c r="I193" i="4"/>
  <c r="I198" i="4"/>
  <c r="I200" i="4"/>
  <c r="I219" i="4"/>
  <c r="I223" i="4"/>
  <c r="I224" i="4"/>
  <c r="I226" i="4"/>
  <c r="I229" i="4"/>
  <c r="I230" i="4"/>
  <c r="I197" i="4"/>
  <c r="I209" i="4"/>
  <c r="I213" i="4"/>
  <c r="I217" i="4"/>
  <c r="I218" i="4"/>
  <c r="I220" i="4"/>
  <c r="I221" i="4"/>
  <c r="I222" i="4"/>
  <c r="I225" i="4"/>
  <c r="I234" i="4"/>
  <c r="I235" i="4"/>
  <c r="M142" i="1"/>
  <c r="R142" i="1"/>
  <c r="T142" i="1"/>
  <c r="V142" i="1"/>
  <c r="N142" i="1"/>
  <c r="P142" i="1"/>
  <c r="U142" i="1"/>
  <c r="W142" i="1"/>
  <c r="X142" i="1"/>
  <c r="Y142" i="1"/>
  <c r="Z142" i="1"/>
  <c r="AA142" i="1"/>
  <c r="M96" i="1"/>
  <c r="P96" i="1"/>
  <c r="R96" i="1"/>
  <c r="T96" i="1"/>
  <c r="V96" i="1"/>
  <c r="Y96" i="1"/>
  <c r="AA96" i="1"/>
  <c r="N96" i="1"/>
  <c r="S96" i="1"/>
  <c r="U96" i="1"/>
  <c r="W96" i="1"/>
  <c r="X96" i="1"/>
  <c r="Z96" i="1"/>
  <c r="N52" i="2"/>
  <c r="B31" i="4"/>
  <c r="B34" i="4"/>
  <c r="B32" i="4"/>
  <c r="B25" i="4"/>
  <c r="B19" i="4"/>
  <c r="B20" i="4"/>
  <c r="B35" i="4"/>
  <c r="B22" i="4"/>
  <c r="B36" i="4"/>
  <c r="B28" i="4"/>
  <c r="B12" i="4"/>
  <c r="I3" i="4" s="1"/>
  <c r="B30" i="4"/>
  <c r="B29" i="4"/>
  <c r="B26" i="4"/>
  <c r="B23" i="4"/>
  <c r="B21" i="4"/>
  <c r="B27" i="4"/>
  <c r="B33" i="4"/>
  <c r="B24" i="4"/>
  <c r="I52" i="4" l="1"/>
  <c r="I53" i="4"/>
  <c r="I55" i="4"/>
  <c r="I56" i="4"/>
  <c r="I57" i="4"/>
  <c r="I59" i="4"/>
  <c r="I60" i="4"/>
  <c r="I61" i="4"/>
  <c r="I62" i="4"/>
  <c r="I63" i="4"/>
  <c r="I64" i="4"/>
  <c r="I66" i="4"/>
  <c r="I67" i="4"/>
  <c r="I68" i="4"/>
  <c r="I69" i="4"/>
  <c r="I70" i="4"/>
  <c r="I72" i="4"/>
  <c r="I73" i="4"/>
  <c r="I74" i="4"/>
  <c r="I75" i="4"/>
  <c r="I76" i="4"/>
  <c r="I86" i="4"/>
  <c r="I87" i="4"/>
  <c r="I88" i="4"/>
  <c r="I89" i="4"/>
  <c r="I90" i="4"/>
  <c r="I91" i="4"/>
  <c r="I93" i="4"/>
  <c r="I94" i="4"/>
  <c r="I125" i="4"/>
  <c r="I126" i="4"/>
  <c r="I127" i="4"/>
  <c r="I128" i="4"/>
  <c r="I129" i="4"/>
  <c r="I26" i="4"/>
  <c r="I27" i="4"/>
  <c r="I29" i="4"/>
  <c r="I30" i="4"/>
  <c r="I131" i="4"/>
  <c r="I140" i="4"/>
  <c r="I148" i="4"/>
  <c r="I154" i="4"/>
  <c r="I158" i="4"/>
  <c r="I161" i="4"/>
  <c r="I170" i="4"/>
  <c r="I172" i="4"/>
  <c r="I181" i="4"/>
  <c r="I188" i="4"/>
  <c r="I194" i="4"/>
  <c r="I212" i="4"/>
  <c r="I150" i="4"/>
  <c r="I159" i="4"/>
  <c r="I165" i="4"/>
  <c r="I178" i="4"/>
  <c r="I187" i="4"/>
  <c r="I190" i="4"/>
  <c r="I196" i="4"/>
  <c r="I214" i="4"/>
  <c r="I265" i="4"/>
  <c r="I268" i="4"/>
  <c r="I269" i="4"/>
  <c r="I270" i="4"/>
  <c r="I139" i="4"/>
  <c r="I142" i="4"/>
  <c r="I147" i="4"/>
  <c r="I149" i="4"/>
  <c r="I151" i="4"/>
  <c r="I155" i="4"/>
  <c r="I157" i="4"/>
  <c r="I202" i="4"/>
  <c r="I205" i="4"/>
  <c r="I207" i="4"/>
  <c r="I208" i="4"/>
  <c r="I210" i="4"/>
  <c r="I215" i="4"/>
  <c r="I246" i="4"/>
  <c r="I195" i="4"/>
  <c r="I192" i="4"/>
  <c r="I232" i="4"/>
  <c r="I65" i="4"/>
  <c r="I78" i="4"/>
  <c r="I79" i="4"/>
  <c r="I80" i="4"/>
  <c r="I81" i="4"/>
  <c r="I111" i="4"/>
  <c r="I112" i="4"/>
  <c r="I113" i="4"/>
  <c r="I114" i="4"/>
  <c r="I115" i="4"/>
  <c r="I199" i="4"/>
  <c r="I203" i="4"/>
  <c r="I237" i="4"/>
  <c r="I242" i="4"/>
  <c r="I250" i="4"/>
  <c r="I253" i="4"/>
  <c r="I258" i="4"/>
  <c r="I100" i="4"/>
  <c r="I101" i="4"/>
  <c r="I152" i="4"/>
  <c r="I153" i="4"/>
  <c r="I266" i="4"/>
  <c r="I267" i="4"/>
  <c r="I143" i="4"/>
  <c r="I144" i="4"/>
  <c r="I45" i="4"/>
  <c r="I47" i="4"/>
  <c r="I49" i="4"/>
  <c r="J49" i="4" s="1"/>
  <c r="I46" i="4"/>
  <c r="I50" i="4"/>
  <c r="I44" i="4"/>
  <c r="I48" i="4"/>
  <c r="I51" i="4"/>
  <c r="I77" i="4"/>
  <c r="I95" i="4"/>
  <c r="I96" i="4"/>
  <c r="I145" i="4"/>
  <c r="I182" i="4"/>
  <c r="I185" i="4"/>
  <c r="I262" i="4"/>
  <c r="I135" i="4"/>
  <c r="I137" i="4"/>
  <c r="I233" i="4"/>
  <c r="I240" i="4"/>
  <c r="I245" i="4"/>
  <c r="O12" i="1"/>
  <c r="Q11" i="1"/>
  <c r="X55" i="1"/>
  <c r="X42" i="1"/>
  <c r="X30" i="1"/>
  <c r="AC4" i="1"/>
  <c r="AC5" i="1"/>
  <c r="I6" i="4"/>
  <c r="I8" i="4"/>
  <c r="I9" i="4"/>
  <c r="J9" i="4" s="1"/>
  <c r="I10" i="4"/>
  <c r="I11" i="4"/>
  <c r="I12" i="4"/>
  <c r="I13" i="4"/>
  <c r="I14" i="4"/>
  <c r="I15" i="4"/>
  <c r="I17" i="4"/>
  <c r="I21" i="4"/>
  <c r="I36" i="4"/>
  <c r="I37" i="4"/>
  <c r="I39" i="4"/>
  <c r="I41" i="4"/>
  <c r="I43" i="4"/>
  <c r="I16" i="4"/>
  <c r="I38" i="4"/>
  <c r="I40" i="4"/>
  <c r="I42" i="4"/>
  <c r="I82" i="4"/>
  <c r="I83" i="4"/>
  <c r="I84" i="4"/>
  <c r="I85" i="4"/>
  <c r="I201" i="4"/>
  <c r="I204" i="4"/>
  <c r="I206" i="4"/>
  <c r="I211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48" i="4"/>
  <c r="I251" i="4"/>
  <c r="I252" i="4"/>
  <c r="I254" i="4"/>
  <c r="I256" i="4"/>
  <c r="I28" i="4"/>
  <c r="I132" i="4"/>
  <c r="I136" i="4"/>
  <c r="I138" i="4"/>
  <c r="I141" i="4"/>
  <c r="I146" i="4"/>
  <c r="I156" i="4"/>
  <c r="I160" i="4"/>
  <c r="I169" i="4"/>
  <c r="I173" i="4"/>
  <c r="I180" i="4"/>
  <c r="I186" i="4"/>
  <c r="I189" i="4"/>
  <c r="I191" i="4"/>
  <c r="I7" i="4"/>
  <c r="I19" i="4"/>
  <c r="I35" i="4"/>
  <c r="I18" i="4"/>
  <c r="I22" i="4"/>
  <c r="I24" i="4"/>
  <c r="I31" i="4"/>
  <c r="I32" i="4"/>
  <c r="I33" i="4"/>
  <c r="I34" i="4"/>
  <c r="I130" i="4"/>
  <c r="I134" i="4"/>
  <c r="I5" i="4"/>
  <c r="I23" i="4"/>
  <c r="I133" i="4"/>
  <c r="D8" i="4"/>
  <c r="E7" i="4"/>
  <c r="F7" i="4"/>
  <c r="G7" i="4"/>
  <c r="J6" i="4"/>
  <c r="N6" i="4"/>
  <c r="M6" i="4"/>
  <c r="K6" i="4"/>
  <c r="L6" i="4"/>
  <c r="J52" i="4"/>
  <c r="K52" i="4"/>
  <c r="L52" i="4"/>
  <c r="M52" i="4"/>
  <c r="N52" i="4"/>
  <c r="J53" i="4"/>
  <c r="K53" i="4"/>
  <c r="J54" i="4"/>
  <c r="K54" i="4"/>
  <c r="L54" i="4"/>
  <c r="M54" i="4"/>
  <c r="N54" i="4"/>
  <c r="J58" i="4"/>
  <c r="K58" i="4"/>
  <c r="L58" i="4"/>
  <c r="M58" i="4"/>
  <c r="N58" i="4"/>
  <c r="J71" i="4"/>
  <c r="K71" i="4"/>
  <c r="L71" i="4"/>
  <c r="M71" i="4"/>
  <c r="N71" i="4"/>
  <c r="J92" i="4"/>
  <c r="K92" i="4"/>
  <c r="L92" i="4"/>
  <c r="M92" i="4"/>
  <c r="N92" i="4"/>
  <c r="J97" i="4"/>
  <c r="K97" i="4"/>
  <c r="L97" i="4"/>
  <c r="M97" i="4"/>
  <c r="N97" i="4"/>
  <c r="J98" i="4"/>
  <c r="K98" i="4"/>
  <c r="L98" i="4"/>
  <c r="M98" i="4"/>
  <c r="N98" i="4"/>
  <c r="J99" i="4"/>
  <c r="K99" i="4"/>
  <c r="L99" i="4"/>
  <c r="M99" i="4"/>
  <c r="N99" i="4"/>
  <c r="J102" i="4"/>
  <c r="K102" i="4"/>
  <c r="L102" i="4"/>
  <c r="M102" i="4"/>
  <c r="N102" i="4"/>
  <c r="J103" i="4"/>
  <c r="K103" i="4"/>
  <c r="L103" i="4"/>
  <c r="M103" i="4"/>
  <c r="N103" i="4"/>
  <c r="J104" i="4"/>
  <c r="K104" i="4"/>
  <c r="L104" i="4"/>
  <c r="M104" i="4"/>
  <c r="N104" i="4"/>
  <c r="J105" i="4"/>
  <c r="K105" i="4"/>
  <c r="L105" i="4"/>
  <c r="M105" i="4"/>
  <c r="N105" i="4"/>
  <c r="J106" i="4"/>
  <c r="K106" i="4"/>
  <c r="L106" i="4"/>
  <c r="M106" i="4"/>
  <c r="N106" i="4"/>
  <c r="J107" i="4"/>
  <c r="K107" i="4"/>
  <c r="L107" i="4"/>
  <c r="M107" i="4"/>
  <c r="N107" i="4"/>
  <c r="J108" i="4"/>
  <c r="K108" i="4"/>
  <c r="L108" i="4"/>
  <c r="M108" i="4"/>
  <c r="N108" i="4"/>
  <c r="J109" i="4"/>
  <c r="K109" i="4"/>
  <c r="L109" i="4"/>
  <c r="M109" i="4"/>
  <c r="N109" i="4"/>
  <c r="J110" i="4"/>
  <c r="K110" i="4"/>
  <c r="L110" i="4"/>
  <c r="M110" i="4"/>
  <c r="N110" i="4"/>
  <c r="J116" i="4"/>
  <c r="K116" i="4"/>
  <c r="L116" i="4"/>
  <c r="M116" i="4"/>
  <c r="N116" i="4"/>
  <c r="J117" i="4"/>
  <c r="K117" i="4"/>
  <c r="L117" i="4"/>
  <c r="M117" i="4"/>
  <c r="N117" i="4"/>
  <c r="J118" i="4"/>
  <c r="K118" i="4"/>
  <c r="L118" i="4"/>
  <c r="M118" i="4"/>
  <c r="N118" i="4"/>
  <c r="J119" i="4"/>
  <c r="K119" i="4"/>
  <c r="L119" i="4"/>
  <c r="M119" i="4"/>
  <c r="N119" i="4"/>
  <c r="J120" i="4"/>
  <c r="K120" i="4"/>
  <c r="L120" i="4"/>
  <c r="M120" i="4"/>
  <c r="N120" i="4"/>
  <c r="J121" i="4"/>
  <c r="K121" i="4"/>
  <c r="L121" i="4"/>
  <c r="M121" i="4"/>
  <c r="N121" i="4"/>
  <c r="J122" i="4"/>
  <c r="K122" i="4"/>
  <c r="L122" i="4"/>
  <c r="M122" i="4"/>
  <c r="N122" i="4"/>
  <c r="J123" i="4"/>
  <c r="K123" i="4"/>
  <c r="L123" i="4"/>
  <c r="M123" i="4"/>
  <c r="N123" i="4"/>
  <c r="J124" i="4"/>
  <c r="K124" i="4"/>
  <c r="L124" i="4"/>
  <c r="M124" i="4"/>
  <c r="N124" i="4"/>
  <c r="L216" i="4"/>
  <c r="M216" i="4"/>
  <c r="J216" i="4"/>
  <c r="K216" i="4"/>
  <c r="N216" i="4"/>
  <c r="J227" i="4"/>
  <c r="M227" i="4"/>
  <c r="K227" i="4"/>
  <c r="L227" i="4"/>
  <c r="N227" i="4"/>
  <c r="L228" i="4"/>
  <c r="N228" i="4"/>
  <c r="J228" i="4"/>
  <c r="K228" i="4"/>
  <c r="M228" i="4"/>
  <c r="M231" i="4"/>
  <c r="K231" i="4"/>
  <c r="J231" i="4"/>
  <c r="L231" i="4"/>
  <c r="N231" i="4"/>
  <c r="K236" i="4"/>
  <c r="M236" i="4"/>
  <c r="J236" i="4"/>
  <c r="L236" i="4"/>
  <c r="N236" i="4"/>
  <c r="J238" i="4"/>
  <c r="L238" i="4"/>
  <c r="N238" i="4"/>
  <c r="K238" i="4"/>
  <c r="M238" i="4"/>
  <c r="K239" i="4"/>
  <c r="M239" i="4"/>
  <c r="L239" i="4"/>
  <c r="J239" i="4"/>
  <c r="N239" i="4"/>
  <c r="J241" i="4"/>
  <c r="L241" i="4"/>
  <c r="N241" i="4"/>
  <c r="K241" i="4"/>
  <c r="M241" i="4"/>
  <c r="K243" i="4"/>
  <c r="N243" i="4"/>
  <c r="J243" i="4"/>
  <c r="L243" i="4"/>
  <c r="M243" i="4"/>
  <c r="L244" i="4"/>
  <c r="N244" i="4"/>
  <c r="J244" i="4"/>
  <c r="K244" i="4"/>
  <c r="M244" i="4"/>
  <c r="J247" i="4"/>
  <c r="M247" i="4"/>
  <c r="K247" i="4"/>
  <c r="L247" i="4"/>
  <c r="N247" i="4"/>
  <c r="K249" i="4"/>
  <c r="N249" i="4"/>
  <c r="J249" i="4"/>
  <c r="L249" i="4"/>
  <c r="M249" i="4"/>
  <c r="J255" i="4"/>
  <c r="K255" i="4"/>
  <c r="M255" i="4"/>
  <c r="N255" i="4"/>
  <c r="L255" i="4"/>
  <c r="J257" i="4"/>
  <c r="L257" i="4"/>
  <c r="N257" i="4"/>
  <c r="K257" i="4"/>
  <c r="M257" i="4"/>
  <c r="J259" i="4"/>
  <c r="K259" i="4"/>
  <c r="L259" i="4"/>
  <c r="M259" i="4"/>
  <c r="N259" i="4"/>
  <c r="J260" i="4"/>
  <c r="K260" i="4"/>
  <c r="L260" i="4"/>
  <c r="M260" i="4"/>
  <c r="N260" i="4"/>
  <c r="J261" i="4"/>
  <c r="K261" i="4"/>
  <c r="L261" i="4"/>
  <c r="M261" i="4"/>
  <c r="N261" i="4"/>
  <c r="J263" i="4"/>
  <c r="K263" i="4"/>
  <c r="L263" i="4"/>
  <c r="M263" i="4"/>
  <c r="N263" i="4"/>
  <c r="J264" i="4"/>
  <c r="K264" i="4"/>
  <c r="L264" i="4"/>
  <c r="M264" i="4"/>
  <c r="N264" i="4"/>
  <c r="J271" i="4"/>
  <c r="K271" i="4"/>
  <c r="L271" i="4"/>
  <c r="M271" i="4"/>
  <c r="N271" i="4"/>
  <c r="J272" i="4"/>
  <c r="K272" i="4"/>
  <c r="L272" i="4"/>
  <c r="M272" i="4"/>
  <c r="N272" i="4"/>
  <c r="J273" i="4"/>
  <c r="K273" i="4"/>
  <c r="L273" i="4"/>
  <c r="M273" i="4"/>
  <c r="N273" i="4"/>
  <c r="J274" i="4"/>
  <c r="K274" i="4"/>
  <c r="L274" i="4"/>
  <c r="M274" i="4"/>
  <c r="N274" i="4"/>
  <c r="J275" i="4"/>
  <c r="K275" i="4"/>
  <c r="L275" i="4"/>
  <c r="M275" i="4"/>
  <c r="N275" i="4"/>
  <c r="J293" i="4"/>
  <c r="K293" i="4"/>
  <c r="L293" i="4"/>
  <c r="M293" i="4"/>
  <c r="N293" i="4"/>
  <c r="J294" i="4"/>
  <c r="K294" i="4"/>
  <c r="L294" i="4"/>
  <c r="M294" i="4"/>
  <c r="N294" i="4"/>
  <c r="J295" i="4"/>
  <c r="K295" i="4"/>
  <c r="L295" i="4"/>
  <c r="M295" i="4"/>
  <c r="N295" i="4"/>
  <c r="J296" i="4"/>
  <c r="K296" i="4"/>
  <c r="L296" i="4"/>
  <c r="M296" i="4"/>
  <c r="N296" i="4"/>
  <c r="J297" i="4"/>
  <c r="K297" i="4"/>
  <c r="L297" i="4"/>
  <c r="M297" i="4"/>
  <c r="N297" i="4"/>
  <c r="J298" i="4"/>
  <c r="K298" i="4"/>
  <c r="L298" i="4"/>
  <c r="M298" i="4"/>
  <c r="N298" i="4"/>
  <c r="J299" i="4"/>
  <c r="K299" i="4"/>
  <c r="L299" i="4"/>
  <c r="M299" i="4"/>
  <c r="N299" i="4"/>
  <c r="J300" i="4"/>
  <c r="K300" i="4"/>
  <c r="L300" i="4"/>
  <c r="M300" i="4"/>
  <c r="N300" i="4"/>
  <c r="J301" i="4"/>
  <c r="K301" i="4"/>
  <c r="L301" i="4"/>
  <c r="M301" i="4"/>
  <c r="N301" i="4"/>
  <c r="J302" i="4"/>
  <c r="K302" i="4"/>
  <c r="L302" i="4"/>
  <c r="M302" i="4"/>
  <c r="N302" i="4"/>
  <c r="J303" i="4"/>
  <c r="K303" i="4"/>
  <c r="L303" i="4"/>
  <c r="M303" i="4"/>
  <c r="N303" i="4"/>
  <c r="J304" i="4"/>
  <c r="K304" i="4"/>
  <c r="L304" i="4"/>
  <c r="M304" i="4"/>
  <c r="N304" i="4"/>
  <c r="L20" i="4"/>
  <c r="M20" i="4"/>
  <c r="J20" i="4"/>
  <c r="N20" i="4"/>
  <c r="K20" i="4"/>
  <c r="K25" i="4"/>
  <c r="N25" i="4"/>
  <c r="J25" i="4"/>
  <c r="L25" i="4"/>
  <c r="M25" i="4"/>
  <c r="K162" i="4"/>
  <c r="M162" i="4"/>
  <c r="J162" i="4"/>
  <c r="L162" i="4"/>
  <c r="N162" i="4"/>
  <c r="K163" i="4"/>
  <c r="N163" i="4"/>
  <c r="J163" i="4"/>
  <c r="L163" i="4"/>
  <c r="M163" i="4"/>
  <c r="J164" i="4"/>
  <c r="L164" i="4"/>
  <c r="M164" i="4"/>
  <c r="K164" i="4"/>
  <c r="N164" i="4"/>
  <c r="J166" i="4"/>
  <c r="M166" i="4"/>
  <c r="K166" i="4"/>
  <c r="L166" i="4"/>
  <c r="N166" i="4"/>
  <c r="J167" i="4"/>
  <c r="K167" i="4"/>
  <c r="L167" i="4"/>
  <c r="M167" i="4"/>
  <c r="N167" i="4"/>
  <c r="K168" i="4"/>
  <c r="N168" i="4"/>
  <c r="J168" i="4"/>
  <c r="L168" i="4"/>
  <c r="M168" i="4"/>
  <c r="K171" i="4"/>
  <c r="L171" i="4"/>
  <c r="M171" i="4"/>
  <c r="N171" i="4"/>
  <c r="J171" i="4"/>
  <c r="K174" i="4"/>
  <c r="J174" i="4"/>
  <c r="N174" i="4"/>
  <c r="L174" i="4"/>
  <c r="M174" i="4"/>
  <c r="K175" i="4"/>
  <c r="M175" i="4"/>
  <c r="J175" i="4"/>
  <c r="L175" i="4"/>
  <c r="N175" i="4"/>
  <c r="K176" i="4"/>
  <c r="M176" i="4"/>
  <c r="J176" i="4"/>
  <c r="L176" i="4"/>
  <c r="N176" i="4"/>
  <c r="K177" i="4"/>
  <c r="L177" i="4"/>
  <c r="N177" i="4"/>
  <c r="J177" i="4"/>
  <c r="M177" i="4"/>
  <c r="L179" i="4"/>
  <c r="N179" i="4"/>
  <c r="J179" i="4"/>
  <c r="K179" i="4"/>
  <c r="M179" i="4"/>
  <c r="K183" i="4"/>
  <c r="J183" i="4"/>
  <c r="N183" i="4"/>
  <c r="L183" i="4"/>
  <c r="M183" i="4"/>
  <c r="L184" i="4"/>
  <c r="M184" i="4"/>
  <c r="N184" i="4"/>
  <c r="K184" i="4"/>
  <c r="J184" i="4"/>
  <c r="K193" i="4"/>
  <c r="M193" i="4"/>
  <c r="N193" i="4"/>
  <c r="J193" i="4"/>
  <c r="L193" i="4"/>
  <c r="L198" i="4"/>
  <c r="N198" i="4"/>
  <c r="J198" i="4"/>
  <c r="K198" i="4"/>
  <c r="M198" i="4"/>
  <c r="K200" i="4"/>
  <c r="M200" i="4"/>
  <c r="L200" i="4"/>
  <c r="N200" i="4"/>
  <c r="J200" i="4"/>
  <c r="L219" i="4"/>
  <c r="N219" i="4"/>
  <c r="K219" i="4"/>
  <c r="J219" i="4"/>
  <c r="M219" i="4"/>
  <c r="K223" i="4"/>
  <c r="M223" i="4"/>
  <c r="J223" i="4"/>
  <c r="L223" i="4"/>
  <c r="N223" i="4"/>
  <c r="K224" i="4"/>
  <c r="N224" i="4"/>
  <c r="J224" i="4"/>
  <c r="L224" i="4"/>
  <c r="M224" i="4"/>
  <c r="K226" i="4"/>
  <c r="N226" i="4"/>
  <c r="J226" i="4"/>
  <c r="M226" i="4"/>
  <c r="L226" i="4"/>
  <c r="K229" i="4"/>
  <c r="M229" i="4"/>
  <c r="J229" i="4"/>
  <c r="L229" i="4"/>
  <c r="N229" i="4"/>
  <c r="L230" i="4"/>
  <c r="N230" i="4"/>
  <c r="J230" i="4"/>
  <c r="K230" i="4"/>
  <c r="M230" i="4"/>
  <c r="L197" i="4"/>
  <c r="J197" i="4"/>
  <c r="M197" i="4"/>
  <c r="N197" i="4"/>
  <c r="K197" i="4"/>
  <c r="K209" i="4"/>
  <c r="M209" i="4"/>
  <c r="N209" i="4"/>
  <c r="L209" i="4"/>
  <c r="J209" i="4"/>
  <c r="K213" i="4"/>
  <c r="M213" i="4"/>
  <c r="J213" i="4"/>
  <c r="L213" i="4"/>
  <c r="N213" i="4"/>
  <c r="J217" i="4"/>
  <c r="K217" i="4"/>
  <c r="M217" i="4"/>
  <c r="L217" i="4"/>
  <c r="N217" i="4"/>
  <c r="K218" i="4"/>
  <c r="N218" i="4"/>
  <c r="J218" i="4"/>
  <c r="L218" i="4"/>
  <c r="M218" i="4"/>
  <c r="J220" i="4"/>
  <c r="L220" i="4"/>
  <c r="N220" i="4"/>
  <c r="K220" i="4"/>
  <c r="M220" i="4"/>
  <c r="K221" i="4"/>
  <c r="M221" i="4"/>
  <c r="J221" i="4"/>
  <c r="L221" i="4"/>
  <c r="N221" i="4"/>
  <c r="K222" i="4"/>
  <c r="N222" i="4"/>
  <c r="J222" i="4"/>
  <c r="L222" i="4"/>
  <c r="M222" i="4"/>
  <c r="L225" i="4"/>
  <c r="J225" i="4"/>
  <c r="M225" i="4"/>
  <c r="N225" i="4"/>
  <c r="K225" i="4"/>
  <c r="J234" i="4"/>
  <c r="L234" i="4"/>
  <c r="N234" i="4"/>
  <c r="K234" i="4"/>
  <c r="M234" i="4"/>
  <c r="M235" i="4"/>
  <c r="J235" i="4"/>
  <c r="K235" i="4"/>
  <c r="L235" i="4"/>
  <c r="N235" i="4"/>
  <c r="S97" i="1"/>
  <c r="L53" i="4" l="1"/>
  <c r="M53" i="4"/>
  <c r="N53" i="4"/>
  <c r="J55" i="4"/>
  <c r="K55" i="4"/>
  <c r="L55" i="4"/>
  <c r="M55" i="4"/>
  <c r="N55" i="4"/>
  <c r="J56" i="4"/>
  <c r="K56" i="4"/>
  <c r="L56" i="4"/>
  <c r="M56" i="4"/>
  <c r="N56" i="4"/>
  <c r="J57" i="4"/>
  <c r="K57" i="4"/>
  <c r="L57" i="4"/>
  <c r="M57" i="4"/>
  <c r="N57" i="4"/>
  <c r="J59" i="4"/>
  <c r="K59" i="4"/>
  <c r="L59" i="4"/>
  <c r="M59" i="4"/>
  <c r="N59" i="4"/>
  <c r="J60" i="4"/>
  <c r="K60" i="4"/>
  <c r="L60" i="4"/>
  <c r="M60" i="4"/>
  <c r="N60" i="4"/>
  <c r="J61" i="4"/>
  <c r="K61" i="4"/>
  <c r="L61" i="4"/>
  <c r="M61" i="4"/>
  <c r="N61" i="4"/>
  <c r="J62" i="4"/>
  <c r="K62" i="4"/>
  <c r="L62" i="4"/>
  <c r="M62" i="4"/>
  <c r="N62" i="4"/>
  <c r="J63" i="4"/>
  <c r="K63" i="4"/>
  <c r="L63" i="4"/>
  <c r="M63" i="4"/>
  <c r="N63" i="4"/>
  <c r="J64" i="4"/>
  <c r="K64" i="4"/>
  <c r="L64" i="4"/>
  <c r="M64" i="4"/>
  <c r="N64" i="4"/>
  <c r="J66" i="4"/>
  <c r="K66" i="4"/>
  <c r="L66" i="4"/>
  <c r="M66" i="4"/>
  <c r="N66" i="4"/>
  <c r="J67" i="4"/>
  <c r="K67" i="4"/>
  <c r="L67" i="4"/>
  <c r="M67" i="4"/>
  <c r="N67" i="4"/>
  <c r="J68" i="4"/>
  <c r="K68" i="4"/>
  <c r="L68" i="4"/>
  <c r="M68" i="4"/>
  <c r="N68" i="4"/>
  <c r="J69" i="4"/>
  <c r="K69" i="4"/>
  <c r="L69" i="4"/>
  <c r="M69" i="4"/>
  <c r="N69" i="4"/>
  <c r="J70" i="4"/>
  <c r="K70" i="4"/>
  <c r="L70" i="4"/>
  <c r="M70" i="4"/>
  <c r="N70" i="4"/>
  <c r="J72" i="4"/>
  <c r="K72" i="4"/>
  <c r="L72" i="4"/>
  <c r="M72" i="4"/>
  <c r="N72" i="4"/>
  <c r="J73" i="4"/>
  <c r="K73" i="4"/>
  <c r="L73" i="4"/>
  <c r="M73" i="4"/>
  <c r="N73" i="4"/>
  <c r="K74" i="4"/>
  <c r="M74" i="4"/>
  <c r="J74" i="4"/>
  <c r="N74" i="4"/>
  <c r="L74" i="4"/>
  <c r="J75" i="4"/>
  <c r="K75" i="4"/>
  <c r="L75" i="4"/>
  <c r="M75" i="4"/>
  <c r="N75" i="4"/>
  <c r="L76" i="4"/>
  <c r="J76" i="4"/>
  <c r="K76" i="4"/>
  <c r="M76" i="4"/>
  <c r="N76" i="4"/>
  <c r="J86" i="4"/>
  <c r="K86" i="4"/>
  <c r="L86" i="4"/>
  <c r="M86" i="4"/>
  <c r="N86" i="4"/>
  <c r="J87" i="4"/>
  <c r="K87" i="4"/>
  <c r="L87" i="4"/>
  <c r="M87" i="4"/>
  <c r="N87" i="4"/>
  <c r="J88" i="4"/>
  <c r="K88" i="4"/>
  <c r="L88" i="4"/>
  <c r="M88" i="4"/>
  <c r="N88" i="4"/>
  <c r="J89" i="4"/>
  <c r="K89" i="4"/>
  <c r="L89" i="4"/>
  <c r="M89" i="4"/>
  <c r="N89" i="4"/>
  <c r="J90" i="4"/>
  <c r="K90" i="4"/>
  <c r="L90" i="4"/>
  <c r="M90" i="4"/>
  <c r="N90" i="4"/>
  <c r="L91" i="4"/>
  <c r="J91" i="4"/>
  <c r="K91" i="4"/>
  <c r="M91" i="4"/>
  <c r="N91" i="4"/>
  <c r="J93" i="4"/>
  <c r="K93" i="4"/>
  <c r="L93" i="4"/>
  <c r="M93" i="4"/>
  <c r="N93" i="4"/>
  <c r="J94" i="4"/>
  <c r="K94" i="4"/>
  <c r="L94" i="4"/>
  <c r="M94" i="4"/>
  <c r="N94" i="4"/>
  <c r="N125" i="4"/>
  <c r="M125" i="4"/>
  <c r="J125" i="4"/>
  <c r="K125" i="4"/>
  <c r="L125" i="4"/>
  <c r="J126" i="4"/>
  <c r="N126" i="4"/>
  <c r="K126" i="4"/>
  <c r="M126" i="4"/>
  <c r="L126" i="4"/>
  <c r="J127" i="4"/>
  <c r="K127" i="4"/>
  <c r="L127" i="4"/>
  <c r="M127" i="4"/>
  <c r="N127" i="4"/>
  <c r="J128" i="4"/>
  <c r="K128" i="4"/>
  <c r="L128" i="4"/>
  <c r="M128" i="4"/>
  <c r="N128" i="4"/>
  <c r="J129" i="4"/>
  <c r="K129" i="4"/>
  <c r="L129" i="4"/>
  <c r="M129" i="4"/>
  <c r="N129" i="4"/>
  <c r="L26" i="4"/>
  <c r="M26" i="4"/>
  <c r="N26" i="4"/>
  <c r="J26" i="4"/>
  <c r="K26" i="4"/>
  <c r="J27" i="4"/>
  <c r="L27" i="4"/>
  <c r="N27" i="4"/>
  <c r="K27" i="4"/>
  <c r="M27" i="4"/>
  <c r="J29" i="4"/>
  <c r="K29" i="4"/>
  <c r="L29" i="4"/>
  <c r="M29" i="4"/>
  <c r="N29" i="4"/>
  <c r="J30" i="4"/>
  <c r="K30" i="4"/>
  <c r="M30" i="4"/>
  <c r="L30" i="4"/>
  <c r="N30" i="4"/>
  <c r="K131" i="4"/>
  <c r="M131" i="4"/>
  <c r="N131" i="4"/>
  <c r="J131" i="4"/>
  <c r="L131" i="4"/>
  <c r="K140" i="4"/>
  <c r="M140" i="4"/>
  <c r="J140" i="4"/>
  <c r="L140" i="4"/>
  <c r="N140" i="4"/>
  <c r="K148" i="4"/>
  <c r="L148" i="4"/>
  <c r="J148" i="4"/>
  <c r="N148" i="4"/>
  <c r="M148" i="4"/>
  <c r="N154" i="4"/>
  <c r="K154" i="4"/>
  <c r="L154" i="4"/>
  <c r="M154" i="4"/>
  <c r="J154" i="4"/>
  <c r="K158" i="4"/>
  <c r="J158" i="4"/>
  <c r="L158" i="4"/>
  <c r="M158" i="4"/>
  <c r="N158" i="4"/>
  <c r="M161" i="4"/>
  <c r="N161" i="4"/>
  <c r="J161" i="4"/>
  <c r="K161" i="4"/>
  <c r="L161" i="4"/>
  <c r="J170" i="4"/>
  <c r="N170" i="4"/>
  <c r="L170" i="4"/>
  <c r="M170" i="4"/>
  <c r="K170" i="4"/>
  <c r="J172" i="4"/>
  <c r="L172" i="4"/>
  <c r="N172" i="4"/>
  <c r="M172" i="4"/>
  <c r="K172" i="4"/>
  <c r="N181" i="4"/>
  <c r="M181" i="4"/>
  <c r="L181" i="4"/>
  <c r="J181" i="4"/>
  <c r="K181" i="4"/>
  <c r="J188" i="4"/>
  <c r="M188" i="4"/>
  <c r="K188" i="4"/>
  <c r="L188" i="4"/>
  <c r="N188" i="4"/>
  <c r="K194" i="4"/>
  <c r="L194" i="4"/>
  <c r="M194" i="4"/>
  <c r="J194" i="4"/>
  <c r="N194" i="4"/>
  <c r="N212" i="4"/>
  <c r="J212" i="4"/>
  <c r="K212" i="4"/>
  <c r="M212" i="4"/>
  <c r="L212" i="4"/>
  <c r="J150" i="4"/>
  <c r="M150" i="4"/>
  <c r="K150" i="4"/>
  <c r="N150" i="4"/>
  <c r="L150" i="4"/>
  <c r="K159" i="4"/>
  <c r="L159" i="4"/>
  <c r="N159" i="4"/>
  <c r="J159" i="4"/>
  <c r="M159" i="4"/>
  <c r="M165" i="4"/>
  <c r="L165" i="4"/>
  <c r="N165" i="4"/>
  <c r="K165" i="4"/>
  <c r="J165" i="4"/>
  <c r="L178" i="4"/>
  <c r="M178" i="4"/>
  <c r="N178" i="4"/>
  <c r="J178" i="4"/>
  <c r="K178" i="4"/>
  <c r="L187" i="4"/>
  <c r="M187" i="4"/>
  <c r="N187" i="4"/>
  <c r="K187" i="4"/>
  <c r="J187" i="4"/>
  <c r="K190" i="4"/>
  <c r="M190" i="4"/>
  <c r="J190" i="4"/>
  <c r="L190" i="4"/>
  <c r="N190" i="4"/>
  <c r="L196" i="4"/>
  <c r="M196" i="4"/>
  <c r="J196" i="4"/>
  <c r="K196" i="4"/>
  <c r="N196" i="4"/>
  <c r="L214" i="4"/>
  <c r="N214" i="4"/>
  <c r="K214" i="4"/>
  <c r="J214" i="4"/>
  <c r="M214" i="4"/>
  <c r="J265" i="4"/>
  <c r="K265" i="4"/>
  <c r="L265" i="4"/>
  <c r="M265" i="4"/>
  <c r="N265" i="4"/>
  <c r="J268" i="4"/>
  <c r="K268" i="4"/>
  <c r="M268" i="4"/>
  <c r="L268" i="4"/>
  <c r="N268" i="4"/>
  <c r="K269" i="4"/>
  <c r="M269" i="4"/>
  <c r="L269" i="4"/>
  <c r="J269" i="4"/>
  <c r="N269" i="4"/>
  <c r="L270" i="4"/>
  <c r="J270" i="4"/>
  <c r="N270" i="4"/>
  <c r="K270" i="4"/>
  <c r="M270" i="4"/>
  <c r="L139" i="4"/>
  <c r="M139" i="4"/>
  <c r="J139" i="4"/>
  <c r="K139" i="4"/>
  <c r="N139" i="4"/>
  <c r="K142" i="4"/>
  <c r="M142" i="4"/>
  <c r="L142" i="4"/>
  <c r="J142" i="4"/>
  <c r="N142" i="4"/>
  <c r="L147" i="4"/>
  <c r="J147" i="4"/>
  <c r="M147" i="4"/>
  <c r="K147" i="4"/>
  <c r="N147" i="4"/>
  <c r="L149" i="4"/>
  <c r="K149" i="4"/>
  <c r="J149" i="4"/>
  <c r="M149" i="4"/>
  <c r="N149" i="4"/>
  <c r="K151" i="4"/>
  <c r="N151" i="4"/>
  <c r="M151" i="4"/>
  <c r="J151" i="4"/>
  <c r="L151" i="4"/>
  <c r="J155" i="4"/>
  <c r="K155" i="4"/>
  <c r="M155" i="4"/>
  <c r="L155" i="4"/>
  <c r="N155" i="4"/>
  <c r="L157" i="4"/>
  <c r="K157" i="4"/>
  <c r="J157" i="4"/>
  <c r="N157" i="4"/>
  <c r="M157" i="4"/>
  <c r="N202" i="4"/>
  <c r="L202" i="4"/>
  <c r="J202" i="4"/>
  <c r="K202" i="4"/>
  <c r="M202" i="4"/>
  <c r="L205" i="4"/>
  <c r="M205" i="4"/>
  <c r="K205" i="4"/>
  <c r="N205" i="4"/>
  <c r="J205" i="4"/>
  <c r="K207" i="4"/>
  <c r="L207" i="4"/>
  <c r="J207" i="4"/>
  <c r="N207" i="4"/>
  <c r="M207" i="4"/>
  <c r="L208" i="4"/>
  <c r="K208" i="4"/>
  <c r="J208" i="4"/>
  <c r="N208" i="4"/>
  <c r="M208" i="4"/>
  <c r="N210" i="4"/>
  <c r="L210" i="4"/>
  <c r="J210" i="4"/>
  <c r="M210" i="4"/>
  <c r="K210" i="4"/>
  <c r="L215" i="4"/>
  <c r="M215" i="4"/>
  <c r="J215" i="4"/>
  <c r="K215" i="4"/>
  <c r="N215" i="4"/>
  <c r="N246" i="4"/>
  <c r="L246" i="4"/>
  <c r="J246" i="4"/>
  <c r="K246" i="4"/>
  <c r="M246" i="4"/>
  <c r="L195" i="4"/>
  <c r="J195" i="4"/>
  <c r="K195" i="4"/>
  <c r="N195" i="4"/>
  <c r="M195" i="4"/>
  <c r="M192" i="4"/>
  <c r="N192" i="4"/>
  <c r="L192" i="4"/>
  <c r="J192" i="4"/>
  <c r="K192" i="4"/>
  <c r="L232" i="4"/>
  <c r="J232" i="4"/>
  <c r="M232" i="4"/>
  <c r="K232" i="4"/>
  <c r="N232" i="4"/>
  <c r="J65" i="4"/>
  <c r="K65" i="4"/>
  <c r="L65" i="4"/>
  <c r="M65" i="4"/>
  <c r="N65" i="4"/>
  <c r="N78" i="4"/>
  <c r="K78" i="4"/>
  <c r="J78" i="4"/>
  <c r="L78" i="4"/>
  <c r="M78" i="4"/>
  <c r="M79" i="4"/>
  <c r="N79" i="4"/>
  <c r="J79" i="4"/>
  <c r="K79" i="4"/>
  <c r="L79" i="4"/>
  <c r="N80" i="4"/>
  <c r="J80" i="4"/>
  <c r="K80" i="4"/>
  <c r="M80" i="4"/>
  <c r="L80" i="4"/>
  <c r="N81" i="4"/>
  <c r="M81" i="4"/>
  <c r="L81" i="4"/>
  <c r="K81" i="4"/>
  <c r="J81" i="4"/>
  <c r="L111" i="4"/>
  <c r="K111" i="4"/>
  <c r="J111" i="4"/>
  <c r="M111" i="4"/>
  <c r="N111" i="4"/>
  <c r="N112" i="4"/>
  <c r="J112" i="4"/>
  <c r="K112" i="4"/>
  <c r="L112" i="4"/>
  <c r="M112" i="4"/>
  <c r="M113" i="4"/>
  <c r="L113" i="4"/>
  <c r="J113" i="4"/>
  <c r="K113" i="4"/>
  <c r="N113" i="4"/>
  <c r="L114" i="4"/>
  <c r="K114" i="4"/>
  <c r="J114" i="4"/>
  <c r="N114" i="4"/>
  <c r="M114" i="4"/>
  <c r="L115" i="4"/>
  <c r="J115" i="4"/>
  <c r="K115" i="4"/>
  <c r="M115" i="4"/>
  <c r="N115" i="4"/>
  <c r="J199" i="4"/>
  <c r="L199" i="4"/>
  <c r="M199" i="4"/>
  <c r="K199" i="4"/>
  <c r="N199" i="4"/>
  <c r="K203" i="4"/>
  <c r="N203" i="4"/>
  <c r="J203" i="4"/>
  <c r="L203" i="4"/>
  <c r="M203" i="4"/>
  <c r="M237" i="4"/>
  <c r="J237" i="4"/>
  <c r="K237" i="4"/>
  <c r="L237" i="4"/>
  <c r="N237" i="4"/>
  <c r="K242" i="4"/>
  <c r="L242" i="4"/>
  <c r="M242" i="4"/>
  <c r="J242" i="4"/>
  <c r="N242" i="4"/>
  <c r="K250" i="4"/>
  <c r="L250" i="4"/>
  <c r="N250" i="4"/>
  <c r="M250" i="4"/>
  <c r="J250" i="4"/>
  <c r="K253" i="4"/>
  <c r="N253" i="4"/>
  <c r="J253" i="4"/>
  <c r="L253" i="4"/>
  <c r="M253" i="4"/>
  <c r="J258" i="4"/>
  <c r="K258" i="4"/>
  <c r="L258" i="4"/>
  <c r="M258" i="4"/>
  <c r="N258" i="4"/>
  <c r="N45" i="4"/>
  <c r="M45" i="4"/>
  <c r="L45" i="4"/>
  <c r="K45" i="4"/>
  <c r="J45" i="4"/>
  <c r="N47" i="4"/>
  <c r="M47" i="4"/>
  <c r="L47" i="4"/>
  <c r="K47" i="4"/>
  <c r="J47" i="4"/>
  <c r="N46" i="4"/>
  <c r="M46" i="4"/>
  <c r="K46" i="4"/>
  <c r="J46" i="4"/>
  <c r="L46" i="4"/>
  <c r="J44" i="4"/>
  <c r="N44" i="4"/>
  <c r="M44" i="4"/>
  <c r="L44" i="4"/>
  <c r="K44" i="4"/>
  <c r="N100" i="4"/>
  <c r="J100" i="4"/>
  <c r="K100" i="4"/>
  <c r="L100" i="4"/>
  <c r="M100" i="4"/>
  <c r="J101" i="4"/>
  <c r="K101" i="4"/>
  <c r="L101" i="4"/>
  <c r="M101" i="4"/>
  <c r="N101" i="4"/>
  <c r="J152" i="4"/>
  <c r="L152" i="4"/>
  <c r="K152" i="4"/>
  <c r="M152" i="4"/>
  <c r="N152" i="4"/>
  <c r="L153" i="4"/>
  <c r="K153" i="4"/>
  <c r="J153" i="4"/>
  <c r="N153" i="4"/>
  <c r="M153" i="4"/>
  <c r="L266" i="4"/>
  <c r="J266" i="4"/>
  <c r="K266" i="4"/>
  <c r="N266" i="4"/>
  <c r="M266" i="4"/>
  <c r="N267" i="4"/>
  <c r="K267" i="4"/>
  <c r="L267" i="4"/>
  <c r="J267" i="4"/>
  <c r="M267" i="4"/>
  <c r="L143" i="4"/>
  <c r="J143" i="4"/>
  <c r="N143" i="4"/>
  <c r="K143" i="4"/>
  <c r="M143" i="4"/>
  <c r="L144" i="4"/>
  <c r="N144" i="4"/>
  <c r="K144" i="4"/>
  <c r="J144" i="4"/>
  <c r="M144" i="4"/>
  <c r="K48" i="4"/>
  <c r="L48" i="4"/>
  <c r="M48" i="4"/>
  <c r="N48" i="4"/>
  <c r="J48" i="4"/>
  <c r="L49" i="4"/>
  <c r="K49" i="4"/>
  <c r="M49" i="4"/>
  <c r="N49" i="4"/>
  <c r="J50" i="4"/>
  <c r="K50" i="4"/>
  <c r="L50" i="4"/>
  <c r="M50" i="4"/>
  <c r="N50" i="4"/>
  <c r="K51" i="4"/>
  <c r="J51" i="4"/>
  <c r="L51" i="4"/>
  <c r="M51" i="4"/>
  <c r="N51" i="4"/>
  <c r="N77" i="4"/>
  <c r="J77" i="4"/>
  <c r="K77" i="4"/>
  <c r="L77" i="4"/>
  <c r="M77" i="4"/>
  <c r="J95" i="4"/>
  <c r="K95" i="4"/>
  <c r="L95" i="4"/>
  <c r="M95" i="4"/>
  <c r="N95" i="4"/>
  <c r="N96" i="4"/>
  <c r="J96" i="4"/>
  <c r="K96" i="4"/>
  <c r="L96" i="4"/>
  <c r="M96" i="4"/>
  <c r="K145" i="4"/>
  <c r="M145" i="4"/>
  <c r="L145" i="4"/>
  <c r="N145" i="4"/>
  <c r="J145" i="4"/>
  <c r="J182" i="4"/>
  <c r="K182" i="4"/>
  <c r="L182" i="4"/>
  <c r="N182" i="4"/>
  <c r="M182" i="4"/>
  <c r="J185" i="4"/>
  <c r="L185" i="4"/>
  <c r="N185" i="4"/>
  <c r="K185" i="4"/>
  <c r="M185" i="4"/>
  <c r="J262" i="4"/>
  <c r="K262" i="4"/>
  <c r="L262" i="4"/>
  <c r="M262" i="4"/>
  <c r="N262" i="4"/>
  <c r="J135" i="4"/>
  <c r="M135" i="4"/>
  <c r="K135" i="4"/>
  <c r="L135" i="4"/>
  <c r="N135" i="4"/>
  <c r="K137" i="4"/>
  <c r="L137" i="4"/>
  <c r="J137" i="4"/>
  <c r="N137" i="4"/>
  <c r="M137" i="4"/>
  <c r="L233" i="4"/>
  <c r="N233" i="4"/>
  <c r="J233" i="4"/>
  <c r="K233" i="4"/>
  <c r="M233" i="4"/>
  <c r="M240" i="4"/>
  <c r="K240" i="4"/>
  <c r="N240" i="4"/>
  <c r="J240" i="4"/>
  <c r="L240" i="4"/>
  <c r="N245" i="4"/>
  <c r="J245" i="4"/>
  <c r="L245" i="4"/>
  <c r="K245" i="4"/>
  <c r="M245" i="4"/>
  <c r="M8" i="4"/>
  <c r="L8" i="4"/>
  <c r="J8" i="4"/>
  <c r="N8" i="4"/>
  <c r="K8" i="4"/>
  <c r="K9" i="4"/>
  <c r="L9" i="4"/>
  <c r="M9" i="4"/>
  <c r="N9" i="4"/>
  <c r="J10" i="4"/>
  <c r="K10" i="4"/>
  <c r="L10" i="4"/>
  <c r="O13" i="1"/>
  <c r="Q12" i="1"/>
  <c r="AC6" i="1"/>
  <c r="AC7" i="1"/>
  <c r="M10" i="4"/>
  <c r="N10" i="4"/>
  <c r="J11" i="4"/>
  <c r="K11" i="4"/>
  <c r="L11" i="4"/>
  <c r="M11" i="4"/>
  <c r="N11" i="4"/>
  <c r="N12" i="4"/>
  <c r="J12" i="4"/>
  <c r="K12" i="4"/>
  <c r="L12" i="4"/>
  <c r="M12" i="4"/>
  <c r="J13" i="4"/>
  <c r="K13" i="4"/>
  <c r="L13" i="4"/>
  <c r="M13" i="4"/>
  <c r="N13" i="4"/>
  <c r="J14" i="4"/>
  <c r="K14" i="4"/>
  <c r="L14" i="4"/>
  <c r="M14" i="4"/>
  <c r="N14" i="4"/>
  <c r="J15" i="4"/>
  <c r="K15" i="4"/>
  <c r="L15" i="4"/>
  <c r="M15" i="4"/>
  <c r="N15" i="4"/>
  <c r="M17" i="4"/>
  <c r="L17" i="4"/>
  <c r="K17" i="4"/>
  <c r="J17" i="4"/>
  <c r="N17" i="4"/>
  <c r="M21" i="4"/>
  <c r="K21" i="4"/>
  <c r="N21" i="4"/>
  <c r="J21" i="4"/>
  <c r="L21" i="4"/>
  <c r="J36" i="4"/>
  <c r="K36" i="4"/>
  <c r="L36" i="4"/>
  <c r="M36" i="4"/>
  <c r="N36" i="4"/>
  <c r="J37" i="4"/>
  <c r="K37" i="4"/>
  <c r="L37" i="4"/>
  <c r="M37" i="4"/>
  <c r="N37" i="4"/>
  <c r="L39" i="4"/>
  <c r="J39" i="4"/>
  <c r="K39" i="4"/>
  <c r="N39" i="4"/>
  <c r="M39" i="4"/>
  <c r="N41" i="4"/>
  <c r="M41" i="4"/>
  <c r="L41" i="4"/>
  <c r="K41" i="4"/>
  <c r="J41" i="4"/>
  <c r="L43" i="4"/>
  <c r="M43" i="4"/>
  <c r="N43" i="4"/>
  <c r="J43" i="4"/>
  <c r="K43" i="4"/>
  <c r="K16" i="4"/>
  <c r="L16" i="4"/>
  <c r="M16" i="4"/>
  <c r="N16" i="4"/>
  <c r="J16" i="4"/>
  <c r="L38" i="4"/>
  <c r="K38" i="4"/>
  <c r="J38" i="4"/>
  <c r="N38" i="4"/>
  <c r="M38" i="4"/>
  <c r="L40" i="4"/>
  <c r="M40" i="4"/>
  <c r="N40" i="4"/>
  <c r="J40" i="4"/>
  <c r="K40" i="4"/>
  <c r="J42" i="4"/>
  <c r="K42" i="4"/>
  <c r="L42" i="4"/>
  <c r="M42" i="4"/>
  <c r="N42" i="4"/>
  <c r="J82" i="4"/>
  <c r="K82" i="4"/>
  <c r="L82" i="4"/>
  <c r="M82" i="4"/>
  <c r="N82" i="4"/>
  <c r="J83" i="4"/>
  <c r="K83" i="4"/>
  <c r="L83" i="4"/>
  <c r="M83" i="4"/>
  <c r="N83" i="4"/>
  <c r="J84" i="4"/>
  <c r="K84" i="4"/>
  <c r="L84" i="4"/>
  <c r="M84" i="4"/>
  <c r="N84" i="4"/>
  <c r="J85" i="4"/>
  <c r="K85" i="4"/>
  <c r="L85" i="4"/>
  <c r="M85" i="4"/>
  <c r="N85" i="4"/>
  <c r="L201" i="4"/>
  <c r="M201" i="4"/>
  <c r="N201" i="4"/>
  <c r="J201" i="4"/>
  <c r="K201" i="4"/>
  <c r="J204" i="4"/>
  <c r="L204" i="4"/>
  <c r="N204" i="4"/>
  <c r="K204" i="4"/>
  <c r="M204" i="4"/>
  <c r="L206" i="4"/>
  <c r="M206" i="4"/>
  <c r="J206" i="4"/>
  <c r="K206" i="4"/>
  <c r="N206" i="4"/>
  <c r="K211" i="4"/>
  <c r="J211" i="4"/>
  <c r="M211" i="4"/>
  <c r="N211" i="4"/>
  <c r="L211" i="4"/>
  <c r="J276" i="4"/>
  <c r="K276" i="4"/>
  <c r="L276" i="4"/>
  <c r="M276" i="4"/>
  <c r="N276" i="4"/>
  <c r="J277" i="4"/>
  <c r="K277" i="4"/>
  <c r="L277" i="4"/>
  <c r="M277" i="4"/>
  <c r="N277" i="4"/>
  <c r="J278" i="4"/>
  <c r="K278" i="4"/>
  <c r="L278" i="4"/>
  <c r="M278" i="4"/>
  <c r="N278" i="4"/>
  <c r="J279" i="4"/>
  <c r="K279" i="4"/>
  <c r="L279" i="4"/>
  <c r="M279" i="4"/>
  <c r="N279" i="4"/>
  <c r="J280" i="4"/>
  <c r="K280" i="4"/>
  <c r="L280" i="4"/>
  <c r="M280" i="4"/>
  <c r="N280" i="4"/>
  <c r="J281" i="4"/>
  <c r="K281" i="4"/>
  <c r="L281" i="4"/>
  <c r="M281" i="4"/>
  <c r="N281" i="4"/>
  <c r="J282" i="4"/>
  <c r="K282" i="4"/>
  <c r="L282" i="4"/>
  <c r="M282" i="4"/>
  <c r="N282" i="4"/>
  <c r="J283" i="4"/>
  <c r="K283" i="4"/>
  <c r="L283" i="4"/>
  <c r="M283" i="4"/>
  <c r="N283" i="4"/>
  <c r="J284" i="4"/>
  <c r="K284" i="4"/>
  <c r="L284" i="4"/>
  <c r="M284" i="4"/>
  <c r="N284" i="4"/>
  <c r="J285" i="4"/>
  <c r="K285" i="4"/>
  <c r="L285" i="4"/>
  <c r="M285" i="4"/>
  <c r="N285" i="4"/>
  <c r="J286" i="4"/>
  <c r="K286" i="4"/>
  <c r="L286" i="4"/>
  <c r="M286" i="4"/>
  <c r="N286" i="4"/>
  <c r="J287" i="4"/>
  <c r="K287" i="4"/>
  <c r="L287" i="4"/>
  <c r="M287" i="4"/>
  <c r="N287" i="4"/>
  <c r="J288" i="4"/>
  <c r="K288" i="4"/>
  <c r="L288" i="4"/>
  <c r="M288" i="4"/>
  <c r="N288" i="4"/>
  <c r="J289" i="4"/>
  <c r="K289" i="4"/>
  <c r="L289" i="4"/>
  <c r="M289" i="4"/>
  <c r="N289" i="4"/>
  <c r="J290" i="4"/>
  <c r="K290" i="4"/>
  <c r="L290" i="4"/>
  <c r="M290" i="4"/>
  <c r="N290" i="4"/>
  <c r="J291" i="4"/>
  <c r="K291" i="4"/>
  <c r="L291" i="4"/>
  <c r="M291" i="4"/>
  <c r="N291" i="4"/>
  <c r="J292" i="4"/>
  <c r="K292" i="4"/>
  <c r="L292" i="4"/>
  <c r="M292" i="4"/>
  <c r="N292" i="4"/>
  <c r="L248" i="4"/>
  <c r="M248" i="4"/>
  <c r="N248" i="4"/>
  <c r="K248" i="4"/>
  <c r="J248" i="4"/>
  <c r="K251" i="4"/>
  <c r="N251" i="4"/>
  <c r="L251" i="4"/>
  <c r="J251" i="4"/>
  <c r="M251" i="4"/>
  <c r="K252" i="4"/>
  <c r="M252" i="4"/>
  <c r="N252" i="4"/>
  <c r="J252" i="4"/>
  <c r="L252" i="4"/>
  <c r="K254" i="4"/>
  <c r="L254" i="4"/>
  <c r="M254" i="4"/>
  <c r="N254" i="4"/>
  <c r="J254" i="4"/>
  <c r="J256" i="4"/>
  <c r="M256" i="4"/>
  <c r="N256" i="4"/>
  <c r="K256" i="4"/>
  <c r="L256" i="4"/>
  <c r="L28" i="4"/>
  <c r="M28" i="4"/>
  <c r="J28" i="4"/>
  <c r="K28" i="4"/>
  <c r="N28" i="4"/>
  <c r="M132" i="4"/>
  <c r="J132" i="4"/>
  <c r="N132" i="4"/>
  <c r="K132" i="4"/>
  <c r="L132" i="4"/>
  <c r="L136" i="4"/>
  <c r="J136" i="4"/>
  <c r="N136" i="4"/>
  <c r="K136" i="4"/>
  <c r="M136" i="4"/>
  <c r="L138" i="4"/>
  <c r="K138" i="4"/>
  <c r="N138" i="4"/>
  <c r="J138" i="4"/>
  <c r="M138" i="4"/>
  <c r="M141" i="4"/>
  <c r="L141" i="4"/>
  <c r="N141" i="4"/>
  <c r="J141" i="4"/>
  <c r="K141" i="4"/>
  <c r="N146" i="4"/>
  <c r="K146" i="4"/>
  <c r="M146" i="4"/>
  <c r="J146" i="4"/>
  <c r="L146" i="4"/>
  <c r="K156" i="4"/>
  <c r="J156" i="4"/>
  <c r="L156" i="4"/>
  <c r="M156" i="4"/>
  <c r="N156" i="4"/>
  <c r="N160" i="4"/>
  <c r="K160" i="4"/>
  <c r="J160" i="4"/>
  <c r="L160" i="4"/>
  <c r="M160" i="4"/>
  <c r="M169" i="4"/>
  <c r="J169" i="4"/>
  <c r="K169" i="4"/>
  <c r="L169" i="4"/>
  <c r="N169" i="4"/>
  <c r="K173" i="4"/>
  <c r="M173" i="4"/>
  <c r="J173" i="4"/>
  <c r="L173" i="4"/>
  <c r="N173" i="4"/>
  <c r="N180" i="4"/>
  <c r="K180" i="4"/>
  <c r="J180" i="4"/>
  <c r="L180" i="4"/>
  <c r="M180" i="4"/>
  <c r="M186" i="4"/>
  <c r="J186" i="4"/>
  <c r="K186" i="4"/>
  <c r="L186" i="4"/>
  <c r="N186" i="4"/>
  <c r="J189" i="4"/>
  <c r="K189" i="4"/>
  <c r="L189" i="4"/>
  <c r="M189" i="4"/>
  <c r="N189" i="4"/>
  <c r="L191" i="4"/>
  <c r="N191" i="4"/>
  <c r="J191" i="4"/>
  <c r="K191" i="4"/>
  <c r="M191" i="4"/>
  <c r="M7" i="4"/>
  <c r="J7" i="4"/>
  <c r="N7" i="4"/>
  <c r="K7" i="4"/>
  <c r="L7" i="4"/>
  <c r="K19" i="4"/>
  <c r="M19" i="4"/>
  <c r="N19" i="4"/>
  <c r="J19" i="4"/>
  <c r="L19" i="4"/>
  <c r="L35" i="4"/>
  <c r="K35" i="4"/>
  <c r="M35" i="4"/>
  <c r="J35" i="4"/>
  <c r="N35" i="4"/>
  <c r="L18" i="4"/>
  <c r="J18" i="4"/>
  <c r="N18" i="4"/>
  <c r="K18" i="4"/>
  <c r="M18" i="4"/>
  <c r="L22" i="4"/>
  <c r="M22" i="4"/>
  <c r="J22" i="4"/>
  <c r="K22" i="4"/>
  <c r="N22" i="4"/>
  <c r="N24" i="4"/>
  <c r="K24" i="4"/>
  <c r="L24" i="4"/>
  <c r="M24" i="4"/>
  <c r="J24" i="4"/>
  <c r="K31" i="4"/>
  <c r="M31" i="4"/>
  <c r="J31" i="4"/>
  <c r="L31" i="4"/>
  <c r="N31" i="4"/>
  <c r="L32" i="4"/>
  <c r="M32" i="4"/>
  <c r="J32" i="4"/>
  <c r="K32" i="4"/>
  <c r="N32" i="4"/>
  <c r="K33" i="4"/>
  <c r="M33" i="4"/>
  <c r="J33" i="4"/>
  <c r="L33" i="4"/>
  <c r="N33" i="4"/>
  <c r="L34" i="4"/>
  <c r="N34" i="4"/>
  <c r="J34" i="4"/>
  <c r="M34" i="4"/>
  <c r="K34" i="4"/>
  <c r="L130" i="4"/>
  <c r="M130" i="4"/>
  <c r="K130" i="4"/>
  <c r="J130" i="4"/>
  <c r="N130" i="4"/>
  <c r="N134" i="4"/>
  <c r="K134" i="4"/>
  <c r="M134" i="4"/>
  <c r="L134" i="4"/>
  <c r="J134" i="4"/>
  <c r="M5" i="4"/>
  <c r="L5" i="4"/>
  <c r="J5" i="4"/>
  <c r="K5" i="4"/>
  <c r="N5" i="4"/>
  <c r="K23" i="4"/>
  <c r="N23" i="4"/>
  <c r="L23" i="4"/>
  <c r="M23" i="4"/>
  <c r="J23" i="4"/>
  <c r="N133" i="4"/>
  <c r="M133" i="4"/>
  <c r="K133" i="4"/>
  <c r="L133" i="4"/>
  <c r="J133" i="4"/>
  <c r="S98" i="1"/>
  <c r="S99" i="1" s="1"/>
  <c r="E8" i="4"/>
  <c r="F8" i="4"/>
  <c r="G8" i="4"/>
  <c r="D9" i="4"/>
  <c r="AC8" i="1" l="1"/>
  <c r="AC9" i="1" s="1"/>
  <c r="C4" i="1" s="1"/>
  <c r="Q13" i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O14" i="1"/>
  <c r="S100" i="1"/>
  <c r="E9" i="4"/>
  <c r="F9" i="4"/>
  <c r="G9" i="4"/>
  <c r="D10" i="4"/>
  <c r="B8" i="1" l="1"/>
  <c r="C5" i="1"/>
  <c r="O15" i="1"/>
  <c r="O16" i="1" s="1"/>
  <c r="S101" i="1"/>
  <c r="E10" i="4"/>
  <c r="F10" i="4"/>
  <c r="G10" i="4"/>
  <c r="D11" i="4"/>
  <c r="O17" i="1" l="1"/>
  <c r="S102" i="1"/>
  <c r="E11" i="4"/>
  <c r="F11" i="4"/>
  <c r="G11" i="4"/>
  <c r="D12" i="4"/>
  <c r="O18" i="1" l="1"/>
  <c r="S103" i="1"/>
  <c r="S104" i="1" s="1"/>
  <c r="S105" i="1" s="1"/>
  <c r="S106" i="1" s="1"/>
  <c r="S107" i="1" s="1"/>
  <c r="S108" i="1" s="1"/>
  <c r="S109" i="1" s="1"/>
  <c r="E12" i="4"/>
  <c r="F12" i="4"/>
  <c r="G12" i="4"/>
  <c r="D13" i="4"/>
  <c r="O19" i="1" l="1"/>
  <c r="S110" i="1"/>
  <c r="S111" i="1" s="1"/>
  <c r="E13" i="4"/>
  <c r="F13" i="4"/>
  <c r="G13" i="4"/>
  <c r="D14" i="4"/>
  <c r="O20" i="1" l="1"/>
  <c r="O21" i="1" s="1"/>
  <c r="S112" i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E14" i="4"/>
  <c r="F14" i="4"/>
  <c r="G14" i="4"/>
  <c r="D15" i="4"/>
  <c r="O22" i="1" l="1"/>
  <c r="S131" i="1"/>
  <c r="S132" i="1" s="1"/>
  <c r="S133" i="1" s="1"/>
  <c r="S134" i="1" s="1"/>
  <c r="S135" i="1" s="1"/>
  <c r="S136" i="1" s="1"/>
  <c r="S137" i="1" s="1"/>
  <c r="S138" i="1" s="1"/>
  <c r="S139" i="1" s="1"/>
  <c r="S140" i="1" s="1"/>
  <c r="E15" i="4"/>
  <c r="F15" i="4"/>
  <c r="G15" i="4"/>
  <c r="D16" i="4"/>
  <c r="O23" i="1" l="1"/>
  <c r="S141" i="1"/>
  <c r="E16" i="4"/>
  <c r="F16" i="4"/>
  <c r="G16" i="4"/>
  <c r="D17" i="4"/>
  <c r="O24" i="1" l="1"/>
  <c r="S142" i="1"/>
  <c r="G17" i="4"/>
  <c r="F17" i="4"/>
  <c r="E17" i="4"/>
  <c r="D18" i="4"/>
  <c r="O25" i="1" l="1"/>
  <c r="O26" i="1"/>
  <c r="S143" i="1"/>
  <c r="F18" i="4"/>
  <c r="G18" i="4"/>
  <c r="E18" i="4"/>
  <c r="D19" i="4"/>
  <c r="O27" i="1" l="1"/>
  <c r="S144" i="1"/>
  <c r="F19" i="4"/>
  <c r="D20" i="4"/>
  <c r="E19" i="4"/>
  <c r="G19" i="4"/>
  <c r="O28" i="1" l="1"/>
  <c r="S145" i="1"/>
  <c r="D21" i="4"/>
  <c r="E20" i="4"/>
  <c r="G20" i="4"/>
  <c r="F20" i="4"/>
  <c r="O29" i="1" l="1"/>
  <c r="S146" i="1"/>
  <c r="D22" i="4"/>
  <c r="F21" i="4"/>
  <c r="E21" i="4"/>
  <c r="G21" i="4"/>
  <c r="O30" i="1" l="1"/>
  <c r="O31" i="1" s="1"/>
  <c r="S147" i="1"/>
  <c r="F22" i="4"/>
  <c r="E22" i="4"/>
  <c r="G22" i="4"/>
  <c r="D23" i="4"/>
  <c r="O32" i="1" l="1"/>
  <c r="S148" i="1"/>
  <c r="D24" i="4"/>
  <c r="E23" i="4"/>
  <c r="F23" i="4"/>
  <c r="G23" i="4"/>
  <c r="O33" i="1" l="1"/>
  <c r="S149" i="1"/>
  <c r="G24" i="4"/>
  <c r="F24" i="4"/>
  <c r="D25" i="4"/>
  <c r="E24" i="4"/>
  <c r="O34" i="1" l="1"/>
  <c r="O35" i="1" s="1"/>
  <c r="S150" i="1"/>
  <c r="F25" i="4"/>
  <c r="D26" i="4"/>
  <c r="G25" i="4"/>
  <c r="E25" i="4"/>
  <c r="O36" i="1" l="1"/>
  <c r="S151" i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E26" i="4"/>
  <c r="F26" i="4"/>
  <c r="G26" i="4"/>
  <c r="D27" i="4"/>
  <c r="O37" i="1" l="1"/>
  <c r="S219" i="1"/>
  <c r="D28" i="4"/>
  <c r="E27" i="4"/>
  <c r="F27" i="4"/>
  <c r="G27" i="4"/>
  <c r="O38" i="1" l="1"/>
  <c r="S220" i="1"/>
  <c r="E28" i="4"/>
  <c r="G28" i="4"/>
  <c r="D29" i="4"/>
  <c r="F28" i="4"/>
  <c r="B38" i="1" l="1"/>
  <c r="O39" i="1"/>
  <c r="O40" i="1" s="1"/>
  <c r="O41" i="1" s="1"/>
  <c r="S221" i="1"/>
  <c r="F29" i="4"/>
  <c r="D30" i="4"/>
  <c r="G29" i="4"/>
  <c r="E29" i="4"/>
  <c r="O42" i="1" l="1"/>
  <c r="S222" i="1"/>
  <c r="D31" i="4"/>
  <c r="E30" i="4"/>
  <c r="F30" i="4"/>
  <c r="G30" i="4"/>
  <c r="O43" i="1" l="1"/>
  <c r="S223" i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E31" i="4"/>
  <c r="F31" i="4"/>
  <c r="G31" i="4"/>
  <c r="D32" i="4"/>
  <c r="O44" i="1" l="1"/>
  <c r="S257" i="1"/>
  <c r="J257" i="1" s="1"/>
  <c r="E32" i="4"/>
  <c r="F32" i="4"/>
  <c r="G32" i="4"/>
  <c r="D33" i="4"/>
  <c r="O45" i="1" l="1"/>
  <c r="O46" i="1" s="1"/>
  <c r="J21" i="1"/>
  <c r="J236" i="1"/>
  <c r="J19" i="1"/>
  <c r="J23" i="1"/>
  <c r="J169" i="1"/>
  <c r="J170" i="1"/>
  <c r="J235" i="1"/>
  <c r="J59" i="1"/>
  <c r="J171" i="1"/>
  <c r="J20" i="1"/>
  <c r="J234" i="1"/>
  <c r="J168" i="1"/>
  <c r="J18" i="1"/>
  <c r="J10" i="1"/>
  <c r="J167" i="1"/>
  <c r="J166" i="1"/>
  <c r="J58" i="1"/>
  <c r="J233" i="1"/>
  <c r="J232" i="1"/>
  <c r="J17" i="1"/>
  <c r="J97" i="1"/>
  <c r="J165" i="1"/>
  <c r="J220" i="1"/>
  <c r="J16" i="1"/>
  <c r="J231" i="1"/>
  <c r="J140" i="1"/>
  <c r="J15" i="1"/>
  <c r="J164" i="1"/>
  <c r="J219" i="1"/>
  <c r="J230" i="1"/>
  <c r="J163" i="1"/>
  <c r="J229" i="1"/>
  <c r="J118" i="1"/>
  <c r="J14" i="1"/>
  <c r="J77" i="1"/>
  <c r="J218" i="1"/>
  <c r="J139" i="1"/>
  <c r="J122" i="1"/>
  <c r="J113" i="1"/>
  <c r="J201" i="1"/>
  <c r="J199" i="1"/>
  <c r="J125" i="1"/>
  <c r="J198" i="1"/>
  <c r="J106" i="1"/>
  <c r="J211" i="1"/>
  <c r="J126" i="1"/>
  <c r="J12" i="1"/>
  <c r="J123" i="1"/>
  <c r="J160" i="1"/>
  <c r="J129" i="1"/>
  <c r="J114" i="1"/>
  <c r="J217" i="1"/>
  <c r="J196" i="1"/>
  <c r="J213" i="1"/>
  <c r="J43" i="1"/>
  <c r="J41" i="1"/>
  <c r="J47" i="1"/>
  <c r="J130" i="1"/>
  <c r="J212" i="1"/>
  <c r="J222" i="1"/>
  <c r="J110" i="1"/>
  <c r="J13" i="1"/>
  <c r="J214" i="1"/>
  <c r="J197" i="1"/>
  <c r="J205" i="1"/>
  <c r="J116" i="1"/>
  <c r="J115" i="1"/>
  <c r="J206" i="1"/>
  <c r="J69" i="1"/>
  <c r="J161" i="1"/>
  <c r="J157" i="1"/>
  <c r="J111" i="1"/>
  <c r="J108" i="1"/>
  <c r="J145" i="1"/>
  <c r="J216" i="1"/>
  <c r="J117" i="1"/>
  <c r="J131" i="1"/>
  <c r="J50" i="1"/>
  <c r="J61" i="1"/>
  <c r="J66" i="1"/>
  <c r="J104" i="1"/>
  <c r="J135" i="1"/>
  <c r="J210" i="1"/>
  <c r="J227" i="1"/>
  <c r="J128" i="1"/>
  <c r="J138" i="1"/>
  <c r="J228" i="1"/>
  <c r="J55" i="1"/>
  <c r="J137" i="1"/>
  <c r="J177" i="1"/>
  <c r="J93" i="1"/>
  <c r="J146" i="1"/>
  <c r="J174" i="1"/>
  <c r="J245" i="1"/>
  <c r="J155" i="1"/>
  <c r="J39" i="1"/>
  <c r="J162" i="1"/>
  <c r="J237" i="1"/>
  <c r="J183" i="1"/>
  <c r="J132" i="1"/>
  <c r="J204" i="1"/>
  <c r="J189" i="1"/>
  <c r="J143" i="1"/>
  <c r="J149" i="1"/>
  <c r="J100" i="1"/>
  <c r="J96" i="1"/>
  <c r="J148" i="1"/>
  <c r="J184" i="1"/>
  <c r="J134" i="1"/>
  <c r="J147" i="1"/>
  <c r="J179" i="1"/>
  <c r="J180" i="1"/>
  <c r="J239" i="1"/>
  <c r="J121" i="1"/>
  <c r="J107" i="1"/>
  <c r="J120" i="1"/>
  <c r="J119" i="1"/>
  <c r="J244" i="1"/>
  <c r="J103" i="1"/>
  <c r="J158" i="1"/>
  <c r="J75" i="1"/>
  <c r="J255" i="1"/>
  <c r="J76" i="1"/>
  <c r="J207" i="1"/>
  <c r="J186" i="1"/>
  <c r="J181" i="1"/>
  <c r="J151" i="1"/>
  <c r="J74" i="1"/>
  <c r="J182" i="1"/>
  <c r="J241" i="1"/>
  <c r="J152" i="1"/>
  <c r="J246" i="1"/>
  <c r="J154" i="1"/>
  <c r="J144" i="1"/>
  <c r="J142" i="1"/>
  <c r="J124" i="1"/>
  <c r="J215" i="1"/>
  <c r="J194" i="1"/>
  <c r="J38" i="1"/>
  <c r="J102" i="1"/>
  <c r="J150" i="1"/>
  <c r="J248" i="1"/>
  <c r="J31" i="1"/>
  <c r="J40" i="1"/>
  <c r="J187" i="1"/>
  <c r="J202" i="1"/>
  <c r="J57" i="1"/>
  <c r="J33" i="1"/>
  <c r="J190" i="1"/>
  <c r="J200" i="1"/>
  <c r="J112" i="1"/>
  <c r="J192" i="1"/>
  <c r="J208" i="1"/>
  <c r="J109" i="1"/>
  <c r="J203" i="1"/>
  <c r="J195" i="1"/>
  <c r="J101" i="1"/>
  <c r="J242" i="1"/>
  <c r="J188" i="1"/>
  <c r="J11" i="1"/>
  <c r="J172" i="1"/>
  <c r="J30" i="1"/>
  <c r="J99" i="1"/>
  <c r="J67" i="1"/>
  <c r="J60" i="1"/>
  <c r="J52" i="1"/>
  <c r="J156" i="1"/>
  <c r="J68" i="1"/>
  <c r="J25" i="1"/>
  <c r="J185" i="1"/>
  <c r="J28" i="1"/>
  <c r="J27" i="1"/>
  <c r="J153" i="1"/>
  <c r="J221" i="1"/>
  <c r="J63" i="1"/>
  <c r="J238" i="1"/>
  <c r="J256" i="1"/>
  <c r="J91" i="1"/>
  <c r="J88" i="1"/>
  <c r="J87" i="1"/>
  <c r="J86" i="1"/>
  <c r="J85" i="1"/>
  <c r="J84" i="1"/>
  <c r="J83" i="1"/>
  <c r="J82" i="1"/>
  <c r="J90" i="1"/>
  <c r="J46" i="1"/>
  <c r="J80" i="1"/>
  <c r="J71" i="1"/>
  <c r="J9" i="1"/>
  <c r="J224" i="1"/>
  <c r="J89" i="1"/>
  <c r="J225" i="1"/>
  <c r="J223" i="1"/>
  <c r="J53" i="1"/>
  <c r="J247" i="1"/>
  <c r="J175" i="1"/>
  <c r="J29" i="1"/>
  <c r="J70" i="1"/>
  <c r="J127" i="1"/>
  <c r="J62" i="1"/>
  <c r="J32" i="1"/>
  <c r="J240" i="1"/>
  <c r="J98" i="1"/>
  <c r="J209" i="1"/>
  <c r="J44" i="1"/>
  <c r="J136" i="1"/>
  <c r="J78" i="1"/>
  <c r="J35" i="1"/>
  <c r="J81" i="1"/>
  <c r="J193" i="1"/>
  <c r="J22" i="1"/>
  <c r="J176" i="1"/>
  <c r="J51" i="1"/>
  <c r="J26" i="1"/>
  <c r="J49" i="1"/>
  <c r="J79" i="1"/>
  <c r="J65" i="1"/>
  <c r="J8" i="1"/>
  <c r="J226" i="1"/>
  <c r="J56" i="1"/>
  <c r="J191" i="1"/>
  <c r="J95" i="1"/>
  <c r="J178" i="1"/>
  <c r="J73" i="1"/>
  <c r="J133" i="1"/>
  <c r="J159" i="1"/>
  <c r="J36" i="1"/>
  <c r="J45" i="1"/>
  <c r="J254" i="1"/>
  <c r="J250" i="1"/>
  <c r="J249" i="1"/>
  <c r="J37" i="1"/>
  <c r="J72" i="1"/>
  <c r="J54" i="1"/>
  <c r="J42" i="1"/>
  <c r="J243" i="1"/>
  <c r="J173" i="1"/>
  <c r="J253" i="1"/>
  <c r="J251" i="1"/>
  <c r="J105" i="1"/>
  <c r="J64" i="1"/>
  <c r="J48" i="1"/>
  <c r="J141" i="1"/>
  <c r="J34" i="1"/>
  <c r="J92" i="1"/>
  <c r="J252" i="1"/>
  <c r="J24" i="1"/>
  <c r="J94" i="1"/>
  <c r="H257" i="1"/>
  <c r="E257" i="1"/>
  <c r="C257" i="1"/>
  <c r="F257" i="1"/>
  <c r="I257" i="1"/>
  <c r="G257" i="1"/>
  <c r="D257" i="1"/>
  <c r="E33" i="4"/>
  <c r="F33" i="4"/>
  <c r="G33" i="4"/>
  <c r="D34" i="4"/>
  <c r="O47" i="1" l="1"/>
  <c r="G36" i="1" s="1"/>
  <c r="H21" i="1"/>
  <c r="G21" i="1"/>
  <c r="F21" i="1"/>
  <c r="E21" i="1"/>
  <c r="C21" i="1"/>
  <c r="C236" i="1"/>
  <c r="F236" i="1"/>
  <c r="H236" i="1"/>
  <c r="I236" i="1"/>
  <c r="E236" i="1"/>
  <c r="G236" i="1"/>
  <c r="D236" i="1"/>
  <c r="H19" i="1"/>
  <c r="G19" i="1"/>
  <c r="F19" i="1"/>
  <c r="E19" i="1"/>
  <c r="C19" i="1"/>
  <c r="G23" i="1"/>
  <c r="C23" i="1"/>
  <c r="H23" i="1"/>
  <c r="F23" i="1"/>
  <c r="E23" i="1"/>
  <c r="C169" i="1"/>
  <c r="D169" i="1"/>
  <c r="E169" i="1"/>
  <c r="F169" i="1"/>
  <c r="G169" i="1"/>
  <c r="H169" i="1"/>
  <c r="I169" i="1"/>
  <c r="D170" i="1"/>
  <c r="E170" i="1"/>
  <c r="F170" i="1"/>
  <c r="G170" i="1"/>
  <c r="H170" i="1"/>
  <c r="I170" i="1"/>
  <c r="C170" i="1"/>
  <c r="I235" i="1"/>
  <c r="H235" i="1"/>
  <c r="G235" i="1"/>
  <c r="F235" i="1"/>
  <c r="E235" i="1"/>
  <c r="D235" i="1"/>
  <c r="C235" i="1"/>
  <c r="I59" i="1"/>
  <c r="H59" i="1"/>
  <c r="G59" i="1"/>
  <c r="F59" i="1"/>
  <c r="E59" i="1"/>
  <c r="D59" i="1"/>
  <c r="C59" i="1"/>
  <c r="D171" i="1"/>
  <c r="F171" i="1"/>
  <c r="H171" i="1"/>
  <c r="G171" i="1"/>
  <c r="I171" i="1"/>
  <c r="C171" i="1"/>
  <c r="E171" i="1"/>
  <c r="H20" i="1"/>
  <c r="G20" i="1"/>
  <c r="F20" i="1"/>
  <c r="E20" i="1"/>
  <c r="C20" i="1"/>
  <c r="I234" i="1"/>
  <c r="H234" i="1"/>
  <c r="G234" i="1"/>
  <c r="F234" i="1"/>
  <c r="E234" i="1"/>
  <c r="C234" i="1"/>
  <c r="D234" i="1"/>
  <c r="C168" i="1"/>
  <c r="D168" i="1"/>
  <c r="E168" i="1"/>
  <c r="F168" i="1"/>
  <c r="G168" i="1"/>
  <c r="H168" i="1"/>
  <c r="I168" i="1"/>
  <c r="H18" i="1"/>
  <c r="G18" i="1"/>
  <c r="F18" i="1"/>
  <c r="E18" i="1"/>
  <c r="C18" i="1"/>
  <c r="C10" i="1"/>
  <c r="H10" i="1"/>
  <c r="G10" i="1"/>
  <c r="F10" i="1"/>
  <c r="E10" i="1"/>
  <c r="I167" i="1"/>
  <c r="H167" i="1"/>
  <c r="G167" i="1"/>
  <c r="F167" i="1"/>
  <c r="E167" i="1"/>
  <c r="D167" i="1"/>
  <c r="C167" i="1"/>
  <c r="G166" i="1"/>
  <c r="F166" i="1"/>
  <c r="E166" i="1"/>
  <c r="D166" i="1"/>
  <c r="C166" i="1"/>
  <c r="I166" i="1"/>
  <c r="H166" i="1"/>
  <c r="I58" i="1"/>
  <c r="H58" i="1"/>
  <c r="G58" i="1"/>
  <c r="F58" i="1"/>
  <c r="E58" i="1"/>
  <c r="D58" i="1"/>
  <c r="C58" i="1"/>
  <c r="I233" i="1"/>
  <c r="H233" i="1"/>
  <c r="G233" i="1"/>
  <c r="F233" i="1"/>
  <c r="E233" i="1"/>
  <c r="D233" i="1"/>
  <c r="C233" i="1"/>
  <c r="C232" i="1"/>
  <c r="D232" i="1"/>
  <c r="E232" i="1"/>
  <c r="F232" i="1"/>
  <c r="G232" i="1"/>
  <c r="H232" i="1"/>
  <c r="I232" i="1"/>
  <c r="H17" i="1"/>
  <c r="G17" i="1"/>
  <c r="F17" i="1"/>
  <c r="E17" i="1"/>
  <c r="C17" i="1"/>
  <c r="C97" i="1"/>
  <c r="F97" i="1"/>
  <c r="D97" i="1"/>
  <c r="E97" i="1"/>
  <c r="G97" i="1"/>
  <c r="I97" i="1"/>
  <c r="H97" i="1"/>
  <c r="C165" i="1"/>
  <c r="D165" i="1"/>
  <c r="E165" i="1"/>
  <c r="F165" i="1"/>
  <c r="G165" i="1"/>
  <c r="H165" i="1"/>
  <c r="I165" i="1"/>
  <c r="C220" i="1"/>
  <c r="D220" i="1"/>
  <c r="E220" i="1"/>
  <c r="F220" i="1"/>
  <c r="G220" i="1"/>
  <c r="H220" i="1"/>
  <c r="I220" i="1"/>
  <c r="H16" i="1"/>
  <c r="G16" i="1"/>
  <c r="F16" i="1"/>
  <c r="E16" i="1"/>
  <c r="C16" i="1"/>
  <c r="I231" i="1"/>
  <c r="F231" i="1"/>
  <c r="E231" i="1"/>
  <c r="H231" i="1"/>
  <c r="G231" i="1"/>
  <c r="D231" i="1"/>
  <c r="C231" i="1"/>
  <c r="I140" i="1"/>
  <c r="H140" i="1"/>
  <c r="G140" i="1"/>
  <c r="E140" i="1"/>
  <c r="C140" i="1"/>
  <c r="F140" i="1"/>
  <c r="D140" i="1"/>
  <c r="H15" i="1"/>
  <c r="F15" i="1"/>
  <c r="G15" i="1"/>
  <c r="E15" i="1"/>
  <c r="C15" i="1"/>
  <c r="I164" i="1"/>
  <c r="H164" i="1"/>
  <c r="F164" i="1"/>
  <c r="E164" i="1"/>
  <c r="C164" i="1"/>
  <c r="G164" i="1"/>
  <c r="D164" i="1"/>
  <c r="I219" i="1"/>
  <c r="H219" i="1"/>
  <c r="G219" i="1"/>
  <c r="F219" i="1"/>
  <c r="E219" i="1"/>
  <c r="D219" i="1"/>
  <c r="C219" i="1"/>
  <c r="I230" i="1"/>
  <c r="H230" i="1"/>
  <c r="G230" i="1"/>
  <c r="F230" i="1"/>
  <c r="E230" i="1"/>
  <c r="D230" i="1"/>
  <c r="C230" i="1"/>
  <c r="C163" i="1"/>
  <c r="D163" i="1"/>
  <c r="E163" i="1"/>
  <c r="G163" i="1"/>
  <c r="H163" i="1"/>
  <c r="F163" i="1"/>
  <c r="I163" i="1"/>
  <c r="I229" i="1"/>
  <c r="G229" i="1"/>
  <c r="E229" i="1"/>
  <c r="C229" i="1"/>
  <c r="H229" i="1"/>
  <c r="F229" i="1"/>
  <c r="D229" i="1"/>
  <c r="C118" i="1"/>
  <c r="G118" i="1"/>
  <c r="D118" i="1"/>
  <c r="E118" i="1"/>
  <c r="H118" i="1"/>
  <c r="F118" i="1"/>
  <c r="I118" i="1"/>
  <c r="G14" i="1"/>
  <c r="C14" i="1"/>
  <c r="H14" i="1"/>
  <c r="E14" i="1"/>
  <c r="F14" i="1"/>
  <c r="I77" i="1"/>
  <c r="H77" i="1"/>
  <c r="G77" i="1"/>
  <c r="F77" i="1"/>
  <c r="E77" i="1"/>
  <c r="D77" i="1"/>
  <c r="C77" i="1"/>
  <c r="I218" i="1"/>
  <c r="H218" i="1"/>
  <c r="G218" i="1"/>
  <c r="F218" i="1"/>
  <c r="E218" i="1"/>
  <c r="D218" i="1"/>
  <c r="C218" i="1"/>
  <c r="I139" i="1"/>
  <c r="H139" i="1"/>
  <c r="G139" i="1"/>
  <c r="F139" i="1"/>
  <c r="E139" i="1"/>
  <c r="D139" i="1"/>
  <c r="C139" i="1"/>
  <c r="C122" i="1"/>
  <c r="E122" i="1"/>
  <c r="F122" i="1"/>
  <c r="H122" i="1"/>
  <c r="D122" i="1"/>
  <c r="G122" i="1"/>
  <c r="I122" i="1"/>
  <c r="C113" i="1"/>
  <c r="D113" i="1"/>
  <c r="E113" i="1"/>
  <c r="F113" i="1"/>
  <c r="G113" i="1"/>
  <c r="H113" i="1"/>
  <c r="I113" i="1"/>
  <c r="C201" i="1"/>
  <c r="D201" i="1"/>
  <c r="E201" i="1"/>
  <c r="F201" i="1"/>
  <c r="G201" i="1"/>
  <c r="H201" i="1"/>
  <c r="I201" i="1"/>
  <c r="C199" i="1"/>
  <c r="D199" i="1"/>
  <c r="E199" i="1"/>
  <c r="F199" i="1"/>
  <c r="G199" i="1"/>
  <c r="H199" i="1"/>
  <c r="I199" i="1"/>
  <c r="C125" i="1"/>
  <c r="D125" i="1"/>
  <c r="F125" i="1"/>
  <c r="G125" i="1"/>
  <c r="I125" i="1"/>
  <c r="E125" i="1"/>
  <c r="H125" i="1"/>
  <c r="C198" i="1"/>
  <c r="D198" i="1"/>
  <c r="E198" i="1"/>
  <c r="F198" i="1"/>
  <c r="G198" i="1"/>
  <c r="H198" i="1"/>
  <c r="I198" i="1"/>
  <c r="C106" i="1"/>
  <c r="D106" i="1"/>
  <c r="E106" i="1"/>
  <c r="F106" i="1"/>
  <c r="G106" i="1"/>
  <c r="H106" i="1"/>
  <c r="I106" i="1"/>
  <c r="D211" i="1"/>
  <c r="F211" i="1"/>
  <c r="H211" i="1"/>
  <c r="C211" i="1"/>
  <c r="E211" i="1"/>
  <c r="G211" i="1"/>
  <c r="I211" i="1"/>
  <c r="D126" i="1"/>
  <c r="E126" i="1"/>
  <c r="F126" i="1"/>
  <c r="G126" i="1"/>
  <c r="I126" i="1"/>
  <c r="C126" i="1"/>
  <c r="H126" i="1"/>
  <c r="H12" i="1"/>
  <c r="G12" i="1"/>
  <c r="F12" i="1"/>
  <c r="E12" i="1"/>
  <c r="C12" i="1"/>
  <c r="C123" i="1"/>
  <c r="D123" i="1"/>
  <c r="F123" i="1"/>
  <c r="G123" i="1"/>
  <c r="I123" i="1"/>
  <c r="E123" i="1"/>
  <c r="H123" i="1"/>
  <c r="I160" i="1"/>
  <c r="H160" i="1"/>
  <c r="G160" i="1"/>
  <c r="F160" i="1"/>
  <c r="D160" i="1"/>
  <c r="C160" i="1"/>
  <c r="E160" i="1"/>
  <c r="C129" i="1"/>
  <c r="D129" i="1"/>
  <c r="E129" i="1"/>
  <c r="F129" i="1"/>
  <c r="G129" i="1"/>
  <c r="H129" i="1"/>
  <c r="I129" i="1"/>
  <c r="C114" i="1"/>
  <c r="D114" i="1"/>
  <c r="E114" i="1"/>
  <c r="F114" i="1"/>
  <c r="G114" i="1"/>
  <c r="H114" i="1"/>
  <c r="I114" i="1"/>
  <c r="I217" i="1"/>
  <c r="H217" i="1"/>
  <c r="G217" i="1"/>
  <c r="F217" i="1"/>
  <c r="E217" i="1"/>
  <c r="D217" i="1"/>
  <c r="C217" i="1"/>
  <c r="C196" i="1"/>
  <c r="D196" i="1"/>
  <c r="E196" i="1"/>
  <c r="F196" i="1"/>
  <c r="G196" i="1"/>
  <c r="H196" i="1"/>
  <c r="I196" i="1"/>
  <c r="C213" i="1"/>
  <c r="E213" i="1"/>
  <c r="F213" i="1"/>
  <c r="H213" i="1"/>
  <c r="I213" i="1"/>
  <c r="D213" i="1"/>
  <c r="G213" i="1"/>
  <c r="H43" i="1"/>
  <c r="F43" i="1"/>
  <c r="E43" i="1"/>
  <c r="C43" i="1"/>
  <c r="H41" i="1"/>
  <c r="F41" i="1"/>
  <c r="E41" i="1"/>
  <c r="C41" i="1"/>
  <c r="H47" i="1"/>
  <c r="F47" i="1"/>
  <c r="E47" i="1"/>
  <c r="C47" i="1"/>
  <c r="C130" i="1"/>
  <c r="D130" i="1"/>
  <c r="E130" i="1"/>
  <c r="F130" i="1"/>
  <c r="G130" i="1"/>
  <c r="H130" i="1"/>
  <c r="I130" i="1"/>
  <c r="D212" i="1"/>
  <c r="E212" i="1"/>
  <c r="F212" i="1"/>
  <c r="G212" i="1"/>
  <c r="I212" i="1"/>
  <c r="C212" i="1"/>
  <c r="H212" i="1"/>
  <c r="D222" i="1"/>
  <c r="G222" i="1"/>
  <c r="C222" i="1"/>
  <c r="E222" i="1"/>
  <c r="F222" i="1"/>
  <c r="H222" i="1"/>
  <c r="I222" i="1"/>
  <c r="C110" i="1"/>
  <c r="D110" i="1"/>
  <c r="G110" i="1"/>
  <c r="E110" i="1"/>
  <c r="H110" i="1"/>
  <c r="F110" i="1"/>
  <c r="I110" i="1"/>
  <c r="H13" i="1"/>
  <c r="G13" i="1"/>
  <c r="F13" i="1"/>
  <c r="E13" i="1"/>
  <c r="C13" i="1"/>
  <c r="C214" i="1"/>
  <c r="D214" i="1"/>
  <c r="F214" i="1"/>
  <c r="G214" i="1"/>
  <c r="H214" i="1"/>
  <c r="I214" i="1"/>
  <c r="E214" i="1"/>
  <c r="C197" i="1"/>
  <c r="D197" i="1"/>
  <c r="E197" i="1"/>
  <c r="F197" i="1"/>
  <c r="G197" i="1"/>
  <c r="H197" i="1"/>
  <c r="I197" i="1"/>
  <c r="C205" i="1"/>
  <c r="D205" i="1"/>
  <c r="E205" i="1"/>
  <c r="F205" i="1"/>
  <c r="G205" i="1"/>
  <c r="H205" i="1"/>
  <c r="I205" i="1"/>
  <c r="C116" i="1"/>
  <c r="D116" i="1"/>
  <c r="E116" i="1"/>
  <c r="F116" i="1"/>
  <c r="G116" i="1"/>
  <c r="H116" i="1"/>
  <c r="I116" i="1"/>
  <c r="C115" i="1"/>
  <c r="D115" i="1"/>
  <c r="E115" i="1"/>
  <c r="F115" i="1"/>
  <c r="G115" i="1"/>
  <c r="H115" i="1"/>
  <c r="I115" i="1"/>
  <c r="C206" i="1"/>
  <c r="D206" i="1"/>
  <c r="E206" i="1"/>
  <c r="F206" i="1"/>
  <c r="G206" i="1"/>
  <c r="H206" i="1"/>
  <c r="I206" i="1"/>
  <c r="I69" i="1"/>
  <c r="H69" i="1"/>
  <c r="G69" i="1"/>
  <c r="F69" i="1"/>
  <c r="E69" i="1"/>
  <c r="D69" i="1"/>
  <c r="C69" i="1"/>
  <c r="G161" i="1"/>
  <c r="D161" i="1"/>
  <c r="I161" i="1"/>
  <c r="H161" i="1"/>
  <c r="F161" i="1"/>
  <c r="E161" i="1"/>
  <c r="C161" i="1"/>
  <c r="C157" i="1"/>
  <c r="F157" i="1"/>
  <c r="D157" i="1"/>
  <c r="E157" i="1"/>
  <c r="G157" i="1"/>
  <c r="H157" i="1"/>
  <c r="I157" i="1"/>
  <c r="H111" i="1"/>
  <c r="C111" i="1"/>
  <c r="D111" i="1"/>
  <c r="E111" i="1"/>
  <c r="F111" i="1"/>
  <c r="G111" i="1"/>
  <c r="I111" i="1"/>
  <c r="E108" i="1"/>
  <c r="G108" i="1"/>
  <c r="I108" i="1"/>
  <c r="C108" i="1"/>
  <c r="F108" i="1"/>
  <c r="D108" i="1"/>
  <c r="H108" i="1"/>
  <c r="D145" i="1"/>
  <c r="I145" i="1"/>
  <c r="E145" i="1"/>
  <c r="C145" i="1"/>
  <c r="F145" i="1"/>
  <c r="G145" i="1"/>
  <c r="H145" i="1"/>
  <c r="C216" i="1"/>
  <c r="E216" i="1"/>
  <c r="F216" i="1"/>
  <c r="G216" i="1"/>
  <c r="I216" i="1"/>
  <c r="D216" i="1"/>
  <c r="H216" i="1"/>
  <c r="C117" i="1"/>
  <c r="D117" i="1"/>
  <c r="E117" i="1"/>
  <c r="F117" i="1"/>
  <c r="G117" i="1"/>
  <c r="H117" i="1"/>
  <c r="I117" i="1"/>
  <c r="D131" i="1"/>
  <c r="E131" i="1"/>
  <c r="F131" i="1"/>
  <c r="H131" i="1"/>
  <c r="C131" i="1"/>
  <c r="G131" i="1"/>
  <c r="I131" i="1"/>
  <c r="H50" i="1"/>
  <c r="F50" i="1"/>
  <c r="E50" i="1"/>
  <c r="C50" i="1"/>
  <c r="I61" i="1"/>
  <c r="H61" i="1"/>
  <c r="G61" i="1"/>
  <c r="F61" i="1"/>
  <c r="E61" i="1"/>
  <c r="D61" i="1"/>
  <c r="C61" i="1"/>
  <c r="I66" i="1"/>
  <c r="H66" i="1"/>
  <c r="G66" i="1"/>
  <c r="F66" i="1"/>
  <c r="E66" i="1"/>
  <c r="D66" i="1"/>
  <c r="C66" i="1"/>
  <c r="I104" i="1"/>
  <c r="H104" i="1"/>
  <c r="G104" i="1"/>
  <c r="F104" i="1"/>
  <c r="E104" i="1"/>
  <c r="D104" i="1"/>
  <c r="C104" i="1"/>
  <c r="C135" i="1"/>
  <c r="D135" i="1"/>
  <c r="E135" i="1"/>
  <c r="F135" i="1"/>
  <c r="G135" i="1"/>
  <c r="H135" i="1"/>
  <c r="I135" i="1"/>
  <c r="F210" i="1"/>
  <c r="G210" i="1"/>
  <c r="H210" i="1"/>
  <c r="I210" i="1"/>
  <c r="C210" i="1"/>
  <c r="D210" i="1"/>
  <c r="E210" i="1"/>
  <c r="I227" i="1"/>
  <c r="H227" i="1"/>
  <c r="G227" i="1"/>
  <c r="F227" i="1"/>
  <c r="E227" i="1"/>
  <c r="D227" i="1"/>
  <c r="C227" i="1"/>
  <c r="C128" i="1"/>
  <c r="D128" i="1"/>
  <c r="E128" i="1"/>
  <c r="F128" i="1"/>
  <c r="G128" i="1"/>
  <c r="H128" i="1"/>
  <c r="I128" i="1"/>
  <c r="I138" i="1"/>
  <c r="H138" i="1"/>
  <c r="G138" i="1"/>
  <c r="F138" i="1"/>
  <c r="E138" i="1"/>
  <c r="D138" i="1"/>
  <c r="C138" i="1"/>
  <c r="F228" i="1"/>
  <c r="I228" i="1"/>
  <c r="D228" i="1"/>
  <c r="C228" i="1"/>
  <c r="G228" i="1"/>
  <c r="E228" i="1"/>
  <c r="H228" i="1"/>
  <c r="I55" i="1"/>
  <c r="H55" i="1"/>
  <c r="G55" i="1"/>
  <c r="F55" i="1"/>
  <c r="E55" i="1"/>
  <c r="D55" i="1"/>
  <c r="C55" i="1"/>
  <c r="C137" i="1"/>
  <c r="D137" i="1"/>
  <c r="E137" i="1"/>
  <c r="F137" i="1"/>
  <c r="G137" i="1"/>
  <c r="H137" i="1"/>
  <c r="I137" i="1"/>
  <c r="I177" i="1"/>
  <c r="H177" i="1"/>
  <c r="G177" i="1"/>
  <c r="F177" i="1"/>
  <c r="E177" i="1"/>
  <c r="D177" i="1"/>
  <c r="C177" i="1"/>
  <c r="I93" i="1"/>
  <c r="H93" i="1"/>
  <c r="G93" i="1"/>
  <c r="F93" i="1"/>
  <c r="E93" i="1"/>
  <c r="D93" i="1"/>
  <c r="C93" i="1"/>
  <c r="I146" i="1"/>
  <c r="H146" i="1"/>
  <c r="G146" i="1"/>
  <c r="F146" i="1"/>
  <c r="E146" i="1"/>
  <c r="C146" i="1"/>
  <c r="D146" i="1"/>
  <c r="H174" i="1"/>
  <c r="G174" i="1"/>
  <c r="E174" i="1"/>
  <c r="C174" i="1"/>
  <c r="I174" i="1"/>
  <c r="F174" i="1"/>
  <c r="D174" i="1"/>
  <c r="H245" i="1"/>
  <c r="F245" i="1"/>
  <c r="E245" i="1"/>
  <c r="I245" i="1"/>
  <c r="G245" i="1"/>
  <c r="D245" i="1"/>
  <c r="C245" i="1"/>
  <c r="I155" i="1"/>
  <c r="G155" i="1"/>
  <c r="F155" i="1"/>
  <c r="D155" i="1"/>
  <c r="C155" i="1"/>
  <c r="H155" i="1"/>
  <c r="E155" i="1"/>
  <c r="H39" i="1"/>
  <c r="F39" i="1"/>
  <c r="E39" i="1"/>
  <c r="C39" i="1"/>
  <c r="H162" i="1"/>
  <c r="F162" i="1"/>
  <c r="D162" i="1"/>
  <c r="I162" i="1"/>
  <c r="G162" i="1"/>
  <c r="E162" i="1"/>
  <c r="C162" i="1"/>
  <c r="H237" i="1"/>
  <c r="F237" i="1"/>
  <c r="D237" i="1"/>
  <c r="I237" i="1"/>
  <c r="G237" i="1"/>
  <c r="E237" i="1"/>
  <c r="C237" i="1"/>
  <c r="I183" i="1"/>
  <c r="H183" i="1"/>
  <c r="G183" i="1"/>
  <c r="F183" i="1"/>
  <c r="E183" i="1"/>
  <c r="D183" i="1"/>
  <c r="C183" i="1"/>
  <c r="C132" i="1"/>
  <c r="D132" i="1"/>
  <c r="E132" i="1"/>
  <c r="F132" i="1"/>
  <c r="G132" i="1"/>
  <c r="H132" i="1"/>
  <c r="I132" i="1"/>
  <c r="C204" i="1"/>
  <c r="D204" i="1"/>
  <c r="E204" i="1"/>
  <c r="F204" i="1"/>
  <c r="G204" i="1"/>
  <c r="H204" i="1"/>
  <c r="I204" i="1"/>
  <c r="I189" i="1"/>
  <c r="H189" i="1"/>
  <c r="G189" i="1"/>
  <c r="F189" i="1"/>
  <c r="E189" i="1"/>
  <c r="D189" i="1"/>
  <c r="C189" i="1"/>
  <c r="I143" i="1"/>
  <c r="H143" i="1"/>
  <c r="G143" i="1"/>
  <c r="E143" i="1"/>
  <c r="C143" i="1"/>
  <c r="F143" i="1"/>
  <c r="D143" i="1"/>
  <c r="H149" i="1"/>
  <c r="F149" i="1"/>
  <c r="E149" i="1"/>
  <c r="C149" i="1"/>
  <c r="I149" i="1"/>
  <c r="G149" i="1"/>
  <c r="D149" i="1"/>
  <c r="C100" i="1"/>
  <c r="G100" i="1"/>
  <c r="E100" i="1"/>
  <c r="I100" i="1"/>
  <c r="H100" i="1"/>
  <c r="F100" i="1"/>
  <c r="D100" i="1"/>
  <c r="E96" i="1"/>
  <c r="I96" i="1"/>
  <c r="H96" i="1"/>
  <c r="G96" i="1"/>
  <c r="F96" i="1"/>
  <c r="D96" i="1"/>
  <c r="C96" i="1"/>
  <c r="I148" i="1"/>
  <c r="H148" i="1"/>
  <c r="G148" i="1"/>
  <c r="E148" i="1"/>
  <c r="C148" i="1"/>
  <c r="F148" i="1"/>
  <c r="D148" i="1"/>
  <c r="I184" i="1"/>
  <c r="H184" i="1"/>
  <c r="G184" i="1"/>
  <c r="F184" i="1"/>
  <c r="E184" i="1"/>
  <c r="D184" i="1"/>
  <c r="C184" i="1"/>
  <c r="C134" i="1"/>
  <c r="D134" i="1"/>
  <c r="E134" i="1"/>
  <c r="F134" i="1"/>
  <c r="G134" i="1"/>
  <c r="H134" i="1"/>
  <c r="I134" i="1"/>
  <c r="I147" i="1"/>
  <c r="G147" i="1"/>
  <c r="E147" i="1"/>
  <c r="D147" i="1"/>
  <c r="H147" i="1"/>
  <c r="F147" i="1"/>
  <c r="C147" i="1"/>
  <c r="I179" i="1"/>
  <c r="H179" i="1"/>
  <c r="G179" i="1"/>
  <c r="F179" i="1"/>
  <c r="E179" i="1"/>
  <c r="D179" i="1"/>
  <c r="C179" i="1"/>
  <c r="I180" i="1"/>
  <c r="H180" i="1"/>
  <c r="G180" i="1"/>
  <c r="F180" i="1"/>
  <c r="E180" i="1"/>
  <c r="D180" i="1"/>
  <c r="C180" i="1"/>
  <c r="G239" i="1"/>
  <c r="D239" i="1"/>
  <c r="I239" i="1"/>
  <c r="H239" i="1"/>
  <c r="F239" i="1"/>
  <c r="E239" i="1"/>
  <c r="C239" i="1"/>
  <c r="D121" i="1"/>
  <c r="E121" i="1"/>
  <c r="F121" i="1"/>
  <c r="H121" i="1"/>
  <c r="C121" i="1"/>
  <c r="G121" i="1"/>
  <c r="I121" i="1"/>
  <c r="C107" i="1"/>
  <c r="E107" i="1"/>
  <c r="F107" i="1"/>
  <c r="G107" i="1"/>
  <c r="H107" i="1"/>
  <c r="I107" i="1"/>
  <c r="D107" i="1"/>
  <c r="D120" i="1"/>
  <c r="E120" i="1"/>
  <c r="F120" i="1"/>
  <c r="H120" i="1"/>
  <c r="I120" i="1"/>
  <c r="C120" i="1"/>
  <c r="G120" i="1"/>
  <c r="G119" i="1"/>
  <c r="C119" i="1"/>
  <c r="D119" i="1"/>
  <c r="F119" i="1"/>
  <c r="I119" i="1"/>
  <c r="E119" i="1"/>
  <c r="H119" i="1"/>
  <c r="I244" i="1"/>
  <c r="H244" i="1"/>
  <c r="E244" i="1"/>
  <c r="C244" i="1"/>
  <c r="G244" i="1"/>
  <c r="F244" i="1"/>
  <c r="D244" i="1"/>
  <c r="I103" i="1"/>
  <c r="H103" i="1"/>
  <c r="G103" i="1"/>
  <c r="F103" i="1"/>
  <c r="E103" i="1"/>
  <c r="D103" i="1"/>
  <c r="C103" i="1"/>
  <c r="H158" i="1"/>
  <c r="G158" i="1"/>
  <c r="E158" i="1"/>
  <c r="C158" i="1"/>
  <c r="I158" i="1"/>
  <c r="F158" i="1"/>
  <c r="D158" i="1"/>
  <c r="I75" i="1"/>
  <c r="H75" i="1"/>
  <c r="G75" i="1"/>
  <c r="F75" i="1"/>
  <c r="E75" i="1"/>
  <c r="D75" i="1"/>
  <c r="C75" i="1"/>
  <c r="G255" i="1"/>
  <c r="F255" i="1"/>
  <c r="H255" i="1"/>
  <c r="E255" i="1"/>
  <c r="C255" i="1"/>
  <c r="I255" i="1"/>
  <c r="D255" i="1"/>
  <c r="I76" i="1"/>
  <c r="H76" i="1"/>
  <c r="G76" i="1"/>
  <c r="F76" i="1"/>
  <c r="E76" i="1"/>
  <c r="D76" i="1"/>
  <c r="C76" i="1"/>
  <c r="C207" i="1"/>
  <c r="D207" i="1"/>
  <c r="E207" i="1"/>
  <c r="F207" i="1"/>
  <c r="G207" i="1"/>
  <c r="H207" i="1"/>
  <c r="I207" i="1"/>
  <c r="I186" i="1"/>
  <c r="H186" i="1"/>
  <c r="G186" i="1"/>
  <c r="F186" i="1"/>
  <c r="E186" i="1"/>
  <c r="D186" i="1"/>
  <c r="C186" i="1"/>
  <c r="I181" i="1"/>
  <c r="H181" i="1"/>
  <c r="G181" i="1"/>
  <c r="F181" i="1"/>
  <c r="E181" i="1"/>
  <c r="D181" i="1"/>
  <c r="C181" i="1"/>
  <c r="I151" i="1"/>
  <c r="H151" i="1"/>
  <c r="E151" i="1"/>
  <c r="C151" i="1"/>
  <c r="G151" i="1"/>
  <c r="F151" i="1"/>
  <c r="D151" i="1"/>
  <c r="I74" i="1"/>
  <c r="H74" i="1"/>
  <c r="G74" i="1"/>
  <c r="F74" i="1"/>
  <c r="E74" i="1"/>
  <c r="D74" i="1"/>
  <c r="C74" i="1"/>
  <c r="I182" i="1"/>
  <c r="H182" i="1"/>
  <c r="G182" i="1"/>
  <c r="F182" i="1"/>
  <c r="E182" i="1"/>
  <c r="D182" i="1"/>
  <c r="C182" i="1"/>
  <c r="H241" i="1"/>
  <c r="F241" i="1"/>
  <c r="E241" i="1"/>
  <c r="C241" i="1"/>
  <c r="I241" i="1"/>
  <c r="G241" i="1"/>
  <c r="D241" i="1"/>
  <c r="H152" i="1"/>
  <c r="F152" i="1"/>
  <c r="E152" i="1"/>
  <c r="D152" i="1"/>
  <c r="I152" i="1"/>
  <c r="G152" i="1"/>
  <c r="C152" i="1"/>
  <c r="H246" i="1"/>
  <c r="G246" i="1"/>
  <c r="F246" i="1"/>
  <c r="D246" i="1"/>
  <c r="I246" i="1"/>
  <c r="E246" i="1"/>
  <c r="C246" i="1"/>
  <c r="H154" i="1"/>
  <c r="F154" i="1"/>
  <c r="D154" i="1"/>
  <c r="I154" i="1"/>
  <c r="G154" i="1"/>
  <c r="E154" i="1"/>
  <c r="C154" i="1"/>
  <c r="I144" i="1"/>
  <c r="H144" i="1"/>
  <c r="G144" i="1"/>
  <c r="E144" i="1"/>
  <c r="D144" i="1"/>
  <c r="F144" i="1"/>
  <c r="C144" i="1"/>
  <c r="I142" i="1"/>
  <c r="H142" i="1"/>
  <c r="G142" i="1"/>
  <c r="F142" i="1"/>
  <c r="E142" i="1"/>
  <c r="D142" i="1"/>
  <c r="C142" i="1"/>
  <c r="D124" i="1"/>
  <c r="E124" i="1"/>
  <c r="F124" i="1"/>
  <c r="H124" i="1"/>
  <c r="I124" i="1"/>
  <c r="C124" i="1"/>
  <c r="G124" i="1"/>
  <c r="C215" i="1"/>
  <c r="D215" i="1"/>
  <c r="F215" i="1"/>
  <c r="G215" i="1"/>
  <c r="I215" i="1"/>
  <c r="E215" i="1"/>
  <c r="H215" i="1"/>
  <c r="H194" i="1"/>
  <c r="E194" i="1"/>
  <c r="C194" i="1"/>
  <c r="I194" i="1"/>
  <c r="G194" i="1"/>
  <c r="F194" i="1"/>
  <c r="D194" i="1"/>
  <c r="H38" i="1"/>
  <c r="F38" i="1"/>
  <c r="E38" i="1"/>
  <c r="C38" i="1"/>
  <c r="I102" i="1"/>
  <c r="H102" i="1"/>
  <c r="G102" i="1"/>
  <c r="F102" i="1"/>
  <c r="E102" i="1"/>
  <c r="D102" i="1"/>
  <c r="C102" i="1"/>
  <c r="G150" i="1"/>
  <c r="C150" i="1"/>
  <c r="F150" i="1"/>
  <c r="I150" i="1"/>
  <c r="E150" i="1"/>
  <c r="H150" i="1"/>
  <c r="D150" i="1"/>
  <c r="I248" i="1"/>
  <c r="G248" i="1"/>
  <c r="D248" i="1"/>
  <c r="C248" i="1"/>
  <c r="H248" i="1"/>
  <c r="F248" i="1"/>
  <c r="E248" i="1"/>
  <c r="H31" i="1"/>
  <c r="G31" i="1"/>
  <c r="F31" i="1"/>
  <c r="E31" i="1"/>
  <c r="C31" i="1"/>
  <c r="H40" i="1"/>
  <c r="F40" i="1"/>
  <c r="E40" i="1"/>
  <c r="C40" i="1"/>
  <c r="I187" i="1"/>
  <c r="H187" i="1"/>
  <c r="G187" i="1"/>
  <c r="F187" i="1"/>
  <c r="E187" i="1"/>
  <c r="D187" i="1"/>
  <c r="C187" i="1"/>
  <c r="C202" i="1"/>
  <c r="D202" i="1"/>
  <c r="E202" i="1"/>
  <c r="F202" i="1"/>
  <c r="G202" i="1"/>
  <c r="H202" i="1"/>
  <c r="I202" i="1"/>
  <c r="I57" i="1"/>
  <c r="H57" i="1"/>
  <c r="G57" i="1"/>
  <c r="F57" i="1"/>
  <c r="E57" i="1"/>
  <c r="D57" i="1"/>
  <c r="C57" i="1"/>
  <c r="H33" i="1"/>
  <c r="G33" i="1"/>
  <c r="F33" i="1"/>
  <c r="E33" i="1"/>
  <c r="C33" i="1"/>
  <c r="I190" i="1"/>
  <c r="H190" i="1"/>
  <c r="G190" i="1"/>
  <c r="F190" i="1"/>
  <c r="E190" i="1"/>
  <c r="D190" i="1"/>
  <c r="C190" i="1"/>
  <c r="C200" i="1"/>
  <c r="D200" i="1"/>
  <c r="E200" i="1"/>
  <c r="F200" i="1"/>
  <c r="G200" i="1"/>
  <c r="H200" i="1"/>
  <c r="I200" i="1"/>
  <c r="C112" i="1"/>
  <c r="D112" i="1"/>
  <c r="E112" i="1"/>
  <c r="F112" i="1"/>
  <c r="G112" i="1"/>
  <c r="H112" i="1"/>
  <c r="I112" i="1"/>
  <c r="I192" i="1"/>
  <c r="H192" i="1"/>
  <c r="F192" i="1"/>
  <c r="E192" i="1"/>
  <c r="D192" i="1"/>
  <c r="C192" i="1"/>
  <c r="G192" i="1"/>
  <c r="C208" i="1"/>
  <c r="D208" i="1"/>
  <c r="E208" i="1"/>
  <c r="F208" i="1"/>
  <c r="G208" i="1"/>
  <c r="H208" i="1"/>
  <c r="I208" i="1"/>
  <c r="E109" i="1"/>
  <c r="D109" i="1"/>
  <c r="F109" i="1"/>
  <c r="H109" i="1"/>
  <c r="C109" i="1"/>
  <c r="G109" i="1"/>
  <c r="I109" i="1"/>
  <c r="C203" i="1"/>
  <c r="D203" i="1"/>
  <c r="E203" i="1"/>
  <c r="F203" i="1"/>
  <c r="G203" i="1"/>
  <c r="H203" i="1"/>
  <c r="I203" i="1"/>
  <c r="C195" i="1"/>
  <c r="D195" i="1"/>
  <c r="E195" i="1"/>
  <c r="F195" i="1"/>
  <c r="G195" i="1"/>
  <c r="H195" i="1"/>
  <c r="I195" i="1"/>
  <c r="I101" i="1"/>
  <c r="H101" i="1"/>
  <c r="G101" i="1"/>
  <c r="F101" i="1"/>
  <c r="E101" i="1"/>
  <c r="D101" i="1"/>
  <c r="C101" i="1"/>
  <c r="H242" i="1"/>
  <c r="E242" i="1"/>
  <c r="D242" i="1"/>
  <c r="I242" i="1"/>
  <c r="G242" i="1"/>
  <c r="F242" i="1"/>
  <c r="C242" i="1"/>
  <c r="I188" i="1"/>
  <c r="H188" i="1"/>
  <c r="G188" i="1"/>
  <c r="F188" i="1"/>
  <c r="E188" i="1"/>
  <c r="D188" i="1"/>
  <c r="C188" i="1"/>
  <c r="H11" i="1"/>
  <c r="G11" i="1"/>
  <c r="F11" i="1"/>
  <c r="E11" i="1"/>
  <c r="C11" i="1"/>
  <c r="I172" i="1"/>
  <c r="G172" i="1"/>
  <c r="F172" i="1"/>
  <c r="C172" i="1"/>
  <c r="H172" i="1"/>
  <c r="E172" i="1"/>
  <c r="D172" i="1"/>
  <c r="H30" i="1"/>
  <c r="G30" i="1"/>
  <c r="F30" i="1"/>
  <c r="E30" i="1"/>
  <c r="C30" i="1"/>
  <c r="I99" i="1"/>
  <c r="F99" i="1"/>
  <c r="D99" i="1"/>
  <c r="H99" i="1"/>
  <c r="G99" i="1"/>
  <c r="E99" i="1"/>
  <c r="C99" i="1"/>
  <c r="I67" i="1"/>
  <c r="H67" i="1"/>
  <c r="G67" i="1"/>
  <c r="F67" i="1"/>
  <c r="E67" i="1"/>
  <c r="D67" i="1"/>
  <c r="C67" i="1"/>
  <c r="I60" i="1"/>
  <c r="H60" i="1"/>
  <c r="G60" i="1"/>
  <c r="F60" i="1"/>
  <c r="E60" i="1"/>
  <c r="D60" i="1"/>
  <c r="C60" i="1"/>
  <c r="I52" i="1"/>
  <c r="H52" i="1"/>
  <c r="G52" i="1"/>
  <c r="F52" i="1"/>
  <c r="E52" i="1"/>
  <c r="D52" i="1"/>
  <c r="C52" i="1"/>
  <c r="I156" i="1"/>
  <c r="H156" i="1"/>
  <c r="F156" i="1"/>
  <c r="C156" i="1"/>
  <c r="G156" i="1"/>
  <c r="E156" i="1"/>
  <c r="D156" i="1"/>
  <c r="I68" i="1"/>
  <c r="H68" i="1"/>
  <c r="G68" i="1"/>
  <c r="F68" i="1"/>
  <c r="E68" i="1"/>
  <c r="D68" i="1"/>
  <c r="C68" i="1"/>
  <c r="H25" i="1"/>
  <c r="G25" i="1"/>
  <c r="F25" i="1"/>
  <c r="E25" i="1"/>
  <c r="C25" i="1"/>
  <c r="I185" i="1"/>
  <c r="H185" i="1"/>
  <c r="G185" i="1"/>
  <c r="F185" i="1"/>
  <c r="E185" i="1"/>
  <c r="D185" i="1"/>
  <c r="C185" i="1"/>
  <c r="H28" i="1"/>
  <c r="G28" i="1"/>
  <c r="F28" i="1"/>
  <c r="E28" i="1"/>
  <c r="C28" i="1"/>
  <c r="H27" i="1"/>
  <c r="G27" i="1"/>
  <c r="F27" i="1"/>
  <c r="E27" i="1"/>
  <c r="C27" i="1"/>
  <c r="H153" i="1"/>
  <c r="E153" i="1"/>
  <c r="C153" i="1"/>
  <c r="I153" i="1"/>
  <c r="G153" i="1"/>
  <c r="F153" i="1"/>
  <c r="D153" i="1"/>
  <c r="I221" i="1"/>
  <c r="G221" i="1"/>
  <c r="E221" i="1"/>
  <c r="D221" i="1"/>
  <c r="C221" i="1"/>
  <c r="H221" i="1"/>
  <c r="F221" i="1"/>
  <c r="I63" i="1"/>
  <c r="H63" i="1"/>
  <c r="G63" i="1"/>
  <c r="F63" i="1"/>
  <c r="E63" i="1"/>
  <c r="D63" i="1"/>
  <c r="C63" i="1"/>
  <c r="I238" i="1"/>
  <c r="G238" i="1"/>
  <c r="E238" i="1"/>
  <c r="C238" i="1"/>
  <c r="H238" i="1"/>
  <c r="F238" i="1"/>
  <c r="D238" i="1"/>
  <c r="D256" i="1"/>
  <c r="I256" i="1"/>
  <c r="G256" i="1"/>
  <c r="E256" i="1"/>
  <c r="C256" i="1"/>
  <c r="H256" i="1"/>
  <c r="F256" i="1"/>
  <c r="I91" i="1"/>
  <c r="H91" i="1"/>
  <c r="G91" i="1"/>
  <c r="F91" i="1"/>
  <c r="E91" i="1"/>
  <c r="D91" i="1"/>
  <c r="C91" i="1"/>
  <c r="I88" i="1"/>
  <c r="H88" i="1"/>
  <c r="G88" i="1"/>
  <c r="F88" i="1"/>
  <c r="E88" i="1"/>
  <c r="D88" i="1"/>
  <c r="C88" i="1"/>
  <c r="I87" i="1"/>
  <c r="H87" i="1"/>
  <c r="G87" i="1"/>
  <c r="F87" i="1"/>
  <c r="E87" i="1"/>
  <c r="D87" i="1"/>
  <c r="C87" i="1"/>
  <c r="I86" i="1"/>
  <c r="H86" i="1"/>
  <c r="G86" i="1"/>
  <c r="F86" i="1"/>
  <c r="E86" i="1"/>
  <c r="D86" i="1"/>
  <c r="C86" i="1"/>
  <c r="I85" i="1"/>
  <c r="H85" i="1"/>
  <c r="G85" i="1"/>
  <c r="F85" i="1"/>
  <c r="E85" i="1"/>
  <c r="D85" i="1"/>
  <c r="C85" i="1"/>
  <c r="I84" i="1"/>
  <c r="H84" i="1"/>
  <c r="G84" i="1"/>
  <c r="F84" i="1"/>
  <c r="E84" i="1"/>
  <c r="D84" i="1"/>
  <c r="C84" i="1"/>
  <c r="I83" i="1"/>
  <c r="H83" i="1"/>
  <c r="G83" i="1"/>
  <c r="F83" i="1"/>
  <c r="E83" i="1"/>
  <c r="D83" i="1"/>
  <c r="C83" i="1"/>
  <c r="I82" i="1"/>
  <c r="H82" i="1"/>
  <c r="G82" i="1"/>
  <c r="F82" i="1"/>
  <c r="E82" i="1"/>
  <c r="D82" i="1"/>
  <c r="C82" i="1"/>
  <c r="I90" i="1"/>
  <c r="H90" i="1"/>
  <c r="G90" i="1"/>
  <c r="F90" i="1"/>
  <c r="E90" i="1"/>
  <c r="D90" i="1"/>
  <c r="C90" i="1"/>
  <c r="H46" i="1"/>
  <c r="F46" i="1"/>
  <c r="E46" i="1"/>
  <c r="C46" i="1"/>
  <c r="I80" i="1"/>
  <c r="H80" i="1"/>
  <c r="G80" i="1"/>
  <c r="F80" i="1"/>
  <c r="E80" i="1"/>
  <c r="D80" i="1"/>
  <c r="C80" i="1"/>
  <c r="I71" i="1"/>
  <c r="H71" i="1"/>
  <c r="G71" i="1"/>
  <c r="F71" i="1"/>
  <c r="E71" i="1"/>
  <c r="D71" i="1"/>
  <c r="C71" i="1"/>
  <c r="H9" i="1"/>
  <c r="G9" i="1"/>
  <c r="F9" i="1"/>
  <c r="E9" i="1"/>
  <c r="C9" i="1"/>
  <c r="I224" i="1"/>
  <c r="G224" i="1"/>
  <c r="C224" i="1"/>
  <c r="H224" i="1"/>
  <c r="F224" i="1"/>
  <c r="E224" i="1"/>
  <c r="D224" i="1"/>
  <c r="I89" i="1"/>
  <c r="H89" i="1"/>
  <c r="G89" i="1"/>
  <c r="F89" i="1"/>
  <c r="E89" i="1"/>
  <c r="D89" i="1"/>
  <c r="C89" i="1"/>
  <c r="I225" i="1"/>
  <c r="D225" i="1"/>
  <c r="H225" i="1"/>
  <c r="G225" i="1"/>
  <c r="F225" i="1"/>
  <c r="E225" i="1"/>
  <c r="C225" i="1"/>
  <c r="I223" i="1"/>
  <c r="F223" i="1"/>
  <c r="D223" i="1"/>
  <c r="H223" i="1"/>
  <c r="G223" i="1"/>
  <c r="E223" i="1"/>
  <c r="C223" i="1"/>
  <c r="I53" i="1"/>
  <c r="H53" i="1"/>
  <c r="G53" i="1"/>
  <c r="F53" i="1"/>
  <c r="E53" i="1"/>
  <c r="D53" i="1"/>
  <c r="C53" i="1"/>
  <c r="G247" i="1"/>
  <c r="F247" i="1"/>
  <c r="D247" i="1"/>
  <c r="I247" i="1"/>
  <c r="H247" i="1"/>
  <c r="E247" i="1"/>
  <c r="C247" i="1"/>
  <c r="H175" i="1"/>
  <c r="F175" i="1"/>
  <c r="D175" i="1"/>
  <c r="I175" i="1"/>
  <c r="G175" i="1"/>
  <c r="E175" i="1"/>
  <c r="C175" i="1"/>
  <c r="H29" i="1"/>
  <c r="G29" i="1"/>
  <c r="F29" i="1"/>
  <c r="E29" i="1"/>
  <c r="C29" i="1"/>
  <c r="I70" i="1"/>
  <c r="H70" i="1"/>
  <c r="G70" i="1"/>
  <c r="F70" i="1"/>
  <c r="E70" i="1"/>
  <c r="D70" i="1"/>
  <c r="C70" i="1"/>
  <c r="C127" i="1"/>
  <c r="E127" i="1"/>
  <c r="F127" i="1"/>
  <c r="G127" i="1"/>
  <c r="I127" i="1"/>
  <c r="D127" i="1"/>
  <c r="H127" i="1"/>
  <c r="I62" i="1"/>
  <c r="H62" i="1"/>
  <c r="G62" i="1"/>
  <c r="F62" i="1"/>
  <c r="E62" i="1"/>
  <c r="D62" i="1"/>
  <c r="C62" i="1"/>
  <c r="H32" i="1"/>
  <c r="G32" i="1"/>
  <c r="F32" i="1"/>
  <c r="E32" i="1"/>
  <c r="C32" i="1"/>
  <c r="H240" i="1"/>
  <c r="G240" i="1"/>
  <c r="E240" i="1"/>
  <c r="C240" i="1"/>
  <c r="I240" i="1"/>
  <c r="F240" i="1"/>
  <c r="D240" i="1"/>
  <c r="H98" i="1"/>
  <c r="F98" i="1"/>
  <c r="D98" i="1"/>
  <c r="I98" i="1"/>
  <c r="G98" i="1"/>
  <c r="E98" i="1"/>
  <c r="C98" i="1"/>
  <c r="C209" i="1"/>
  <c r="D209" i="1"/>
  <c r="E209" i="1"/>
  <c r="F209" i="1"/>
  <c r="G209" i="1"/>
  <c r="H209" i="1"/>
  <c r="I209" i="1"/>
  <c r="H44" i="1"/>
  <c r="F44" i="1"/>
  <c r="E44" i="1"/>
  <c r="C44" i="1"/>
  <c r="C136" i="1"/>
  <c r="D136" i="1"/>
  <c r="E136" i="1"/>
  <c r="F136" i="1"/>
  <c r="G136" i="1"/>
  <c r="H136" i="1"/>
  <c r="I136" i="1"/>
  <c r="I78" i="1"/>
  <c r="H78" i="1"/>
  <c r="G78" i="1"/>
  <c r="F78" i="1"/>
  <c r="E78" i="1"/>
  <c r="D78" i="1"/>
  <c r="C78" i="1"/>
  <c r="H35" i="1"/>
  <c r="G35" i="1"/>
  <c r="F35" i="1"/>
  <c r="E35" i="1"/>
  <c r="C35" i="1"/>
  <c r="I81" i="1"/>
  <c r="H81" i="1"/>
  <c r="G81" i="1"/>
  <c r="F81" i="1"/>
  <c r="E81" i="1"/>
  <c r="D81" i="1"/>
  <c r="C81" i="1"/>
  <c r="I193" i="1"/>
  <c r="G193" i="1"/>
  <c r="D193" i="1"/>
  <c r="H193" i="1"/>
  <c r="F193" i="1"/>
  <c r="E193" i="1"/>
  <c r="C193" i="1"/>
  <c r="H22" i="1"/>
  <c r="G22" i="1"/>
  <c r="F22" i="1"/>
  <c r="E22" i="1"/>
  <c r="C22" i="1"/>
  <c r="I176" i="1"/>
  <c r="G176" i="1"/>
  <c r="E176" i="1"/>
  <c r="C176" i="1"/>
  <c r="H176" i="1"/>
  <c r="F176" i="1"/>
  <c r="D176" i="1"/>
  <c r="H51" i="1"/>
  <c r="F51" i="1"/>
  <c r="E51" i="1"/>
  <c r="C51" i="1"/>
  <c r="H26" i="1"/>
  <c r="G26" i="1"/>
  <c r="F26" i="1"/>
  <c r="E26" i="1"/>
  <c r="C26" i="1"/>
  <c r="H49" i="1"/>
  <c r="F49" i="1"/>
  <c r="E49" i="1"/>
  <c r="C49" i="1"/>
  <c r="I79" i="1"/>
  <c r="H79" i="1"/>
  <c r="G79" i="1"/>
  <c r="F79" i="1"/>
  <c r="E79" i="1"/>
  <c r="D79" i="1"/>
  <c r="C79" i="1"/>
  <c r="I65" i="1"/>
  <c r="H65" i="1"/>
  <c r="G65" i="1"/>
  <c r="F65" i="1"/>
  <c r="E65" i="1"/>
  <c r="D65" i="1"/>
  <c r="C65" i="1"/>
  <c r="H8" i="1"/>
  <c r="E8" i="1"/>
  <c r="G8" i="1"/>
  <c r="C8" i="1"/>
  <c r="F8" i="1"/>
  <c r="I226" i="1"/>
  <c r="G226" i="1"/>
  <c r="C226" i="1"/>
  <c r="H226" i="1"/>
  <c r="F226" i="1"/>
  <c r="E226" i="1"/>
  <c r="D226" i="1"/>
  <c r="I56" i="1"/>
  <c r="H56" i="1"/>
  <c r="G56" i="1"/>
  <c r="F56" i="1"/>
  <c r="E56" i="1"/>
  <c r="D56" i="1"/>
  <c r="C56" i="1"/>
  <c r="I191" i="1"/>
  <c r="H191" i="1"/>
  <c r="G191" i="1"/>
  <c r="F191" i="1"/>
  <c r="E191" i="1"/>
  <c r="D191" i="1"/>
  <c r="C191" i="1"/>
  <c r="I95" i="1"/>
  <c r="H95" i="1"/>
  <c r="G95" i="1"/>
  <c r="F95" i="1"/>
  <c r="E95" i="1"/>
  <c r="D95" i="1"/>
  <c r="C95" i="1"/>
  <c r="I178" i="1"/>
  <c r="H178" i="1"/>
  <c r="G178" i="1"/>
  <c r="F178" i="1"/>
  <c r="E178" i="1"/>
  <c r="D178" i="1"/>
  <c r="C178" i="1"/>
  <c r="I73" i="1"/>
  <c r="H73" i="1"/>
  <c r="G73" i="1"/>
  <c r="F73" i="1"/>
  <c r="E73" i="1"/>
  <c r="D73" i="1"/>
  <c r="C73" i="1"/>
  <c r="C133" i="1"/>
  <c r="D133" i="1"/>
  <c r="E133" i="1"/>
  <c r="F133" i="1"/>
  <c r="G133" i="1"/>
  <c r="H133" i="1"/>
  <c r="I133" i="1"/>
  <c r="E159" i="1"/>
  <c r="C159" i="1"/>
  <c r="I159" i="1"/>
  <c r="H159" i="1"/>
  <c r="G159" i="1"/>
  <c r="F159" i="1"/>
  <c r="D159" i="1"/>
  <c r="H36" i="1"/>
  <c r="F36" i="1"/>
  <c r="E36" i="1"/>
  <c r="C36" i="1"/>
  <c r="H45" i="1"/>
  <c r="F45" i="1"/>
  <c r="E45" i="1"/>
  <c r="C45" i="1"/>
  <c r="G254" i="1"/>
  <c r="D254" i="1"/>
  <c r="H254" i="1"/>
  <c r="F254" i="1"/>
  <c r="C254" i="1"/>
  <c r="I254" i="1"/>
  <c r="E254" i="1"/>
  <c r="I250" i="1"/>
  <c r="H250" i="1"/>
  <c r="F250" i="1"/>
  <c r="D250" i="1"/>
  <c r="C250" i="1"/>
  <c r="G250" i="1"/>
  <c r="E250" i="1"/>
  <c r="H249" i="1"/>
  <c r="E249" i="1"/>
  <c r="D249" i="1"/>
  <c r="I249" i="1"/>
  <c r="G249" i="1"/>
  <c r="F249" i="1"/>
  <c r="C249" i="1"/>
  <c r="H37" i="1"/>
  <c r="F37" i="1"/>
  <c r="E37" i="1"/>
  <c r="C37" i="1"/>
  <c r="I72" i="1"/>
  <c r="H72" i="1"/>
  <c r="G72" i="1"/>
  <c r="F72" i="1"/>
  <c r="E72" i="1"/>
  <c r="D72" i="1"/>
  <c r="C72" i="1"/>
  <c r="I54" i="1"/>
  <c r="H54" i="1"/>
  <c r="G54" i="1"/>
  <c r="F54" i="1"/>
  <c r="E54" i="1"/>
  <c r="D54" i="1"/>
  <c r="C54" i="1"/>
  <c r="H42" i="1"/>
  <c r="F42" i="1"/>
  <c r="E42" i="1"/>
  <c r="C42" i="1"/>
  <c r="I243" i="1"/>
  <c r="G243" i="1"/>
  <c r="E243" i="1"/>
  <c r="C243" i="1"/>
  <c r="H243" i="1"/>
  <c r="F243" i="1"/>
  <c r="D243" i="1"/>
  <c r="G173" i="1"/>
  <c r="F173" i="1"/>
  <c r="D173" i="1"/>
  <c r="I173" i="1"/>
  <c r="H173" i="1"/>
  <c r="E173" i="1"/>
  <c r="C173" i="1"/>
  <c r="E253" i="1"/>
  <c r="C253" i="1"/>
  <c r="H253" i="1"/>
  <c r="F253" i="1"/>
  <c r="I253" i="1"/>
  <c r="G253" i="1"/>
  <c r="D253" i="1"/>
  <c r="I251" i="1"/>
  <c r="H251" i="1"/>
  <c r="G251" i="1"/>
  <c r="F251" i="1"/>
  <c r="E251" i="1"/>
  <c r="D251" i="1"/>
  <c r="C251" i="1"/>
  <c r="I105" i="1"/>
  <c r="H105" i="1"/>
  <c r="G105" i="1"/>
  <c r="F105" i="1"/>
  <c r="E105" i="1"/>
  <c r="D105" i="1"/>
  <c r="C105" i="1"/>
  <c r="I64" i="1"/>
  <c r="H64" i="1"/>
  <c r="G64" i="1"/>
  <c r="F64" i="1"/>
  <c r="E64" i="1"/>
  <c r="D64" i="1"/>
  <c r="C64" i="1"/>
  <c r="H48" i="1"/>
  <c r="F48" i="1"/>
  <c r="E48" i="1"/>
  <c r="C48" i="1"/>
  <c r="H141" i="1"/>
  <c r="F141" i="1"/>
  <c r="E141" i="1"/>
  <c r="C141" i="1"/>
  <c r="I141" i="1"/>
  <c r="G141" i="1"/>
  <c r="D141" i="1"/>
  <c r="H34" i="1"/>
  <c r="G34" i="1"/>
  <c r="F34" i="1"/>
  <c r="E34" i="1"/>
  <c r="C34" i="1"/>
  <c r="I92" i="1"/>
  <c r="H92" i="1"/>
  <c r="G92" i="1"/>
  <c r="F92" i="1"/>
  <c r="E92" i="1"/>
  <c r="D92" i="1"/>
  <c r="C92" i="1"/>
  <c r="I252" i="1"/>
  <c r="H252" i="1"/>
  <c r="G252" i="1"/>
  <c r="F252" i="1"/>
  <c r="E252" i="1"/>
  <c r="D252" i="1"/>
  <c r="C252" i="1"/>
  <c r="F24" i="1"/>
  <c r="E24" i="1"/>
  <c r="C24" i="1"/>
  <c r="H24" i="1"/>
  <c r="G24" i="1"/>
  <c r="I94" i="1"/>
  <c r="H94" i="1"/>
  <c r="G94" i="1"/>
  <c r="F94" i="1"/>
  <c r="E94" i="1"/>
  <c r="D94" i="1"/>
  <c r="C94" i="1"/>
  <c r="G34" i="4"/>
  <c r="D35" i="4"/>
  <c r="E34" i="4"/>
  <c r="F34" i="4"/>
  <c r="O48" i="1" l="1"/>
  <c r="F35" i="4"/>
  <c r="G35" i="4"/>
  <c r="E35" i="4"/>
  <c r="D36" i="4"/>
  <c r="G37" i="1" l="1"/>
  <c r="O49" i="1"/>
  <c r="E36" i="4"/>
  <c r="F36" i="4"/>
  <c r="G36" i="4"/>
  <c r="D37" i="4"/>
  <c r="O50" i="1" l="1"/>
  <c r="E37" i="4"/>
  <c r="F37" i="4"/>
  <c r="G37" i="4"/>
  <c r="D38" i="4"/>
  <c r="G38" i="1" l="1"/>
  <c r="O51" i="1"/>
  <c r="E38" i="4"/>
  <c r="F38" i="4"/>
  <c r="G38" i="4"/>
  <c r="D39" i="4"/>
  <c r="O52" i="1" l="1"/>
  <c r="G39" i="1"/>
  <c r="E39" i="4"/>
  <c r="F39" i="4"/>
  <c r="G39" i="4"/>
  <c r="D40" i="4"/>
  <c r="G40" i="1" l="1"/>
  <c r="O53" i="1"/>
  <c r="G41" i="1"/>
  <c r="O54" i="1"/>
  <c r="E40" i="4"/>
  <c r="F40" i="4"/>
  <c r="G40" i="4"/>
  <c r="D41" i="4"/>
  <c r="O55" i="1" l="1"/>
  <c r="E41" i="4"/>
  <c r="F41" i="4"/>
  <c r="G41" i="4"/>
  <c r="D42" i="4"/>
  <c r="G42" i="1" l="1"/>
  <c r="O56" i="1"/>
  <c r="E42" i="4"/>
  <c r="F42" i="4"/>
  <c r="G42" i="4"/>
  <c r="D43" i="4"/>
  <c r="G43" i="1" l="1"/>
  <c r="O57" i="1"/>
  <c r="O58" i="1" s="1"/>
  <c r="G44" i="1"/>
  <c r="E43" i="4"/>
  <c r="F43" i="4"/>
  <c r="G43" i="4"/>
  <c r="D44" i="4"/>
  <c r="G45" i="1" l="1"/>
  <c r="O59" i="1"/>
  <c r="E44" i="4"/>
  <c r="F44" i="4"/>
  <c r="G44" i="4"/>
  <c r="D45" i="4"/>
  <c r="O60" i="1" l="1"/>
  <c r="E45" i="4"/>
  <c r="F45" i="4"/>
  <c r="G45" i="4"/>
  <c r="D46" i="4"/>
  <c r="G46" i="1" l="1"/>
  <c r="O61" i="1"/>
  <c r="E46" i="4"/>
  <c r="F46" i="4"/>
  <c r="G46" i="4"/>
  <c r="D47" i="4"/>
  <c r="O62" i="1" l="1"/>
  <c r="O63" i="1" s="1"/>
  <c r="G47" i="1"/>
  <c r="G48" i="1"/>
  <c r="E47" i="4"/>
  <c r="F47" i="4"/>
  <c r="G47" i="4"/>
  <c r="D48" i="4"/>
  <c r="O64" i="1" l="1"/>
  <c r="E48" i="4"/>
  <c r="F48" i="4"/>
  <c r="G48" i="4"/>
  <c r="D49" i="4"/>
  <c r="G49" i="1" l="1"/>
  <c r="O65" i="1"/>
  <c r="O66" i="1" s="1"/>
  <c r="G50" i="1"/>
  <c r="E49" i="4"/>
  <c r="F49" i="4"/>
  <c r="G49" i="4"/>
  <c r="D50" i="4"/>
  <c r="G51" i="1" l="1"/>
  <c r="O67" i="1"/>
  <c r="E50" i="4"/>
  <c r="F50" i="4"/>
  <c r="G50" i="4"/>
  <c r="D51" i="4"/>
  <c r="O68" i="1" l="1"/>
  <c r="O69" i="1" s="1"/>
  <c r="E51" i="4"/>
  <c r="F51" i="4"/>
  <c r="G51" i="4"/>
  <c r="D52" i="4"/>
  <c r="O70" i="1" l="1"/>
  <c r="E52" i="4"/>
  <c r="F52" i="4"/>
  <c r="G52" i="4"/>
  <c r="D53" i="4"/>
  <c r="O71" i="1" l="1"/>
  <c r="O72" i="1" s="1"/>
  <c r="O73" i="1" s="1"/>
  <c r="E53" i="4"/>
  <c r="F53" i="4"/>
  <c r="G53" i="4"/>
  <c r="D54" i="4"/>
  <c r="O74" i="1" l="1"/>
  <c r="O75" i="1" s="1"/>
  <c r="E54" i="4"/>
  <c r="F54" i="4"/>
  <c r="G54" i="4"/>
  <c r="D55" i="4"/>
  <c r="O76" i="1" l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E55" i="4"/>
  <c r="F55" i="4"/>
  <c r="G55" i="4"/>
  <c r="D56" i="4"/>
  <c r="O97" i="1" l="1"/>
  <c r="E56" i="4"/>
  <c r="F56" i="4"/>
  <c r="G56" i="4"/>
  <c r="D57" i="4"/>
  <c r="O98" i="1" l="1"/>
  <c r="O99" i="1" s="1"/>
  <c r="O100" i="1" s="1"/>
  <c r="O101" i="1" s="1"/>
  <c r="O102" i="1" s="1"/>
  <c r="E57" i="4"/>
  <c r="F57" i="4"/>
  <c r="G57" i="4"/>
  <c r="D58" i="4"/>
  <c r="O103" i="1" l="1"/>
  <c r="E58" i="4"/>
  <c r="F58" i="4"/>
  <c r="G58" i="4"/>
  <c r="D59" i="4"/>
  <c r="O104" i="1" l="1"/>
  <c r="O105" i="1" s="1"/>
  <c r="O106" i="1" s="1"/>
  <c r="O107" i="1" s="1"/>
  <c r="O108" i="1" s="1"/>
  <c r="O109" i="1" s="1"/>
  <c r="O110" i="1" s="1"/>
  <c r="O111" i="1" s="1"/>
  <c r="O112" i="1" s="1"/>
  <c r="E59" i="4"/>
  <c r="F59" i="4"/>
  <c r="G59" i="4"/>
  <c r="D60" i="4"/>
  <c r="O113" i="1" l="1"/>
  <c r="E60" i="4"/>
  <c r="F60" i="4"/>
  <c r="G60" i="4"/>
  <c r="D61" i="4"/>
  <c r="O114" i="1" l="1"/>
  <c r="O115" i="1" s="1"/>
  <c r="O116" i="1" s="1"/>
  <c r="O117" i="1" s="1"/>
  <c r="E61" i="4"/>
  <c r="F61" i="4"/>
  <c r="G61" i="4"/>
  <c r="D62" i="4"/>
  <c r="O118" i="1" l="1"/>
  <c r="O119" i="1" s="1"/>
  <c r="O120" i="1" s="1"/>
  <c r="O121" i="1" s="1"/>
  <c r="E62" i="4"/>
  <c r="F62" i="4"/>
  <c r="G62" i="4"/>
  <c r="D63" i="4"/>
  <c r="O122" i="1" l="1"/>
  <c r="O123" i="1" s="1"/>
  <c r="E63" i="4"/>
  <c r="F63" i="4"/>
  <c r="G63" i="4"/>
  <c r="D64" i="4"/>
  <c r="O124" i="1" l="1"/>
  <c r="E64" i="4"/>
  <c r="F64" i="4"/>
  <c r="G64" i="4"/>
  <c r="D65" i="4"/>
  <c r="O125" i="1" l="1"/>
  <c r="E65" i="4"/>
  <c r="F65" i="4"/>
  <c r="G65" i="4"/>
  <c r="D66" i="4"/>
  <c r="O126" i="1" l="1"/>
  <c r="O127" i="1" s="1"/>
  <c r="O128" i="1" s="1"/>
  <c r="E66" i="4"/>
  <c r="F66" i="4"/>
  <c r="G66" i="4"/>
  <c r="D67" i="4"/>
  <c r="O129" i="1" l="1"/>
  <c r="E67" i="4"/>
  <c r="F67" i="4"/>
  <c r="G67" i="4"/>
  <c r="D68" i="4"/>
  <c r="O130" i="1" l="1"/>
  <c r="E68" i="4"/>
  <c r="F68" i="4"/>
  <c r="G68" i="4"/>
  <c r="D69" i="4"/>
  <c r="O131" i="1" l="1"/>
  <c r="E69" i="4"/>
  <c r="F69" i="4"/>
  <c r="G69" i="4"/>
  <c r="D70" i="4"/>
  <c r="O132" i="1" l="1"/>
  <c r="O133" i="1" s="1"/>
  <c r="O134" i="1" s="1"/>
  <c r="O135" i="1" s="1"/>
  <c r="O136" i="1" s="1"/>
  <c r="E70" i="4"/>
  <c r="F70" i="4"/>
  <c r="G70" i="4"/>
  <c r="D71" i="4"/>
  <c r="O137" i="1" l="1"/>
  <c r="E71" i="4"/>
  <c r="F71" i="4"/>
  <c r="G71" i="4"/>
  <c r="D72" i="4"/>
  <c r="O138" i="1" l="1"/>
  <c r="E72" i="4"/>
  <c r="F72" i="4"/>
  <c r="G72" i="4"/>
  <c r="D73" i="4"/>
  <c r="O139" i="1" l="1"/>
  <c r="O140" i="1" s="1"/>
  <c r="E73" i="4"/>
  <c r="F73" i="4"/>
  <c r="G73" i="4"/>
  <c r="D74" i="4"/>
  <c r="O141" i="1" l="1"/>
  <c r="E74" i="4"/>
  <c r="F74" i="4"/>
  <c r="G74" i="4"/>
  <c r="D75" i="4"/>
  <c r="O142" i="1" l="1"/>
  <c r="E75" i="4"/>
  <c r="F75" i="4"/>
  <c r="G75" i="4"/>
  <c r="D76" i="4"/>
  <c r="O143" i="1" l="1"/>
  <c r="O144" i="1" s="1"/>
  <c r="O145" i="1" s="1"/>
  <c r="O146" i="1" s="1"/>
  <c r="E76" i="4"/>
  <c r="F76" i="4"/>
  <c r="G76" i="4"/>
  <c r="D77" i="4"/>
  <c r="O147" i="1" l="1"/>
  <c r="E77" i="4"/>
  <c r="F77" i="4"/>
  <c r="G77" i="4"/>
  <c r="D78" i="4"/>
  <c r="O148" i="1" l="1"/>
  <c r="E78" i="4"/>
  <c r="F78" i="4"/>
  <c r="G78" i="4"/>
  <c r="D79" i="4"/>
  <c r="O149" i="1" l="1"/>
  <c r="O150" i="1" s="1"/>
  <c r="O151" i="1" s="1"/>
  <c r="O152" i="1" s="1"/>
  <c r="E79" i="4"/>
  <c r="F79" i="4"/>
  <c r="G79" i="4"/>
  <c r="D80" i="4"/>
  <c r="O153" i="1" l="1"/>
  <c r="O154" i="1" s="1"/>
  <c r="O155" i="1" s="1"/>
  <c r="O156" i="1" s="1"/>
  <c r="O157" i="1" s="1"/>
  <c r="E80" i="4"/>
  <c r="F80" i="4"/>
  <c r="G80" i="4"/>
  <c r="D81" i="4"/>
  <c r="O158" i="1" l="1"/>
  <c r="E81" i="4"/>
  <c r="F81" i="4"/>
  <c r="G81" i="4"/>
  <c r="D82" i="4"/>
  <c r="O159" i="1" l="1"/>
  <c r="E82" i="4"/>
  <c r="F82" i="4"/>
  <c r="G82" i="4"/>
  <c r="D83" i="4"/>
  <c r="O160" i="1" l="1"/>
  <c r="O161" i="1"/>
  <c r="E83" i="4"/>
  <c r="F83" i="4"/>
  <c r="G83" i="4"/>
  <c r="D84" i="4"/>
  <c r="O162" i="1" l="1"/>
  <c r="O163" i="1"/>
  <c r="E84" i="4"/>
  <c r="F84" i="4"/>
  <c r="G84" i="4"/>
  <c r="D85" i="4"/>
  <c r="O164" i="1" l="1"/>
  <c r="E85" i="4"/>
  <c r="F85" i="4"/>
  <c r="G85" i="4"/>
  <c r="D86" i="4"/>
  <c r="O165" i="1" l="1"/>
  <c r="E86" i="4"/>
  <c r="F86" i="4"/>
  <c r="G86" i="4"/>
  <c r="D87" i="4"/>
  <c r="O166" i="1" l="1"/>
  <c r="O167" i="1" s="1"/>
  <c r="E87" i="4"/>
  <c r="F87" i="4"/>
  <c r="G87" i="4"/>
  <c r="D88" i="4"/>
  <c r="O168" i="1" l="1"/>
  <c r="O169" i="1" s="1"/>
  <c r="O170" i="1" s="1"/>
  <c r="E88" i="4"/>
  <c r="F88" i="4"/>
  <c r="G88" i="4"/>
  <c r="D89" i="4"/>
  <c r="O171" i="1" l="1"/>
  <c r="O172" i="1"/>
  <c r="E89" i="4"/>
  <c r="F89" i="4"/>
  <c r="G89" i="4"/>
  <c r="D90" i="4"/>
  <c r="O173" i="1" l="1"/>
  <c r="E90" i="4"/>
  <c r="F90" i="4"/>
  <c r="G90" i="4"/>
  <c r="D91" i="4"/>
  <c r="O174" i="1" l="1"/>
  <c r="E91" i="4"/>
  <c r="F91" i="4"/>
  <c r="G91" i="4"/>
  <c r="D92" i="4"/>
  <c r="O175" i="1" l="1"/>
  <c r="O176" i="1" s="1"/>
  <c r="O177" i="1" s="1"/>
  <c r="E92" i="4"/>
  <c r="F92" i="4"/>
  <c r="G92" i="4"/>
  <c r="D93" i="4"/>
  <c r="O178" i="1" l="1"/>
  <c r="O179" i="1" s="1"/>
  <c r="O180" i="1" s="1"/>
  <c r="E93" i="4"/>
  <c r="F93" i="4"/>
  <c r="G93" i="4"/>
  <c r="D94" i="4"/>
  <c r="O181" i="1" l="1"/>
  <c r="E94" i="4"/>
  <c r="F94" i="4"/>
  <c r="G94" i="4"/>
  <c r="D95" i="4"/>
  <c r="O182" i="1" l="1"/>
  <c r="E95" i="4"/>
  <c r="F95" i="4"/>
  <c r="G95" i="4"/>
  <c r="D96" i="4"/>
  <c r="O183" i="1" l="1"/>
  <c r="O184" i="1" s="1"/>
  <c r="E96" i="4"/>
  <c r="F96" i="4"/>
  <c r="G96" i="4"/>
  <c r="D97" i="4"/>
  <c r="O185" i="1" l="1"/>
  <c r="O186" i="1" s="1"/>
  <c r="E97" i="4"/>
  <c r="F97" i="4"/>
  <c r="G97" i="4"/>
  <c r="D98" i="4"/>
  <c r="O187" i="1" l="1"/>
  <c r="E98" i="4"/>
  <c r="F98" i="4"/>
  <c r="G98" i="4"/>
  <c r="D99" i="4"/>
  <c r="O188" i="1" l="1"/>
  <c r="E99" i="4"/>
  <c r="F99" i="4"/>
  <c r="G99" i="4"/>
  <c r="D100" i="4"/>
  <c r="O189" i="1" l="1"/>
  <c r="E100" i="4"/>
  <c r="F100" i="4"/>
  <c r="G100" i="4"/>
  <c r="D101" i="4"/>
  <c r="O190" i="1" l="1"/>
  <c r="E101" i="4"/>
  <c r="F101" i="4"/>
  <c r="G101" i="4"/>
  <c r="D102" i="4"/>
  <c r="O191" i="1" l="1"/>
  <c r="E102" i="4"/>
  <c r="F102" i="4"/>
  <c r="G102" i="4"/>
  <c r="D103" i="4"/>
  <c r="O192" i="1" l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E103" i="4"/>
  <c r="F103" i="4"/>
  <c r="G103" i="4"/>
  <c r="D104" i="4"/>
  <c r="T21" i="1" l="1"/>
  <c r="T48" i="1"/>
  <c r="V40" i="1"/>
  <c r="T27" i="1"/>
  <c r="U51" i="1"/>
  <c r="T32" i="1"/>
  <c r="V41" i="1"/>
  <c r="U56" i="1"/>
  <c r="T52" i="1"/>
  <c r="V18" i="1"/>
  <c r="Z18" i="1" s="1"/>
  <c r="U20" i="1"/>
  <c r="W20" i="1" s="1"/>
  <c r="D16" i="1" s="1"/>
  <c r="T18" i="1"/>
  <c r="V61" i="1"/>
  <c r="T36" i="1"/>
  <c r="V60" i="1"/>
  <c r="V21" i="1"/>
  <c r="U17" i="1"/>
  <c r="V17" i="1"/>
  <c r="U18" i="1"/>
  <c r="U16" i="1"/>
  <c r="U41" i="1"/>
  <c r="V15" i="1"/>
  <c r="T43" i="1"/>
  <c r="V16" i="1"/>
  <c r="T26" i="1"/>
  <c r="T50" i="1"/>
  <c r="T47" i="1"/>
  <c r="V13" i="1"/>
  <c r="U10" i="1"/>
  <c r="U32" i="1"/>
  <c r="U42" i="1"/>
  <c r="U26" i="1"/>
  <c r="T10" i="1"/>
  <c r="V66" i="1"/>
  <c r="V55" i="1"/>
  <c r="U52" i="1"/>
  <c r="U40" i="1"/>
  <c r="V43" i="1"/>
  <c r="U28" i="1"/>
  <c r="T12" i="1"/>
  <c r="V11" i="1"/>
  <c r="V36" i="1"/>
  <c r="U35" i="1"/>
  <c r="V10" i="1"/>
  <c r="V31" i="1"/>
  <c r="V51" i="1"/>
  <c r="U62" i="1"/>
  <c r="T57" i="1"/>
  <c r="T53" i="1"/>
  <c r="T40" i="1"/>
  <c r="V32" i="1"/>
  <c r="T45" i="1"/>
  <c r="U30" i="1"/>
  <c r="U27" i="1"/>
  <c r="V25" i="1"/>
  <c r="V42" i="1"/>
  <c r="T30" i="1"/>
  <c r="T13" i="1"/>
  <c r="T64" i="1"/>
  <c r="V64" i="1"/>
  <c r="U43" i="1"/>
  <c r="W43" i="1" s="1"/>
  <c r="D33" i="1" s="1"/>
  <c r="U66" i="1"/>
  <c r="T41" i="1"/>
  <c r="U13" i="1"/>
  <c r="V65" i="1"/>
  <c r="V57" i="1"/>
  <c r="U15" i="1"/>
  <c r="T17" i="1"/>
  <c r="V58" i="1"/>
  <c r="V23" i="1"/>
  <c r="U47" i="1"/>
  <c r="T22" i="1"/>
  <c r="T15" i="1"/>
  <c r="U65" i="1"/>
  <c r="V45" i="1"/>
  <c r="U34" i="1"/>
  <c r="U31" i="1"/>
  <c r="T58" i="1"/>
  <c r="V46" i="1"/>
  <c r="U53" i="1"/>
  <c r="V56" i="1"/>
  <c r="T35" i="1"/>
  <c r="T11" i="1"/>
  <c r="V28" i="1"/>
  <c r="V12" i="1"/>
  <c r="U50" i="1"/>
  <c r="T34" i="1"/>
  <c r="V52" i="1"/>
  <c r="T16" i="1"/>
  <c r="U64" i="1"/>
  <c r="T65" i="1"/>
  <c r="U22" i="1"/>
  <c r="U12" i="1"/>
  <c r="V22" i="1"/>
  <c r="V50" i="1"/>
  <c r="T61" i="1"/>
  <c r="V48" i="1"/>
  <c r="V27" i="1"/>
  <c r="U25" i="1"/>
  <c r="U61" i="1"/>
  <c r="U36" i="1"/>
  <c r="V26" i="1"/>
  <c r="U60" i="1"/>
  <c r="U45" i="1"/>
  <c r="T55" i="1"/>
  <c r="V53" i="1"/>
  <c r="U55" i="1"/>
  <c r="T42" i="1"/>
  <c r="U58" i="1"/>
  <c r="T46" i="1"/>
  <c r="V30" i="1"/>
  <c r="T31" i="1"/>
  <c r="U11" i="1"/>
  <c r="T62" i="1"/>
  <c r="V62" i="1"/>
  <c r="U46" i="1"/>
  <c r="U57" i="1"/>
  <c r="T25" i="1"/>
  <c r="T51" i="1"/>
  <c r="V35" i="1"/>
  <c r="U23" i="1"/>
  <c r="U21" i="1"/>
  <c r="T60" i="1"/>
  <c r="T28" i="1"/>
  <c r="T23" i="1"/>
  <c r="V47" i="1"/>
  <c r="T66" i="1"/>
  <c r="U48" i="1"/>
  <c r="V34" i="1"/>
  <c r="T56" i="1"/>
  <c r="V20" i="1"/>
  <c r="T20" i="1"/>
  <c r="E104" i="4"/>
  <c r="F104" i="4"/>
  <c r="G104" i="4"/>
  <c r="D105" i="4"/>
  <c r="W17" i="1" l="1"/>
  <c r="D14" i="1" s="1"/>
  <c r="W52" i="1"/>
  <c r="D40" i="1" s="1"/>
  <c r="W15" i="1"/>
  <c r="D12" i="1" s="1"/>
  <c r="W25" i="1"/>
  <c r="D20" i="1" s="1"/>
  <c r="W10" i="1"/>
  <c r="D8" i="1" s="1"/>
  <c r="Z55" i="1"/>
  <c r="I42" i="1" s="1"/>
  <c r="Z45" i="1"/>
  <c r="I34" i="1" s="1"/>
  <c r="W47" i="1"/>
  <c r="D36" i="1" s="1"/>
  <c r="W34" i="1"/>
  <c r="D27" i="1" s="1"/>
  <c r="Z28" i="1"/>
  <c r="I23" i="1" s="1"/>
  <c r="W36" i="1"/>
  <c r="D29" i="1" s="1"/>
  <c r="W16" i="1"/>
  <c r="D13" i="1" s="1"/>
  <c r="W41" i="1"/>
  <c r="D31" i="1" s="1"/>
  <c r="Z13" i="1"/>
  <c r="I11" i="1" s="1"/>
  <c r="W66" i="1"/>
  <c r="D51" i="1" s="1"/>
  <c r="W48" i="1"/>
  <c r="D37" i="1" s="1"/>
  <c r="Z61" i="1"/>
  <c r="I47" i="1" s="1"/>
  <c r="W42" i="1"/>
  <c r="D32" i="1" s="1"/>
  <c r="Z53" i="1"/>
  <c r="W65" i="1"/>
  <c r="D50" i="1" s="1"/>
  <c r="W31" i="1"/>
  <c r="D25" i="1" s="1"/>
  <c r="Z46" i="1"/>
  <c r="I35" i="1" s="1"/>
  <c r="W53" i="1"/>
  <c r="D41" i="1" s="1"/>
  <c r="Z56" i="1"/>
  <c r="I43" i="1" s="1"/>
  <c r="W50" i="1"/>
  <c r="D38" i="1" s="1"/>
  <c r="W64" i="1"/>
  <c r="D49" i="1" s="1"/>
  <c r="W22" i="1"/>
  <c r="D18" i="1" s="1"/>
  <c r="W60" i="1"/>
  <c r="D46" i="1" s="1"/>
  <c r="W51" i="1"/>
  <c r="D39" i="1" s="1"/>
  <c r="W58" i="1"/>
  <c r="D45" i="1" s="1"/>
  <c r="Z30" i="1"/>
  <c r="I24" i="1" s="1"/>
  <c r="W57" i="1"/>
  <c r="D44" i="1" s="1"/>
  <c r="W11" i="1"/>
  <c r="D9" i="1" s="1"/>
  <c r="Z62" i="1"/>
  <c r="I48" i="1" s="1"/>
  <c r="Z35" i="1"/>
  <c r="I28" i="1" s="1"/>
  <c r="W23" i="1"/>
  <c r="D19" i="1" s="1"/>
  <c r="I15" i="1"/>
  <c r="Z48" i="1"/>
  <c r="Z27" i="1"/>
  <c r="Z32" i="1"/>
  <c r="Z41" i="1"/>
  <c r="W56" i="1"/>
  <c r="Z52" i="1"/>
  <c r="Z17" i="1"/>
  <c r="W18" i="1"/>
  <c r="Z15" i="1"/>
  <c r="Z43" i="1"/>
  <c r="Z16" i="1"/>
  <c r="Z26" i="1"/>
  <c r="Z50" i="1"/>
  <c r="Z47" i="1"/>
  <c r="W32" i="1"/>
  <c r="D26" i="1" s="1"/>
  <c r="W26" i="1"/>
  <c r="D21" i="1" s="1"/>
  <c r="Z66" i="1"/>
  <c r="W40" i="1"/>
  <c r="D30" i="1" s="1"/>
  <c r="W28" i="1"/>
  <c r="Z12" i="1"/>
  <c r="Z11" i="1"/>
  <c r="Z36" i="1"/>
  <c r="W35" i="1"/>
  <c r="Z10" i="1"/>
  <c r="Z31" i="1"/>
  <c r="Z51" i="1"/>
  <c r="W62" i="1"/>
  <c r="W30" i="1"/>
  <c r="W27" i="1"/>
  <c r="D22" i="1" s="1"/>
  <c r="Z25" i="1"/>
  <c r="Z42" i="1"/>
  <c r="Z64" i="1"/>
  <c r="W13" i="1"/>
  <c r="Z65" i="1"/>
  <c r="Z57" i="1"/>
  <c r="Z58" i="1"/>
  <c r="Z23" i="1"/>
  <c r="W12" i="1"/>
  <c r="D10" i="1" s="1"/>
  <c r="Z22" i="1"/>
  <c r="W61" i="1"/>
  <c r="W45" i="1"/>
  <c r="W55" i="1"/>
  <c r="W46" i="1"/>
  <c r="W21" i="1"/>
  <c r="D17" i="1" s="1"/>
  <c r="Z34" i="1"/>
  <c r="Z20" i="1"/>
  <c r="Z21" i="1"/>
  <c r="Z40" i="1"/>
  <c r="Z60" i="1"/>
  <c r="E105" i="4"/>
  <c r="F105" i="4"/>
  <c r="G105" i="4"/>
  <c r="D106" i="4"/>
  <c r="I41" i="1" l="1"/>
  <c r="B53" i="1"/>
  <c r="D15" i="1"/>
  <c r="B18" i="1"/>
  <c r="D42" i="1"/>
  <c r="B55" i="1"/>
  <c r="I37" i="1"/>
  <c r="B48" i="1"/>
  <c r="I22" i="1"/>
  <c r="B27" i="1"/>
  <c r="I26" i="1"/>
  <c r="B32" i="1"/>
  <c r="B41" i="1"/>
  <c r="I31" i="1"/>
  <c r="B52" i="1"/>
  <c r="I40" i="1"/>
  <c r="I14" i="1"/>
  <c r="B17" i="1"/>
  <c r="B15" i="1"/>
  <c r="I12" i="1"/>
  <c r="I33" i="1"/>
  <c r="B43" i="1"/>
  <c r="B16" i="1"/>
  <c r="I13" i="1"/>
  <c r="I21" i="1"/>
  <c r="B26" i="1"/>
  <c r="I38" i="1"/>
  <c r="B50" i="1"/>
  <c r="B47" i="1"/>
  <c r="I36" i="1"/>
  <c r="I51" i="1"/>
  <c r="B66" i="1"/>
  <c r="I10" i="1"/>
  <c r="B12" i="1"/>
  <c r="B11" i="1"/>
  <c r="I9" i="1"/>
  <c r="I29" i="1"/>
  <c r="B36" i="1"/>
  <c r="I8" i="1"/>
  <c r="B10" i="1"/>
  <c r="B31" i="1"/>
  <c r="I25" i="1"/>
  <c r="B51" i="1"/>
  <c r="I39" i="1"/>
  <c r="B25" i="1"/>
  <c r="I20" i="1"/>
  <c r="B42" i="1"/>
  <c r="I32" i="1"/>
  <c r="I49" i="1"/>
  <c r="B64" i="1"/>
  <c r="B65" i="1"/>
  <c r="I50" i="1"/>
  <c r="B57" i="1"/>
  <c r="I44" i="1"/>
  <c r="I45" i="1"/>
  <c r="B58" i="1"/>
  <c r="B23" i="1"/>
  <c r="I19" i="1"/>
  <c r="B22" i="1"/>
  <c r="I18" i="1"/>
  <c r="I27" i="1"/>
  <c r="B34" i="1"/>
  <c r="I16" i="1"/>
  <c r="B20" i="1"/>
  <c r="I17" i="1"/>
  <c r="B21" i="1"/>
  <c r="I30" i="1"/>
  <c r="B40" i="1"/>
  <c r="I46" i="1"/>
  <c r="B60" i="1"/>
  <c r="D43" i="1"/>
  <c r="B56" i="1"/>
  <c r="D23" i="1"/>
  <c r="B28" i="1"/>
  <c r="D28" i="1"/>
  <c r="B35" i="1"/>
  <c r="D48" i="1"/>
  <c r="B62" i="1"/>
  <c r="D24" i="1"/>
  <c r="B30" i="1"/>
  <c r="D11" i="1"/>
  <c r="B13" i="1"/>
  <c r="D47" i="1"/>
  <c r="B61" i="1"/>
  <c r="D34" i="1"/>
  <c r="B45" i="1"/>
  <c r="D35" i="1"/>
  <c r="B46" i="1"/>
  <c r="E106" i="4"/>
  <c r="F106" i="4"/>
  <c r="G106" i="4"/>
  <c r="D107" i="4"/>
  <c r="C6" i="1" l="1"/>
  <c r="E107" i="4"/>
  <c r="F107" i="4"/>
  <c r="G107" i="4"/>
  <c r="D108" i="4"/>
  <c r="E108" i="4" l="1"/>
  <c r="F108" i="4"/>
  <c r="G108" i="4"/>
  <c r="D109" i="4"/>
  <c r="E109" i="4" l="1"/>
  <c r="F109" i="4"/>
  <c r="G109" i="4"/>
  <c r="D110" i="4"/>
  <c r="E110" i="4" l="1"/>
  <c r="F110" i="4"/>
  <c r="G110" i="4"/>
  <c r="D111" i="4"/>
  <c r="E111" i="4" l="1"/>
  <c r="F111" i="4"/>
  <c r="G111" i="4"/>
  <c r="D112" i="4"/>
  <c r="E112" i="4" l="1"/>
  <c r="F112" i="4"/>
  <c r="G112" i="4"/>
  <c r="D113" i="4"/>
  <c r="E113" i="4" l="1"/>
  <c r="F113" i="4"/>
  <c r="G113" i="4"/>
  <c r="D114" i="4"/>
  <c r="E114" i="4" l="1"/>
  <c r="F114" i="4"/>
  <c r="G114" i="4"/>
  <c r="D115" i="4"/>
  <c r="E115" i="4" l="1"/>
  <c r="F115" i="4"/>
  <c r="G115" i="4"/>
  <c r="D116" i="4"/>
  <c r="E116" i="4" l="1"/>
  <c r="F116" i="4"/>
  <c r="G116" i="4"/>
  <c r="D117" i="4"/>
  <c r="E117" i="4" l="1"/>
  <c r="F117" i="4"/>
  <c r="G117" i="4"/>
  <c r="D118" i="4"/>
  <c r="E118" i="4" l="1"/>
  <c r="F118" i="4"/>
  <c r="G118" i="4"/>
  <c r="D119" i="4"/>
  <c r="E119" i="4" l="1"/>
  <c r="F119" i="4"/>
  <c r="G119" i="4"/>
  <c r="D120" i="4"/>
  <c r="E120" i="4" l="1"/>
  <c r="F120" i="4"/>
  <c r="G120" i="4"/>
  <c r="D121" i="4"/>
  <c r="E121" i="4" l="1"/>
  <c r="F121" i="4"/>
  <c r="G121" i="4"/>
  <c r="D122" i="4"/>
  <c r="E122" i="4" l="1"/>
  <c r="F122" i="4"/>
  <c r="G122" i="4"/>
  <c r="D123" i="4"/>
  <c r="E123" i="4" l="1"/>
  <c r="F123" i="4"/>
  <c r="G123" i="4"/>
  <c r="D124" i="4"/>
  <c r="E124" i="4" l="1"/>
  <c r="F124" i="4"/>
  <c r="G124" i="4"/>
  <c r="D125" i="4"/>
  <c r="E125" i="4" l="1"/>
  <c r="F125" i="4"/>
  <c r="G125" i="4"/>
  <c r="D126" i="4"/>
  <c r="E126" i="4" l="1"/>
  <c r="F126" i="4"/>
  <c r="G126" i="4"/>
  <c r="D127" i="4"/>
  <c r="E127" i="4" l="1"/>
  <c r="F127" i="4"/>
  <c r="G127" i="4"/>
  <c r="D128" i="4"/>
  <c r="E128" i="4" l="1"/>
  <c r="F128" i="4"/>
  <c r="G128" i="4"/>
  <c r="D129" i="4"/>
  <c r="E129" i="4" l="1"/>
  <c r="F129" i="4"/>
  <c r="G129" i="4"/>
  <c r="D130" i="4"/>
  <c r="E130" i="4" l="1"/>
  <c r="G130" i="4"/>
  <c r="F130" i="4"/>
  <c r="D131" i="4"/>
  <c r="F131" i="4" l="1"/>
  <c r="D132" i="4"/>
  <c r="E131" i="4"/>
  <c r="G131" i="4"/>
  <c r="E132" i="4" l="1"/>
  <c r="G132" i="4"/>
  <c r="D133" i="4"/>
  <c r="F132" i="4"/>
  <c r="G133" i="4" l="1"/>
  <c r="E133" i="4"/>
  <c r="F133" i="4"/>
  <c r="D134" i="4"/>
  <c r="G134" i="4" l="1"/>
  <c r="D135" i="4"/>
  <c r="F134" i="4"/>
  <c r="E134" i="4"/>
  <c r="E135" i="4" l="1"/>
  <c r="G135" i="4"/>
  <c r="D136" i="4"/>
  <c r="F135" i="4"/>
  <c r="E136" i="4" l="1"/>
  <c r="G136" i="4"/>
  <c r="D137" i="4"/>
  <c r="F136" i="4"/>
  <c r="F137" i="4" l="1"/>
  <c r="E137" i="4"/>
  <c r="G137" i="4"/>
  <c r="D138" i="4"/>
  <c r="E138" i="4" l="1"/>
  <c r="G138" i="4"/>
  <c r="F138" i="4"/>
  <c r="D139" i="4"/>
  <c r="E139" i="4" l="1"/>
  <c r="F139" i="4"/>
  <c r="G139" i="4"/>
  <c r="D140" i="4"/>
  <c r="F140" i="4" l="1"/>
  <c r="G140" i="4"/>
  <c r="E140" i="4"/>
  <c r="D141" i="4"/>
  <c r="E141" i="4" l="1"/>
  <c r="G141" i="4"/>
  <c r="F141" i="4"/>
  <c r="D142" i="4"/>
  <c r="E142" i="4" l="1"/>
  <c r="D143" i="4"/>
  <c r="F142" i="4"/>
  <c r="G142" i="4"/>
  <c r="E143" i="4" l="1"/>
  <c r="G143" i="4"/>
  <c r="F143" i="4"/>
  <c r="D144" i="4"/>
  <c r="E144" i="4" l="1"/>
  <c r="G144" i="4"/>
  <c r="D145" i="4"/>
  <c r="F144" i="4"/>
  <c r="E145" i="4" l="1"/>
  <c r="G145" i="4"/>
  <c r="F145" i="4"/>
  <c r="D146" i="4"/>
  <c r="F146" i="4" l="1"/>
  <c r="D147" i="4"/>
  <c r="E146" i="4"/>
  <c r="G146" i="4"/>
  <c r="E147" i="4" l="1"/>
  <c r="G147" i="4"/>
  <c r="D148" i="4"/>
  <c r="F147" i="4"/>
  <c r="G148" i="4" l="1"/>
  <c r="E148" i="4"/>
  <c r="F148" i="4"/>
  <c r="D149" i="4"/>
  <c r="F149" i="4" l="1"/>
  <c r="E149" i="4"/>
  <c r="G149" i="4"/>
  <c r="D150" i="4"/>
  <c r="F150" i="4" l="1"/>
  <c r="D151" i="4"/>
  <c r="E150" i="4"/>
  <c r="G150" i="4"/>
  <c r="G151" i="4" l="1"/>
  <c r="E151" i="4"/>
  <c r="F151" i="4"/>
  <c r="D152" i="4"/>
  <c r="F152" i="4" l="1"/>
  <c r="G152" i="4"/>
  <c r="D153" i="4"/>
  <c r="E152" i="4"/>
  <c r="F153" i="4" l="1"/>
  <c r="G153" i="4"/>
  <c r="E153" i="4"/>
  <c r="D154" i="4"/>
  <c r="E154" i="4" l="1"/>
  <c r="F154" i="4"/>
  <c r="G154" i="4"/>
  <c r="B14" i="4" s="1"/>
</calcChain>
</file>

<file path=xl/sharedStrings.xml><?xml version="1.0" encoding="utf-8"?>
<sst xmlns="http://schemas.openxmlformats.org/spreadsheetml/2006/main" count="4868" uniqueCount="177">
  <si>
    <t>Enter a game night</t>
  </si>
  <si>
    <t>Format: first line 'MN 12/22'  |  blank line between pods  |  * after the winner  |  = after every player in a draw  |  a line like R2 starts round 2  |  a short name like Bryce fills in to Bryce C when only one player has that first name</t>
  </si>
  <si>
    <t>header line</t>
  </si>
  <si>
    <t>Steps: 1) clear A8:A257   2) paste the thread text into A8   3) read the status below, fix anything red   4) copy the green block, Paste Special &gt; Values under the last row of Data</t>
  </si>
  <si>
    <t>date token</t>
  </si>
  <si>
    <t>Session date</t>
  </si>
  <si>
    <t>month</t>
  </si>
  <si>
    <t>Date check</t>
  </si>
  <si>
    <t>rest</t>
  </si>
  <si>
    <t>Status</t>
  </si>
  <si>
    <t>day</t>
  </si>
  <si>
    <t>Paste thread text below</t>
  </si>
  <si>
    <t>What I read from each line</t>
  </si>
  <si>
    <t>Player</t>
  </si>
  <si>
    <t>Result</t>
  </si>
  <si>
    <t>Seat</t>
  </si>
  <si>
    <t>Pod</t>
  </si>
  <si>
    <t>Round</t>
  </si>
  <si>
    <t>Date</t>
  </si>
  <si>
    <t>src</t>
  </si>
  <si>
    <t>clean</t>
  </si>
  <si>
    <t>kind</t>
  </si>
  <si>
    <t>name</t>
  </si>
  <si>
    <t>flag</t>
  </si>
  <si>
    <t>round</t>
  </si>
  <si>
    <t>podstart</t>
  </si>
  <si>
    <t>pod</t>
  </si>
  <si>
    <t>seat</t>
  </si>
  <si>
    <t>seq</t>
  </si>
  <si>
    <t>wins</t>
  </si>
  <si>
    <t>draws</t>
  </si>
  <si>
    <t>size</t>
  </si>
  <si>
    <t>result</t>
  </si>
  <si>
    <t>canon</t>
  </si>
  <si>
    <t>known</t>
  </si>
  <si>
    <t>issues</t>
  </si>
  <si>
    <t>nfirst</t>
  </si>
  <si>
    <t>year typed</t>
  </si>
  <si>
    <t>year used</t>
  </si>
  <si>
    <t>date</t>
  </si>
  <si>
    <t>Pod ID</t>
  </si>
  <si>
    <t>Pod Size</t>
  </si>
  <si>
    <t>Year</t>
  </si>
  <si>
    <t>Month</t>
  </si>
  <si>
    <t>Data Scope</t>
  </si>
  <si>
    <t>Reviewed</t>
  </si>
  <si>
    <t>Check</t>
  </si>
  <si>
    <t>Flag No</t>
  </si>
  <si>
    <t>New Name</t>
  </si>
  <si>
    <t>Brett R</t>
  </si>
  <si>
    <t>Win</t>
  </si>
  <si>
    <t>legacy</t>
  </si>
  <si>
    <t>Unknown</t>
  </si>
  <si>
    <t>Loss</t>
  </si>
  <si>
    <t>Vance C</t>
  </si>
  <si>
    <t>Bryce C</t>
  </si>
  <si>
    <t>Mark D</t>
  </si>
  <si>
    <t>AJ W</t>
  </si>
  <si>
    <t>Dakota P</t>
  </si>
  <si>
    <t>Zack B</t>
  </si>
  <si>
    <t>Brendan H</t>
  </si>
  <si>
    <t>Trevor</t>
  </si>
  <si>
    <t>Nicholas S</t>
  </si>
  <si>
    <t>Jake D</t>
  </si>
  <si>
    <t>Tyler B</t>
  </si>
  <si>
    <t>Mitch</t>
  </si>
  <si>
    <t>Jack</t>
  </si>
  <si>
    <t>Sam</t>
  </si>
  <si>
    <t>Edwin M</t>
  </si>
  <si>
    <t>Ryan T</t>
  </si>
  <si>
    <t>Brad F</t>
  </si>
  <si>
    <t>Rodney Y</t>
  </si>
  <si>
    <t>Ben H</t>
  </si>
  <si>
    <t>Brandon B</t>
  </si>
  <si>
    <t>Jarrod O</t>
  </si>
  <si>
    <t>Eli T</t>
  </si>
  <si>
    <t>Jon M</t>
  </si>
  <si>
    <t>Dave M</t>
  </si>
  <si>
    <t>Justin M</t>
  </si>
  <si>
    <t>Justin Lopez</t>
  </si>
  <si>
    <t>Jeremiah</t>
  </si>
  <si>
    <t>Forrest</t>
  </si>
  <si>
    <t>Nick D</t>
  </si>
  <si>
    <t>Devyn S</t>
  </si>
  <si>
    <t>Zach D</t>
  </si>
  <si>
    <t>Logan</t>
  </si>
  <si>
    <t>Steve C</t>
  </si>
  <si>
    <t>Manny R</t>
  </si>
  <si>
    <t>Andrew R</t>
  </si>
  <si>
    <t>Fernando J</t>
  </si>
  <si>
    <t>Draw</t>
  </si>
  <si>
    <t>Isaac B</t>
  </si>
  <si>
    <t>Harley A</t>
  </si>
  <si>
    <t>John B</t>
  </si>
  <si>
    <t>Austin D</t>
  </si>
  <si>
    <t>Andrew M</t>
  </si>
  <si>
    <t>Brandon A</t>
  </si>
  <si>
    <t>Arman H</t>
  </si>
  <si>
    <t>Charlie B</t>
  </si>
  <si>
    <t>Steve A-G</t>
  </si>
  <si>
    <t>Leo C</t>
  </si>
  <si>
    <t>Matthew P</t>
  </si>
  <si>
    <t>Sage</t>
  </si>
  <si>
    <t>Ethan S</t>
  </si>
  <si>
    <t>Eric E</t>
  </si>
  <si>
    <t>Kevin S</t>
  </si>
  <si>
    <t>Tony W</t>
  </si>
  <si>
    <t>Lee C</t>
  </si>
  <si>
    <t>Alexander D</t>
  </si>
  <si>
    <t>Taylor C</t>
  </si>
  <si>
    <t>Paul B</t>
  </si>
  <si>
    <t>Lucas A</t>
  </si>
  <si>
    <t>Savi</t>
  </si>
  <si>
    <t>Gavin J</t>
  </si>
  <si>
    <t>Jared B</t>
  </si>
  <si>
    <t>Joel C</t>
  </si>
  <si>
    <t>Matthew W</t>
  </si>
  <si>
    <t>Hollice M</t>
  </si>
  <si>
    <t>Eric T</t>
  </si>
  <si>
    <t>Cristian S</t>
  </si>
  <si>
    <t>Jonny T</t>
  </si>
  <si>
    <t>Randy P</t>
  </si>
  <si>
    <t>Name</t>
  </si>
  <si>
    <t>Games</t>
  </si>
  <si>
    <t>First seen</t>
  </si>
  <si>
    <t>Last seen</t>
  </si>
  <si>
    <t>Name format</t>
  </si>
  <si>
    <t>Rename to</t>
  </si>
  <si>
    <t>New name</t>
  </si>
  <si>
    <t>Review</t>
  </si>
  <si>
    <t>How to fix names</t>
  </si>
  <si>
    <t>Every name should be first name + last initial, like  Zack B.  ('Unknown' is the one exception.)</t>
  </si>
  <si>
    <t>1) Type the correct name in the yellow 'Rename to' column for each row marked 'Needs last initial'. Nothing changes yet.</t>
  </si>
  <si>
    <t>2) To merge typos (Jermiah / Jeremiah), give them the same 'Rename to'. Amber/red 'Review' text will tell you about duplicates.</t>
  </si>
  <si>
    <t>3) On the Data sheet, copy the whole 'New Name' column (last column) and Paste Special &gt; Values over the 'Player' column.</t>
  </si>
  <si>
    <t>4) Back here, copy the whole 'New name' column and Paste Special &gt; Values over the 'Name' column. Do Data first, then Players.</t>
  </si>
  <si>
    <t>5) Clear the 'Rename to' column. Delete any duplicate rows left from merges. The Checks sheet should show 0 players needing format.</t>
  </si>
  <si>
    <t>New player later? Type the name on the first empty row under the table - the table grows by itself.</t>
  </si>
  <si>
    <t>'Review' flags: extra spaces, names never used, merges, and rare names that start like another name.</t>
  </si>
  <si>
    <t>Data checks</t>
  </si>
  <si>
    <t>Settings (change if your rules change)</t>
  </si>
  <si>
    <t>Session dates (every date in Data)</t>
  </si>
  <si>
    <t>Fewest players in a normal pod</t>
  </si>
  <si>
    <t>Day</t>
  </si>
  <si>
    <t>Rows</t>
  </si>
  <si>
    <t>Flag</t>
  </si>
  <si>
    <t>Data row</t>
  </si>
  <si>
    <t>Rd</t>
  </si>
  <si>
    <t>Issue</t>
  </si>
  <si>
    <t>Most players in a normal pod</t>
  </si>
  <si>
    <t>Highest round number</t>
  </si>
  <si>
    <t>Game-night weekday (1=Mon, 2=Tue ... 7=Sun)</t>
  </si>
  <si>
    <t>Summary</t>
  </si>
  <si>
    <t>Rows in Data</t>
  </si>
  <si>
    <t>Rows flagged</t>
  </si>
  <si>
    <t>Rows marked Reviewed (checks skipped)</t>
  </si>
  <si>
    <t>Players still needing 'First L' name format</t>
  </si>
  <si>
    <t>Players worth a second look (other)</t>
  </si>
  <si>
    <t>Flagged rows by issue</t>
  </si>
  <si>
    <t>Name blank</t>
  </si>
  <si>
    <t>Extra space in name</t>
  </si>
  <si>
    <t>Name not in Players list</t>
  </si>
  <si>
    <t>Result must be</t>
  </si>
  <si>
    <t>Seat missing</t>
  </si>
  <si>
    <t>Seat out of range</t>
  </si>
  <si>
    <t>Duplicate seat in pod</t>
  </si>
  <si>
    <t>No winner in pod</t>
  </si>
  <si>
    <t>Multiple winners</t>
  </si>
  <si>
    <t>Pod mixes draws</t>
  </si>
  <si>
    <t>Pod size outside</t>
  </si>
  <si>
    <t>Player listed twice in pod</t>
  </si>
  <si>
    <t>Player in 2 pods this round</t>
  </si>
  <si>
    <t>Date invalid</t>
  </si>
  <si>
    <t>Date in future</t>
  </si>
  <si>
    <t>Round out of range</t>
  </si>
  <si>
    <t>Pod # invalid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</si>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</sst>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\ m/d/yyyy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i/>
      <sz val="9"/>
      <color rgb="FF595959"/>
      <name val="Arial"/>
    </font>
    <font>
      <sz val="9"/>
      <color rgb="FF808080"/>
      <name val="Arial"/>
    </font>
    <font>
      <sz val="9"/>
      <color rgb="FF7F7F7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165" fontId="2" fillId="0" borderId="0" xfId="0" applyNumberFormat="1" applyFont="1" applyAlignment="1">
      <alignment horizontal="left"/>
    </xf>
    <xf numFmtId="0" fontId="3" fillId="0" borderId="0" xfId="0" applyFont="1"/>
    <xf numFmtId="0" fontId="5" fillId="3" borderId="0" xfId="0" applyFont="1" applyFill="1"/>
    <xf numFmtId="0" fontId="5" fillId="4" borderId="0" xfId="0" applyFont="1" applyFill="1"/>
    <xf numFmtId="0" fontId="4" fillId="2" borderId="0" xfId="0" applyFont="1" applyFill="1"/>
    <xf numFmtId="14" fontId="3" fillId="0" borderId="0" xfId="0" applyNumberFormat="1" applyFont="1"/>
    <xf numFmtId="14" fontId="8" fillId="0" borderId="0" xfId="0" applyNumberFormat="1" applyFont="1"/>
    <xf numFmtId="0" fontId="5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4" fillId="2" borderId="0" xfId="0" applyNumberFormat="1" applyFont="1" applyFill="1"/>
  </cellXfs>
  <cellStyles count="1">
    <cellStyle name="Normal" xfId="0" builtinId="0"/>
  </cellStyles>
  <dxfs count="26"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0</xdr:row>
          <xdr:rowOff>47625</xdr:rowOff>
        </xdr:from>
        <xdr:to>
          <xdr:col>1</xdr:col>
          <xdr:colOff>1828800</xdr:colOff>
          <xdr:row>0</xdr:row>
          <xdr:rowOff>328613</xdr:rowOff>
        </xdr:to>
        <xdr:sp macro="" textlink="">
          <xdr:nvSpPr>
            <xdr:cNvPr id="1025" name="btnPaste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4D12752-40D7-5C3E-83E4-F351BB1992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Paste + Add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1905000</xdr:colOff>
          <xdr:row>0</xdr:row>
          <xdr:rowOff>47625</xdr:rowOff>
        </xdr:from>
        <xdr:to>
          <xdr:col>1</xdr:col>
          <xdr:colOff>3429000</xdr:colOff>
          <xdr:row>0</xdr:row>
          <xdr:rowOff>328613</xdr:rowOff>
        </xdr:to>
        <xdr:sp macro="" textlink="">
          <xdr:nvSpPr>
            <xdr:cNvPr id="1026" name="btnAdd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EF2585B-2124-C247-BA08-CC9E1336BA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(after fixes)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3505200</xdr:colOff>
          <xdr:row>0</xdr:row>
          <xdr:rowOff>47625</xdr:rowOff>
        </xdr:from>
        <xdr:to>
          <xdr:col>1</xdr:col>
          <xdr:colOff>4772025</xdr:colOff>
          <xdr:row>0</xdr:row>
          <xdr:rowOff>328613</xdr:rowOff>
        </xdr:to>
        <xdr:sp macro="" textlink="">
          <xdr:nvSpPr>
            <xdr:cNvPr id="1027" name="btnUndo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7CEB102-ECE0-5043-B585-B9A5040510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Undo last add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Log" displayName="GameLog" ref="A1:O2329">
  <autoFilter ref="A1:O2329" xr:uid="{00000000-0009-0000-0100-000001000000}"/>
  <tableColumns count="15">
    <tableColumn id="1" xr3:uid="{00000000-0010-0000-0000-000001000000}" name="Player"/>
    <tableColumn id="2" xr3:uid="{00000000-0010-0000-0000-000002000000}" name="Result"/>
    <tableColumn id="3" xr3:uid="{00000000-0010-0000-0000-000003000000}" name="Seat"/>
    <tableColumn id="4" xr3:uid="{00000000-0010-0000-0000-000004000000}" name="Pod"/>
    <tableColumn id="5" xr3:uid="{00000000-0010-0000-0000-000005000000}" name="Round"/>
    <tableColumn id="6" xr3:uid="{00000000-0010-0000-0000-000006000000}" name="Date"/>
    <tableColumn id="7" xr3:uid="{00000000-0010-0000-0000-000007000000}" name="Pod ID">
      <calculatedColumnFormula>_xlfn.TEXTJOIN("|",TRUE,GameLog[[#This Row],[Pod]],TEXT(INT(GameLog[[#This Row],[Round]]),"yyyymmdd"),GameLog[[#This Row],[Date]])</calculatedColumnFormula>
    </tableColumn>
    <tableColumn id="8" xr3:uid="{00000000-0010-0000-0000-000008000000}" name="Pod Size">
      <calculatedColumnFormula>COUNTIF(GameLog[Pod ID],GameLog[[#This Row],[Pod ID]])</calculatedColumnFormula>
    </tableColumn>
    <tableColumn id="9" xr3:uid="{00000000-0010-0000-0000-000009000000}" name="Year">
      <calculatedColumnFormula>YEAR(GameLog[[#This Row],[Date]])</calculatedColumnFormula>
    </tableColumn>
    <tableColumn id="10" xr3:uid="{00000000-0010-0000-0000-00000A000000}" name="Month">
      <calculatedColumnFormula>MONTH(GameLog[[#This Row],[Date]])</calculatedColumnFormula>
    </tableColumn>
    <tableColumn id="11" xr3:uid="{00000000-0010-0000-0000-00000B000000}" name="Data Scope">
      <calculatedColumnFormula>IF(GameLog[[#This Row],[Date]]=MAX(GameLog[Date]),"Current","Previous")</calculatedColumnFormula>
    </tableColumn>
    <tableColumn id="12" xr3:uid="{00000000-0010-0000-0000-00000C000000}" name="Reviewed"/>
    <tableColumn id="13" xr3:uid="{00000000-0010-0000-0000-00000D000000}" name="Check">
      <calculatedColumnFormula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calculatedColumnFormula>
    </tableColumn>
    <tableColumn id="14" xr3:uid="{00000000-0010-0000-0000-00000E000000}" name="Flag No">
      <calculatedColumnFormula>IF(GameLog[[#This Row],[Check]]="","",COUNTIF(GameLog[[#Headers],[Check]]:GameLog[[#This Row],[Check]],"?*")-1)</calculatedColumnFormula>
    </tableColumn>
    <tableColumn id="15" xr3:uid="{00000000-0010-0000-0000-00000F000000}" name="New Name">
      <calculatedColumnFormula>IFERROR(INDEX(Players[New name],MATCH(GameLog[[#This Row],[Player]],Players[Name],0)),GameLog[[#This Row],[Player]])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yers" displayName="Players" ref="A1:H70">
  <autoFilter ref="A1:H70" xr:uid="{00000000-0009-0000-0100-000002000000}"/>
  <tableColumns count="8">
    <tableColumn id="1" xr3:uid="{00000000-0010-0000-0100-000001000000}" name="Name"/>
    <tableColumn id="2" xr3:uid="{00000000-0010-0000-0100-000002000000}" name="Games">
      <calculatedColumnFormula>COUNTIF(GameLog[Player],Players[[#This Row],[Name]])</calculatedColumnFormula>
    </tableColumn>
    <tableColumn id="3" xr3:uid="{00000000-0010-0000-0100-000003000000}" name="First seen">
      <calculatedColumnFormula>IF(Players[[#This Row],[Games]]=0,"",_xlfn.MINIFS(GameLog[Date],GameLog[Player],Players[[#This Row],[Name]]))</calculatedColumnFormula>
    </tableColumn>
    <tableColumn id="4" xr3:uid="{00000000-0010-0000-0100-000004000000}" name="Last seen">
      <calculatedColumnFormula>IF(Players[[#This Row],[Games]]=0,"",_xlfn.MAXIFS(GameLog[Date],GameLog[Player],Players[[#This Row],[Name]]))</calculatedColumnFormula>
    </tableColumn>
    <tableColumn id="5" xr3:uid="{00000000-0010-0000-0100-000005000000}" name="Name format">
      <calculatedColumnFormula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calculatedColumnFormula>
    </tableColumn>
    <tableColumn id="6" xr3:uid="{00000000-0010-0000-0100-000006000000}" name="Rename to"/>
    <tableColumn id="7" xr3:uid="{00000000-0010-0000-0100-000007000000}" name="New name">
      <calculatedColumnFormula>IF(TRIM(Players[[#This Row],[Rename to]])="",Players[[#This Row],[Name]],TRIM(Players[[#This Row],[Rename to]]))</calculatedColumnFormula>
    </tableColumn>
    <tableColumn id="8" xr3:uid="{00000000-0010-0000-0100-000008000000}" name="Review">
      <calculatedColumnFormula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257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25" outlineLevelCol="1" x14ac:dyDescent="0.45"/>
  <cols>
    <col min="1" max="1" width="28" customWidth="1"/>
    <col min="2" max="2" width="78" customWidth="1"/>
    <col min="3" max="3" width="16" customWidth="1"/>
    <col min="4" max="4" width="9" customWidth="1"/>
    <col min="5" max="5" width="7" customWidth="1"/>
    <col min="6" max="6" width="6" customWidth="1"/>
    <col min="7" max="7" width="8" customWidth="1"/>
    <col min="8" max="8" width="12" customWidth="1"/>
    <col min="9" max="9" width="8" customWidth="1"/>
    <col min="10" max="29" width="13" hidden="1" customWidth="1" outlineLevel="1"/>
    <col min="30" max="30" width="9.06640625" collapsed="1"/>
  </cols>
  <sheetData>
    <row r="1" spans="1:29" ht="30" customHeight="1" x14ac:dyDescent="0.5">
      <c r="A1" s="1" t="s">
        <v>0</v>
      </c>
    </row>
    <row r="2" spans="1:29" x14ac:dyDescent="0.45">
      <c r="A2" s="2" t="s">
        <v>1</v>
      </c>
      <c r="AB2" s="3" t="s">
        <v>2</v>
      </c>
      <c r="AC2" s="3" t="str">
        <f>IFERROR(INDEX($K$8:$K$257,MATCH("DATE",$L$8:$L$257,0)),"")</f>
        <v/>
      </c>
    </row>
    <row r="3" spans="1:29" x14ac:dyDescent="0.45">
      <c r="A3" s="2" t="s">
        <v>3</v>
      </c>
      <c r="AB3" s="3" t="s">
        <v>4</v>
      </c>
      <c r="AC3" s="3" t="str">
        <f>IF(AC2="","",TRIM(RIGHT(SUBSTITUTE(AC2," ",REPT(" ",30)),30)))</f>
        <v/>
      </c>
    </row>
    <row r="4" spans="1:29" x14ac:dyDescent="0.45">
      <c r="A4" s="4" t="s">
        <v>5</v>
      </c>
      <c r="C4" s="5" t="str">
        <f ca="1">IF(AC9="","",AC9)</f>
        <v/>
      </c>
      <c r="AB4" s="3" t="s">
        <v>6</v>
      </c>
      <c r="AC4" s="3" t="str">
        <f>IFERROR(VALUE(LEFT(AC3,FIND("/",AC3)-1)),"")</f>
        <v/>
      </c>
    </row>
    <row r="5" spans="1:29" x14ac:dyDescent="0.45">
      <c r="A5" s="4" t="s">
        <v>7</v>
      </c>
      <c r="C5" s="6" t="str">
        <f ca="1">IF(C4="","No date found - start the first line with a date like MN 12/22",IF(C4&gt;TODAY(),"Date is in the future",IF(WEEKDAY(C4,2)&lt;&gt;Game_Day,"Not a "&amp;INDEX({"Monday","Tuesday","Wednesday","Thursday","Friday","Saturday","Sunday"},Game_Day)&amp;": "&amp;TEXT(C4,"dddd m/d")&amp;" - check the date in the first line",IF(COUNTIF(GameLog[Date],C4)&gt;0,"Heads up: "&amp;COUNTIF(GameLog[Date],C4)&amp;" rows with this date are already in Data (ignore if this is a second batch)","OK - "&amp;TEXT(C4,"dddd")))))</f>
        <v>No date found - start the first line with a date like MN 12/22</v>
      </c>
      <c r="AB5" s="3" t="s">
        <v>8</v>
      </c>
      <c r="AC5" s="3" t="str">
        <f>IFERROR(MID(AC3,FIND("/",AC3)+1,20),"")</f>
        <v/>
      </c>
    </row>
    <row r="6" spans="1:29" x14ac:dyDescent="0.45">
      <c r="A6" s="4" t="s">
        <v>9</v>
      </c>
      <c r="C6" s="4" t="str">
        <f>IF(MAX($S$8:$S$257)=0,"Waiting for pasted text in column A",IF(COUNTIF($I$8:$I$257,"FIX*")+IF(OR(LEFT($C$5,2)="No",LEFT($C$5,3)="Not",LEFT($C$5,4)="Date"),1,0)&gt;0,"FIX: "&amp;(COUNTIF($I$8:$I$257,"FIX*")+IF(OR(LEFT($C$5,2)="No",LEFT($C$5,3)="Not",LEFT($C$5,4)="Date"),1,0))&amp;" problem(s) - see the red rows and the date check","READY: "&amp;MAX($S$8:$S$257)&amp;" rows, "&amp;SUM($P$8:$P$257)&amp;" pods"&amp;IF(COUNTIF($Y$8:$Y$257,"A")&gt;0,", "&amp;COUNTIF($Y$8:$Y$257,"A")&amp;" short name(s) auto-completed","")&amp;".  Copy C8:H"&amp;(7+MAX($S$8:$S$257))&amp;"  then Paste Special &gt; Values under the last row of Data"))</f>
        <v>Waiting for pasted text in column A</v>
      </c>
      <c r="AB6" s="3" t="s">
        <v>10</v>
      </c>
      <c r="AC6" s="3" t="str">
        <f>IFERROR(VALUE(IF(ISNUMBER(FIND("/",AC5)),LEFT(AC5,FIND("/",AC5)-1),AC5)),"")</f>
        <v/>
      </c>
    </row>
    <row r="7" spans="1:29" x14ac:dyDescent="0.45">
      <c r="A7" s="7" t="s">
        <v>11</v>
      </c>
      <c r="B7" s="7" t="s">
        <v>12</v>
      </c>
      <c r="C7" s="7" t="s">
        <v>13</v>
      </c>
      <c r="D7" s="7" t="s">
        <v>14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9</v>
      </c>
      <c r="J7" s="8" t="s">
        <v>19</v>
      </c>
      <c r="K7" s="8" t="s">
        <v>20</v>
      </c>
      <c r="L7" s="8" t="s">
        <v>21</v>
      </c>
      <c r="M7" s="8" t="s">
        <v>22</v>
      </c>
      <c r="N7" s="8" t="s">
        <v>23</v>
      </c>
      <c r="O7" s="8" t="s">
        <v>24</v>
      </c>
      <c r="P7" s="8" t="s">
        <v>25</v>
      </c>
      <c r="Q7" s="8" t="s">
        <v>26</v>
      </c>
      <c r="R7" s="8" t="s">
        <v>27</v>
      </c>
      <c r="S7" s="8" t="s">
        <v>28</v>
      </c>
      <c r="T7" s="8" t="s">
        <v>29</v>
      </c>
      <c r="U7" s="8" t="s">
        <v>30</v>
      </c>
      <c r="V7" s="8" t="s">
        <v>31</v>
      </c>
      <c r="W7" s="8" t="s">
        <v>32</v>
      </c>
      <c r="X7" s="8" t="s">
        <v>33</v>
      </c>
      <c r="Y7" s="8" t="s">
        <v>34</v>
      </c>
      <c r="Z7" s="8" t="s">
        <v>35</v>
      </c>
      <c r="AA7" s="8" t="s">
        <v>36</v>
      </c>
      <c r="AB7" s="3" t="s">
        <v>37</v>
      </c>
      <c r="AC7" s="3" t="str">
        <f>IFERROR(IF(ISNUMBER(FIND("/",AC5)),VALUE(MID(AC5,FIND("/",AC5)+1,4)),""),"")</f>
        <v/>
      </c>
    </row>
    <row r="8" spans="1:29" x14ac:dyDescent="0.45">
      <c r="A8" s="17"/>
      <c r="B8" s="6" t="str">
        <f t="shared" ref="B8:B71" si="0">IF(K8="","",IF(L8="DATE","Date: "&amp;IF($C$4="","not readable",TEXT($C$4,"dddd m/d/yyyy")),IF(L8="ROUND","Round "&amp;O8,IF(Z8&lt;&gt;"","FIX: "&amp;Z8,"OK - "&amp;W8&amp;", pod "&amp;Q8&amp;", seat "&amp;R8&amp;IF(Y8="A","   ("&amp;M8&amp;" = "&amp;X8&amp;")","")))))</f>
        <v/>
      </c>
      <c r="C8" s="6" t="str">
        <f t="shared" ref="C8:C71" si="1">IF($J8="","",INDEX($X$8:$X$257,$J8))</f>
        <v/>
      </c>
      <c r="D8" s="6" t="str">
        <f t="shared" ref="D8:D71" si="2">IF($J8="","",INDEX($W$8:$W$257,$J8))</f>
        <v/>
      </c>
      <c r="E8" s="6" t="str">
        <f t="shared" ref="E8:E71" si="3">IF($J8="","",INDEX($R$8:$R$257,$J8))</f>
        <v/>
      </c>
      <c r="F8" s="6" t="str">
        <f t="shared" ref="F8:F71" si="4">IF($J8="","",INDEX($Q$8:$Q$257,$J8))</f>
        <v/>
      </c>
      <c r="G8" s="6" t="str">
        <f t="shared" ref="G8:G71" si="5">IF($J8="","",INDEX($O$8:$O$257,$J8))</f>
        <v/>
      </c>
      <c r="H8" s="10" t="str">
        <f t="shared" ref="H8:H71" si="6">IF($J8="","",$C$4)</f>
        <v/>
      </c>
      <c r="I8" s="6" t="str">
        <f t="shared" ref="I8:I71" si="7">IF($J8="","",IF(INDEX($Z$8:$Z$257,$J8)="","OK","FIX"))</f>
        <v/>
      </c>
      <c r="J8" s="3" t="str">
        <f>IFERROR(MATCH(ROWS(J$8:J8),$S$8:$S$257,0),"")</f>
        <v/>
      </c>
      <c r="K8" s="3" t="str">
        <f t="shared" ref="K8:K71" si="8">TRIM(CLEAN(SUBSTITUTE(A8,_xlfn.UNICHAR(160)," ")))</f>
        <v/>
      </c>
      <c r="L8" s="3" t="str">
        <f t="shared" ref="L8:L71" si="9">IF(K8="","",IF(ISNUMBER(FIND("/",K8)),"DATE",IF(OR(LEFT(UPPER(K8),5)="ROUND",AND(LEFT(UPPER(K8),1)="R",LEN(K8)&gt;=2,ISNUMBER(--MID(K8,2,9)))),"ROUND","PLAYER")))</f>
        <v/>
      </c>
      <c r="M8" s="3" t="str">
        <f t="shared" ref="M8:M71" si="10">IF(L8="PLAYER",TRIM(SUBSTITUTE(SUBSTITUTE(K8,"*",""),"=","")),"")</f>
        <v/>
      </c>
      <c r="N8" s="3" t="str">
        <f t="shared" ref="N8:N71" si="11">IF(L8&lt;&gt;"PLAYER","",IF(ISNUMBER(FIND("=",K8)),"DRAW",IF(ISNUMBER(FIND("*",K8)),"WIN","")))</f>
        <v/>
      </c>
      <c r="O8" s="3">
        <f t="shared" ref="O8:O71" si="12">IF(L8="ROUND",IFERROR(VALUE(SUBSTITUTE(SUBSTITUTE(UPPER(K8),"ROUND",""),"R","")),1),MAX(1,N(O7)))</f>
        <v>1</v>
      </c>
      <c r="P8" s="3">
        <f t="shared" ref="P8:P71" si="13">IF(AND(L8="PLAYER",L7&lt;&gt;"PLAYER"),1,0)</f>
        <v>0</v>
      </c>
      <c r="Q8" s="3">
        <f t="shared" ref="Q8:Q71" si="14">IF(L8="ROUND",0,N(Q7)+P8)</f>
        <v>0</v>
      </c>
      <c r="R8" s="3" t="str">
        <f t="shared" ref="R8:R71" si="15">IF(L8&lt;&gt;"PLAYER","",IF(P8=1,1,N(R7)+1))</f>
        <v/>
      </c>
      <c r="S8" s="3">
        <f t="shared" ref="S8:S71" si="16">N(S7)+IF(L8="PLAYER",1,0)</f>
        <v>0</v>
      </c>
      <c r="T8" s="3" t="str">
        <f t="shared" ref="T8:T71" si="17">IF(L8="PLAYER",COUNTIFS($O$8:$O$257,O8,$Q$8:$Q$257,Q8,$N$8:$N$257,"WIN"),"")</f>
        <v/>
      </c>
      <c r="U8" s="3" t="str">
        <f t="shared" ref="U8:U71" si="18">IF(L8="PLAYER",COUNTIFS($O$8:$O$257,O8,$Q$8:$Q$257,Q8,$N$8:$N$257,"DRAW"),"")</f>
        <v/>
      </c>
      <c r="V8" s="3" t="str">
        <f t="shared" ref="V8:V71" si="19">IF(L8="PLAYER",COUNTIFS($O$8:$O$257,O8,$Q$8:$Q$257,Q8,$L$8:$L$257,"PLAYER"),"")</f>
        <v/>
      </c>
      <c r="W8" s="3" t="str">
        <f t="shared" ref="W8:W71" si="20">IF(L8&lt;&gt;"PLAYER","",IF(U8=V8,"Draw",IF(N8="WIN","Win","Loss")))</f>
        <v/>
      </c>
      <c r="X8" s="3" t="str">
        <f>IF(L8&lt;&gt;"PLAYER","",IF(Y8="Y",INDEX(Players[Name],MATCH(M8,Players[Name],0)),IF(Y8="A",INDEX(Players[Name],MATCH(M8&amp;" ?",Players[Name],0)),M8)))</f>
        <v/>
      </c>
      <c r="Y8" s="3" t="str">
        <f>IF(L8&lt;&gt;"PLAYER","",IF(ISNUMBER(MATCH(M8,Players[Name],0)),"Y",IF(AA8=1,"A","N")))</f>
        <v/>
      </c>
      <c r="Z8" s="3" t="str">
        <f>IF(L8&lt;&gt;"PLAYER","",_xlfn.TEXTJOIN("; ",TRUE,IF(M8="","Empty name",IF(Y8="N",IF(AA8&gt;1,"Which "&amp;M8&amp;"? "&amp;AA8&amp;" players start with it (like "&amp;INDEX(Players[Name],MATCH(M8&amp;" ?",Players[Name],0))&amp;") - type the last initial",IF(ISNUMBER(FIND(" ",M8)),IF(IFERROR(IF(M8="",FALSE,OR(M8="Unknown",AND(LEN(M8)-LEN(SUBSTITUTE(M8," ",""))=1,LEN(M8)&gt;=4,MID(M8,LEN(M8)-1,1)=" ",CODE(RIGHT(M8,1))&gt;=65,CODE(RIGHT(M8,1))&lt;=90))),FALSE),"New player? Not on Players list - add it there first","Not on Players list and not First L format (like Zack B)")&amp;IF(ISNUMBER(MATCH(LEFT(M8,FIND(" ",M8)-1)&amp;" ?",Players[Name],0))," (same first name as "&amp;INDEX(Players[Name],MATCH(LEFT(M8,FIND(" ",M8)-1)&amp;" ?",Players[Name],0))&amp;")",""),"Not on Players list - type first name + last initial (like Zack B)")),"")),IF(OR(V8&lt;Pod_Min,V8&gt;Pod_Max),"Pod has "&amp;V8&amp;" players",""),IF(U8=0,IF(T8=0,"No winner (*) in pod",IF(T8&gt;1,T8&amp;" winners in pod","")),IF(U8&lt;V8,"Some = but not all players","")),IF(X8="Unknown","",IF(COUNTIFS($O$8:$O$257,O8,$Q$8:$Q$257,Q8,$X$8:$X$257,X8)&gt;1,"Name twice in pod",IF(COUNTIFS($O$8:$O$257,O8,$X$8:$X$257,X8)&gt;1,"Name in 2 pods this round","")))))</f>
        <v/>
      </c>
      <c r="AA8" s="3" t="str">
        <f>IF(L8&lt;&gt;"PLAYER","",IF(OR(M8="",ISNUMBER(FIND(" ",M8))),0,COUNTIF(Players[Name],M8&amp;" ?")))</f>
        <v/>
      </c>
      <c r="AB8" s="3" t="s">
        <v>38</v>
      </c>
      <c r="AC8" s="3" t="str">
        <f ca="1">IF(AC7&lt;&gt;"",IF(AC7&lt;100,2000+AC7,AC7),IF(OR(AC4="",AC6=""),"",IF(DATE(YEAR(TODAY()),AC4,AC6)&gt;TODAY(),YEAR(TODAY())-1,YEAR(TODAY()))))</f>
        <v/>
      </c>
    </row>
    <row r="9" spans="1:29" x14ac:dyDescent="0.45">
      <c r="A9" s="17"/>
      <c r="B9" s="6" t="str">
        <f t="shared" si="0"/>
        <v/>
      </c>
      <c r="C9" s="6" t="str">
        <f t="shared" si="1"/>
        <v/>
      </c>
      <c r="D9" s="6" t="str">
        <f t="shared" si="2"/>
        <v/>
      </c>
      <c r="E9" s="6" t="str">
        <f t="shared" si="3"/>
        <v/>
      </c>
      <c r="F9" s="6" t="str">
        <f t="shared" si="4"/>
        <v/>
      </c>
      <c r="G9" s="6" t="str">
        <f t="shared" si="5"/>
        <v/>
      </c>
      <c r="H9" s="10" t="str">
        <f t="shared" si="6"/>
        <v/>
      </c>
      <c r="I9" s="6" t="str">
        <f t="shared" si="7"/>
        <v/>
      </c>
      <c r="J9" s="3" t="str">
        <f>IFERROR(MATCH(ROWS(J$8:J9),$S$8:$S$257,0),"")</f>
        <v/>
      </c>
      <c r="K9" s="3" t="str">
        <f t="shared" si="8"/>
        <v/>
      </c>
      <c r="L9" s="3" t="str">
        <f t="shared" si="9"/>
        <v/>
      </c>
      <c r="M9" s="3" t="str">
        <f t="shared" si="10"/>
        <v/>
      </c>
      <c r="N9" s="3" t="str">
        <f t="shared" si="11"/>
        <v/>
      </c>
      <c r="O9" s="3">
        <f t="shared" si="12"/>
        <v>1</v>
      </c>
      <c r="P9" s="3">
        <f t="shared" si="13"/>
        <v>0</v>
      </c>
      <c r="Q9" s="3">
        <f t="shared" si="14"/>
        <v>0</v>
      </c>
      <c r="R9" s="3" t="str">
        <f t="shared" si="15"/>
        <v/>
      </c>
      <c r="S9" s="3">
        <f t="shared" si="16"/>
        <v>0</v>
      </c>
      <c r="T9" s="3" t="str">
        <f t="shared" si="17"/>
        <v/>
      </c>
      <c r="U9" s="3" t="str">
        <f t="shared" si="18"/>
        <v/>
      </c>
      <c r="V9" s="3" t="str">
        <f t="shared" si="19"/>
        <v/>
      </c>
      <c r="W9" s="3" t="str">
        <f t="shared" si="20"/>
        <v/>
      </c>
      <c r="X9" s="3" t="str">
        <f>IF(L9&lt;&gt;"PLAYER","",IF(Y9="Y",INDEX(Players[Name],MATCH(M9,Players[Name],0)),IF(Y9="A",INDEX(Players[Name],MATCH(M9&amp;" ?",Players[Name],0)),M9)))</f>
        <v/>
      </c>
      <c r="Y9" s="3" t="str">
        <f>IF(L9&lt;&gt;"PLAYER","",IF(ISNUMBER(MATCH(M9,Players[Name],0)),"Y",IF(AA9=1,"A","N")))</f>
        <v/>
      </c>
      <c r="Z9" s="3" t="str">
        <f>IF(L9&lt;&gt;"PLAYER","",_xlfn.TEXTJOIN("; ",TRUE,IF(M9="","Empty name",IF(Y9="N",IF(AA9&gt;1,"Which "&amp;M9&amp;"? "&amp;AA9&amp;" players start with it (like "&amp;INDEX(Players[Name],MATCH(M9&amp;" ?",Players[Name],0))&amp;") - type the last initial",IF(ISNUMBER(FIND(" ",M9)),IF(IFERROR(IF(M9="",FALSE,OR(M9="Unknown",AND(LEN(M9)-LEN(SUBSTITUTE(M9," ",""))=1,LEN(M9)&gt;=4,MID(M9,LEN(M9)-1,1)=" ",CODE(RIGHT(M9,1))&gt;=65,CODE(RIGHT(M9,1))&lt;=90))),FALSE),"New player? Not on Players list - add it there first","Not on Players list and not First L format (like Zack B)")&amp;IF(ISNUMBER(MATCH(LEFT(M9,FIND(" ",M9)-1)&amp;" ?",Players[Name],0))," (same first name as "&amp;INDEX(Players[Name],MATCH(LEFT(M9,FIND(" ",M9)-1)&amp;" ?",Players[Name],0))&amp;")",""),"Not on Players list - type first name + last initial (like Zack B)")),"")),IF(OR(V9&lt;Pod_Min,V9&gt;Pod_Max),"Pod has "&amp;V9&amp;" players",""),IF(U9=0,IF(T9=0,"No winner (*) in pod",IF(T9&gt;1,T9&amp;" winners in pod","")),IF(U9&lt;V9,"Some = but not all players","")),IF(X9="Unknown","",IF(COUNTIFS($O$8:$O$257,O9,$Q$8:$Q$257,Q9,$X$8:$X$257,X9)&gt;1,"Name twice in pod",IF(COUNTIFS($O$8:$O$257,O9,$X$8:$X$257,X9)&gt;1,"Name in 2 pods this round","")))))</f>
        <v/>
      </c>
      <c r="AA9" s="3" t="str">
        <f>IF(L9&lt;&gt;"PLAYER","",IF(OR(M9="",ISNUMBER(FIND(" ",M9))),0,COUNTIF(Players[Name],M9&amp;" ?")))</f>
        <v/>
      </c>
      <c r="AB9" s="3" t="s">
        <v>39</v>
      </c>
      <c r="AC9" s="11" t="str">
        <f ca="1">IF(OR(AC4="",AC6="",AC8=""),"",IF(AND(AC4&gt;=1,AC4&lt;=12,AC6&gt;=1,AC6&lt;=31),DATE(AC8,AC4,AC6),""))</f>
        <v/>
      </c>
    </row>
    <row r="10" spans="1:29" x14ac:dyDescent="0.45">
      <c r="A10" s="17"/>
      <c r="B10" s="6" t="str">
        <f t="shared" si="0"/>
        <v/>
      </c>
      <c r="C10" s="6" t="str">
        <f t="shared" si="1"/>
        <v/>
      </c>
      <c r="D10" s="6" t="str">
        <f t="shared" si="2"/>
        <v/>
      </c>
      <c r="E10" s="6" t="str">
        <f t="shared" si="3"/>
        <v/>
      </c>
      <c r="F10" s="6" t="str">
        <f t="shared" si="4"/>
        <v/>
      </c>
      <c r="G10" s="6" t="str">
        <f t="shared" si="5"/>
        <v/>
      </c>
      <c r="H10" s="10" t="str">
        <f t="shared" si="6"/>
        <v/>
      </c>
      <c r="I10" s="6" t="str">
        <f t="shared" si="7"/>
        <v/>
      </c>
      <c r="J10" s="3" t="str">
        <f>IFERROR(MATCH(ROWS(J$8:J10),$S$8:$S$257,0),"")</f>
        <v/>
      </c>
      <c r="K10" s="3" t="str">
        <f t="shared" si="8"/>
        <v/>
      </c>
      <c r="L10" s="3" t="str">
        <f t="shared" si="9"/>
        <v/>
      </c>
      <c r="M10" s="3" t="str">
        <f t="shared" si="10"/>
        <v/>
      </c>
      <c r="N10" s="3" t="str">
        <f t="shared" si="11"/>
        <v/>
      </c>
      <c r="O10" s="3">
        <f t="shared" si="12"/>
        <v>1</v>
      </c>
      <c r="P10" s="3">
        <f t="shared" si="13"/>
        <v>0</v>
      </c>
      <c r="Q10" s="3">
        <f t="shared" si="14"/>
        <v>0</v>
      </c>
      <c r="R10" s="3" t="str">
        <f t="shared" si="15"/>
        <v/>
      </c>
      <c r="S10" s="3">
        <f t="shared" si="16"/>
        <v>0</v>
      </c>
      <c r="T10" s="3" t="str">
        <f t="shared" si="17"/>
        <v/>
      </c>
      <c r="U10" s="3" t="str">
        <f t="shared" si="18"/>
        <v/>
      </c>
      <c r="V10" s="3" t="str">
        <f t="shared" si="19"/>
        <v/>
      </c>
      <c r="W10" s="3" t="str">
        <f t="shared" si="20"/>
        <v/>
      </c>
      <c r="X10" s="3" t="str">
        <f>IF(L10&lt;&gt;"PLAYER","",IF(Y10="Y",INDEX(Players[Name],MATCH(M10,Players[Name],0)),IF(Y10="A",INDEX(Players[Name],MATCH(M10&amp;" ?",Players[Name],0)),M10)))</f>
        <v/>
      </c>
      <c r="Y10" s="3" t="str">
        <f>IF(L10&lt;&gt;"PLAYER","",IF(ISNUMBER(MATCH(M10,Players[Name],0)),"Y",IF(AA10=1,"A","N")))</f>
        <v/>
      </c>
      <c r="Z10" s="3" t="str">
        <f>IF(L10&lt;&gt;"PLAYER","",_xlfn.TEXTJOIN("; ",TRUE,IF(M10="","Empty name",IF(Y10="N",IF(AA10&gt;1,"Which "&amp;M10&amp;"? "&amp;AA10&amp;" players start with it (like "&amp;INDEX(Players[Name],MATCH(M10&amp;" ?",Players[Name],0))&amp;") - type the last initial",IF(ISNUMBER(FIND(" ",M10)),IF(IFERROR(IF(M10="",FALSE,OR(M10="Unknown",AND(LEN(M10)-LEN(SUBSTITUTE(M10," ",""))=1,LEN(M10)&gt;=4,MID(M10,LEN(M10)-1,1)=" ",CODE(RIGHT(M10,1))&gt;=65,CODE(RIGHT(M10,1))&lt;=90))),FALSE),"New player? Not on Players list - add it there first","Not on Players list and not First L format (like Zack B)")&amp;IF(ISNUMBER(MATCH(LEFT(M10,FIND(" ",M10)-1)&amp;" ?",Players[Name],0))," (same first name as "&amp;INDEX(Players[Name],MATCH(LEFT(M10,FIND(" ",M10)-1)&amp;" ?",Players[Name],0))&amp;")",""),"Not on Players list - type first name + last initial (like Zack B)")),"")),IF(OR(V10&lt;Pod_Min,V10&gt;Pod_Max),"Pod has "&amp;V10&amp;" players",""),IF(U10=0,IF(T10=0,"No winner (*) in pod",IF(T10&gt;1,T10&amp;" winners in pod","")),IF(U10&lt;V10,"Some = but not all players","")),IF(X10="Unknown","",IF(COUNTIFS($O$8:$O$257,O10,$Q$8:$Q$257,Q10,$X$8:$X$257,X10)&gt;1,"Name twice in pod",IF(COUNTIFS($O$8:$O$257,O10,$X$8:$X$257,X10)&gt;1,"Name in 2 pods this round","")))))</f>
        <v/>
      </c>
      <c r="AA10" s="3" t="str">
        <f>IF(L10&lt;&gt;"PLAYER","",IF(OR(M10="",ISNUMBER(FIND(" ",M10))),0,COUNTIF(Players[Name],M10&amp;" ?")))</f>
        <v/>
      </c>
    </row>
    <row r="11" spans="1:29" x14ac:dyDescent="0.45">
      <c r="A11" s="17"/>
      <c r="B11" s="6" t="str">
        <f t="shared" si="0"/>
        <v/>
      </c>
      <c r="C11" s="6" t="str">
        <f t="shared" si="1"/>
        <v/>
      </c>
      <c r="D11" s="6" t="str">
        <f t="shared" si="2"/>
        <v/>
      </c>
      <c r="E11" s="6" t="str">
        <f t="shared" si="3"/>
        <v/>
      </c>
      <c r="F11" s="6" t="str">
        <f t="shared" si="4"/>
        <v/>
      </c>
      <c r="G11" s="6" t="str">
        <f t="shared" si="5"/>
        <v/>
      </c>
      <c r="H11" s="10" t="str">
        <f t="shared" si="6"/>
        <v/>
      </c>
      <c r="I11" s="6" t="str">
        <f t="shared" si="7"/>
        <v/>
      </c>
      <c r="J11" s="3" t="str">
        <f>IFERROR(MATCH(ROWS(J$8:J11),$S$8:$S$257,0),"")</f>
        <v/>
      </c>
      <c r="K11" s="3" t="str">
        <f t="shared" si="8"/>
        <v/>
      </c>
      <c r="L11" s="3" t="str">
        <f t="shared" si="9"/>
        <v/>
      </c>
      <c r="M11" s="3" t="str">
        <f t="shared" si="10"/>
        <v/>
      </c>
      <c r="N11" s="3" t="str">
        <f t="shared" si="11"/>
        <v/>
      </c>
      <c r="O11" s="3">
        <f t="shared" si="12"/>
        <v>1</v>
      </c>
      <c r="P11" s="3">
        <f t="shared" si="13"/>
        <v>0</v>
      </c>
      <c r="Q11" s="3">
        <f t="shared" si="14"/>
        <v>0</v>
      </c>
      <c r="R11" s="3" t="str">
        <f t="shared" si="15"/>
        <v/>
      </c>
      <c r="S11" s="3">
        <f t="shared" si="16"/>
        <v>0</v>
      </c>
      <c r="T11" s="3" t="str">
        <f t="shared" si="17"/>
        <v/>
      </c>
      <c r="U11" s="3" t="str">
        <f t="shared" si="18"/>
        <v/>
      </c>
      <c r="V11" s="3" t="str">
        <f t="shared" si="19"/>
        <v/>
      </c>
      <c r="W11" s="3" t="str">
        <f t="shared" si="20"/>
        <v/>
      </c>
      <c r="X11" s="3" t="str">
        <f>IF(L11&lt;&gt;"PLAYER","",IF(Y11="Y",INDEX(Players[Name],MATCH(M11,Players[Name],0)),IF(Y11="A",INDEX(Players[Name],MATCH(M11&amp;" ?",Players[Name],0)),M11)))</f>
        <v/>
      </c>
      <c r="Y11" s="3" t="str">
        <f>IF(L11&lt;&gt;"PLAYER","",IF(ISNUMBER(MATCH(M11,Players[Name],0)),"Y",IF(AA11=1,"A","N")))</f>
        <v/>
      </c>
      <c r="Z11" s="3" t="str">
        <f>IF(L11&lt;&gt;"PLAYER","",_xlfn.TEXTJOIN("; ",TRUE,IF(M11="","Empty name",IF(Y11="N",IF(AA11&gt;1,"Which "&amp;M11&amp;"? "&amp;AA11&amp;" players start with it (like "&amp;INDEX(Players[Name],MATCH(M11&amp;" ?",Players[Name],0))&amp;") - type the last initial",IF(ISNUMBER(FIND(" ",M11)),IF(IFERROR(IF(M11="",FALSE,OR(M11="Unknown",AND(LEN(M11)-LEN(SUBSTITUTE(M11," ",""))=1,LEN(M11)&gt;=4,MID(M11,LEN(M11)-1,1)=" ",CODE(RIGHT(M11,1))&gt;=65,CODE(RIGHT(M11,1))&lt;=90))),FALSE),"New player? Not on Players list - add it there first","Not on Players list and not First L format (like Zack B)")&amp;IF(ISNUMBER(MATCH(LEFT(M11,FIND(" ",M11)-1)&amp;" ?",Players[Name],0))," (same first name as "&amp;INDEX(Players[Name],MATCH(LEFT(M11,FIND(" ",M11)-1)&amp;" ?",Players[Name],0))&amp;")",""),"Not on Players list - type first name + last initial (like Zack B)")),"")),IF(OR(V11&lt;Pod_Min,V11&gt;Pod_Max),"Pod has "&amp;V11&amp;" players",""),IF(U11=0,IF(T11=0,"No winner (*) in pod",IF(T11&gt;1,T11&amp;" winners in pod","")),IF(U11&lt;V11,"Some = but not all players","")),IF(X11="Unknown","",IF(COUNTIFS($O$8:$O$257,O11,$Q$8:$Q$257,Q11,$X$8:$X$257,X11)&gt;1,"Name twice in pod",IF(COUNTIFS($O$8:$O$257,O11,$X$8:$X$257,X11)&gt;1,"Name in 2 pods this round","")))))</f>
        <v/>
      </c>
      <c r="AA11" s="3" t="str">
        <f>IF(L11&lt;&gt;"PLAYER","",IF(OR(M11="",ISNUMBER(FIND(" ",M11))),0,COUNTIF(Players[Name],M11&amp;" ?")))</f>
        <v/>
      </c>
    </row>
    <row r="12" spans="1:29" x14ac:dyDescent="0.45">
      <c r="A12" s="17"/>
      <c r="B12" s="6" t="str">
        <f t="shared" si="0"/>
        <v/>
      </c>
      <c r="C12" s="6" t="str">
        <f t="shared" si="1"/>
        <v/>
      </c>
      <c r="D12" s="6" t="str">
        <f t="shared" si="2"/>
        <v/>
      </c>
      <c r="E12" s="6" t="str">
        <f t="shared" si="3"/>
        <v/>
      </c>
      <c r="F12" s="6" t="str">
        <f t="shared" si="4"/>
        <v/>
      </c>
      <c r="G12" s="6" t="str">
        <f t="shared" si="5"/>
        <v/>
      </c>
      <c r="H12" s="10" t="str">
        <f t="shared" si="6"/>
        <v/>
      </c>
      <c r="I12" s="6" t="str">
        <f t="shared" si="7"/>
        <v/>
      </c>
      <c r="J12" s="3" t="str">
        <f>IFERROR(MATCH(ROWS(J$8:J12),$S$8:$S$257,0),"")</f>
        <v/>
      </c>
      <c r="K12" s="3" t="str">
        <f t="shared" si="8"/>
        <v/>
      </c>
      <c r="L12" s="3" t="str">
        <f t="shared" si="9"/>
        <v/>
      </c>
      <c r="M12" s="3" t="str">
        <f t="shared" si="10"/>
        <v/>
      </c>
      <c r="N12" s="3" t="str">
        <f t="shared" si="11"/>
        <v/>
      </c>
      <c r="O12" s="3">
        <f t="shared" si="12"/>
        <v>1</v>
      </c>
      <c r="P12" s="3">
        <f t="shared" si="13"/>
        <v>0</v>
      </c>
      <c r="Q12" s="3">
        <f t="shared" si="14"/>
        <v>0</v>
      </c>
      <c r="R12" s="3" t="str">
        <f t="shared" si="15"/>
        <v/>
      </c>
      <c r="S12" s="3">
        <f t="shared" si="16"/>
        <v>0</v>
      </c>
      <c r="T12" s="3" t="str">
        <f t="shared" si="17"/>
        <v/>
      </c>
      <c r="U12" s="3" t="str">
        <f t="shared" si="18"/>
        <v/>
      </c>
      <c r="V12" s="3" t="str">
        <f t="shared" si="19"/>
        <v/>
      </c>
      <c r="W12" s="3" t="str">
        <f t="shared" si="20"/>
        <v/>
      </c>
      <c r="X12" s="3" t="str">
        <f>IF(L12&lt;&gt;"PLAYER","",IF(Y12="Y",INDEX(Players[Name],MATCH(M12,Players[Name],0)),IF(Y12="A",INDEX(Players[Name],MATCH(M12&amp;" ?",Players[Name],0)),M12)))</f>
        <v/>
      </c>
      <c r="Y12" s="3" t="str">
        <f>IF(L12&lt;&gt;"PLAYER","",IF(ISNUMBER(MATCH(M12,Players[Name],0)),"Y",IF(AA12=1,"A","N")))</f>
        <v/>
      </c>
      <c r="Z12" s="3" t="str">
        <f>IF(L12&lt;&gt;"PLAYER","",_xlfn.TEXTJOIN("; ",TRUE,IF(M12="","Empty name",IF(Y12="N",IF(AA12&gt;1,"Which "&amp;M12&amp;"? "&amp;AA12&amp;" players start with it (like "&amp;INDEX(Players[Name],MATCH(M12&amp;" ?",Players[Name],0))&amp;") - type the last initial",IF(ISNUMBER(FIND(" ",M12)),IF(IFERROR(IF(M12="",FALSE,OR(M12="Unknown",AND(LEN(M12)-LEN(SUBSTITUTE(M12," ",""))=1,LEN(M12)&gt;=4,MID(M12,LEN(M12)-1,1)=" ",CODE(RIGHT(M12,1))&gt;=65,CODE(RIGHT(M12,1))&lt;=90))),FALSE),"New player? Not on Players list - add it there first","Not on Players list and not First L format (like Zack B)")&amp;IF(ISNUMBER(MATCH(LEFT(M12,FIND(" ",M12)-1)&amp;" ?",Players[Name],0))," (same first name as "&amp;INDEX(Players[Name],MATCH(LEFT(M12,FIND(" ",M12)-1)&amp;" ?",Players[Name],0))&amp;")",""),"Not on Players list - type first name + last initial (like Zack B)")),"")),IF(OR(V12&lt;Pod_Min,V12&gt;Pod_Max),"Pod has "&amp;V12&amp;" players",""),IF(U12=0,IF(T12=0,"No winner (*) in pod",IF(T12&gt;1,T12&amp;" winners in pod","")),IF(U12&lt;V12,"Some = but not all players","")),IF(X12="Unknown","",IF(COUNTIFS($O$8:$O$257,O12,$Q$8:$Q$257,Q12,$X$8:$X$257,X12)&gt;1,"Name twice in pod",IF(COUNTIFS($O$8:$O$257,O12,$X$8:$X$257,X12)&gt;1,"Name in 2 pods this round","")))))</f>
        <v/>
      </c>
      <c r="AA12" s="3" t="str">
        <f>IF(L12&lt;&gt;"PLAYER","",IF(OR(M12="",ISNUMBER(FIND(" ",M12))),0,COUNTIF(Players[Name],M12&amp;" ?")))</f>
        <v/>
      </c>
    </row>
    <row r="13" spans="1:29" x14ac:dyDescent="0.45">
      <c r="A13" s="17"/>
      <c r="B13" s="6" t="str">
        <f t="shared" si="0"/>
        <v/>
      </c>
      <c r="C13" s="6" t="str">
        <f t="shared" si="1"/>
        <v/>
      </c>
      <c r="D13" s="6" t="str">
        <f t="shared" si="2"/>
        <v/>
      </c>
      <c r="E13" s="6" t="str">
        <f t="shared" si="3"/>
        <v/>
      </c>
      <c r="F13" s="6" t="str">
        <f t="shared" si="4"/>
        <v/>
      </c>
      <c r="G13" s="6" t="str">
        <f t="shared" si="5"/>
        <v/>
      </c>
      <c r="H13" s="10" t="str">
        <f t="shared" si="6"/>
        <v/>
      </c>
      <c r="I13" s="6" t="str">
        <f t="shared" si="7"/>
        <v/>
      </c>
      <c r="J13" s="3" t="str">
        <f>IFERROR(MATCH(ROWS(J$8:J13),$S$8:$S$257,0),"")</f>
        <v/>
      </c>
      <c r="K13" s="3" t="str">
        <f t="shared" si="8"/>
        <v/>
      </c>
      <c r="L13" s="3" t="str">
        <f t="shared" si="9"/>
        <v/>
      </c>
      <c r="M13" s="3" t="str">
        <f t="shared" si="10"/>
        <v/>
      </c>
      <c r="N13" s="3" t="str">
        <f t="shared" si="11"/>
        <v/>
      </c>
      <c r="O13" s="3">
        <f t="shared" si="12"/>
        <v>1</v>
      </c>
      <c r="P13" s="3">
        <f t="shared" si="13"/>
        <v>0</v>
      </c>
      <c r="Q13" s="3">
        <f t="shared" si="14"/>
        <v>0</v>
      </c>
      <c r="R13" s="3" t="str">
        <f t="shared" si="15"/>
        <v/>
      </c>
      <c r="S13" s="3">
        <f t="shared" si="16"/>
        <v>0</v>
      </c>
      <c r="T13" s="3" t="str">
        <f t="shared" si="17"/>
        <v/>
      </c>
      <c r="U13" s="3" t="str">
        <f t="shared" si="18"/>
        <v/>
      </c>
      <c r="V13" s="3" t="str">
        <f t="shared" si="19"/>
        <v/>
      </c>
      <c r="W13" s="3" t="str">
        <f t="shared" si="20"/>
        <v/>
      </c>
      <c r="X13" s="3" t="str">
        <f>IF(L13&lt;&gt;"PLAYER","",IF(Y13="Y",INDEX(Players[Name],MATCH(M13,Players[Name],0)),IF(Y13="A",INDEX(Players[Name],MATCH(M13&amp;" ?",Players[Name],0)),M13)))</f>
        <v/>
      </c>
      <c r="Y13" s="3" t="str">
        <f>IF(L13&lt;&gt;"PLAYER","",IF(ISNUMBER(MATCH(M13,Players[Name],0)),"Y",IF(AA13=1,"A","N")))</f>
        <v/>
      </c>
      <c r="Z13" s="3" t="str">
        <f>IF(L13&lt;&gt;"PLAYER","",_xlfn.TEXTJOIN("; ",TRUE,IF(M13="","Empty name",IF(Y13="N",IF(AA13&gt;1,"Which "&amp;M13&amp;"? "&amp;AA13&amp;" players start with it (like "&amp;INDEX(Players[Name],MATCH(M13&amp;" ?",Players[Name],0))&amp;") - type the last initial",IF(ISNUMBER(FIND(" ",M13)),IF(IFERROR(IF(M13="",FALSE,OR(M13="Unknown",AND(LEN(M13)-LEN(SUBSTITUTE(M13," ",""))=1,LEN(M13)&gt;=4,MID(M13,LEN(M13)-1,1)=" ",CODE(RIGHT(M13,1))&gt;=65,CODE(RIGHT(M13,1))&lt;=90))),FALSE),"New player? Not on Players list - add it there first","Not on Players list and not First L format (like Zack B)")&amp;IF(ISNUMBER(MATCH(LEFT(M13,FIND(" ",M13)-1)&amp;" ?",Players[Name],0))," (same first name as "&amp;INDEX(Players[Name],MATCH(LEFT(M13,FIND(" ",M13)-1)&amp;" ?",Players[Name],0))&amp;")",""),"Not on Players list - type first name + last initial (like Zack B)")),"")),IF(OR(V13&lt;Pod_Min,V13&gt;Pod_Max),"Pod has "&amp;V13&amp;" players",""),IF(U13=0,IF(T13=0,"No winner (*) in pod",IF(T13&gt;1,T13&amp;" winners in pod","")),IF(U13&lt;V13,"Some = but not all players","")),IF(X13="Unknown","",IF(COUNTIFS($O$8:$O$257,O13,$Q$8:$Q$257,Q13,$X$8:$X$257,X13)&gt;1,"Name twice in pod",IF(COUNTIFS($O$8:$O$257,O13,$X$8:$X$257,X13)&gt;1,"Name in 2 pods this round","")))))</f>
        <v/>
      </c>
      <c r="AA13" s="3" t="str">
        <f>IF(L13&lt;&gt;"PLAYER","",IF(OR(M13="",ISNUMBER(FIND(" ",M13))),0,COUNTIF(Players[Name],M13&amp;" ?")))</f>
        <v/>
      </c>
    </row>
    <row r="14" spans="1:29" x14ac:dyDescent="0.45">
      <c r="A14" s="17"/>
      <c r="B14" s="6" t="str">
        <f t="shared" si="0"/>
        <v/>
      </c>
      <c r="C14" s="6" t="str">
        <f t="shared" si="1"/>
        <v/>
      </c>
      <c r="D14" s="6" t="str">
        <f t="shared" si="2"/>
        <v/>
      </c>
      <c r="E14" s="6" t="str">
        <f t="shared" si="3"/>
        <v/>
      </c>
      <c r="F14" s="6" t="str">
        <f t="shared" si="4"/>
        <v/>
      </c>
      <c r="G14" s="6" t="str">
        <f t="shared" si="5"/>
        <v/>
      </c>
      <c r="H14" s="10" t="str">
        <f t="shared" si="6"/>
        <v/>
      </c>
      <c r="I14" s="6" t="str">
        <f t="shared" si="7"/>
        <v/>
      </c>
      <c r="J14" s="3" t="str">
        <f>IFERROR(MATCH(ROWS(J$8:J14),$S$8:$S$257,0),"")</f>
        <v/>
      </c>
      <c r="K14" s="3" t="str">
        <f t="shared" si="8"/>
        <v/>
      </c>
      <c r="L14" s="3" t="str">
        <f t="shared" si="9"/>
        <v/>
      </c>
      <c r="M14" s="3" t="str">
        <f t="shared" si="10"/>
        <v/>
      </c>
      <c r="N14" s="3" t="str">
        <f t="shared" si="11"/>
        <v/>
      </c>
      <c r="O14" s="3">
        <f t="shared" si="12"/>
        <v>1</v>
      </c>
      <c r="P14" s="3">
        <f t="shared" si="13"/>
        <v>0</v>
      </c>
      <c r="Q14" s="3">
        <f t="shared" si="14"/>
        <v>0</v>
      </c>
      <c r="R14" s="3" t="str">
        <f t="shared" si="15"/>
        <v/>
      </c>
      <c r="S14" s="3">
        <f t="shared" si="16"/>
        <v>0</v>
      </c>
      <c r="T14" s="3" t="str">
        <f t="shared" si="17"/>
        <v/>
      </c>
      <c r="U14" s="3" t="str">
        <f t="shared" si="18"/>
        <v/>
      </c>
      <c r="V14" s="3" t="str">
        <f t="shared" si="19"/>
        <v/>
      </c>
      <c r="W14" s="3" t="str">
        <f t="shared" si="20"/>
        <v/>
      </c>
      <c r="X14" s="3" t="str">
        <f>IF(L14&lt;&gt;"PLAYER","",IF(Y14="Y",INDEX(Players[Name],MATCH(M14,Players[Name],0)),IF(Y14="A",INDEX(Players[Name],MATCH(M14&amp;" ?",Players[Name],0)),M14)))</f>
        <v/>
      </c>
      <c r="Y14" s="3" t="str">
        <f>IF(L14&lt;&gt;"PLAYER","",IF(ISNUMBER(MATCH(M14,Players[Name],0)),"Y",IF(AA14=1,"A","N")))</f>
        <v/>
      </c>
      <c r="Z14" s="3" t="str">
        <f>IF(L14&lt;&gt;"PLAYER","",_xlfn.TEXTJOIN("; ",TRUE,IF(M14="","Empty name",IF(Y14="N",IF(AA14&gt;1,"Which "&amp;M14&amp;"? "&amp;AA14&amp;" players start with it (like "&amp;INDEX(Players[Name],MATCH(M14&amp;" ?",Players[Name],0))&amp;") - type the last initial",IF(ISNUMBER(FIND(" ",M14)),IF(IFERROR(IF(M14="",FALSE,OR(M14="Unknown",AND(LEN(M14)-LEN(SUBSTITUTE(M14," ",""))=1,LEN(M14)&gt;=4,MID(M14,LEN(M14)-1,1)=" ",CODE(RIGHT(M14,1))&gt;=65,CODE(RIGHT(M14,1))&lt;=90))),FALSE),"New player? Not on Players list - add it there first","Not on Players list and not First L format (like Zack B)")&amp;IF(ISNUMBER(MATCH(LEFT(M14,FIND(" ",M14)-1)&amp;" ?",Players[Name],0))," (same first name as "&amp;INDEX(Players[Name],MATCH(LEFT(M14,FIND(" ",M14)-1)&amp;" ?",Players[Name],0))&amp;")",""),"Not on Players list - type first name + last initial (like Zack B)")),"")),IF(OR(V14&lt;Pod_Min,V14&gt;Pod_Max),"Pod has "&amp;V14&amp;" players",""),IF(U14=0,IF(T14=0,"No winner (*) in pod",IF(T14&gt;1,T14&amp;" winners in pod","")),IF(U14&lt;V14,"Some = but not all players","")),IF(X14="Unknown","",IF(COUNTIFS($O$8:$O$257,O14,$Q$8:$Q$257,Q14,$X$8:$X$257,X14)&gt;1,"Name twice in pod",IF(COUNTIFS($O$8:$O$257,O14,$X$8:$X$257,X14)&gt;1,"Name in 2 pods this round","")))))</f>
        <v/>
      </c>
      <c r="AA14" s="3" t="str">
        <f>IF(L14&lt;&gt;"PLAYER","",IF(OR(M14="",ISNUMBER(FIND(" ",M14))),0,COUNTIF(Players[Name],M14&amp;" ?")))</f>
        <v/>
      </c>
    </row>
    <row r="15" spans="1:29" x14ac:dyDescent="0.45">
      <c r="A15" s="17"/>
      <c r="B15" s="6" t="str">
        <f t="shared" si="0"/>
        <v/>
      </c>
      <c r="C15" s="6" t="str">
        <f t="shared" si="1"/>
        <v/>
      </c>
      <c r="D15" s="6" t="str">
        <f t="shared" si="2"/>
        <v/>
      </c>
      <c r="E15" s="6" t="str">
        <f t="shared" si="3"/>
        <v/>
      </c>
      <c r="F15" s="6" t="str">
        <f t="shared" si="4"/>
        <v/>
      </c>
      <c r="G15" s="6" t="str">
        <f t="shared" si="5"/>
        <v/>
      </c>
      <c r="H15" s="10" t="str">
        <f t="shared" si="6"/>
        <v/>
      </c>
      <c r="I15" s="6" t="str">
        <f t="shared" si="7"/>
        <v/>
      </c>
      <c r="J15" s="3" t="str">
        <f>IFERROR(MATCH(ROWS(J$8:J15),$S$8:$S$257,0),"")</f>
        <v/>
      </c>
      <c r="K15" s="3" t="str">
        <f t="shared" si="8"/>
        <v/>
      </c>
      <c r="L15" s="3" t="str">
        <f t="shared" si="9"/>
        <v/>
      </c>
      <c r="M15" s="3" t="str">
        <f t="shared" si="10"/>
        <v/>
      </c>
      <c r="N15" s="3" t="str">
        <f t="shared" si="11"/>
        <v/>
      </c>
      <c r="O15" s="3">
        <f t="shared" si="12"/>
        <v>1</v>
      </c>
      <c r="P15" s="3">
        <f t="shared" si="13"/>
        <v>0</v>
      </c>
      <c r="Q15" s="3">
        <f t="shared" si="14"/>
        <v>0</v>
      </c>
      <c r="R15" s="3" t="str">
        <f t="shared" si="15"/>
        <v/>
      </c>
      <c r="S15" s="3">
        <f t="shared" si="16"/>
        <v>0</v>
      </c>
      <c r="T15" s="3" t="str">
        <f t="shared" si="17"/>
        <v/>
      </c>
      <c r="U15" s="3" t="str">
        <f t="shared" si="18"/>
        <v/>
      </c>
      <c r="V15" s="3" t="str">
        <f t="shared" si="19"/>
        <v/>
      </c>
      <c r="W15" s="3" t="str">
        <f t="shared" si="20"/>
        <v/>
      </c>
      <c r="X15" s="3" t="str">
        <f>IF(L15&lt;&gt;"PLAYER","",IF(Y15="Y",INDEX(Players[Name],MATCH(M15,Players[Name],0)),IF(Y15="A",INDEX(Players[Name],MATCH(M15&amp;" ?",Players[Name],0)),M15)))</f>
        <v/>
      </c>
      <c r="Y15" s="3" t="str">
        <f>IF(L15&lt;&gt;"PLAYER","",IF(ISNUMBER(MATCH(M15,Players[Name],0)),"Y",IF(AA15=1,"A","N")))</f>
        <v/>
      </c>
      <c r="Z15" s="3" t="str">
        <f>IF(L15&lt;&gt;"PLAYER","",_xlfn.TEXTJOIN("; ",TRUE,IF(M15="","Empty name",IF(Y15="N",IF(AA15&gt;1,"Which "&amp;M15&amp;"? "&amp;AA15&amp;" players start with it (like "&amp;INDEX(Players[Name],MATCH(M15&amp;" ?",Players[Name],0))&amp;") - type the last initial",IF(ISNUMBER(FIND(" ",M15)),IF(IFERROR(IF(M15="",FALSE,OR(M15="Unknown",AND(LEN(M15)-LEN(SUBSTITUTE(M15," ",""))=1,LEN(M15)&gt;=4,MID(M15,LEN(M15)-1,1)=" ",CODE(RIGHT(M15,1))&gt;=65,CODE(RIGHT(M15,1))&lt;=90))),FALSE),"New player? Not on Players list - add it there first","Not on Players list and not First L format (like Zack B)")&amp;IF(ISNUMBER(MATCH(LEFT(M15,FIND(" ",M15)-1)&amp;" ?",Players[Name],0))," (same first name as "&amp;INDEX(Players[Name],MATCH(LEFT(M15,FIND(" ",M15)-1)&amp;" ?",Players[Name],0))&amp;")",""),"Not on Players list - type first name + last initial (like Zack B)")),"")),IF(OR(V15&lt;Pod_Min,V15&gt;Pod_Max),"Pod has "&amp;V15&amp;" players",""),IF(U15=0,IF(T15=0,"No winner (*) in pod",IF(T15&gt;1,T15&amp;" winners in pod","")),IF(U15&lt;V15,"Some = but not all players","")),IF(X15="Unknown","",IF(COUNTIFS($O$8:$O$257,O15,$Q$8:$Q$257,Q15,$X$8:$X$257,X15)&gt;1,"Name twice in pod",IF(COUNTIFS($O$8:$O$257,O15,$X$8:$X$257,X15)&gt;1,"Name in 2 pods this round","")))))</f>
        <v/>
      </c>
      <c r="AA15" s="3" t="str">
        <f>IF(L15&lt;&gt;"PLAYER","",IF(OR(M15="",ISNUMBER(FIND(" ",M15))),0,COUNTIF(Players[Name],M15&amp;" ?")))</f>
        <v/>
      </c>
    </row>
    <row r="16" spans="1:29" x14ac:dyDescent="0.45">
      <c r="A16" s="17"/>
      <c r="B16" s="6" t="str">
        <f t="shared" si="0"/>
        <v/>
      </c>
      <c r="C16" s="6" t="str">
        <f t="shared" si="1"/>
        <v/>
      </c>
      <c r="D16" s="6" t="str">
        <f t="shared" si="2"/>
        <v/>
      </c>
      <c r="E16" s="6" t="str">
        <f t="shared" si="3"/>
        <v/>
      </c>
      <c r="F16" s="6" t="str">
        <f t="shared" si="4"/>
        <v/>
      </c>
      <c r="G16" s="6" t="str">
        <f t="shared" si="5"/>
        <v/>
      </c>
      <c r="H16" s="10" t="str">
        <f t="shared" si="6"/>
        <v/>
      </c>
      <c r="I16" s="6" t="str">
        <f t="shared" si="7"/>
        <v/>
      </c>
      <c r="J16" s="3" t="str">
        <f>IFERROR(MATCH(ROWS(J$8:J16),$S$8:$S$257,0),"")</f>
        <v/>
      </c>
      <c r="K16" s="3" t="str">
        <f t="shared" si="8"/>
        <v/>
      </c>
      <c r="L16" s="3" t="str">
        <f t="shared" si="9"/>
        <v/>
      </c>
      <c r="M16" s="3" t="str">
        <f t="shared" si="10"/>
        <v/>
      </c>
      <c r="N16" s="3" t="str">
        <f t="shared" si="11"/>
        <v/>
      </c>
      <c r="O16" s="3">
        <f t="shared" si="12"/>
        <v>1</v>
      </c>
      <c r="P16" s="3">
        <f t="shared" si="13"/>
        <v>0</v>
      </c>
      <c r="Q16" s="3">
        <f t="shared" si="14"/>
        <v>0</v>
      </c>
      <c r="R16" s="3" t="str">
        <f t="shared" si="15"/>
        <v/>
      </c>
      <c r="S16" s="3">
        <f t="shared" si="16"/>
        <v>0</v>
      </c>
      <c r="T16" s="3" t="str">
        <f t="shared" si="17"/>
        <v/>
      </c>
      <c r="U16" s="3" t="str">
        <f t="shared" si="18"/>
        <v/>
      </c>
      <c r="V16" s="3" t="str">
        <f t="shared" si="19"/>
        <v/>
      </c>
      <c r="W16" s="3" t="str">
        <f t="shared" si="20"/>
        <v/>
      </c>
      <c r="X16" s="3" t="str">
        <f>IF(L16&lt;&gt;"PLAYER","",IF(Y16="Y",INDEX(Players[Name],MATCH(M16,Players[Name],0)),IF(Y16="A",INDEX(Players[Name],MATCH(M16&amp;" ?",Players[Name],0)),M16)))</f>
        <v/>
      </c>
      <c r="Y16" s="3" t="str">
        <f>IF(L16&lt;&gt;"PLAYER","",IF(ISNUMBER(MATCH(M16,Players[Name],0)),"Y",IF(AA16=1,"A","N")))</f>
        <v/>
      </c>
      <c r="Z16" s="3" t="str">
        <f>IF(L16&lt;&gt;"PLAYER","",_xlfn.TEXTJOIN("; ",TRUE,IF(M16="","Empty name",IF(Y16="N",IF(AA16&gt;1,"Which "&amp;M16&amp;"? "&amp;AA16&amp;" players start with it (like "&amp;INDEX(Players[Name],MATCH(M16&amp;" ?",Players[Name],0))&amp;") - type the last initial",IF(ISNUMBER(FIND(" ",M16)),IF(IFERROR(IF(M16="",FALSE,OR(M16="Unknown",AND(LEN(M16)-LEN(SUBSTITUTE(M16," ",""))=1,LEN(M16)&gt;=4,MID(M16,LEN(M16)-1,1)=" ",CODE(RIGHT(M16,1))&gt;=65,CODE(RIGHT(M16,1))&lt;=90))),FALSE),"New player? Not on Players list - add it there first","Not on Players list and not First L format (like Zack B)")&amp;IF(ISNUMBER(MATCH(LEFT(M16,FIND(" ",M16)-1)&amp;" ?",Players[Name],0))," (same first name as "&amp;INDEX(Players[Name],MATCH(LEFT(M16,FIND(" ",M16)-1)&amp;" ?",Players[Name],0))&amp;")",""),"Not on Players list - type first name + last initial (like Zack B)")),"")),IF(OR(V16&lt;Pod_Min,V16&gt;Pod_Max),"Pod has "&amp;V16&amp;" players",""),IF(U16=0,IF(T16=0,"No winner (*) in pod",IF(T16&gt;1,T16&amp;" winners in pod","")),IF(U16&lt;V16,"Some = but not all players","")),IF(X16="Unknown","",IF(COUNTIFS($O$8:$O$257,O16,$Q$8:$Q$257,Q16,$X$8:$X$257,X16)&gt;1,"Name twice in pod",IF(COUNTIFS($O$8:$O$257,O16,$X$8:$X$257,X16)&gt;1,"Name in 2 pods this round","")))))</f>
        <v/>
      </c>
      <c r="AA16" s="3" t="str">
        <f>IF(L16&lt;&gt;"PLAYER","",IF(OR(M16="",ISNUMBER(FIND(" ",M16))),0,COUNTIF(Players[Name],M16&amp;" ?")))</f>
        <v/>
      </c>
    </row>
    <row r="17" spans="1:27" x14ac:dyDescent="0.45">
      <c r="A17" s="17"/>
      <c r="B17" s="6" t="str">
        <f t="shared" si="0"/>
        <v/>
      </c>
      <c r="C17" s="6" t="str">
        <f t="shared" si="1"/>
        <v/>
      </c>
      <c r="D17" s="6" t="str">
        <f t="shared" si="2"/>
        <v/>
      </c>
      <c r="E17" s="6" t="str">
        <f t="shared" si="3"/>
        <v/>
      </c>
      <c r="F17" s="6" t="str">
        <f t="shared" si="4"/>
        <v/>
      </c>
      <c r="G17" s="6" t="str">
        <f t="shared" si="5"/>
        <v/>
      </c>
      <c r="H17" s="10" t="str">
        <f t="shared" si="6"/>
        <v/>
      </c>
      <c r="I17" s="6" t="str">
        <f t="shared" si="7"/>
        <v/>
      </c>
      <c r="J17" s="3" t="str">
        <f>IFERROR(MATCH(ROWS(J$8:J17),$S$8:$S$257,0),"")</f>
        <v/>
      </c>
      <c r="K17" s="3" t="str">
        <f t="shared" si="8"/>
        <v/>
      </c>
      <c r="L17" s="3" t="str">
        <f t="shared" si="9"/>
        <v/>
      </c>
      <c r="M17" s="3" t="str">
        <f t="shared" si="10"/>
        <v/>
      </c>
      <c r="N17" s="3" t="str">
        <f t="shared" si="11"/>
        <v/>
      </c>
      <c r="O17" s="3">
        <f t="shared" si="12"/>
        <v>1</v>
      </c>
      <c r="P17" s="3">
        <f t="shared" si="13"/>
        <v>0</v>
      </c>
      <c r="Q17" s="3">
        <f t="shared" si="14"/>
        <v>0</v>
      </c>
      <c r="R17" s="3" t="str">
        <f t="shared" si="15"/>
        <v/>
      </c>
      <c r="S17" s="3">
        <f t="shared" si="16"/>
        <v>0</v>
      </c>
      <c r="T17" s="3" t="str">
        <f t="shared" si="17"/>
        <v/>
      </c>
      <c r="U17" s="3" t="str">
        <f t="shared" si="18"/>
        <v/>
      </c>
      <c r="V17" s="3" t="str">
        <f t="shared" si="19"/>
        <v/>
      </c>
      <c r="W17" s="3" t="str">
        <f t="shared" si="20"/>
        <v/>
      </c>
      <c r="X17" s="3" t="str">
        <f>IF(L17&lt;&gt;"PLAYER","",IF(Y17="Y",INDEX(Players[Name],MATCH(M17,Players[Name],0)),IF(Y17="A",INDEX(Players[Name],MATCH(M17&amp;" ?",Players[Name],0)),M17)))</f>
        <v/>
      </c>
      <c r="Y17" s="3" t="str">
        <f>IF(L17&lt;&gt;"PLAYER","",IF(ISNUMBER(MATCH(M17,Players[Name],0)),"Y",IF(AA17=1,"A","N")))</f>
        <v/>
      </c>
      <c r="Z17" s="3" t="str">
        <f>IF(L17&lt;&gt;"PLAYER","",_xlfn.TEXTJOIN("; ",TRUE,IF(M17="","Empty name",IF(Y17="N",IF(AA17&gt;1,"Which "&amp;M17&amp;"? "&amp;AA17&amp;" players start with it (like "&amp;INDEX(Players[Name],MATCH(M17&amp;" ?",Players[Name],0))&amp;") - type the last initial",IF(ISNUMBER(FIND(" ",M17)),IF(IFERROR(IF(M17="",FALSE,OR(M17="Unknown",AND(LEN(M17)-LEN(SUBSTITUTE(M17," ",""))=1,LEN(M17)&gt;=4,MID(M17,LEN(M17)-1,1)=" ",CODE(RIGHT(M17,1))&gt;=65,CODE(RIGHT(M17,1))&lt;=90))),FALSE),"New player? Not on Players list - add it there first","Not on Players list and not First L format (like Zack B)")&amp;IF(ISNUMBER(MATCH(LEFT(M17,FIND(" ",M17)-1)&amp;" ?",Players[Name],0))," (same first name as "&amp;INDEX(Players[Name],MATCH(LEFT(M17,FIND(" ",M17)-1)&amp;" ?",Players[Name],0))&amp;")",""),"Not on Players list - type first name + last initial (like Zack B)")),"")),IF(OR(V17&lt;Pod_Min,V17&gt;Pod_Max),"Pod has "&amp;V17&amp;" players",""),IF(U17=0,IF(T17=0,"No winner (*) in pod",IF(T17&gt;1,T17&amp;" winners in pod","")),IF(U17&lt;V17,"Some = but not all players","")),IF(X17="Unknown","",IF(COUNTIFS($O$8:$O$257,O17,$Q$8:$Q$257,Q17,$X$8:$X$257,X17)&gt;1,"Name twice in pod",IF(COUNTIFS($O$8:$O$257,O17,$X$8:$X$257,X17)&gt;1,"Name in 2 pods this round","")))))</f>
        <v/>
      </c>
      <c r="AA17" s="3" t="str">
        <f>IF(L17&lt;&gt;"PLAYER","",IF(OR(M17="",ISNUMBER(FIND(" ",M17))),0,COUNTIF(Players[Name],M17&amp;" ?")))</f>
        <v/>
      </c>
    </row>
    <row r="18" spans="1:27" x14ac:dyDescent="0.45">
      <c r="A18" s="17"/>
      <c r="B18" s="6" t="str">
        <f t="shared" si="0"/>
        <v/>
      </c>
      <c r="C18" s="6" t="str">
        <f t="shared" si="1"/>
        <v/>
      </c>
      <c r="D18" s="6" t="str">
        <f t="shared" si="2"/>
        <v/>
      </c>
      <c r="E18" s="6" t="str">
        <f t="shared" si="3"/>
        <v/>
      </c>
      <c r="F18" s="6" t="str">
        <f t="shared" si="4"/>
        <v/>
      </c>
      <c r="G18" s="6" t="str">
        <f t="shared" si="5"/>
        <v/>
      </c>
      <c r="H18" s="10" t="str">
        <f t="shared" si="6"/>
        <v/>
      </c>
      <c r="I18" s="6" t="str">
        <f t="shared" si="7"/>
        <v/>
      </c>
      <c r="J18" s="3" t="str">
        <f>IFERROR(MATCH(ROWS(J$8:J18),$S$8:$S$257,0),"")</f>
        <v/>
      </c>
      <c r="K18" s="3" t="str">
        <f t="shared" si="8"/>
        <v/>
      </c>
      <c r="L18" s="3" t="str">
        <f t="shared" si="9"/>
        <v/>
      </c>
      <c r="M18" s="3" t="str">
        <f t="shared" si="10"/>
        <v/>
      </c>
      <c r="N18" s="3" t="str">
        <f t="shared" si="11"/>
        <v/>
      </c>
      <c r="O18" s="3">
        <f t="shared" si="12"/>
        <v>1</v>
      </c>
      <c r="P18" s="3">
        <f t="shared" si="13"/>
        <v>0</v>
      </c>
      <c r="Q18" s="3">
        <f t="shared" si="14"/>
        <v>0</v>
      </c>
      <c r="R18" s="3" t="str">
        <f t="shared" si="15"/>
        <v/>
      </c>
      <c r="S18" s="3">
        <f t="shared" si="16"/>
        <v>0</v>
      </c>
      <c r="T18" s="3" t="str">
        <f t="shared" si="17"/>
        <v/>
      </c>
      <c r="U18" s="3" t="str">
        <f t="shared" si="18"/>
        <v/>
      </c>
      <c r="V18" s="3" t="str">
        <f t="shared" si="19"/>
        <v/>
      </c>
      <c r="W18" s="3" t="str">
        <f t="shared" si="20"/>
        <v/>
      </c>
      <c r="X18" s="3" t="str">
        <f>IF(L18&lt;&gt;"PLAYER","",IF(Y18="Y",INDEX(Players[Name],MATCH(M18,Players[Name],0)),IF(Y18="A",INDEX(Players[Name],MATCH(M18&amp;" ?",Players[Name],0)),M18)))</f>
        <v/>
      </c>
      <c r="Y18" s="3" t="str">
        <f>IF(L18&lt;&gt;"PLAYER","",IF(ISNUMBER(MATCH(M18,Players[Name],0)),"Y",IF(AA18=1,"A","N")))</f>
        <v/>
      </c>
      <c r="Z18" s="3" t="str">
        <f>IF(L18&lt;&gt;"PLAYER","",_xlfn.TEXTJOIN("; ",TRUE,IF(M18="","Empty name",IF(Y18="N",IF(AA18&gt;1,"Which "&amp;M18&amp;"? "&amp;AA18&amp;" players start with it (like "&amp;INDEX(Players[Name],MATCH(M18&amp;" ?",Players[Name],0))&amp;") - type the last initial",IF(ISNUMBER(FIND(" ",M18)),IF(IFERROR(IF(M18="",FALSE,OR(M18="Unknown",AND(LEN(M18)-LEN(SUBSTITUTE(M18," ",""))=1,LEN(M18)&gt;=4,MID(M18,LEN(M18)-1,1)=" ",CODE(RIGHT(M18,1))&gt;=65,CODE(RIGHT(M18,1))&lt;=90))),FALSE),"New player? Not on Players list - add it there first","Not on Players list and not First L format (like Zack B)")&amp;IF(ISNUMBER(MATCH(LEFT(M18,FIND(" ",M18)-1)&amp;" ?",Players[Name],0))," (same first name as "&amp;INDEX(Players[Name],MATCH(LEFT(M18,FIND(" ",M18)-1)&amp;" ?",Players[Name],0))&amp;")",""),"Not on Players list - type first name + last initial (like Zack B)")),"")),IF(OR(V18&lt;Pod_Min,V18&gt;Pod_Max),"Pod has "&amp;V18&amp;" players",""),IF(U18=0,IF(T18=0,"No winner (*) in pod",IF(T18&gt;1,T18&amp;" winners in pod","")),IF(U18&lt;V18,"Some = but not all players","")),IF(X18="Unknown","",IF(COUNTIFS($O$8:$O$257,O18,$Q$8:$Q$257,Q18,$X$8:$X$257,X18)&gt;1,"Name twice in pod",IF(COUNTIFS($O$8:$O$257,O18,$X$8:$X$257,X18)&gt;1,"Name in 2 pods this round","")))))</f>
        <v/>
      </c>
      <c r="AA18" s="3" t="str">
        <f>IF(L18&lt;&gt;"PLAYER","",IF(OR(M18="",ISNUMBER(FIND(" ",M18))),0,COUNTIF(Players[Name],M18&amp;" ?")))</f>
        <v/>
      </c>
    </row>
    <row r="19" spans="1:27" x14ac:dyDescent="0.45">
      <c r="A19" s="17"/>
      <c r="B19" s="6" t="str">
        <f t="shared" si="0"/>
        <v/>
      </c>
      <c r="C19" s="6" t="str">
        <f t="shared" si="1"/>
        <v/>
      </c>
      <c r="D19" s="6" t="str">
        <f t="shared" si="2"/>
        <v/>
      </c>
      <c r="E19" s="6" t="str">
        <f t="shared" si="3"/>
        <v/>
      </c>
      <c r="F19" s="6" t="str">
        <f t="shared" si="4"/>
        <v/>
      </c>
      <c r="G19" s="6" t="str">
        <f t="shared" si="5"/>
        <v/>
      </c>
      <c r="H19" s="10" t="str">
        <f t="shared" si="6"/>
        <v/>
      </c>
      <c r="I19" s="6" t="str">
        <f t="shared" si="7"/>
        <v/>
      </c>
      <c r="J19" s="3" t="str">
        <f>IFERROR(MATCH(ROWS(J$8:J19),$S$8:$S$257,0),"")</f>
        <v/>
      </c>
      <c r="K19" s="3" t="str">
        <f t="shared" si="8"/>
        <v/>
      </c>
      <c r="L19" s="3" t="str">
        <f t="shared" si="9"/>
        <v/>
      </c>
      <c r="M19" s="3" t="str">
        <f t="shared" si="10"/>
        <v/>
      </c>
      <c r="N19" s="3" t="str">
        <f t="shared" si="11"/>
        <v/>
      </c>
      <c r="O19" s="3">
        <f t="shared" si="12"/>
        <v>1</v>
      </c>
      <c r="P19" s="3">
        <f t="shared" si="13"/>
        <v>0</v>
      </c>
      <c r="Q19" s="3">
        <f t="shared" si="14"/>
        <v>0</v>
      </c>
      <c r="R19" s="3" t="str">
        <f t="shared" si="15"/>
        <v/>
      </c>
      <c r="S19" s="3">
        <f t="shared" si="16"/>
        <v>0</v>
      </c>
      <c r="T19" s="3" t="str">
        <f t="shared" si="17"/>
        <v/>
      </c>
      <c r="U19" s="3" t="str">
        <f t="shared" si="18"/>
        <v/>
      </c>
      <c r="V19" s="3" t="str">
        <f t="shared" si="19"/>
        <v/>
      </c>
      <c r="W19" s="3" t="str">
        <f t="shared" si="20"/>
        <v/>
      </c>
      <c r="X19" s="3" t="str">
        <f>IF(L19&lt;&gt;"PLAYER","",IF(Y19="Y",INDEX(Players[Name],MATCH(M19,Players[Name],0)),IF(Y19="A",INDEX(Players[Name],MATCH(M19&amp;" ?",Players[Name],0)),M19)))</f>
        <v/>
      </c>
      <c r="Y19" s="3" t="str">
        <f>IF(L19&lt;&gt;"PLAYER","",IF(ISNUMBER(MATCH(M19,Players[Name],0)),"Y",IF(AA19=1,"A","N")))</f>
        <v/>
      </c>
      <c r="Z19" s="3" t="str">
        <f>IF(L19&lt;&gt;"PLAYER","",_xlfn.TEXTJOIN("; ",TRUE,IF(M19="","Empty name",IF(Y19="N",IF(AA19&gt;1,"Which "&amp;M19&amp;"? "&amp;AA19&amp;" players start with it (like "&amp;INDEX(Players[Name],MATCH(M19&amp;" ?",Players[Name],0))&amp;") - type the last initial",IF(ISNUMBER(FIND(" ",M19)),IF(IFERROR(IF(M19="",FALSE,OR(M19="Unknown",AND(LEN(M19)-LEN(SUBSTITUTE(M19," ",""))=1,LEN(M19)&gt;=4,MID(M19,LEN(M19)-1,1)=" ",CODE(RIGHT(M19,1))&gt;=65,CODE(RIGHT(M19,1))&lt;=90))),FALSE),"New player? Not on Players list - add it there first","Not on Players list and not First L format (like Zack B)")&amp;IF(ISNUMBER(MATCH(LEFT(M19,FIND(" ",M19)-1)&amp;" ?",Players[Name],0))," (same first name as "&amp;INDEX(Players[Name],MATCH(LEFT(M19,FIND(" ",M19)-1)&amp;" ?",Players[Name],0))&amp;")",""),"Not on Players list - type first name + last initial (like Zack B)")),"")),IF(OR(V19&lt;Pod_Min,V19&gt;Pod_Max),"Pod has "&amp;V19&amp;" players",""),IF(U19=0,IF(T19=0,"No winner (*) in pod",IF(T19&gt;1,T19&amp;" winners in pod","")),IF(U19&lt;V19,"Some = but not all players","")),IF(X19="Unknown","",IF(COUNTIFS($O$8:$O$257,O19,$Q$8:$Q$257,Q19,$X$8:$X$257,X19)&gt;1,"Name twice in pod",IF(COUNTIFS($O$8:$O$257,O19,$X$8:$X$257,X19)&gt;1,"Name in 2 pods this round","")))))</f>
        <v/>
      </c>
      <c r="AA19" s="3" t="str">
        <f>IF(L19&lt;&gt;"PLAYER","",IF(OR(M19="",ISNUMBER(FIND(" ",M19))),0,COUNTIF(Players[Name],M19&amp;" ?")))</f>
        <v/>
      </c>
    </row>
    <row r="20" spans="1:27" x14ac:dyDescent="0.45">
      <c r="A20" s="17"/>
      <c r="B20" s="6" t="str">
        <f t="shared" si="0"/>
        <v/>
      </c>
      <c r="C20" s="6" t="str">
        <f t="shared" si="1"/>
        <v/>
      </c>
      <c r="D20" s="6" t="str">
        <f t="shared" si="2"/>
        <v/>
      </c>
      <c r="E20" s="6" t="str">
        <f t="shared" si="3"/>
        <v/>
      </c>
      <c r="F20" s="6" t="str">
        <f t="shared" si="4"/>
        <v/>
      </c>
      <c r="G20" s="6" t="str">
        <f t="shared" si="5"/>
        <v/>
      </c>
      <c r="H20" s="10" t="str">
        <f t="shared" si="6"/>
        <v/>
      </c>
      <c r="I20" s="6" t="str">
        <f t="shared" si="7"/>
        <v/>
      </c>
      <c r="J20" s="3" t="str">
        <f>IFERROR(MATCH(ROWS(J$8:J20),$S$8:$S$257,0),"")</f>
        <v/>
      </c>
      <c r="K20" s="3" t="str">
        <f t="shared" si="8"/>
        <v/>
      </c>
      <c r="L20" s="3" t="str">
        <f t="shared" si="9"/>
        <v/>
      </c>
      <c r="M20" s="3" t="str">
        <f t="shared" si="10"/>
        <v/>
      </c>
      <c r="N20" s="3" t="str">
        <f t="shared" si="11"/>
        <v/>
      </c>
      <c r="O20" s="3">
        <f t="shared" si="12"/>
        <v>1</v>
      </c>
      <c r="P20" s="3">
        <f t="shared" si="13"/>
        <v>0</v>
      </c>
      <c r="Q20" s="3">
        <f t="shared" si="14"/>
        <v>0</v>
      </c>
      <c r="R20" s="3" t="str">
        <f t="shared" si="15"/>
        <v/>
      </c>
      <c r="S20" s="3">
        <f t="shared" si="16"/>
        <v>0</v>
      </c>
      <c r="T20" s="3" t="str">
        <f t="shared" si="17"/>
        <v/>
      </c>
      <c r="U20" s="3" t="str">
        <f t="shared" si="18"/>
        <v/>
      </c>
      <c r="V20" s="3" t="str">
        <f t="shared" si="19"/>
        <v/>
      </c>
      <c r="W20" s="3" t="str">
        <f t="shared" si="20"/>
        <v/>
      </c>
      <c r="X20" s="3" t="str">
        <f>IF(L20&lt;&gt;"PLAYER","",IF(Y20="Y",INDEX(Players[Name],MATCH(M20,Players[Name],0)),IF(Y20="A",INDEX(Players[Name],MATCH(M20&amp;" ?",Players[Name],0)),M20)))</f>
        <v/>
      </c>
      <c r="Y20" s="3" t="str">
        <f>IF(L20&lt;&gt;"PLAYER","",IF(ISNUMBER(MATCH(M20,Players[Name],0)),"Y",IF(AA20=1,"A","N")))</f>
        <v/>
      </c>
      <c r="Z20" s="3" t="str">
        <f>IF(L20&lt;&gt;"PLAYER","",_xlfn.TEXTJOIN("; ",TRUE,IF(M20="","Empty name",IF(Y20="N",IF(AA20&gt;1,"Which "&amp;M20&amp;"? "&amp;AA20&amp;" players start with it (like "&amp;INDEX(Players[Name],MATCH(M20&amp;" ?",Players[Name],0))&amp;") - type the last initial",IF(ISNUMBER(FIND(" ",M20)),IF(IFERROR(IF(M20="",FALSE,OR(M20="Unknown",AND(LEN(M20)-LEN(SUBSTITUTE(M20," ",""))=1,LEN(M20)&gt;=4,MID(M20,LEN(M20)-1,1)=" ",CODE(RIGHT(M20,1))&gt;=65,CODE(RIGHT(M20,1))&lt;=90))),FALSE),"New player? Not on Players list - add it there first","Not on Players list and not First L format (like Zack B)")&amp;IF(ISNUMBER(MATCH(LEFT(M20,FIND(" ",M20)-1)&amp;" ?",Players[Name],0))," (same first name as "&amp;INDEX(Players[Name],MATCH(LEFT(M20,FIND(" ",M20)-1)&amp;" ?",Players[Name],0))&amp;")",""),"Not on Players list - type first name + last initial (like Zack B)")),"")),IF(OR(V20&lt;Pod_Min,V20&gt;Pod_Max),"Pod has "&amp;V20&amp;" players",""),IF(U20=0,IF(T20=0,"No winner (*) in pod",IF(T20&gt;1,T20&amp;" winners in pod","")),IF(U20&lt;V20,"Some = but not all players","")),IF(X20="Unknown","",IF(COUNTIFS($O$8:$O$257,O20,$Q$8:$Q$257,Q20,$X$8:$X$257,X20)&gt;1,"Name twice in pod",IF(COUNTIFS($O$8:$O$257,O20,$X$8:$X$257,X20)&gt;1,"Name in 2 pods this round","")))))</f>
        <v/>
      </c>
      <c r="AA20" s="3" t="str">
        <f>IF(L20&lt;&gt;"PLAYER","",IF(OR(M20="",ISNUMBER(FIND(" ",M20))),0,COUNTIF(Players[Name],M20&amp;" ?")))</f>
        <v/>
      </c>
    </row>
    <row r="21" spans="1:27" x14ac:dyDescent="0.45">
      <c r="A21" s="17"/>
      <c r="B21" s="6" t="str">
        <f t="shared" si="0"/>
        <v/>
      </c>
      <c r="C21" s="6" t="str">
        <f t="shared" si="1"/>
        <v/>
      </c>
      <c r="D21" s="6" t="str">
        <f t="shared" si="2"/>
        <v/>
      </c>
      <c r="E21" s="6" t="str">
        <f t="shared" si="3"/>
        <v/>
      </c>
      <c r="F21" s="6" t="str">
        <f t="shared" si="4"/>
        <v/>
      </c>
      <c r="G21" s="6" t="str">
        <f t="shared" si="5"/>
        <v/>
      </c>
      <c r="H21" s="10" t="str">
        <f t="shared" si="6"/>
        <v/>
      </c>
      <c r="I21" s="6" t="str">
        <f t="shared" si="7"/>
        <v/>
      </c>
      <c r="J21" s="3" t="str">
        <f>IFERROR(MATCH(ROWS(J$8:J21),$S$8:$S$257,0),"")</f>
        <v/>
      </c>
      <c r="K21" s="3" t="str">
        <f t="shared" si="8"/>
        <v/>
      </c>
      <c r="L21" s="3" t="str">
        <f t="shared" si="9"/>
        <v/>
      </c>
      <c r="M21" s="3" t="str">
        <f t="shared" si="10"/>
        <v/>
      </c>
      <c r="N21" s="3" t="str">
        <f t="shared" si="11"/>
        <v/>
      </c>
      <c r="O21" s="3">
        <f t="shared" si="12"/>
        <v>1</v>
      </c>
      <c r="P21" s="3">
        <f t="shared" si="13"/>
        <v>0</v>
      </c>
      <c r="Q21" s="3">
        <f t="shared" si="14"/>
        <v>0</v>
      </c>
      <c r="R21" s="3" t="str">
        <f t="shared" si="15"/>
        <v/>
      </c>
      <c r="S21" s="3">
        <f t="shared" si="16"/>
        <v>0</v>
      </c>
      <c r="T21" s="3" t="str">
        <f t="shared" si="17"/>
        <v/>
      </c>
      <c r="U21" s="3" t="str">
        <f t="shared" si="18"/>
        <v/>
      </c>
      <c r="V21" s="3" t="str">
        <f t="shared" si="19"/>
        <v/>
      </c>
      <c r="W21" s="3" t="str">
        <f t="shared" si="20"/>
        <v/>
      </c>
      <c r="X21" s="3" t="str">
        <f>IF(L21&lt;&gt;"PLAYER","",IF(Y21="Y",INDEX(Players[Name],MATCH(M21,Players[Name],0)),IF(Y21="A",INDEX(Players[Name],MATCH(M21&amp;" ?",Players[Name],0)),M21)))</f>
        <v/>
      </c>
      <c r="Y21" s="3" t="str">
        <f>IF(L21&lt;&gt;"PLAYER","",IF(ISNUMBER(MATCH(M21,Players[Name],0)),"Y",IF(AA21=1,"A","N")))</f>
        <v/>
      </c>
      <c r="Z21" s="3" t="str">
        <f>IF(L21&lt;&gt;"PLAYER","",_xlfn.TEXTJOIN("; ",TRUE,IF(M21="","Empty name",IF(Y21="N",IF(AA21&gt;1,"Which "&amp;M21&amp;"? "&amp;AA21&amp;" players start with it (like "&amp;INDEX(Players[Name],MATCH(M21&amp;" ?",Players[Name],0))&amp;") - type the last initial",IF(ISNUMBER(FIND(" ",M21)),IF(IFERROR(IF(M21="",FALSE,OR(M21="Unknown",AND(LEN(M21)-LEN(SUBSTITUTE(M21," ",""))=1,LEN(M21)&gt;=4,MID(M21,LEN(M21)-1,1)=" ",CODE(RIGHT(M21,1))&gt;=65,CODE(RIGHT(M21,1))&lt;=90))),FALSE),"New player? Not on Players list - add it there first","Not on Players list and not First L format (like Zack B)")&amp;IF(ISNUMBER(MATCH(LEFT(M21,FIND(" ",M21)-1)&amp;" ?",Players[Name],0))," (same first name as "&amp;INDEX(Players[Name],MATCH(LEFT(M21,FIND(" ",M21)-1)&amp;" ?",Players[Name],0))&amp;")",""),"Not on Players list - type first name + last initial (like Zack B)")),"")),IF(OR(V21&lt;Pod_Min,V21&gt;Pod_Max),"Pod has "&amp;V21&amp;" players",""),IF(U21=0,IF(T21=0,"No winner (*) in pod",IF(T21&gt;1,T21&amp;" winners in pod","")),IF(U21&lt;V21,"Some = but not all players","")),IF(X21="Unknown","",IF(COUNTIFS($O$8:$O$257,O21,$Q$8:$Q$257,Q21,$X$8:$X$257,X21)&gt;1,"Name twice in pod",IF(COUNTIFS($O$8:$O$257,O21,$X$8:$X$257,X21)&gt;1,"Name in 2 pods this round","")))))</f>
        <v/>
      </c>
      <c r="AA21" s="3" t="str">
        <f>IF(L21&lt;&gt;"PLAYER","",IF(OR(M21="",ISNUMBER(FIND(" ",M21))),0,COUNTIF(Players[Name],M21&amp;" ?")))</f>
        <v/>
      </c>
    </row>
    <row r="22" spans="1:27" x14ac:dyDescent="0.45">
      <c r="A22" s="17"/>
      <c r="B22" s="6" t="str">
        <f t="shared" si="0"/>
        <v/>
      </c>
      <c r="C22" s="6" t="str">
        <f t="shared" si="1"/>
        <v/>
      </c>
      <c r="D22" s="6" t="str">
        <f t="shared" si="2"/>
        <v/>
      </c>
      <c r="E22" s="6" t="str">
        <f t="shared" si="3"/>
        <v/>
      </c>
      <c r="F22" s="6" t="str">
        <f t="shared" si="4"/>
        <v/>
      </c>
      <c r="G22" s="6" t="str">
        <f t="shared" si="5"/>
        <v/>
      </c>
      <c r="H22" s="10" t="str">
        <f t="shared" si="6"/>
        <v/>
      </c>
      <c r="I22" s="6" t="str">
        <f t="shared" si="7"/>
        <v/>
      </c>
      <c r="J22" s="3" t="str">
        <f>IFERROR(MATCH(ROWS(J$8:J22),$S$8:$S$257,0),"")</f>
        <v/>
      </c>
      <c r="K22" s="3" t="str">
        <f t="shared" si="8"/>
        <v/>
      </c>
      <c r="L22" s="3" t="str">
        <f t="shared" si="9"/>
        <v/>
      </c>
      <c r="M22" s="3" t="str">
        <f t="shared" si="10"/>
        <v/>
      </c>
      <c r="N22" s="3" t="str">
        <f t="shared" si="11"/>
        <v/>
      </c>
      <c r="O22" s="3">
        <f t="shared" si="12"/>
        <v>1</v>
      </c>
      <c r="P22" s="3">
        <f t="shared" si="13"/>
        <v>0</v>
      </c>
      <c r="Q22" s="3">
        <f t="shared" si="14"/>
        <v>0</v>
      </c>
      <c r="R22" s="3" t="str">
        <f t="shared" si="15"/>
        <v/>
      </c>
      <c r="S22" s="3">
        <f t="shared" si="16"/>
        <v>0</v>
      </c>
      <c r="T22" s="3" t="str">
        <f t="shared" si="17"/>
        <v/>
      </c>
      <c r="U22" s="3" t="str">
        <f t="shared" si="18"/>
        <v/>
      </c>
      <c r="V22" s="3" t="str">
        <f t="shared" si="19"/>
        <v/>
      </c>
      <c r="W22" s="3" t="str">
        <f t="shared" si="20"/>
        <v/>
      </c>
      <c r="X22" s="3" t="str">
        <f>IF(L22&lt;&gt;"PLAYER","",IF(Y22="Y",INDEX(Players[Name],MATCH(M22,Players[Name],0)),IF(Y22="A",INDEX(Players[Name],MATCH(M22&amp;" ?",Players[Name],0)),M22)))</f>
        <v/>
      </c>
      <c r="Y22" s="3" t="str">
        <f>IF(L22&lt;&gt;"PLAYER","",IF(ISNUMBER(MATCH(M22,Players[Name],0)),"Y",IF(AA22=1,"A","N")))</f>
        <v/>
      </c>
      <c r="Z22" s="3" t="str">
        <f>IF(L22&lt;&gt;"PLAYER","",_xlfn.TEXTJOIN("; ",TRUE,IF(M22="","Empty name",IF(Y22="N",IF(AA22&gt;1,"Which "&amp;M22&amp;"? "&amp;AA22&amp;" players start with it (like "&amp;INDEX(Players[Name],MATCH(M22&amp;" ?",Players[Name],0))&amp;") - type the last initial",IF(ISNUMBER(FIND(" ",M22)),IF(IFERROR(IF(M22="",FALSE,OR(M22="Unknown",AND(LEN(M22)-LEN(SUBSTITUTE(M22," ",""))=1,LEN(M22)&gt;=4,MID(M22,LEN(M22)-1,1)=" ",CODE(RIGHT(M22,1))&gt;=65,CODE(RIGHT(M22,1))&lt;=90))),FALSE),"New player? Not on Players list - add it there first","Not on Players list and not First L format (like Zack B)")&amp;IF(ISNUMBER(MATCH(LEFT(M22,FIND(" ",M22)-1)&amp;" ?",Players[Name],0))," (same first name as "&amp;INDEX(Players[Name],MATCH(LEFT(M22,FIND(" ",M22)-1)&amp;" ?",Players[Name],0))&amp;")",""),"Not on Players list - type first name + last initial (like Zack B)")),"")),IF(OR(V22&lt;Pod_Min,V22&gt;Pod_Max),"Pod has "&amp;V22&amp;" players",""),IF(U22=0,IF(T22=0,"No winner (*) in pod",IF(T22&gt;1,T22&amp;" winners in pod","")),IF(U22&lt;V22,"Some = but not all players","")),IF(X22="Unknown","",IF(COUNTIFS($O$8:$O$257,O22,$Q$8:$Q$257,Q22,$X$8:$X$257,X22)&gt;1,"Name twice in pod",IF(COUNTIFS($O$8:$O$257,O22,$X$8:$X$257,X22)&gt;1,"Name in 2 pods this round","")))))</f>
        <v/>
      </c>
      <c r="AA22" s="3" t="str">
        <f>IF(L22&lt;&gt;"PLAYER","",IF(OR(M22="",ISNUMBER(FIND(" ",M22))),0,COUNTIF(Players[Name],M22&amp;" ?")))</f>
        <v/>
      </c>
    </row>
    <row r="23" spans="1:27" x14ac:dyDescent="0.45">
      <c r="A23" s="17"/>
      <c r="B23" s="6" t="str">
        <f t="shared" si="0"/>
        <v/>
      </c>
      <c r="C23" s="6" t="str">
        <f t="shared" si="1"/>
        <v/>
      </c>
      <c r="D23" s="6" t="str">
        <f t="shared" si="2"/>
        <v/>
      </c>
      <c r="E23" s="6" t="str">
        <f t="shared" si="3"/>
        <v/>
      </c>
      <c r="F23" s="6" t="str">
        <f t="shared" si="4"/>
        <v/>
      </c>
      <c r="G23" s="6" t="str">
        <f t="shared" si="5"/>
        <v/>
      </c>
      <c r="H23" s="10" t="str">
        <f t="shared" si="6"/>
        <v/>
      </c>
      <c r="I23" s="6" t="str">
        <f t="shared" si="7"/>
        <v/>
      </c>
      <c r="J23" s="3" t="str">
        <f>IFERROR(MATCH(ROWS(J$8:J23),$S$8:$S$257,0),"")</f>
        <v/>
      </c>
      <c r="K23" s="3" t="str">
        <f t="shared" si="8"/>
        <v/>
      </c>
      <c r="L23" s="3" t="str">
        <f t="shared" si="9"/>
        <v/>
      </c>
      <c r="M23" s="3" t="str">
        <f t="shared" si="10"/>
        <v/>
      </c>
      <c r="N23" s="3" t="str">
        <f t="shared" si="11"/>
        <v/>
      </c>
      <c r="O23" s="3">
        <f t="shared" si="12"/>
        <v>1</v>
      </c>
      <c r="P23" s="3">
        <f t="shared" si="13"/>
        <v>0</v>
      </c>
      <c r="Q23" s="3">
        <f t="shared" si="14"/>
        <v>0</v>
      </c>
      <c r="R23" s="3" t="str">
        <f t="shared" si="15"/>
        <v/>
      </c>
      <c r="S23" s="3">
        <f t="shared" si="16"/>
        <v>0</v>
      </c>
      <c r="T23" s="3" t="str">
        <f t="shared" si="17"/>
        <v/>
      </c>
      <c r="U23" s="3" t="str">
        <f t="shared" si="18"/>
        <v/>
      </c>
      <c r="V23" s="3" t="str">
        <f t="shared" si="19"/>
        <v/>
      </c>
      <c r="W23" s="3" t="str">
        <f t="shared" si="20"/>
        <v/>
      </c>
      <c r="X23" s="3" t="str">
        <f>IF(L23&lt;&gt;"PLAYER","",IF(Y23="Y",INDEX(Players[Name],MATCH(M23,Players[Name],0)),IF(Y23="A",INDEX(Players[Name],MATCH(M23&amp;" ?",Players[Name],0)),M23)))</f>
        <v/>
      </c>
      <c r="Y23" s="3" t="str">
        <f>IF(L23&lt;&gt;"PLAYER","",IF(ISNUMBER(MATCH(M23,Players[Name],0)),"Y",IF(AA23=1,"A","N")))</f>
        <v/>
      </c>
      <c r="Z23" s="3" t="str">
        <f>IF(L23&lt;&gt;"PLAYER","",_xlfn.TEXTJOIN("; ",TRUE,IF(M23="","Empty name",IF(Y23="N",IF(AA23&gt;1,"Which "&amp;M23&amp;"? "&amp;AA23&amp;" players start with it (like "&amp;INDEX(Players[Name],MATCH(M23&amp;" ?",Players[Name],0))&amp;") - type the last initial",IF(ISNUMBER(FIND(" ",M23)),IF(IFERROR(IF(M23="",FALSE,OR(M23="Unknown",AND(LEN(M23)-LEN(SUBSTITUTE(M23," ",""))=1,LEN(M23)&gt;=4,MID(M23,LEN(M23)-1,1)=" ",CODE(RIGHT(M23,1))&gt;=65,CODE(RIGHT(M23,1))&lt;=90))),FALSE),"New player? Not on Players list - add it there first","Not on Players list and not First L format (like Zack B)")&amp;IF(ISNUMBER(MATCH(LEFT(M23,FIND(" ",M23)-1)&amp;" ?",Players[Name],0))," (same first name as "&amp;INDEX(Players[Name],MATCH(LEFT(M23,FIND(" ",M23)-1)&amp;" ?",Players[Name],0))&amp;")",""),"Not on Players list - type first name + last initial (like Zack B)")),"")),IF(OR(V23&lt;Pod_Min,V23&gt;Pod_Max),"Pod has "&amp;V23&amp;" players",""),IF(U23=0,IF(T23=0,"No winner (*) in pod",IF(T23&gt;1,T23&amp;" winners in pod","")),IF(U23&lt;V23,"Some = but not all players","")),IF(X23="Unknown","",IF(COUNTIFS($O$8:$O$257,O23,$Q$8:$Q$257,Q23,$X$8:$X$257,X23)&gt;1,"Name twice in pod",IF(COUNTIFS($O$8:$O$257,O23,$X$8:$X$257,X23)&gt;1,"Name in 2 pods this round","")))))</f>
        <v/>
      </c>
      <c r="AA23" s="3" t="str">
        <f>IF(L23&lt;&gt;"PLAYER","",IF(OR(M23="",ISNUMBER(FIND(" ",M23))),0,COUNTIF(Players[Name],M23&amp;" ?")))</f>
        <v/>
      </c>
    </row>
    <row r="24" spans="1:27" x14ac:dyDescent="0.45">
      <c r="A24" s="17"/>
      <c r="B24" s="6" t="str">
        <f t="shared" si="0"/>
        <v/>
      </c>
      <c r="C24" s="6" t="str">
        <f t="shared" si="1"/>
        <v/>
      </c>
      <c r="D24" s="6" t="str">
        <f t="shared" si="2"/>
        <v/>
      </c>
      <c r="E24" s="6" t="str">
        <f t="shared" si="3"/>
        <v/>
      </c>
      <c r="F24" s="6" t="str">
        <f t="shared" si="4"/>
        <v/>
      </c>
      <c r="G24" s="6" t="str">
        <f t="shared" si="5"/>
        <v/>
      </c>
      <c r="H24" s="10" t="str">
        <f t="shared" si="6"/>
        <v/>
      </c>
      <c r="I24" s="6" t="str">
        <f t="shared" si="7"/>
        <v/>
      </c>
      <c r="J24" s="3" t="str">
        <f>IFERROR(MATCH(ROWS(J$8:J24),$S$8:$S$257,0),"")</f>
        <v/>
      </c>
      <c r="K24" s="3" t="str">
        <f t="shared" si="8"/>
        <v/>
      </c>
      <c r="L24" s="3" t="str">
        <f t="shared" si="9"/>
        <v/>
      </c>
      <c r="M24" s="3" t="str">
        <f t="shared" si="10"/>
        <v/>
      </c>
      <c r="N24" s="3" t="str">
        <f t="shared" si="11"/>
        <v/>
      </c>
      <c r="O24" s="3">
        <f t="shared" si="12"/>
        <v>1</v>
      </c>
      <c r="P24" s="3">
        <f t="shared" si="13"/>
        <v>0</v>
      </c>
      <c r="Q24" s="3">
        <f t="shared" si="14"/>
        <v>0</v>
      </c>
      <c r="R24" s="3" t="str">
        <f t="shared" si="15"/>
        <v/>
      </c>
      <c r="S24" s="3">
        <f t="shared" si="16"/>
        <v>0</v>
      </c>
      <c r="T24" s="3" t="str">
        <f t="shared" si="17"/>
        <v/>
      </c>
      <c r="U24" s="3" t="str">
        <f t="shared" si="18"/>
        <v/>
      </c>
      <c r="V24" s="3" t="str">
        <f t="shared" si="19"/>
        <v/>
      </c>
      <c r="W24" s="3" t="str">
        <f t="shared" si="20"/>
        <v/>
      </c>
      <c r="X24" s="3" t="str">
        <f>IF(L24&lt;&gt;"PLAYER","",IF(Y24="Y",INDEX(Players[Name],MATCH(M24,Players[Name],0)),IF(Y24="A",INDEX(Players[Name],MATCH(M24&amp;" ?",Players[Name],0)),M24)))</f>
        <v/>
      </c>
      <c r="Y24" s="3" t="str">
        <f>IF(L24&lt;&gt;"PLAYER","",IF(ISNUMBER(MATCH(M24,Players[Name],0)),"Y",IF(AA24=1,"A","N")))</f>
        <v/>
      </c>
      <c r="Z24" s="3" t="str">
        <f>IF(L24&lt;&gt;"PLAYER","",_xlfn.TEXTJOIN("; ",TRUE,IF(M24="","Empty name",IF(Y24="N",IF(AA24&gt;1,"Which "&amp;M24&amp;"? "&amp;AA24&amp;" players start with it (like "&amp;INDEX(Players[Name],MATCH(M24&amp;" ?",Players[Name],0))&amp;") - type the last initial",IF(ISNUMBER(FIND(" ",M24)),IF(IFERROR(IF(M24="",FALSE,OR(M24="Unknown",AND(LEN(M24)-LEN(SUBSTITUTE(M24," ",""))=1,LEN(M24)&gt;=4,MID(M24,LEN(M24)-1,1)=" ",CODE(RIGHT(M24,1))&gt;=65,CODE(RIGHT(M24,1))&lt;=90))),FALSE),"New player? Not on Players list - add it there first","Not on Players list and not First L format (like Zack B)")&amp;IF(ISNUMBER(MATCH(LEFT(M24,FIND(" ",M24)-1)&amp;" ?",Players[Name],0))," (same first name as "&amp;INDEX(Players[Name],MATCH(LEFT(M24,FIND(" ",M24)-1)&amp;" ?",Players[Name],0))&amp;")",""),"Not on Players list - type first name + last initial (like Zack B)")),"")),IF(OR(V24&lt;Pod_Min,V24&gt;Pod_Max),"Pod has "&amp;V24&amp;" players",""),IF(U24=0,IF(T24=0,"No winner (*) in pod",IF(T24&gt;1,T24&amp;" winners in pod","")),IF(U24&lt;V24,"Some = but not all players","")),IF(X24="Unknown","",IF(COUNTIFS($O$8:$O$257,O24,$Q$8:$Q$257,Q24,$X$8:$X$257,X24)&gt;1,"Name twice in pod",IF(COUNTIFS($O$8:$O$257,O24,$X$8:$X$257,X24)&gt;1,"Name in 2 pods this round","")))))</f>
        <v/>
      </c>
      <c r="AA24" s="3" t="str">
        <f>IF(L24&lt;&gt;"PLAYER","",IF(OR(M24="",ISNUMBER(FIND(" ",M24))),0,COUNTIF(Players[Name],M24&amp;" ?")))</f>
        <v/>
      </c>
    </row>
    <row r="25" spans="1:27" x14ac:dyDescent="0.45">
      <c r="A25" s="17"/>
      <c r="B25" s="6" t="str">
        <f t="shared" si="0"/>
        <v/>
      </c>
      <c r="C25" s="6" t="str">
        <f t="shared" si="1"/>
        <v/>
      </c>
      <c r="D25" s="6" t="str">
        <f t="shared" si="2"/>
        <v/>
      </c>
      <c r="E25" s="6" t="str">
        <f t="shared" si="3"/>
        <v/>
      </c>
      <c r="F25" s="6" t="str">
        <f t="shared" si="4"/>
        <v/>
      </c>
      <c r="G25" s="6" t="str">
        <f t="shared" si="5"/>
        <v/>
      </c>
      <c r="H25" s="10" t="str">
        <f t="shared" si="6"/>
        <v/>
      </c>
      <c r="I25" s="6" t="str">
        <f t="shared" si="7"/>
        <v/>
      </c>
      <c r="J25" s="3" t="str">
        <f>IFERROR(MATCH(ROWS(J$8:J25),$S$8:$S$257,0),"")</f>
        <v/>
      </c>
      <c r="K25" s="3" t="str">
        <f t="shared" si="8"/>
        <v/>
      </c>
      <c r="L25" s="3" t="str">
        <f t="shared" si="9"/>
        <v/>
      </c>
      <c r="M25" s="3" t="str">
        <f t="shared" si="10"/>
        <v/>
      </c>
      <c r="N25" s="3" t="str">
        <f t="shared" si="11"/>
        <v/>
      </c>
      <c r="O25" s="3">
        <f t="shared" si="12"/>
        <v>1</v>
      </c>
      <c r="P25" s="3">
        <f t="shared" si="13"/>
        <v>0</v>
      </c>
      <c r="Q25" s="3">
        <f t="shared" si="14"/>
        <v>0</v>
      </c>
      <c r="R25" s="3" t="str">
        <f t="shared" si="15"/>
        <v/>
      </c>
      <c r="S25" s="3">
        <f t="shared" si="16"/>
        <v>0</v>
      </c>
      <c r="T25" s="3" t="str">
        <f t="shared" si="17"/>
        <v/>
      </c>
      <c r="U25" s="3" t="str">
        <f t="shared" si="18"/>
        <v/>
      </c>
      <c r="V25" s="3" t="str">
        <f t="shared" si="19"/>
        <v/>
      </c>
      <c r="W25" s="3" t="str">
        <f t="shared" si="20"/>
        <v/>
      </c>
      <c r="X25" s="3" t="str">
        <f>IF(L25&lt;&gt;"PLAYER","",IF(Y25="Y",INDEX(Players[Name],MATCH(M25,Players[Name],0)),IF(Y25="A",INDEX(Players[Name],MATCH(M25&amp;" ?",Players[Name],0)),M25)))</f>
        <v/>
      </c>
      <c r="Y25" s="3" t="str">
        <f>IF(L25&lt;&gt;"PLAYER","",IF(ISNUMBER(MATCH(M25,Players[Name],0)),"Y",IF(AA25=1,"A","N")))</f>
        <v/>
      </c>
      <c r="Z25" s="3" t="str">
        <f>IF(L25&lt;&gt;"PLAYER","",_xlfn.TEXTJOIN("; ",TRUE,IF(M25="","Empty name",IF(Y25="N",IF(AA25&gt;1,"Which "&amp;M25&amp;"? "&amp;AA25&amp;" players start with it (like "&amp;INDEX(Players[Name],MATCH(M25&amp;" ?",Players[Name],0))&amp;") - type the last initial",IF(ISNUMBER(FIND(" ",M25)),IF(IFERROR(IF(M25="",FALSE,OR(M25="Unknown",AND(LEN(M25)-LEN(SUBSTITUTE(M25," ",""))=1,LEN(M25)&gt;=4,MID(M25,LEN(M25)-1,1)=" ",CODE(RIGHT(M25,1))&gt;=65,CODE(RIGHT(M25,1))&lt;=90))),FALSE),"New player? Not on Players list - add it there first","Not on Players list and not First L format (like Zack B)")&amp;IF(ISNUMBER(MATCH(LEFT(M25,FIND(" ",M25)-1)&amp;" ?",Players[Name],0))," (same first name as "&amp;INDEX(Players[Name],MATCH(LEFT(M25,FIND(" ",M25)-1)&amp;" ?",Players[Name],0))&amp;")",""),"Not on Players list - type first name + last initial (like Zack B)")),"")),IF(OR(V25&lt;Pod_Min,V25&gt;Pod_Max),"Pod has "&amp;V25&amp;" players",""),IF(U25=0,IF(T25=0,"No winner (*) in pod",IF(T25&gt;1,T25&amp;" winners in pod","")),IF(U25&lt;V25,"Some = but not all players","")),IF(X25="Unknown","",IF(COUNTIFS($O$8:$O$257,O25,$Q$8:$Q$257,Q25,$X$8:$X$257,X25)&gt;1,"Name twice in pod",IF(COUNTIFS($O$8:$O$257,O25,$X$8:$X$257,X25)&gt;1,"Name in 2 pods this round","")))))</f>
        <v/>
      </c>
      <c r="AA25" s="3" t="str">
        <f>IF(L25&lt;&gt;"PLAYER","",IF(OR(M25="",ISNUMBER(FIND(" ",M25))),0,COUNTIF(Players[Name],M25&amp;" ?")))</f>
        <v/>
      </c>
    </row>
    <row r="26" spans="1:27" x14ac:dyDescent="0.45">
      <c r="A26" s="17"/>
      <c r="B26" s="6" t="str">
        <f t="shared" si="0"/>
        <v/>
      </c>
      <c r="C26" s="6" t="str">
        <f t="shared" si="1"/>
        <v/>
      </c>
      <c r="D26" s="6" t="str">
        <f t="shared" si="2"/>
        <v/>
      </c>
      <c r="E26" s="6" t="str">
        <f t="shared" si="3"/>
        <v/>
      </c>
      <c r="F26" s="6" t="str">
        <f t="shared" si="4"/>
        <v/>
      </c>
      <c r="G26" s="6" t="str">
        <f t="shared" si="5"/>
        <v/>
      </c>
      <c r="H26" s="10" t="str">
        <f t="shared" si="6"/>
        <v/>
      </c>
      <c r="I26" s="6" t="str">
        <f t="shared" si="7"/>
        <v/>
      </c>
      <c r="J26" s="3" t="str">
        <f>IFERROR(MATCH(ROWS(J$8:J26),$S$8:$S$257,0),"")</f>
        <v/>
      </c>
      <c r="K26" s="3" t="str">
        <f t="shared" si="8"/>
        <v/>
      </c>
      <c r="L26" s="3" t="str">
        <f t="shared" si="9"/>
        <v/>
      </c>
      <c r="M26" s="3" t="str">
        <f t="shared" si="10"/>
        <v/>
      </c>
      <c r="N26" s="3" t="str">
        <f t="shared" si="11"/>
        <v/>
      </c>
      <c r="O26" s="3">
        <f t="shared" si="12"/>
        <v>1</v>
      </c>
      <c r="P26" s="3">
        <f t="shared" si="13"/>
        <v>0</v>
      </c>
      <c r="Q26" s="3">
        <f t="shared" si="14"/>
        <v>0</v>
      </c>
      <c r="R26" s="3" t="str">
        <f t="shared" si="15"/>
        <v/>
      </c>
      <c r="S26" s="3">
        <f t="shared" si="16"/>
        <v>0</v>
      </c>
      <c r="T26" s="3" t="str">
        <f t="shared" si="17"/>
        <v/>
      </c>
      <c r="U26" s="3" t="str">
        <f t="shared" si="18"/>
        <v/>
      </c>
      <c r="V26" s="3" t="str">
        <f t="shared" si="19"/>
        <v/>
      </c>
      <c r="W26" s="3" t="str">
        <f t="shared" si="20"/>
        <v/>
      </c>
      <c r="X26" s="3" t="str">
        <f>IF(L26&lt;&gt;"PLAYER","",IF(Y26="Y",INDEX(Players[Name],MATCH(M26,Players[Name],0)),IF(Y26="A",INDEX(Players[Name],MATCH(M26&amp;" ?",Players[Name],0)),M26)))</f>
        <v/>
      </c>
      <c r="Y26" s="3" t="str">
        <f>IF(L26&lt;&gt;"PLAYER","",IF(ISNUMBER(MATCH(M26,Players[Name],0)),"Y",IF(AA26=1,"A","N")))</f>
        <v/>
      </c>
      <c r="Z26" s="3" t="str">
        <f>IF(L26&lt;&gt;"PLAYER","",_xlfn.TEXTJOIN("; ",TRUE,IF(M26="","Empty name",IF(Y26="N",IF(AA26&gt;1,"Which "&amp;M26&amp;"? "&amp;AA26&amp;" players start with it (like "&amp;INDEX(Players[Name],MATCH(M26&amp;" ?",Players[Name],0))&amp;") - type the last initial",IF(ISNUMBER(FIND(" ",M26)),IF(IFERROR(IF(M26="",FALSE,OR(M26="Unknown",AND(LEN(M26)-LEN(SUBSTITUTE(M26," ",""))=1,LEN(M26)&gt;=4,MID(M26,LEN(M26)-1,1)=" ",CODE(RIGHT(M26,1))&gt;=65,CODE(RIGHT(M26,1))&lt;=90))),FALSE),"New player? Not on Players list - add it there first","Not on Players list and not First L format (like Zack B)")&amp;IF(ISNUMBER(MATCH(LEFT(M26,FIND(" ",M26)-1)&amp;" ?",Players[Name],0))," (same first name as "&amp;INDEX(Players[Name],MATCH(LEFT(M26,FIND(" ",M26)-1)&amp;" ?",Players[Name],0))&amp;")",""),"Not on Players list - type first name + last initial (like Zack B)")),"")),IF(OR(V26&lt;Pod_Min,V26&gt;Pod_Max),"Pod has "&amp;V26&amp;" players",""),IF(U26=0,IF(T26=0,"No winner (*) in pod",IF(T26&gt;1,T26&amp;" winners in pod","")),IF(U26&lt;V26,"Some = but not all players","")),IF(X26="Unknown","",IF(COUNTIFS($O$8:$O$257,O26,$Q$8:$Q$257,Q26,$X$8:$X$257,X26)&gt;1,"Name twice in pod",IF(COUNTIFS($O$8:$O$257,O26,$X$8:$X$257,X26)&gt;1,"Name in 2 pods this round","")))))</f>
        <v/>
      </c>
      <c r="AA26" s="3" t="str">
        <f>IF(L26&lt;&gt;"PLAYER","",IF(OR(M26="",ISNUMBER(FIND(" ",M26))),0,COUNTIF(Players[Name],M26&amp;" ?")))</f>
        <v/>
      </c>
    </row>
    <row r="27" spans="1:27" x14ac:dyDescent="0.45">
      <c r="A27" s="17"/>
      <c r="B27" s="6" t="str">
        <f t="shared" si="0"/>
        <v/>
      </c>
      <c r="C27" s="6" t="str">
        <f t="shared" si="1"/>
        <v/>
      </c>
      <c r="D27" s="6" t="str">
        <f t="shared" si="2"/>
        <v/>
      </c>
      <c r="E27" s="6" t="str">
        <f t="shared" si="3"/>
        <v/>
      </c>
      <c r="F27" s="6" t="str">
        <f t="shared" si="4"/>
        <v/>
      </c>
      <c r="G27" s="6" t="str">
        <f t="shared" si="5"/>
        <v/>
      </c>
      <c r="H27" s="10" t="str">
        <f t="shared" si="6"/>
        <v/>
      </c>
      <c r="I27" s="6" t="str">
        <f t="shared" si="7"/>
        <v/>
      </c>
      <c r="J27" s="3" t="str">
        <f>IFERROR(MATCH(ROWS(J$8:J27),$S$8:$S$257,0),"")</f>
        <v/>
      </c>
      <c r="K27" s="3" t="str">
        <f t="shared" si="8"/>
        <v/>
      </c>
      <c r="L27" s="3" t="str">
        <f t="shared" si="9"/>
        <v/>
      </c>
      <c r="M27" s="3" t="str">
        <f t="shared" si="10"/>
        <v/>
      </c>
      <c r="N27" s="3" t="str">
        <f t="shared" si="11"/>
        <v/>
      </c>
      <c r="O27" s="3">
        <f t="shared" si="12"/>
        <v>1</v>
      </c>
      <c r="P27" s="3">
        <f t="shared" si="13"/>
        <v>0</v>
      </c>
      <c r="Q27" s="3">
        <f t="shared" si="14"/>
        <v>0</v>
      </c>
      <c r="R27" s="3" t="str">
        <f t="shared" si="15"/>
        <v/>
      </c>
      <c r="S27" s="3">
        <f t="shared" si="16"/>
        <v>0</v>
      </c>
      <c r="T27" s="3" t="str">
        <f t="shared" si="17"/>
        <v/>
      </c>
      <c r="U27" s="3" t="str">
        <f t="shared" si="18"/>
        <v/>
      </c>
      <c r="V27" s="3" t="str">
        <f t="shared" si="19"/>
        <v/>
      </c>
      <c r="W27" s="3" t="str">
        <f t="shared" si="20"/>
        <v/>
      </c>
      <c r="X27" s="3" t="str">
        <f>IF(L27&lt;&gt;"PLAYER","",IF(Y27="Y",INDEX(Players[Name],MATCH(M27,Players[Name],0)),IF(Y27="A",INDEX(Players[Name],MATCH(M27&amp;" ?",Players[Name],0)),M27)))</f>
        <v/>
      </c>
      <c r="Y27" s="3" t="str">
        <f>IF(L27&lt;&gt;"PLAYER","",IF(ISNUMBER(MATCH(M27,Players[Name],0)),"Y",IF(AA27=1,"A","N")))</f>
        <v/>
      </c>
      <c r="Z27" s="3" t="str">
        <f>IF(L27&lt;&gt;"PLAYER","",_xlfn.TEXTJOIN("; ",TRUE,IF(M27="","Empty name",IF(Y27="N",IF(AA27&gt;1,"Which "&amp;M27&amp;"? "&amp;AA27&amp;" players start with it (like "&amp;INDEX(Players[Name],MATCH(M27&amp;" ?",Players[Name],0))&amp;") - type the last initial",IF(ISNUMBER(FIND(" ",M27)),IF(IFERROR(IF(M27="",FALSE,OR(M27="Unknown",AND(LEN(M27)-LEN(SUBSTITUTE(M27," ",""))=1,LEN(M27)&gt;=4,MID(M27,LEN(M27)-1,1)=" ",CODE(RIGHT(M27,1))&gt;=65,CODE(RIGHT(M27,1))&lt;=90))),FALSE),"New player? Not on Players list - add it there first","Not on Players list and not First L format (like Zack B)")&amp;IF(ISNUMBER(MATCH(LEFT(M27,FIND(" ",M27)-1)&amp;" ?",Players[Name],0))," (same first name as "&amp;INDEX(Players[Name],MATCH(LEFT(M27,FIND(" ",M27)-1)&amp;" ?",Players[Name],0))&amp;")",""),"Not on Players list - type first name + last initial (like Zack B)")),"")),IF(OR(V27&lt;Pod_Min,V27&gt;Pod_Max),"Pod has "&amp;V27&amp;" players",""),IF(U27=0,IF(T27=0,"No winner (*) in pod",IF(T27&gt;1,T27&amp;" winners in pod","")),IF(U27&lt;V27,"Some = but not all players","")),IF(X27="Unknown","",IF(COUNTIFS($O$8:$O$257,O27,$Q$8:$Q$257,Q27,$X$8:$X$257,X27)&gt;1,"Name twice in pod",IF(COUNTIFS($O$8:$O$257,O27,$X$8:$X$257,X27)&gt;1,"Name in 2 pods this round","")))))</f>
        <v/>
      </c>
      <c r="AA27" s="3" t="str">
        <f>IF(L27&lt;&gt;"PLAYER","",IF(OR(M27="",ISNUMBER(FIND(" ",M27))),0,COUNTIF(Players[Name],M27&amp;" ?")))</f>
        <v/>
      </c>
    </row>
    <row r="28" spans="1:27" x14ac:dyDescent="0.45">
      <c r="A28" s="17"/>
      <c r="B28" s="6" t="str">
        <f t="shared" si="0"/>
        <v/>
      </c>
      <c r="C28" s="6" t="str">
        <f t="shared" si="1"/>
        <v/>
      </c>
      <c r="D28" s="6" t="str">
        <f t="shared" si="2"/>
        <v/>
      </c>
      <c r="E28" s="6" t="str">
        <f t="shared" si="3"/>
        <v/>
      </c>
      <c r="F28" s="6" t="str">
        <f t="shared" si="4"/>
        <v/>
      </c>
      <c r="G28" s="6" t="str">
        <f t="shared" si="5"/>
        <v/>
      </c>
      <c r="H28" s="10" t="str">
        <f t="shared" si="6"/>
        <v/>
      </c>
      <c r="I28" s="6" t="str">
        <f t="shared" si="7"/>
        <v/>
      </c>
      <c r="J28" s="3" t="str">
        <f>IFERROR(MATCH(ROWS(J$8:J28),$S$8:$S$257,0),"")</f>
        <v/>
      </c>
      <c r="K28" s="3" t="str">
        <f t="shared" si="8"/>
        <v/>
      </c>
      <c r="L28" s="3" t="str">
        <f t="shared" si="9"/>
        <v/>
      </c>
      <c r="M28" s="3" t="str">
        <f t="shared" si="10"/>
        <v/>
      </c>
      <c r="N28" s="3" t="str">
        <f t="shared" si="11"/>
        <v/>
      </c>
      <c r="O28" s="3">
        <f t="shared" si="12"/>
        <v>1</v>
      </c>
      <c r="P28" s="3">
        <f t="shared" si="13"/>
        <v>0</v>
      </c>
      <c r="Q28" s="3">
        <f t="shared" si="14"/>
        <v>0</v>
      </c>
      <c r="R28" s="3" t="str">
        <f t="shared" si="15"/>
        <v/>
      </c>
      <c r="S28" s="3">
        <f t="shared" si="16"/>
        <v>0</v>
      </c>
      <c r="T28" s="3" t="str">
        <f t="shared" si="17"/>
        <v/>
      </c>
      <c r="U28" s="3" t="str">
        <f t="shared" si="18"/>
        <v/>
      </c>
      <c r="V28" s="3" t="str">
        <f t="shared" si="19"/>
        <v/>
      </c>
      <c r="W28" s="3" t="str">
        <f t="shared" si="20"/>
        <v/>
      </c>
      <c r="X28" s="3" t="str">
        <f>IF(L28&lt;&gt;"PLAYER","",IF(Y28="Y",INDEX(Players[Name],MATCH(M28,Players[Name],0)),IF(Y28="A",INDEX(Players[Name],MATCH(M28&amp;" ?",Players[Name],0)),M28)))</f>
        <v/>
      </c>
      <c r="Y28" s="3" t="str">
        <f>IF(L28&lt;&gt;"PLAYER","",IF(ISNUMBER(MATCH(M28,Players[Name],0)),"Y",IF(AA28=1,"A","N")))</f>
        <v/>
      </c>
      <c r="Z28" s="3" t="str">
        <f>IF(L28&lt;&gt;"PLAYER","",_xlfn.TEXTJOIN("; ",TRUE,IF(M28="","Empty name",IF(Y28="N",IF(AA28&gt;1,"Which "&amp;M28&amp;"? "&amp;AA28&amp;" players start with it (like "&amp;INDEX(Players[Name],MATCH(M28&amp;" ?",Players[Name],0))&amp;") - type the last initial",IF(ISNUMBER(FIND(" ",M28)),IF(IFERROR(IF(M28="",FALSE,OR(M28="Unknown",AND(LEN(M28)-LEN(SUBSTITUTE(M28," ",""))=1,LEN(M28)&gt;=4,MID(M28,LEN(M28)-1,1)=" ",CODE(RIGHT(M28,1))&gt;=65,CODE(RIGHT(M28,1))&lt;=90))),FALSE),"New player? Not on Players list - add it there first","Not on Players list and not First L format (like Zack B)")&amp;IF(ISNUMBER(MATCH(LEFT(M28,FIND(" ",M28)-1)&amp;" ?",Players[Name],0))," (same first name as "&amp;INDEX(Players[Name],MATCH(LEFT(M28,FIND(" ",M28)-1)&amp;" ?",Players[Name],0))&amp;")",""),"Not on Players list - type first name + last initial (like Zack B)")),"")),IF(OR(V28&lt;Pod_Min,V28&gt;Pod_Max),"Pod has "&amp;V28&amp;" players",""),IF(U28=0,IF(T28=0,"No winner (*) in pod",IF(T28&gt;1,T28&amp;" winners in pod","")),IF(U28&lt;V28,"Some = but not all players","")),IF(X28="Unknown","",IF(COUNTIFS($O$8:$O$257,O28,$Q$8:$Q$257,Q28,$X$8:$X$257,X28)&gt;1,"Name twice in pod",IF(COUNTIFS($O$8:$O$257,O28,$X$8:$X$257,X28)&gt;1,"Name in 2 pods this round","")))))</f>
        <v/>
      </c>
      <c r="AA28" s="3" t="str">
        <f>IF(L28&lt;&gt;"PLAYER","",IF(OR(M28="",ISNUMBER(FIND(" ",M28))),0,COUNTIF(Players[Name],M28&amp;" ?")))</f>
        <v/>
      </c>
    </row>
    <row r="29" spans="1:27" x14ac:dyDescent="0.45">
      <c r="A29" s="17"/>
      <c r="B29" s="6" t="str">
        <f t="shared" si="0"/>
        <v/>
      </c>
      <c r="C29" s="6" t="str">
        <f t="shared" si="1"/>
        <v/>
      </c>
      <c r="D29" s="6" t="str">
        <f t="shared" si="2"/>
        <v/>
      </c>
      <c r="E29" s="6" t="str">
        <f t="shared" si="3"/>
        <v/>
      </c>
      <c r="F29" s="6" t="str">
        <f t="shared" si="4"/>
        <v/>
      </c>
      <c r="G29" s="6" t="str">
        <f t="shared" si="5"/>
        <v/>
      </c>
      <c r="H29" s="10" t="str">
        <f t="shared" si="6"/>
        <v/>
      </c>
      <c r="I29" s="6" t="str">
        <f t="shared" si="7"/>
        <v/>
      </c>
      <c r="J29" s="3" t="str">
        <f>IFERROR(MATCH(ROWS(J$8:J29),$S$8:$S$257,0),"")</f>
        <v/>
      </c>
      <c r="K29" s="3" t="str">
        <f t="shared" si="8"/>
        <v/>
      </c>
      <c r="L29" s="3" t="str">
        <f t="shared" si="9"/>
        <v/>
      </c>
      <c r="M29" s="3" t="str">
        <f t="shared" si="10"/>
        <v/>
      </c>
      <c r="N29" s="3" t="str">
        <f t="shared" si="11"/>
        <v/>
      </c>
      <c r="O29" s="3">
        <f t="shared" si="12"/>
        <v>1</v>
      </c>
      <c r="P29" s="3">
        <f t="shared" si="13"/>
        <v>0</v>
      </c>
      <c r="Q29" s="3">
        <f t="shared" si="14"/>
        <v>0</v>
      </c>
      <c r="R29" s="3" t="str">
        <f t="shared" si="15"/>
        <v/>
      </c>
      <c r="S29" s="3">
        <f t="shared" si="16"/>
        <v>0</v>
      </c>
      <c r="T29" s="3" t="str">
        <f t="shared" si="17"/>
        <v/>
      </c>
      <c r="U29" s="3" t="str">
        <f t="shared" si="18"/>
        <v/>
      </c>
      <c r="V29" s="3" t="str">
        <f t="shared" si="19"/>
        <v/>
      </c>
      <c r="W29" s="3" t="str">
        <f t="shared" si="20"/>
        <v/>
      </c>
      <c r="X29" s="3" t="str">
        <f>IF(L29&lt;&gt;"PLAYER","",IF(Y29="Y",INDEX(Players[Name],MATCH(M29,Players[Name],0)),IF(Y29="A",INDEX(Players[Name],MATCH(M29&amp;" ?",Players[Name],0)),M29)))</f>
        <v/>
      </c>
      <c r="Y29" s="3" t="str">
        <f>IF(L29&lt;&gt;"PLAYER","",IF(ISNUMBER(MATCH(M29,Players[Name],0)),"Y",IF(AA29=1,"A","N")))</f>
        <v/>
      </c>
      <c r="Z29" s="3" t="str">
        <f>IF(L29&lt;&gt;"PLAYER","",_xlfn.TEXTJOIN("; ",TRUE,IF(M29="","Empty name",IF(Y29="N",IF(AA29&gt;1,"Which "&amp;M29&amp;"? "&amp;AA29&amp;" players start with it (like "&amp;INDEX(Players[Name],MATCH(M29&amp;" ?",Players[Name],0))&amp;") - type the last initial",IF(ISNUMBER(FIND(" ",M29)),IF(IFERROR(IF(M29="",FALSE,OR(M29="Unknown",AND(LEN(M29)-LEN(SUBSTITUTE(M29," ",""))=1,LEN(M29)&gt;=4,MID(M29,LEN(M29)-1,1)=" ",CODE(RIGHT(M29,1))&gt;=65,CODE(RIGHT(M29,1))&lt;=90))),FALSE),"New player? Not on Players list - add it there first","Not on Players list and not First L format (like Zack B)")&amp;IF(ISNUMBER(MATCH(LEFT(M29,FIND(" ",M29)-1)&amp;" ?",Players[Name],0))," (same first name as "&amp;INDEX(Players[Name],MATCH(LEFT(M29,FIND(" ",M29)-1)&amp;" ?",Players[Name],0))&amp;")",""),"Not on Players list - type first name + last initial (like Zack B)")),"")),IF(OR(V29&lt;Pod_Min,V29&gt;Pod_Max),"Pod has "&amp;V29&amp;" players",""),IF(U29=0,IF(T29=0,"No winner (*) in pod",IF(T29&gt;1,T29&amp;" winners in pod","")),IF(U29&lt;V29,"Some = but not all players","")),IF(X29="Unknown","",IF(COUNTIFS($O$8:$O$257,O29,$Q$8:$Q$257,Q29,$X$8:$X$257,X29)&gt;1,"Name twice in pod",IF(COUNTIFS($O$8:$O$257,O29,$X$8:$X$257,X29)&gt;1,"Name in 2 pods this round","")))))</f>
        <v/>
      </c>
      <c r="AA29" s="3" t="str">
        <f>IF(L29&lt;&gt;"PLAYER","",IF(OR(M29="",ISNUMBER(FIND(" ",M29))),0,COUNTIF(Players[Name],M29&amp;" ?")))</f>
        <v/>
      </c>
    </row>
    <row r="30" spans="1:27" x14ac:dyDescent="0.45">
      <c r="A30" s="17"/>
      <c r="B30" s="6" t="str">
        <f t="shared" si="0"/>
        <v/>
      </c>
      <c r="C30" s="6" t="str">
        <f t="shared" si="1"/>
        <v/>
      </c>
      <c r="D30" s="6" t="str">
        <f t="shared" si="2"/>
        <v/>
      </c>
      <c r="E30" s="6" t="str">
        <f t="shared" si="3"/>
        <v/>
      </c>
      <c r="F30" s="6" t="str">
        <f t="shared" si="4"/>
        <v/>
      </c>
      <c r="G30" s="6" t="str">
        <f t="shared" si="5"/>
        <v/>
      </c>
      <c r="H30" s="10" t="str">
        <f t="shared" si="6"/>
        <v/>
      </c>
      <c r="I30" s="6" t="str">
        <f t="shared" si="7"/>
        <v/>
      </c>
      <c r="J30" s="3" t="str">
        <f>IFERROR(MATCH(ROWS(J$8:J30),$S$8:$S$257,0),"")</f>
        <v/>
      </c>
      <c r="K30" s="3" t="str">
        <f t="shared" si="8"/>
        <v/>
      </c>
      <c r="L30" s="3" t="str">
        <f t="shared" si="9"/>
        <v/>
      </c>
      <c r="M30" s="3" t="str">
        <f t="shared" si="10"/>
        <v/>
      </c>
      <c r="N30" s="3" t="str">
        <f t="shared" si="11"/>
        <v/>
      </c>
      <c r="O30" s="3">
        <f t="shared" si="12"/>
        <v>1</v>
      </c>
      <c r="P30" s="3">
        <f t="shared" si="13"/>
        <v>0</v>
      </c>
      <c r="Q30" s="3">
        <f t="shared" si="14"/>
        <v>0</v>
      </c>
      <c r="R30" s="3" t="str">
        <f t="shared" si="15"/>
        <v/>
      </c>
      <c r="S30" s="3">
        <f t="shared" si="16"/>
        <v>0</v>
      </c>
      <c r="T30" s="3" t="str">
        <f t="shared" si="17"/>
        <v/>
      </c>
      <c r="U30" s="3" t="str">
        <f t="shared" si="18"/>
        <v/>
      </c>
      <c r="V30" s="3" t="str">
        <f t="shared" si="19"/>
        <v/>
      </c>
      <c r="W30" s="3" t="str">
        <f t="shared" si="20"/>
        <v/>
      </c>
      <c r="X30" s="3" t="str">
        <f>IF(L30&lt;&gt;"PLAYER","",IF(Y30="Y",INDEX(Players[Name],MATCH(M30,Players[Name],0)),IF(Y30="A",INDEX(Players[Name],MATCH(M30&amp;" ?",Players[Name],0)),M30)))</f>
        <v/>
      </c>
      <c r="Y30" s="3" t="str">
        <f>IF(L30&lt;&gt;"PLAYER","",IF(ISNUMBER(MATCH(M30,Players[Name],0)),"Y",IF(AA30=1,"A","N")))</f>
        <v/>
      </c>
      <c r="Z30" s="3" t="str">
        <f>IF(L30&lt;&gt;"PLAYER","",_xlfn.TEXTJOIN("; ",TRUE,IF(M30="","Empty name",IF(Y30="N",IF(AA30&gt;1,"Which "&amp;M30&amp;"? "&amp;AA30&amp;" players start with it (like "&amp;INDEX(Players[Name],MATCH(M30&amp;" ?",Players[Name],0))&amp;") - type the last initial",IF(ISNUMBER(FIND(" ",M30)),IF(IFERROR(IF(M30="",FALSE,OR(M30="Unknown",AND(LEN(M30)-LEN(SUBSTITUTE(M30," ",""))=1,LEN(M30)&gt;=4,MID(M30,LEN(M30)-1,1)=" ",CODE(RIGHT(M30,1))&gt;=65,CODE(RIGHT(M30,1))&lt;=90))),FALSE),"New player? Not on Players list - add it there first","Not on Players list and not First L format (like Zack B)")&amp;IF(ISNUMBER(MATCH(LEFT(M30,FIND(" ",M30)-1)&amp;" ?",Players[Name],0))," (same first name as "&amp;INDEX(Players[Name],MATCH(LEFT(M30,FIND(" ",M30)-1)&amp;" ?",Players[Name],0))&amp;")",""),"Not on Players list - type first name + last initial (like Zack B)")),"")),IF(OR(V30&lt;Pod_Min,V30&gt;Pod_Max),"Pod has "&amp;V30&amp;" players",""),IF(U30=0,IF(T30=0,"No winner (*) in pod",IF(T30&gt;1,T30&amp;" winners in pod","")),IF(U30&lt;V30,"Some = but not all players","")),IF(X30="Unknown","",IF(COUNTIFS($O$8:$O$257,O30,$Q$8:$Q$257,Q30,$X$8:$X$257,X30)&gt;1,"Name twice in pod",IF(COUNTIFS($O$8:$O$257,O30,$X$8:$X$257,X30)&gt;1,"Name in 2 pods this round","")))))</f>
        <v/>
      </c>
      <c r="AA30" s="3" t="str">
        <f>IF(L30&lt;&gt;"PLAYER","",IF(OR(M30="",ISNUMBER(FIND(" ",M30))),0,COUNTIF(Players[Name],M30&amp;" ?")))</f>
        <v/>
      </c>
    </row>
    <row r="31" spans="1:27" x14ac:dyDescent="0.45">
      <c r="A31" s="17"/>
      <c r="B31" s="6" t="str">
        <f t="shared" si="0"/>
        <v/>
      </c>
      <c r="C31" s="6" t="str">
        <f t="shared" si="1"/>
        <v/>
      </c>
      <c r="D31" s="6" t="str">
        <f t="shared" si="2"/>
        <v/>
      </c>
      <c r="E31" s="6" t="str">
        <f t="shared" si="3"/>
        <v/>
      </c>
      <c r="F31" s="6" t="str">
        <f t="shared" si="4"/>
        <v/>
      </c>
      <c r="G31" s="6" t="str">
        <f t="shared" si="5"/>
        <v/>
      </c>
      <c r="H31" s="10" t="str">
        <f t="shared" si="6"/>
        <v/>
      </c>
      <c r="I31" s="6" t="str">
        <f t="shared" si="7"/>
        <v/>
      </c>
      <c r="J31" s="3" t="str">
        <f>IFERROR(MATCH(ROWS(J$8:J31),$S$8:$S$257,0),"")</f>
        <v/>
      </c>
      <c r="K31" s="3" t="str">
        <f t="shared" si="8"/>
        <v/>
      </c>
      <c r="L31" s="3" t="str">
        <f t="shared" si="9"/>
        <v/>
      </c>
      <c r="M31" s="3" t="str">
        <f t="shared" si="10"/>
        <v/>
      </c>
      <c r="N31" s="3" t="str">
        <f t="shared" si="11"/>
        <v/>
      </c>
      <c r="O31" s="3">
        <f t="shared" si="12"/>
        <v>1</v>
      </c>
      <c r="P31" s="3">
        <f t="shared" si="13"/>
        <v>0</v>
      </c>
      <c r="Q31" s="3">
        <f t="shared" si="14"/>
        <v>0</v>
      </c>
      <c r="R31" s="3" t="str">
        <f t="shared" si="15"/>
        <v/>
      </c>
      <c r="S31" s="3">
        <f t="shared" si="16"/>
        <v>0</v>
      </c>
      <c r="T31" s="3" t="str">
        <f t="shared" si="17"/>
        <v/>
      </c>
      <c r="U31" s="3" t="str">
        <f t="shared" si="18"/>
        <v/>
      </c>
      <c r="V31" s="3" t="str">
        <f t="shared" si="19"/>
        <v/>
      </c>
      <c r="W31" s="3" t="str">
        <f t="shared" si="20"/>
        <v/>
      </c>
      <c r="X31" s="3" t="str">
        <f>IF(L31&lt;&gt;"PLAYER","",IF(Y31="Y",INDEX(Players[Name],MATCH(M31,Players[Name],0)),IF(Y31="A",INDEX(Players[Name],MATCH(M31&amp;" ?",Players[Name],0)),M31)))</f>
        <v/>
      </c>
      <c r="Y31" s="3" t="str">
        <f>IF(L31&lt;&gt;"PLAYER","",IF(ISNUMBER(MATCH(M31,Players[Name],0)),"Y",IF(AA31=1,"A","N")))</f>
        <v/>
      </c>
      <c r="Z31" s="3" t="str">
        <f>IF(L31&lt;&gt;"PLAYER","",_xlfn.TEXTJOIN("; ",TRUE,IF(M31="","Empty name",IF(Y31="N",IF(AA31&gt;1,"Which "&amp;M31&amp;"? "&amp;AA31&amp;" players start with it (like "&amp;INDEX(Players[Name],MATCH(M31&amp;" ?",Players[Name],0))&amp;") - type the last initial",IF(ISNUMBER(FIND(" ",M31)),IF(IFERROR(IF(M31="",FALSE,OR(M31="Unknown",AND(LEN(M31)-LEN(SUBSTITUTE(M31," ",""))=1,LEN(M31)&gt;=4,MID(M31,LEN(M31)-1,1)=" ",CODE(RIGHT(M31,1))&gt;=65,CODE(RIGHT(M31,1))&lt;=90))),FALSE),"New player? Not on Players list - add it there first","Not on Players list and not First L format (like Zack B)")&amp;IF(ISNUMBER(MATCH(LEFT(M31,FIND(" ",M31)-1)&amp;" ?",Players[Name],0))," (same first name as "&amp;INDEX(Players[Name],MATCH(LEFT(M31,FIND(" ",M31)-1)&amp;" ?",Players[Name],0))&amp;")",""),"Not on Players list - type first name + last initial (like Zack B)")),"")),IF(OR(V31&lt;Pod_Min,V31&gt;Pod_Max),"Pod has "&amp;V31&amp;" players",""),IF(U31=0,IF(T31=0,"No winner (*) in pod",IF(T31&gt;1,T31&amp;" winners in pod","")),IF(U31&lt;V31,"Some = but not all players","")),IF(X31="Unknown","",IF(COUNTIFS($O$8:$O$257,O31,$Q$8:$Q$257,Q31,$X$8:$X$257,X31)&gt;1,"Name twice in pod",IF(COUNTIFS($O$8:$O$257,O31,$X$8:$X$257,X31)&gt;1,"Name in 2 pods this round","")))))</f>
        <v/>
      </c>
      <c r="AA31" s="3" t="str">
        <f>IF(L31&lt;&gt;"PLAYER","",IF(OR(M31="",ISNUMBER(FIND(" ",M31))),0,COUNTIF(Players[Name],M31&amp;" ?")))</f>
        <v/>
      </c>
    </row>
    <row r="32" spans="1:27" x14ac:dyDescent="0.45">
      <c r="A32" s="17"/>
      <c r="B32" s="6" t="str">
        <f t="shared" si="0"/>
        <v/>
      </c>
      <c r="C32" s="6" t="str">
        <f t="shared" si="1"/>
        <v/>
      </c>
      <c r="D32" s="6" t="str">
        <f t="shared" si="2"/>
        <v/>
      </c>
      <c r="E32" s="6" t="str">
        <f t="shared" si="3"/>
        <v/>
      </c>
      <c r="F32" s="6" t="str">
        <f t="shared" si="4"/>
        <v/>
      </c>
      <c r="G32" s="6" t="str">
        <f t="shared" si="5"/>
        <v/>
      </c>
      <c r="H32" s="10" t="str">
        <f t="shared" si="6"/>
        <v/>
      </c>
      <c r="I32" s="6" t="str">
        <f t="shared" si="7"/>
        <v/>
      </c>
      <c r="J32" s="3" t="str">
        <f>IFERROR(MATCH(ROWS(J$8:J32),$S$8:$S$257,0),"")</f>
        <v/>
      </c>
      <c r="K32" s="3" t="str">
        <f t="shared" si="8"/>
        <v/>
      </c>
      <c r="L32" s="3" t="str">
        <f t="shared" si="9"/>
        <v/>
      </c>
      <c r="M32" s="3" t="str">
        <f t="shared" si="10"/>
        <v/>
      </c>
      <c r="N32" s="3" t="str">
        <f t="shared" si="11"/>
        <v/>
      </c>
      <c r="O32" s="3">
        <f t="shared" si="12"/>
        <v>1</v>
      </c>
      <c r="P32" s="3">
        <f t="shared" si="13"/>
        <v>0</v>
      </c>
      <c r="Q32" s="3">
        <f t="shared" si="14"/>
        <v>0</v>
      </c>
      <c r="R32" s="3" t="str">
        <f t="shared" si="15"/>
        <v/>
      </c>
      <c r="S32" s="3">
        <f t="shared" si="16"/>
        <v>0</v>
      </c>
      <c r="T32" s="3" t="str">
        <f t="shared" si="17"/>
        <v/>
      </c>
      <c r="U32" s="3" t="str">
        <f t="shared" si="18"/>
        <v/>
      </c>
      <c r="V32" s="3" t="str">
        <f t="shared" si="19"/>
        <v/>
      </c>
      <c r="W32" s="3" t="str">
        <f t="shared" si="20"/>
        <v/>
      </c>
      <c r="X32" s="3" t="str">
        <f>IF(L32&lt;&gt;"PLAYER","",IF(Y32="Y",INDEX(Players[Name],MATCH(M32,Players[Name],0)),IF(Y32="A",INDEX(Players[Name],MATCH(M32&amp;" ?",Players[Name],0)),M32)))</f>
        <v/>
      </c>
      <c r="Y32" s="3" t="str">
        <f>IF(L32&lt;&gt;"PLAYER","",IF(ISNUMBER(MATCH(M32,Players[Name],0)),"Y",IF(AA32=1,"A","N")))</f>
        <v/>
      </c>
      <c r="Z32" s="3" t="str">
        <f>IF(L32&lt;&gt;"PLAYER","",_xlfn.TEXTJOIN("; ",TRUE,IF(M32="","Empty name",IF(Y32="N",IF(AA32&gt;1,"Which "&amp;M32&amp;"? "&amp;AA32&amp;" players start with it (like "&amp;INDEX(Players[Name],MATCH(M32&amp;" ?",Players[Name],0))&amp;") - type the last initial",IF(ISNUMBER(FIND(" ",M32)),IF(IFERROR(IF(M32="",FALSE,OR(M32="Unknown",AND(LEN(M32)-LEN(SUBSTITUTE(M32," ",""))=1,LEN(M32)&gt;=4,MID(M32,LEN(M32)-1,1)=" ",CODE(RIGHT(M32,1))&gt;=65,CODE(RIGHT(M32,1))&lt;=90))),FALSE),"New player? Not on Players list - add it there first","Not on Players list and not First L format (like Zack B)")&amp;IF(ISNUMBER(MATCH(LEFT(M32,FIND(" ",M32)-1)&amp;" ?",Players[Name],0))," (same first name as "&amp;INDEX(Players[Name],MATCH(LEFT(M32,FIND(" ",M32)-1)&amp;" ?",Players[Name],0))&amp;")",""),"Not on Players list - type first name + last initial (like Zack B)")),"")),IF(OR(V32&lt;Pod_Min,V32&gt;Pod_Max),"Pod has "&amp;V32&amp;" players",""),IF(U32=0,IF(T32=0,"No winner (*) in pod",IF(T32&gt;1,T32&amp;" winners in pod","")),IF(U32&lt;V32,"Some = but not all players","")),IF(X32="Unknown","",IF(COUNTIFS($O$8:$O$257,O32,$Q$8:$Q$257,Q32,$X$8:$X$257,X32)&gt;1,"Name twice in pod",IF(COUNTIFS($O$8:$O$257,O32,$X$8:$X$257,X32)&gt;1,"Name in 2 pods this round","")))))</f>
        <v/>
      </c>
      <c r="AA32" s="3" t="str">
        <f>IF(L32&lt;&gt;"PLAYER","",IF(OR(M32="",ISNUMBER(FIND(" ",M32))),0,COUNTIF(Players[Name],M32&amp;" ?")))</f>
        <v/>
      </c>
    </row>
    <row r="33" spans="1:27" x14ac:dyDescent="0.45">
      <c r="A33" s="17"/>
      <c r="B33" s="6" t="str">
        <f t="shared" si="0"/>
        <v/>
      </c>
      <c r="C33" s="6" t="str">
        <f t="shared" si="1"/>
        <v/>
      </c>
      <c r="D33" s="6" t="str">
        <f t="shared" si="2"/>
        <v/>
      </c>
      <c r="E33" s="6" t="str">
        <f t="shared" si="3"/>
        <v/>
      </c>
      <c r="F33" s="6" t="str">
        <f t="shared" si="4"/>
        <v/>
      </c>
      <c r="G33" s="6" t="str">
        <f t="shared" si="5"/>
        <v/>
      </c>
      <c r="H33" s="10" t="str">
        <f t="shared" si="6"/>
        <v/>
      </c>
      <c r="I33" s="6" t="str">
        <f t="shared" si="7"/>
        <v/>
      </c>
      <c r="J33" s="3" t="str">
        <f>IFERROR(MATCH(ROWS(J$8:J33),$S$8:$S$257,0),"")</f>
        <v/>
      </c>
      <c r="K33" s="3" t="str">
        <f t="shared" si="8"/>
        <v/>
      </c>
      <c r="L33" s="3" t="str">
        <f t="shared" si="9"/>
        <v/>
      </c>
      <c r="M33" s="3" t="str">
        <f t="shared" si="10"/>
        <v/>
      </c>
      <c r="N33" s="3" t="str">
        <f t="shared" si="11"/>
        <v/>
      </c>
      <c r="O33" s="3">
        <f t="shared" si="12"/>
        <v>1</v>
      </c>
      <c r="P33" s="3">
        <f t="shared" si="13"/>
        <v>0</v>
      </c>
      <c r="Q33" s="3">
        <f t="shared" si="14"/>
        <v>0</v>
      </c>
      <c r="R33" s="3" t="str">
        <f t="shared" si="15"/>
        <v/>
      </c>
      <c r="S33" s="3">
        <f t="shared" si="16"/>
        <v>0</v>
      </c>
      <c r="T33" s="3" t="str">
        <f t="shared" si="17"/>
        <v/>
      </c>
      <c r="U33" s="3" t="str">
        <f t="shared" si="18"/>
        <v/>
      </c>
      <c r="V33" s="3" t="str">
        <f t="shared" si="19"/>
        <v/>
      </c>
      <c r="W33" s="3" t="str">
        <f t="shared" si="20"/>
        <v/>
      </c>
      <c r="X33" s="3" t="str">
        <f>IF(L33&lt;&gt;"PLAYER","",IF(Y33="Y",INDEX(Players[Name],MATCH(M33,Players[Name],0)),IF(Y33="A",INDEX(Players[Name],MATCH(M33&amp;" ?",Players[Name],0)),M33)))</f>
        <v/>
      </c>
      <c r="Y33" s="3" t="str">
        <f>IF(L33&lt;&gt;"PLAYER","",IF(ISNUMBER(MATCH(M33,Players[Name],0)),"Y",IF(AA33=1,"A","N")))</f>
        <v/>
      </c>
      <c r="Z33" s="3" t="str">
        <f>IF(L33&lt;&gt;"PLAYER","",_xlfn.TEXTJOIN("; ",TRUE,IF(M33="","Empty name",IF(Y33="N",IF(AA33&gt;1,"Which "&amp;M33&amp;"? "&amp;AA33&amp;" players start with it (like "&amp;INDEX(Players[Name],MATCH(M33&amp;" ?",Players[Name],0))&amp;") - type the last initial",IF(ISNUMBER(FIND(" ",M33)),IF(IFERROR(IF(M33="",FALSE,OR(M33="Unknown",AND(LEN(M33)-LEN(SUBSTITUTE(M33," ",""))=1,LEN(M33)&gt;=4,MID(M33,LEN(M33)-1,1)=" ",CODE(RIGHT(M33,1))&gt;=65,CODE(RIGHT(M33,1))&lt;=90))),FALSE),"New player? Not on Players list - add it there first","Not on Players list and not First L format (like Zack B)")&amp;IF(ISNUMBER(MATCH(LEFT(M33,FIND(" ",M33)-1)&amp;" ?",Players[Name],0))," (same first name as "&amp;INDEX(Players[Name],MATCH(LEFT(M33,FIND(" ",M33)-1)&amp;" ?",Players[Name],0))&amp;")",""),"Not on Players list - type first name + last initial (like Zack B)")),"")),IF(OR(V33&lt;Pod_Min,V33&gt;Pod_Max),"Pod has "&amp;V33&amp;" players",""),IF(U33=0,IF(T33=0,"No winner (*) in pod",IF(T33&gt;1,T33&amp;" winners in pod","")),IF(U33&lt;V33,"Some = but not all players","")),IF(X33="Unknown","",IF(COUNTIFS($O$8:$O$257,O33,$Q$8:$Q$257,Q33,$X$8:$X$257,X33)&gt;1,"Name twice in pod",IF(COUNTIFS($O$8:$O$257,O33,$X$8:$X$257,X33)&gt;1,"Name in 2 pods this round","")))))</f>
        <v/>
      </c>
      <c r="AA33" s="3" t="str">
        <f>IF(L33&lt;&gt;"PLAYER","",IF(OR(M33="",ISNUMBER(FIND(" ",M33))),0,COUNTIF(Players[Name],M33&amp;" ?")))</f>
        <v/>
      </c>
    </row>
    <row r="34" spans="1:27" x14ac:dyDescent="0.45">
      <c r="A34" s="17"/>
      <c r="B34" s="6" t="str">
        <f t="shared" si="0"/>
        <v/>
      </c>
      <c r="C34" s="6" t="str">
        <f t="shared" si="1"/>
        <v/>
      </c>
      <c r="D34" s="6" t="str">
        <f t="shared" si="2"/>
        <v/>
      </c>
      <c r="E34" s="6" t="str">
        <f t="shared" si="3"/>
        <v/>
      </c>
      <c r="F34" s="6" t="str">
        <f t="shared" si="4"/>
        <v/>
      </c>
      <c r="G34" s="6" t="str">
        <f t="shared" si="5"/>
        <v/>
      </c>
      <c r="H34" s="10" t="str">
        <f t="shared" si="6"/>
        <v/>
      </c>
      <c r="I34" s="6" t="str">
        <f t="shared" si="7"/>
        <v/>
      </c>
      <c r="J34" s="3" t="str">
        <f>IFERROR(MATCH(ROWS(J$8:J34),$S$8:$S$257,0),"")</f>
        <v/>
      </c>
      <c r="K34" s="3" t="str">
        <f t="shared" si="8"/>
        <v/>
      </c>
      <c r="L34" s="3" t="str">
        <f t="shared" si="9"/>
        <v/>
      </c>
      <c r="M34" s="3" t="str">
        <f t="shared" si="10"/>
        <v/>
      </c>
      <c r="N34" s="3" t="str">
        <f t="shared" si="11"/>
        <v/>
      </c>
      <c r="O34" s="3">
        <f t="shared" si="12"/>
        <v>1</v>
      </c>
      <c r="P34" s="3">
        <f t="shared" si="13"/>
        <v>0</v>
      </c>
      <c r="Q34" s="3">
        <f t="shared" si="14"/>
        <v>0</v>
      </c>
      <c r="R34" s="3" t="str">
        <f t="shared" si="15"/>
        <v/>
      </c>
      <c r="S34" s="3">
        <f t="shared" si="16"/>
        <v>0</v>
      </c>
      <c r="T34" s="3" t="str">
        <f t="shared" si="17"/>
        <v/>
      </c>
      <c r="U34" s="3" t="str">
        <f t="shared" si="18"/>
        <v/>
      </c>
      <c r="V34" s="3" t="str">
        <f t="shared" si="19"/>
        <v/>
      </c>
      <c r="W34" s="3" t="str">
        <f t="shared" si="20"/>
        <v/>
      </c>
      <c r="X34" s="3" t="str">
        <f>IF(L34&lt;&gt;"PLAYER","",IF(Y34="Y",INDEX(Players[Name],MATCH(M34,Players[Name],0)),IF(Y34="A",INDEX(Players[Name],MATCH(M34&amp;" ?",Players[Name],0)),M34)))</f>
        <v/>
      </c>
      <c r="Y34" s="3" t="str">
        <f>IF(L34&lt;&gt;"PLAYER","",IF(ISNUMBER(MATCH(M34,Players[Name],0)),"Y",IF(AA34=1,"A","N")))</f>
        <v/>
      </c>
      <c r="Z34" s="3" t="str">
        <f>IF(L34&lt;&gt;"PLAYER","",_xlfn.TEXTJOIN("; ",TRUE,IF(M34="","Empty name",IF(Y34="N",IF(AA34&gt;1,"Which "&amp;M34&amp;"? "&amp;AA34&amp;" players start with it (like "&amp;INDEX(Players[Name],MATCH(M34&amp;" ?",Players[Name],0))&amp;") - type the last initial",IF(ISNUMBER(FIND(" ",M34)),IF(IFERROR(IF(M34="",FALSE,OR(M34="Unknown",AND(LEN(M34)-LEN(SUBSTITUTE(M34," ",""))=1,LEN(M34)&gt;=4,MID(M34,LEN(M34)-1,1)=" ",CODE(RIGHT(M34,1))&gt;=65,CODE(RIGHT(M34,1))&lt;=90))),FALSE),"New player? Not on Players list - add it there first","Not on Players list and not First L format (like Zack B)")&amp;IF(ISNUMBER(MATCH(LEFT(M34,FIND(" ",M34)-1)&amp;" ?",Players[Name],0))," (same first name as "&amp;INDEX(Players[Name],MATCH(LEFT(M34,FIND(" ",M34)-1)&amp;" ?",Players[Name],0))&amp;")",""),"Not on Players list - type first name + last initial (like Zack B)")),"")),IF(OR(V34&lt;Pod_Min,V34&gt;Pod_Max),"Pod has "&amp;V34&amp;" players",""),IF(U34=0,IF(T34=0,"No winner (*) in pod",IF(T34&gt;1,T34&amp;" winners in pod","")),IF(U34&lt;V34,"Some = but not all players","")),IF(X34="Unknown","",IF(COUNTIFS($O$8:$O$257,O34,$Q$8:$Q$257,Q34,$X$8:$X$257,X34)&gt;1,"Name twice in pod",IF(COUNTIFS($O$8:$O$257,O34,$X$8:$X$257,X34)&gt;1,"Name in 2 pods this round","")))))</f>
        <v/>
      </c>
      <c r="AA34" s="3" t="str">
        <f>IF(L34&lt;&gt;"PLAYER","",IF(OR(M34="",ISNUMBER(FIND(" ",M34))),0,COUNTIF(Players[Name],M34&amp;" ?")))</f>
        <v/>
      </c>
    </row>
    <row r="35" spans="1:27" x14ac:dyDescent="0.45">
      <c r="A35" s="17"/>
      <c r="B35" s="6" t="str">
        <f t="shared" si="0"/>
        <v/>
      </c>
      <c r="C35" s="6" t="str">
        <f t="shared" si="1"/>
        <v/>
      </c>
      <c r="D35" s="6" t="str">
        <f t="shared" si="2"/>
        <v/>
      </c>
      <c r="E35" s="6" t="str">
        <f t="shared" si="3"/>
        <v/>
      </c>
      <c r="F35" s="6" t="str">
        <f t="shared" si="4"/>
        <v/>
      </c>
      <c r="G35" s="6" t="str">
        <f t="shared" si="5"/>
        <v/>
      </c>
      <c r="H35" s="10" t="str">
        <f t="shared" si="6"/>
        <v/>
      </c>
      <c r="I35" s="6" t="str">
        <f t="shared" si="7"/>
        <v/>
      </c>
      <c r="J35" s="3" t="str">
        <f>IFERROR(MATCH(ROWS(J$8:J35),$S$8:$S$257,0),"")</f>
        <v/>
      </c>
      <c r="K35" s="3" t="str">
        <f t="shared" si="8"/>
        <v/>
      </c>
      <c r="L35" s="3" t="str">
        <f t="shared" si="9"/>
        <v/>
      </c>
      <c r="M35" s="3" t="str">
        <f t="shared" si="10"/>
        <v/>
      </c>
      <c r="N35" s="3" t="str">
        <f t="shared" si="11"/>
        <v/>
      </c>
      <c r="O35" s="3">
        <f t="shared" si="12"/>
        <v>1</v>
      </c>
      <c r="P35" s="3">
        <f t="shared" si="13"/>
        <v>0</v>
      </c>
      <c r="Q35" s="3">
        <f t="shared" si="14"/>
        <v>0</v>
      </c>
      <c r="R35" s="3" t="str">
        <f t="shared" si="15"/>
        <v/>
      </c>
      <c r="S35" s="3">
        <f t="shared" si="16"/>
        <v>0</v>
      </c>
      <c r="T35" s="3" t="str">
        <f t="shared" si="17"/>
        <v/>
      </c>
      <c r="U35" s="3" t="str">
        <f t="shared" si="18"/>
        <v/>
      </c>
      <c r="V35" s="3" t="str">
        <f t="shared" si="19"/>
        <v/>
      </c>
      <c r="W35" s="3" t="str">
        <f t="shared" si="20"/>
        <v/>
      </c>
      <c r="X35" s="3" t="str">
        <f>IF(L35&lt;&gt;"PLAYER","",IF(Y35="Y",INDEX(Players[Name],MATCH(M35,Players[Name],0)),IF(Y35="A",INDEX(Players[Name],MATCH(M35&amp;" ?",Players[Name],0)),M35)))</f>
        <v/>
      </c>
      <c r="Y35" s="3" t="str">
        <f>IF(L35&lt;&gt;"PLAYER","",IF(ISNUMBER(MATCH(M35,Players[Name],0)),"Y",IF(AA35=1,"A","N")))</f>
        <v/>
      </c>
      <c r="Z35" s="3" t="str">
        <f>IF(L35&lt;&gt;"PLAYER","",_xlfn.TEXTJOIN("; ",TRUE,IF(M35="","Empty name",IF(Y35="N",IF(AA35&gt;1,"Which "&amp;M35&amp;"? "&amp;AA35&amp;" players start with it (like "&amp;INDEX(Players[Name],MATCH(M35&amp;" ?",Players[Name],0))&amp;") - type the last initial",IF(ISNUMBER(FIND(" ",M35)),IF(IFERROR(IF(M35="",FALSE,OR(M35="Unknown",AND(LEN(M35)-LEN(SUBSTITUTE(M35," ",""))=1,LEN(M35)&gt;=4,MID(M35,LEN(M35)-1,1)=" ",CODE(RIGHT(M35,1))&gt;=65,CODE(RIGHT(M35,1))&lt;=90))),FALSE),"New player? Not on Players list - add it there first","Not on Players list and not First L format (like Zack B)")&amp;IF(ISNUMBER(MATCH(LEFT(M35,FIND(" ",M35)-1)&amp;" ?",Players[Name],0))," (same first name as "&amp;INDEX(Players[Name],MATCH(LEFT(M35,FIND(" ",M35)-1)&amp;" ?",Players[Name],0))&amp;")",""),"Not on Players list - type first name + last initial (like Zack B)")),"")),IF(OR(V35&lt;Pod_Min,V35&gt;Pod_Max),"Pod has "&amp;V35&amp;" players",""),IF(U35=0,IF(T35=0,"No winner (*) in pod",IF(T35&gt;1,T35&amp;" winners in pod","")),IF(U35&lt;V35,"Some = but not all players","")),IF(X35="Unknown","",IF(COUNTIFS($O$8:$O$257,O35,$Q$8:$Q$257,Q35,$X$8:$X$257,X35)&gt;1,"Name twice in pod",IF(COUNTIFS($O$8:$O$257,O35,$X$8:$X$257,X35)&gt;1,"Name in 2 pods this round","")))))</f>
        <v/>
      </c>
      <c r="AA35" s="3" t="str">
        <f>IF(L35&lt;&gt;"PLAYER","",IF(OR(M35="",ISNUMBER(FIND(" ",M35))),0,COUNTIF(Players[Name],M35&amp;" ?")))</f>
        <v/>
      </c>
    </row>
    <row r="36" spans="1:27" x14ac:dyDescent="0.45">
      <c r="A36" s="17"/>
      <c r="B36" s="6" t="str">
        <f t="shared" si="0"/>
        <v/>
      </c>
      <c r="C36" s="6" t="str">
        <f t="shared" si="1"/>
        <v/>
      </c>
      <c r="D36" s="6" t="str">
        <f t="shared" si="2"/>
        <v/>
      </c>
      <c r="E36" s="6" t="str">
        <f t="shared" si="3"/>
        <v/>
      </c>
      <c r="F36" s="6" t="str">
        <f t="shared" si="4"/>
        <v/>
      </c>
      <c r="G36" s="6" t="str">
        <f t="shared" si="5"/>
        <v/>
      </c>
      <c r="H36" s="10" t="str">
        <f t="shared" si="6"/>
        <v/>
      </c>
      <c r="I36" s="6" t="str">
        <f t="shared" si="7"/>
        <v/>
      </c>
      <c r="J36" s="3" t="str">
        <f>IFERROR(MATCH(ROWS(J$8:J36),$S$8:$S$257,0),"")</f>
        <v/>
      </c>
      <c r="K36" s="3" t="str">
        <f t="shared" si="8"/>
        <v/>
      </c>
      <c r="L36" s="3" t="str">
        <f t="shared" si="9"/>
        <v/>
      </c>
      <c r="M36" s="3" t="str">
        <f t="shared" si="10"/>
        <v/>
      </c>
      <c r="N36" s="3" t="str">
        <f t="shared" si="11"/>
        <v/>
      </c>
      <c r="O36" s="3">
        <f t="shared" si="12"/>
        <v>1</v>
      </c>
      <c r="P36" s="3">
        <f t="shared" si="13"/>
        <v>0</v>
      </c>
      <c r="Q36" s="3">
        <f t="shared" si="14"/>
        <v>0</v>
      </c>
      <c r="R36" s="3" t="str">
        <f t="shared" si="15"/>
        <v/>
      </c>
      <c r="S36" s="3">
        <f t="shared" si="16"/>
        <v>0</v>
      </c>
      <c r="T36" s="3" t="str">
        <f t="shared" si="17"/>
        <v/>
      </c>
      <c r="U36" s="3" t="str">
        <f t="shared" si="18"/>
        <v/>
      </c>
      <c r="V36" s="3" t="str">
        <f t="shared" si="19"/>
        <v/>
      </c>
      <c r="W36" s="3" t="str">
        <f t="shared" si="20"/>
        <v/>
      </c>
      <c r="X36" s="3" t="str">
        <f>IF(L36&lt;&gt;"PLAYER","",IF(Y36="Y",INDEX(Players[Name],MATCH(M36,Players[Name],0)),IF(Y36="A",INDEX(Players[Name],MATCH(M36&amp;" ?",Players[Name],0)),M36)))</f>
        <v/>
      </c>
      <c r="Y36" s="3" t="str">
        <f>IF(L36&lt;&gt;"PLAYER","",IF(ISNUMBER(MATCH(M36,Players[Name],0)),"Y",IF(AA36=1,"A","N")))</f>
        <v/>
      </c>
      <c r="Z36" s="3" t="str">
        <f>IF(L36&lt;&gt;"PLAYER","",_xlfn.TEXTJOIN("; ",TRUE,IF(M36="","Empty name",IF(Y36="N",IF(AA36&gt;1,"Which "&amp;M36&amp;"? "&amp;AA36&amp;" players start with it (like "&amp;INDEX(Players[Name],MATCH(M36&amp;" ?",Players[Name],0))&amp;") - type the last initial",IF(ISNUMBER(FIND(" ",M36)),IF(IFERROR(IF(M36="",FALSE,OR(M36="Unknown",AND(LEN(M36)-LEN(SUBSTITUTE(M36," ",""))=1,LEN(M36)&gt;=4,MID(M36,LEN(M36)-1,1)=" ",CODE(RIGHT(M36,1))&gt;=65,CODE(RIGHT(M36,1))&lt;=90))),FALSE),"New player? Not on Players list - add it there first","Not on Players list and not First L format (like Zack B)")&amp;IF(ISNUMBER(MATCH(LEFT(M36,FIND(" ",M36)-1)&amp;" ?",Players[Name],0))," (same first name as "&amp;INDEX(Players[Name],MATCH(LEFT(M36,FIND(" ",M36)-1)&amp;" ?",Players[Name],0))&amp;")",""),"Not on Players list - type first name + last initial (like Zack B)")),"")),IF(OR(V36&lt;Pod_Min,V36&gt;Pod_Max),"Pod has "&amp;V36&amp;" players",""),IF(U36=0,IF(T36=0,"No winner (*) in pod",IF(T36&gt;1,T36&amp;" winners in pod","")),IF(U36&lt;V36,"Some = but not all players","")),IF(X36="Unknown","",IF(COUNTIFS($O$8:$O$257,O36,$Q$8:$Q$257,Q36,$X$8:$X$257,X36)&gt;1,"Name twice in pod",IF(COUNTIFS($O$8:$O$257,O36,$X$8:$X$257,X36)&gt;1,"Name in 2 pods this round","")))))</f>
        <v/>
      </c>
      <c r="AA36" s="3" t="str">
        <f>IF(L36&lt;&gt;"PLAYER","",IF(OR(M36="",ISNUMBER(FIND(" ",M36))),0,COUNTIF(Players[Name],M36&amp;" ?")))</f>
        <v/>
      </c>
    </row>
    <row r="37" spans="1:27" x14ac:dyDescent="0.45">
      <c r="A37" s="17"/>
      <c r="B37" s="6" t="str">
        <f t="shared" si="0"/>
        <v/>
      </c>
      <c r="C37" s="6" t="str">
        <f t="shared" si="1"/>
        <v/>
      </c>
      <c r="D37" s="6" t="str">
        <f t="shared" si="2"/>
        <v/>
      </c>
      <c r="E37" s="6" t="str">
        <f t="shared" si="3"/>
        <v/>
      </c>
      <c r="F37" s="6" t="str">
        <f t="shared" si="4"/>
        <v/>
      </c>
      <c r="G37" s="6" t="str">
        <f t="shared" si="5"/>
        <v/>
      </c>
      <c r="H37" s="10" t="str">
        <f t="shared" si="6"/>
        <v/>
      </c>
      <c r="I37" s="6" t="str">
        <f t="shared" si="7"/>
        <v/>
      </c>
      <c r="J37" s="3" t="str">
        <f>IFERROR(MATCH(ROWS(J$8:J37),$S$8:$S$257,0),"")</f>
        <v/>
      </c>
      <c r="K37" s="3" t="str">
        <f t="shared" si="8"/>
        <v/>
      </c>
      <c r="L37" s="3" t="str">
        <f t="shared" si="9"/>
        <v/>
      </c>
      <c r="M37" s="3" t="str">
        <f t="shared" si="10"/>
        <v/>
      </c>
      <c r="N37" s="3" t="str">
        <f t="shared" si="11"/>
        <v/>
      </c>
      <c r="O37" s="3">
        <f t="shared" si="12"/>
        <v>1</v>
      </c>
      <c r="P37" s="3">
        <f t="shared" si="13"/>
        <v>0</v>
      </c>
      <c r="Q37" s="3">
        <f t="shared" si="14"/>
        <v>0</v>
      </c>
      <c r="R37" s="3" t="str">
        <f t="shared" si="15"/>
        <v/>
      </c>
      <c r="S37" s="3">
        <f t="shared" si="16"/>
        <v>0</v>
      </c>
      <c r="T37" s="3" t="str">
        <f t="shared" si="17"/>
        <v/>
      </c>
      <c r="U37" s="3" t="str">
        <f t="shared" si="18"/>
        <v/>
      </c>
      <c r="V37" s="3" t="str">
        <f t="shared" si="19"/>
        <v/>
      </c>
      <c r="W37" s="3" t="str">
        <f t="shared" si="20"/>
        <v/>
      </c>
      <c r="X37" s="3" t="str">
        <f>IF(L37&lt;&gt;"PLAYER","",IF(Y37="Y",INDEX(Players[Name],MATCH(M37,Players[Name],0)),IF(Y37="A",INDEX(Players[Name],MATCH(M37&amp;" ?",Players[Name],0)),M37)))</f>
        <v/>
      </c>
      <c r="Y37" s="3" t="str">
        <f>IF(L37&lt;&gt;"PLAYER","",IF(ISNUMBER(MATCH(M37,Players[Name],0)),"Y",IF(AA37=1,"A","N")))</f>
        <v/>
      </c>
      <c r="Z37" s="3" t="str">
        <f>IF(L37&lt;&gt;"PLAYER","",_xlfn.TEXTJOIN("; ",TRUE,IF(M37="","Empty name",IF(Y37="N",IF(AA37&gt;1,"Which "&amp;M37&amp;"? "&amp;AA37&amp;" players start with it (like "&amp;INDEX(Players[Name],MATCH(M37&amp;" ?",Players[Name],0))&amp;") - type the last initial",IF(ISNUMBER(FIND(" ",M37)),IF(IFERROR(IF(M37="",FALSE,OR(M37="Unknown",AND(LEN(M37)-LEN(SUBSTITUTE(M37," ",""))=1,LEN(M37)&gt;=4,MID(M37,LEN(M37)-1,1)=" ",CODE(RIGHT(M37,1))&gt;=65,CODE(RIGHT(M37,1))&lt;=90))),FALSE),"New player? Not on Players list - add it there first","Not on Players list and not First L format (like Zack B)")&amp;IF(ISNUMBER(MATCH(LEFT(M37,FIND(" ",M37)-1)&amp;" ?",Players[Name],0))," (same first name as "&amp;INDEX(Players[Name],MATCH(LEFT(M37,FIND(" ",M37)-1)&amp;" ?",Players[Name],0))&amp;")",""),"Not on Players list - type first name + last initial (like Zack B)")),"")),IF(OR(V37&lt;Pod_Min,V37&gt;Pod_Max),"Pod has "&amp;V37&amp;" players",""),IF(U37=0,IF(T37=0,"No winner (*) in pod",IF(T37&gt;1,T37&amp;" winners in pod","")),IF(U37&lt;V37,"Some = but not all players","")),IF(X37="Unknown","",IF(COUNTIFS($O$8:$O$257,O37,$Q$8:$Q$257,Q37,$X$8:$X$257,X37)&gt;1,"Name twice in pod",IF(COUNTIFS($O$8:$O$257,O37,$X$8:$X$257,X37)&gt;1,"Name in 2 pods this round","")))))</f>
        <v/>
      </c>
      <c r="AA37" s="3" t="str">
        <f>IF(L37&lt;&gt;"PLAYER","",IF(OR(M37="",ISNUMBER(FIND(" ",M37))),0,COUNTIF(Players[Name],M37&amp;" ?")))</f>
        <v/>
      </c>
    </row>
    <row r="38" spans="1:27" x14ac:dyDescent="0.45">
      <c r="A38" s="17"/>
      <c r="B38" s="6" t="str">
        <f t="shared" si="0"/>
        <v/>
      </c>
      <c r="C38" s="6" t="str">
        <f t="shared" si="1"/>
        <v/>
      </c>
      <c r="D38" s="6" t="str">
        <f t="shared" si="2"/>
        <v/>
      </c>
      <c r="E38" s="6" t="str">
        <f t="shared" si="3"/>
        <v/>
      </c>
      <c r="F38" s="6" t="str">
        <f t="shared" si="4"/>
        <v/>
      </c>
      <c r="G38" s="6" t="str">
        <f t="shared" si="5"/>
        <v/>
      </c>
      <c r="H38" s="10" t="str">
        <f t="shared" si="6"/>
        <v/>
      </c>
      <c r="I38" s="6" t="str">
        <f t="shared" si="7"/>
        <v/>
      </c>
      <c r="J38" s="3" t="str">
        <f>IFERROR(MATCH(ROWS(J$8:J38),$S$8:$S$257,0),"")</f>
        <v/>
      </c>
      <c r="K38" s="3" t="str">
        <f t="shared" si="8"/>
        <v/>
      </c>
      <c r="L38" s="3" t="str">
        <f t="shared" si="9"/>
        <v/>
      </c>
      <c r="M38" s="3" t="str">
        <f t="shared" si="10"/>
        <v/>
      </c>
      <c r="N38" s="3" t="str">
        <f t="shared" si="11"/>
        <v/>
      </c>
      <c r="O38" s="3">
        <f t="shared" si="12"/>
        <v>1</v>
      </c>
      <c r="P38" s="3">
        <f t="shared" si="13"/>
        <v>0</v>
      </c>
      <c r="Q38" s="3">
        <f t="shared" si="14"/>
        <v>0</v>
      </c>
      <c r="R38" s="3" t="str">
        <f t="shared" si="15"/>
        <v/>
      </c>
      <c r="S38" s="3">
        <f t="shared" si="16"/>
        <v>0</v>
      </c>
      <c r="T38" s="3" t="str">
        <f t="shared" si="17"/>
        <v/>
      </c>
      <c r="U38" s="3" t="str">
        <f t="shared" si="18"/>
        <v/>
      </c>
      <c r="V38" s="3" t="str">
        <f t="shared" si="19"/>
        <v/>
      </c>
      <c r="W38" s="3" t="str">
        <f t="shared" si="20"/>
        <v/>
      </c>
      <c r="X38" s="3" t="str">
        <f>IF(L38&lt;&gt;"PLAYER","",IF(Y38="Y",INDEX(Players[Name],MATCH(M38,Players[Name],0)),IF(Y38="A",INDEX(Players[Name],MATCH(M38&amp;" ?",Players[Name],0)),M38)))</f>
        <v/>
      </c>
      <c r="Y38" s="3" t="str">
        <f>IF(L38&lt;&gt;"PLAYER","",IF(ISNUMBER(MATCH(M38,Players[Name],0)),"Y",IF(AA38=1,"A","N")))</f>
        <v/>
      </c>
      <c r="Z38" s="3" t="str">
        <f>IF(L38&lt;&gt;"PLAYER","",_xlfn.TEXTJOIN("; ",TRUE,IF(M38="","Empty name",IF(Y38="N",IF(AA38&gt;1,"Which "&amp;M38&amp;"? "&amp;AA38&amp;" players start with it (like "&amp;INDEX(Players[Name],MATCH(M38&amp;" ?",Players[Name],0))&amp;") - type the last initial",IF(ISNUMBER(FIND(" ",M38)),IF(IFERROR(IF(M38="",FALSE,OR(M38="Unknown",AND(LEN(M38)-LEN(SUBSTITUTE(M38," ",""))=1,LEN(M38)&gt;=4,MID(M38,LEN(M38)-1,1)=" ",CODE(RIGHT(M38,1))&gt;=65,CODE(RIGHT(M38,1))&lt;=90))),FALSE),"New player? Not on Players list - add it there first","Not on Players list and not First L format (like Zack B)")&amp;IF(ISNUMBER(MATCH(LEFT(M38,FIND(" ",M38)-1)&amp;" ?",Players[Name],0))," (same first name as "&amp;INDEX(Players[Name],MATCH(LEFT(M38,FIND(" ",M38)-1)&amp;" ?",Players[Name],0))&amp;")",""),"Not on Players list - type first name + last initial (like Zack B)")),"")),IF(OR(V38&lt;Pod_Min,V38&gt;Pod_Max),"Pod has "&amp;V38&amp;" players",""),IF(U38=0,IF(T38=0,"No winner (*) in pod",IF(T38&gt;1,T38&amp;" winners in pod","")),IF(U38&lt;V38,"Some = but not all players","")),IF(X38="Unknown","",IF(COUNTIFS($O$8:$O$257,O38,$Q$8:$Q$257,Q38,$X$8:$X$257,X38)&gt;1,"Name twice in pod",IF(COUNTIFS($O$8:$O$257,O38,$X$8:$X$257,X38)&gt;1,"Name in 2 pods this round","")))))</f>
        <v/>
      </c>
      <c r="AA38" s="3" t="str">
        <f>IF(L38&lt;&gt;"PLAYER","",IF(OR(M38="",ISNUMBER(FIND(" ",M38))),0,COUNTIF(Players[Name],M38&amp;" ?")))</f>
        <v/>
      </c>
    </row>
    <row r="39" spans="1:27" x14ac:dyDescent="0.45">
      <c r="A39" s="17"/>
      <c r="B39" s="6" t="str">
        <f t="shared" si="0"/>
        <v/>
      </c>
      <c r="C39" s="6" t="str">
        <f t="shared" si="1"/>
        <v/>
      </c>
      <c r="D39" s="6" t="str">
        <f t="shared" si="2"/>
        <v/>
      </c>
      <c r="E39" s="6" t="str">
        <f t="shared" si="3"/>
        <v/>
      </c>
      <c r="F39" s="6" t="str">
        <f t="shared" si="4"/>
        <v/>
      </c>
      <c r="G39" s="6" t="str">
        <f t="shared" si="5"/>
        <v/>
      </c>
      <c r="H39" s="10" t="str">
        <f t="shared" si="6"/>
        <v/>
      </c>
      <c r="I39" s="6" t="str">
        <f t="shared" si="7"/>
        <v/>
      </c>
      <c r="J39" s="3" t="str">
        <f>IFERROR(MATCH(ROWS(J$8:J39),$S$8:$S$257,0),"")</f>
        <v/>
      </c>
      <c r="K39" s="3" t="str">
        <f t="shared" si="8"/>
        <v/>
      </c>
      <c r="L39" s="3" t="str">
        <f t="shared" si="9"/>
        <v/>
      </c>
      <c r="M39" s="3" t="str">
        <f t="shared" si="10"/>
        <v/>
      </c>
      <c r="N39" s="3" t="str">
        <f t="shared" si="11"/>
        <v/>
      </c>
      <c r="O39" s="3">
        <f t="shared" si="12"/>
        <v>1</v>
      </c>
      <c r="P39" s="3">
        <f t="shared" si="13"/>
        <v>0</v>
      </c>
      <c r="Q39" s="3">
        <f t="shared" si="14"/>
        <v>0</v>
      </c>
      <c r="R39" s="3" t="str">
        <f t="shared" si="15"/>
        <v/>
      </c>
      <c r="S39" s="3">
        <f t="shared" si="16"/>
        <v>0</v>
      </c>
      <c r="T39" s="3" t="str">
        <f t="shared" si="17"/>
        <v/>
      </c>
      <c r="U39" s="3" t="str">
        <f t="shared" si="18"/>
        <v/>
      </c>
      <c r="V39" s="3" t="str">
        <f t="shared" si="19"/>
        <v/>
      </c>
      <c r="W39" s="3" t="str">
        <f t="shared" si="20"/>
        <v/>
      </c>
      <c r="X39" s="3" t="str">
        <f>IF(L39&lt;&gt;"PLAYER","",IF(Y39="Y",INDEX(Players[Name],MATCH(M39,Players[Name],0)),IF(Y39="A",INDEX(Players[Name],MATCH(M39&amp;" ?",Players[Name],0)),M39)))</f>
        <v/>
      </c>
      <c r="Y39" s="3" t="str">
        <f>IF(L39&lt;&gt;"PLAYER","",IF(ISNUMBER(MATCH(M39,Players[Name],0)),"Y",IF(AA39=1,"A","N")))</f>
        <v/>
      </c>
      <c r="Z39" s="3" t="str">
        <f>IF(L39&lt;&gt;"PLAYER","",_xlfn.TEXTJOIN("; ",TRUE,IF(M39="","Empty name",IF(Y39="N",IF(AA39&gt;1,"Which "&amp;M39&amp;"? "&amp;AA39&amp;" players start with it (like "&amp;INDEX(Players[Name],MATCH(M39&amp;" ?",Players[Name],0))&amp;") - type the last initial",IF(ISNUMBER(FIND(" ",M39)),IF(IFERROR(IF(M39="",FALSE,OR(M39="Unknown",AND(LEN(M39)-LEN(SUBSTITUTE(M39," ",""))=1,LEN(M39)&gt;=4,MID(M39,LEN(M39)-1,1)=" ",CODE(RIGHT(M39,1))&gt;=65,CODE(RIGHT(M39,1))&lt;=90))),FALSE),"New player? Not on Players list - add it there first","Not on Players list and not First L format (like Zack B)")&amp;IF(ISNUMBER(MATCH(LEFT(M39,FIND(" ",M39)-1)&amp;" ?",Players[Name],0))," (same first name as "&amp;INDEX(Players[Name],MATCH(LEFT(M39,FIND(" ",M39)-1)&amp;" ?",Players[Name],0))&amp;")",""),"Not on Players list - type first name + last initial (like Zack B)")),"")),IF(OR(V39&lt;Pod_Min,V39&gt;Pod_Max),"Pod has "&amp;V39&amp;" players",""),IF(U39=0,IF(T39=0,"No winner (*) in pod",IF(T39&gt;1,T39&amp;" winners in pod","")),IF(U39&lt;V39,"Some = but not all players","")),IF(X39="Unknown","",IF(COUNTIFS($O$8:$O$257,O39,$Q$8:$Q$257,Q39,$X$8:$X$257,X39)&gt;1,"Name twice in pod",IF(COUNTIFS($O$8:$O$257,O39,$X$8:$X$257,X39)&gt;1,"Name in 2 pods this round","")))))</f>
        <v/>
      </c>
      <c r="AA39" s="3" t="str">
        <f>IF(L39&lt;&gt;"PLAYER","",IF(OR(M39="",ISNUMBER(FIND(" ",M39))),0,COUNTIF(Players[Name],M39&amp;" ?")))</f>
        <v/>
      </c>
    </row>
    <row r="40" spans="1:27" x14ac:dyDescent="0.45">
      <c r="A40" s="17"/>
      <c r="B40" s="6" t="str">
        <f t="shared" si="0"/>
        <v/>
      </c>
      <c r="C40" s="6" t="str">
        <f t="shared" si="1"/>
        <v/>
      </c>
      <c r="D40" s="6" t="str">
        <f t="shared" si="2"/>
        <v/>
      </c>
      <c r="E40" s="6" t="str">
        <f t="shared" si="3"/>
        <v/>
      </c>
      <c r="F40" s="6" t="str">
        <f t="shared" si="4"/>
        <v/>
      </c>
      <c r="G40" s="6" t="str">
        <f t="shared" si="5"/>
        <v/>
      </c>
      <c r="H40" s="10" t="str">
        <f t="shared" si="6"/>
        <v/>
      </c>
      <c r="I40" s="6" t="str">
        <f t="shared" si="7"/>
        <v/>
      </c>
      <c r="J40" s="3" t="str">
        <f>IFERROR(MATCH(ROWS(J$8:J40),$S$8:$S$257,0),"")</f>
        <v/>
      </c>
      <c r="K40" s="3" t="str">
        <f t="shared" si="8"/>
        <v/>
      </c>
      <c r="L40" s="3" t="str">
        <f t="shared" si="9"/>
        <v/>
      </c>
      <c r="M40" s="3" t="str">
        <f t="shared" si="10"/>
        <v/>
      </c>
      <c r="N40" s="3" t="str">
        <f t="shared" si="11"/>
        <v/>
      </c>
      <c r="O40" s="3">
        <f t="shared" si="12"/>
        <v>1</v>
      </c>
      <c r="P40" s="3">
        <f t="shared" si="13"/>
        <v>0</v>
      </c>
      <c r="Q40" s="3">
        <f t="shared" si="14"/>
        <v>0</v>
      </c>
      <c r="R40" s="3" t="str">
        <f t="shared" si="15"/>
        <v/>
      </c>
      <c r="S40" s="3">
        <f t="shared" si="16"/>
        <v>0</v>
      </c>
      <c r="T40" s="3" t="str">
        <f t="shared" si="17"/>
        <v/>
      </c>
      <c r="U40" s="3" t="str">
        <f t="shared" si="18"/>
        <v/>
      </c>
      <c r="V40" s="3" t="str">
        <f t="shared" si="19"/>
        <v/>
      </c>
      <c r="W40" s="3" t="str">
        <f t="shared" si="20"/>
        <v/>
      </c>
      <c r="X40" s="3" t="str">
        <f>IF(L40&lt;&gt;"PLAYER","",IF(Y40="Y",INDEX(Players[Name],MATCH(M40,Players[Name],0)),IF(Y40="A",INDEX(Players[Name],MATCH(M40&amp;" ?",Players[Name],0)),M40)))</f>
        <v/>
      </c>
      <c r="Y40" s="3" t="str">
        <f>IF(L40&lt;&gt;"PLAYER","",IF(ISNUMBER(MATCH(M40,Players[Name],0)),"Y",IF(AA40=1,"A","N")))</f>
        <v/>
      </c>
      <c r="Z40" s="3" t="str">
        <f>IF(L40&lt;&gt;"PLAYER","",_xlfn.TEXTJOIN("; ",TRUE,IF(M40="","Empty name",IF(Y40="N",IF(AA40&gt;1,"Which "&amp;M40&amp;"? "&amp;AA40&amp;" players start with it (like "&amp;INDEX(Players[Name],MATCH(M40&amp;" ?",Players[Name],0))&amp;") - type the last initial",IF(ISNUMBER(FIND(" ",M40)),IF(IFERROR(IF(M40="",FALSE,OR(M40="Unknown",AND(LEN(M40)-LEN(SUBSTITUTE(M40," ",""))=1,LEN(M40)&gt;=4,MID(M40,LEN(M40)-1,1)=" ",CODE(RIGHT(M40,1))&gt;=65,CODE(RIGHT(M40,1))&lt;=90))),FALSE),"New player? Not on Players list - add it there first","Not on Players list and not First L format (like Zack B)")&amp;IF(ISNUMBER(MATCH(LEFT(M40,FIND(" ",M40)-1)&amp;" ?",Players[Name],0))," (same first name as "&amp;INDEX(Players[Name],MATCH(LEFT(M40,FIND(" ",M40)-1)&amp;" ?",Players[Name],0))&amp;")",""),"Not on Players list - type first name + last initial (like Zack B)")),"")),IF(OR(V40&lt;Pod_Min,V40&gt;Pod_Max),"Pod has "&amp;V40&amp;" players",""),IF(U40=0,IF(T40=0,"No winner (*) in pod",IF(T40&gt;1,T40&amp;" winners in pod","")),IF(U40&lt;V40,"Some = but not all players","")),IF(X40="Unknown","",IF(COUNTIFS($O$8:$O$257,O40,$Q$8:$Q$257,Q40,$X$8:$X$257,X40)&gt;1,"Name twice in pod",IF(COUNTIFS($O$8:$O$257,O40,$X$8:$X$257,X40)&gt;1,"Name in 2 pods this round","")))))</f>
        <v/>
      </c>
      <c r="AA40" s="3" t="str">
        <f>IF(L40&lt;&gt;"PLAYER","",IF(OR(M40="",ISNUMBER(FIND(" ",M40))),0,COUNTIF(Players[Name],M40&amp;" ?")))</f>
        <v/>
      </c>
    </row>
    <row r="41" spans="1:27" x14ac:dyDescent="0.45">
      <c r="A41" s="17"/>
      <c r="B41" s="6" t="str">
        <f t="shared" si="0"/>
        <v/>
      </c>
      <c r="C41" s="6" t="str">
        <f t="shared" si="1"/>
        <v/>
      </c>
      <c r="D41" s="6" t="str">
        <f t="shared" si="2"/>
        <v/>
      </c>
      <c r="E41" s="6" t="str">
        <f t="shared" si="3"/>
        <v/>
      </c>
      <c r="F41" s="6" t="str">
        <f t="shared" si="4"/>
        <v/>
      </c>
      <c r="G41" s="6" t="str">
        <f t="shared" si="5"/>
        <v/>
      </c>
      <c r="H41" s="10" t="str">
        <f t="shared" si="6"/>
        <v/>
      </c>
      <c r="I41" s="6" t="str">
        <f t="shared" si="7"/>
        <v/>
      </c>
      <c r="J41" s="3" t="str">
        <f>IFERROR(MATCH(ROWS(J$8:J41),$S$8:$S$257,0),"")</f>
        <v/>
      </c>
      <c r="K41" s="3" t="str">
        <f t="shared" si="8"/>
        <v/>
      </c>
      <c r="L41" s="3" t="str">
        <f t="shared" si="9"/>
        <v/>
      </c>
      <c r="M41" s="3" t="str">
        <f t="shared" si="10"/>
        <v/>
      </c>
      <c r="N41" s="3" t="str">
        <f t="shared" si="11"/>
        <v/>
      </c>
      <c r="O41" s="3">
        <f t="shared" si="12"/>
        <v>1</v>
      </c>
      <c r="P41" s="3">
        <f t="shared" si="13"/>
        <v>0</v>
      </c>
      <c r="Q41" s="3">
        <f t="shared" si="14"/>
        <v>0</v>
      </c>
      <c r="R41" s="3" t="str">
        <f t="shared" si="15"/>
        <v/>
      </c>
      <c r="S41" s="3">
        <f t="shared" si="16"/>
        <v>0</v>
      </c>
      <c r="T41" s="3" t="str">
        <f t="shared" si="17"/>
        <v/>
      </c>
      <c r="U41" s="3" t="str">
        <f t="shared" si="18"/>
        <v/>
      </c>
      <c r="V41" s="3" t="str">
        <f t="shared" si="19"/>
        <v/>
      </c>
      <c r="W41" s="3" t="str">
        <f t="shared" si="20"/>
        <v/>
      </c>
      <c r="X41" s="3" t="str">
        <f>IF(L41&lt;&gt;"PLAYER","",IF(Y41="Y",INDEX(Players[Name],MATCH(M41,Players[Name],0)),IF(Y41="A",INDEX(Players[Name],MATCH(M41&amp;" ?",Players[Name],0)),M41)))</f>
        <v/>
      </c>
      <c r="Y41" s="3" t="str">
        <f>IF(L41&lt;&gt;"PLAYER","",IF(ISNUMBER(MATCH(M41,Players[Name],0)),"Y",IF(AA41=1,"A","N")))</f>
        <v/>
      </c>
      <c r="Z41" s="3" t="str">
        <f>IF(L41&lt;&gt;"PLAYER","",_xlfn.TEXTJOIN("; ",TRUE,IF(M41="","Empty name",IF(Y41="N",IF(AA41&gt;1,"Which "&amp;M41&amp;"? "&amp;AA41&amp;" players start with it (like "&amp;INDEX(Players[Name],MATCH(M41&amp;" ?",Players[Name],0))&amp;") - type the last initial",IF(ISNUMBER(FIND(" ",M41)),IF(IFERROR(IF(M41="",FALSE,OR(M41="Unknown",AND(LEN(M41)-LEN(SUBSTITUTE(M41," ",""))=1,LEN(M41)&gt;=4,MID(M41,LEN(M41)-1,1)=" ",CODE(RIGHT(M41,1))&gt;=65,CODE(RIGHT(M41,1))&lt;=90))),FALSE),"New player? Not on Players list - add it there first","Not on Players list and not First L format (like Zack B)")&amp;IF(ISNUMBER(MATCH(LEFT(M41,FIND(" ",M41)-1)&amp;" ?",Players[Name],0))," (same first name as "&amp;INDEX(Players[Name],MATCH(LEFT(M41,FIND(" ",M41)-1)&amp;" ?",Players[Name],0))&amp;")",""),"Not on Players list - type first name + last initial (like Zack B)")),"")),IF(OR(V41&lt;Pod_Min,V41&gt;Pod_Max),"Pod has "&amp;V41&amp;" players",""),IF(U41=0,IF(T41=0,"No winner (*) in pod",IF(T41&gt;1,T41&amp;" winners in pod","")),IF(U41&lt;V41,"Some = but not all players","")),IF(X41="Unknown","",IF(COUNTIFS($O$8:$O$257,O41,$Q$8:$Q$257,Q41,$X$8:$X$257,X41)&gt;1,"Name twice in pod",IF(COUNTIFS($O$8:$O$257,O41,$X$8:$X$257,X41)&gt;1,"Name in 2 pods this round","")))))</f>
        <v/>
      </c>
      <c r="AA41" s="3" t="str">
        <f>IF(L41&lt;&gt;"PLAYER","",IF(OR(M41="",ISNUMBER(FIND(" ",M41))),0,COUNTIF(Players[Name],M41&amp;" ?")))</f>
        <v/>
      </c>
    </row>
    <row r="42" spans="1:27" x14ac:dyDescent="0.45">
      <c r="A42" s="17"/>
      <c r="B42" s="6" t="str">
        <f t="shared" si="0"/>
        <v/>
      </c>
      <c r="C42" s="6" t="str">
        <f t="shared" si="1"/>
        <v/>
      </c>
      <c r="D42" s="6" t="str">
        <f t="shared" si="2"/>
        <v/>
      </c>
      <c r="E42" s="6" t="str">
        <f t="shared" si="3"/>
        <v/>
      </c>
      <c r="F42" s="6" t="str">
        <f t="shared" si="4"/>
        <v/>
      </c>
      <c r="G42" s="6" t="str">
        <f t="shared" si="5"/>
        <v/>
      </c>
      <c r="H42" s="10" t="str">
        <f t="shared" si="6"/>
        <v/>
      </c>
      <c r="I42" s="6" t="str">
        <f t="shared" si="7"/>
        <v/>
      </c>
      <c r="J42" s="3" t="str">
        <f>IFERROR(MATCH(ROWS(J$8:J42),$S$8:$S$257,0),"")</f>
        <v/>
      </c>
      <c r="K42" s="3" t="str">
        <f t="shared" si="8"/>
        <v/>
      </c>
      <c r="L42" s="3" t="str">
        <f t="shared" si="9"/>
        <v/>
      </c>
      <c r="M42" s="3" t="str">
        <f t="shared" si="10"/>
        <v/>
      </c>
      <c r="N42" s="3" t="str">
        <f t="shared" si="11"/>
        <v/>
      </c>
      <c r="O42" s="3">
        <f t="shared" si="12"/>
        <v>1</v>
      </c>
      <c r="P42" s="3">
        <f t="shared" si="13"/>
        <v>0</v>
      </c>
      <c r="Q42" s="3">
        <f t="shared" si="14"/>
        <v>0</v>
      </c>
      <c r="R42" s="3" t="str">
        <f t="shared" si="15"/>
        <v/>
      </c>
      <c r="S42" s="3">
        <f t="shared" si="16"/>
        <v>0</v>
      </c>
      <c r="T42" s="3" t="str">
        <f t="shared" si="17"/>
        <v/>
      </c>
      <c r="U42" s="3" t="str">
        <f t="shared" si="18"/>
        <v/>
      </c>
      <c r="V42" s="3" t="str">
        <f t="shared" si="19"/>
        <v/>
      </c>
      <c r="W42" s="3" t="str">
        <f t="shared" si="20"/>
        <v/>
      </c>
      <c r="X42" s="3" t="str">
        <f>IF(L42&lt;&gt;"PLAYER","",IF(Y42="Y",INDEX(Players[Name],MATCH(M42,Players[Name],0)),IF(Y42="A",INDEX(Players[Name],MATCH(M42&amp;" ?",Players[Name],0)),M42)))</f>
        <v/>
      </c>
      <c r="Y42" s="3" t="str">
        <f>IF(L42&lt;&gt;"PLAYER","",IF(ISNUMBER(MATCH(M42,Players[Name],0)),"Y",IF(AA42=1,"A","N")))</f>
        <v/>
      </c>
      <c r="Z42" s="3" t="str">
        <f>IF(L42&lt;&gt;"PLAYER","",_xlfn.TEXTJOIN("; ",TRUE,IF(M42="","Empty name",IF(Y42="N",IF(AA42&gt;1,"Which "&amp;M42&amp;"? "&amp;AA42&amp;" players start with it (like "&amp;INDEX(Players[Name],MATCH(M42&amp;" ?",Players[Name],0))&amp;") - type the last initial",IF(ISNUMBER(FIND(" ",M42)),IF(IFERROR(IF(M42="",FALSE,OR(M42="Unknown",AND(LEN(M42)-LEN(SUBSTITUTE(M42," ",""))=1,LEN(M42)&gt;=4,MID(M42,LEN(M42)-1,1)=" ",CODE(RIGHT(M42,1))&gt;=65,CODE(RIGHT(M42,1))&lt;=90))),FALSE),"New player? Not on Players list - add it there first","Not on Players list and not First L format (like Zack B)")&amp;IF(ISNUMBER(MATCH(LEFT(M42,FIND(" ",M42)-1)&amp;" ?",Players[Name],0))," (same first name as "&amp;INDEX(Players[Name],MATCH(LEFT(M42,FIND(" ",M42)-1)&amp;" ?",Players[Name],0))&amp;")",""),"Not on Players list - type first name + last initial (like Zack B)")),"")),IF(OR(V42&lt;Pod_Min,V42&gt;Pod_Max),"Pod has "&amp;V42&amp;" players",""),IF(U42=0,IF(T42=0,"No winner (*) in pod",IF(T42&gt;1,T42&amp;" winners in pod","")),IF(U42&lt;V42,"Some = but not all players","")),IF(X42="Unknown","",IF(COUNTIFS($O$8:$O$257,O42,$Q$8:$Q$257,Q42,$X$8:$X$257,X42)&gt;1,"Name twice in pod",IF(COUNTIFS($O$8:$O$257,O42,$X$8:$X$257,X42)&gt;1,"Name in 2 pods this round","")))))</f>
        <v/>
      </c>
      <c r="AA42" s="3" t="str">
        <f>IF(L42&lt;&gt;"PLAYER","",IF(OR(M42="",ISNUMBER(FIND(" ",M42))),0,COUNTIF(Players[Name],M42&amp;" ?")))</f>
        <v/>
      </c>
    </row>
    <row r="43" spans="1:27" x14ac:dyDescent="0.45">
      <c r="A43" s="17"/>
      <c r="B43" s="6" t="str">
        <f t="shared" si="0"/>
        <v/>
      </c>
      <c r="C43" s="6" t="str">
        <f t="shared" si="1"/>
        <v/>
      </c>
      <c r="D43" s="6" t="str">
        <f t="shared" si="2"/>
        <v/>
      </c>
      <c r="E43" s="6" t="str">
        <f t="shared" si="3"/>
        <v/>
      </c>
      <c r="F43" s="6" t="str">
        <f t="shared" si="4"/>
        <v/>
      </c>
      <c r="G43" s="6" t="str">
        <f t="shared" si="5"/>
        <v/>
      </c>
      <c r="H43" s="10" t="str">
        <f t="shared" si="6"/>
        <v/>
      </c>
      <c r="I43" s="6" t="str">
        <f t="shared" si="7"/>
        <v/>
      </c>
      <c r="J43" s="3" t="str">
        <f>IFERROR(MATCH(ROWS(J$8:J43),$S$8:$S$257,0),"")</f>
        <v/>
      </c>
      <c r="K43" s="3" t="str">
        <f t="shared" si="8"/>
        <v/>
      </c>
      <c r="L43" s="3" t="str">
        <f t="shared" si="9"/>
        <v/>
      </c>
      <c r="M43" s="3" t="str">
        <f t="shared" si="10"/>
        <v/>
      </c>
      <c r="N43" s="3" t="str">
        <f t="shared" si="11"/>
        <v/>
      </c>
      <c r="O43" s="3">
        <f t="shared" si="12"/>
        <v>1</v>
      </c>
      <c r="P43" s="3">
        <f t="shared" si="13"/>
        <v>0</v>
      </c>
      <c r="Q43" s="3">
        <f t="shared" si="14"/>
        <v>0</v>
      </c>
      <c r="R43" s="3" t="str">
        <f t="shared" si="15"/>
        <v/>
      </c>
      <c r="S43" s="3">
        <f t="shared" si="16"/>
        <v>0</v>
      </c>
      <c r="T43" s="3" t="str">
        <f t="shared" si="17"/>
        <v/>
      </c>
      <c r="U43" s="3" t="str">
        <f t="shared" si="18"/>
        <v/>
      </c>
      <c r="V43" s="3" t="str">
        <f t="shared" si="19"/>
        <v/>
      </c>
      <c r="W43" s="3" t="str">
        <f t="shared" si="20"/>
        <v/>
      </c>
      <c r="X43" s="3" t="str">
        <f>IF(L43&lt;&gt;"PLAYER","",IF(Y43="Y",INDEX(Players[Name],MATCH(M43,Players[Name],0)),IF(Y43="A",INDEX(Players[Name],MATCH(M43&amp;" ?",Players[Name],0)),M43)))</f>
        <v/>
      </c>
      <c r="Y43" s="3" t="str">
        <f>IF(L43&lt;&gt;"PLAYER","",IF(ISNUMBER(MATCH(M43,Players[Name],0)),"Y",IF(AA43=1,"A","N")))</f>
        <v/>
      </c>
      <c r="Z43" s="3" t="str">
        <f>IF(L43&lt;&gt;"PLAYER","",_xlfn.TEXTJOIN("; ",TRUE,IF(M43="","Empty name",IF(Y43="N",IF(AA43&gt;1,"Which "&amp;M43&amp;"? "&amp;AA43&amp;" players start with it (like "&amp;INDEX(Players[Name],MATCH(M43&amp;" ?",Players[Name],0))&amp;") - type the last initial",IF(ISNUMBER(FIND(" ",M43)),IF(IFERROR(IF(M43="",FALSE,OR(M43="Unknown",AND(LEN(M43)-LEN(SUBSTITUTE(M43," ",""))=1,LEN(M43)&gt;=4,MID(M43,LEN(M43)-1,1)=" ",CODE(RIGHT(M43,1))&gt;=65,CODE(RIGHT(M43,1))&lt;=90))),FALSE),"New player? Not on Players list - add it there first","Not on Players list and not First L format (like Zack B)")&amp;IF(ISNUMBER(MATCH(LEFT(M43,FIND(" ",M43)-1)&amp;" ?",Players[Name],0))," (same first name as "&amp;INDEX(Players[Name],MATCH(LEFT(M43,FIND(" ",M43)-1)&amp;" ?",Players[Name],0))&amp;")",""),"Not on Players list - type first name + last initial (like Zack B)")),"")),IF(OR(V43&lt;Pod_Min,V43&gt;Pod_Max),"Pod has "&amp;V43&amp;" players",""),IF(U43=0,IF(T43=0,"No winner (*) in pod",IF(T43&gt;1,T43&amp;" winners in pod","")),IF(U43&lt;V43,"Some = but not all players","")),IF(X43="Unknown","",IF(COUNTIFS($O$8:$O$257,O43,$Q$8:$Q$257,Q43,$X$8:$X$257,X43)&gt;1,"Name twice in pod",IF(COUNTIFS($O$8:$O$257,O43,$X$8:$X$257,X43)&gt;1,"Name in 2 pods this round","")))))</f>
        <v/>
      </c>
      <c r="AA43" s="3" t="str">
        <f>IF(L43&lt;&gt;"PLAYER","",IF(OR(M43="",ISNUMBER(FIND(" ",M43))),0,COUNTIF(Players[Name],M43&amp;" ?")))</f>
        <v/>
      </c>
    </row>
    <row r="44" spans="1:27" x14ac:dyDescent="0.45">
      <c r="A44" s="17"/>
      <c r="B44" s="6" t="str">
        <f t="shared" si="0"/>
        <v/>
      </c>
      <c r="C44" s="6" t="str">
        <f t="shared" si="1"/>
        <v/>
      </c>
      <c r="D44" s="6" t="str">
        <f t="shared" si="2"/>
        <v/>
      </c>
      <c r="E44" s="6" t="str">
        <f t="shared" si="3"/>
        <v/>
      </c>
      <c r="F44" s="6" t="str">
        <f t="shared" si="4"/>
        <v/>
      </c>
      <c r="G44" s="6" t="str">
        <f t="shared" si="5"/>
        <v/>
      </c>
      <c r="H44" s="10" t="str">
        <f t="shared" si="6"/>
        <v/>
      </c>
      <c r="I44" s="6" t="str">
        <f t="shared" si="7"/>
        <v/>
      </c>
      <c r="J44" s="3" t="str">
        <f>IFERROR(MATCH(ROWS(J$8:J44),$S$8:$S$257,0),"")</f>
        <v/>
      </c>
      <c r="K44" s="3" t="str">
        <f t="shared" si="8"/>
        <v/>
      </c>
      <c r="L44" s="3" t="str">
        <f t="shared" si="9"/>
        <v/>
      </c>
      <c r="M44" s="3" t="str">
        <f t="shared" si="10"/>
        <v/>
      </c>
      <c r="N44" s="3" t="str">
        <f t="shared" si="11"/>
        <v/>
      </c>
      <c r="O44" s="3">
        <f t="shared" si="12"/>
        <v>1</v>
      </c>
      <c r="P44" s="3">
        <f t="shared" si="13"/>
        <v>0</v>
      </c>
      <c r="Q44" s="3">
        <f t="shared" si="14"/>
        <v>0</v>
      </c>
      <c r="R44" s="3" t="str">
        <f t="shared" si="15"/>
        <v/>
      </c>
      <c r="S44" s="3">
        <f t="shared" si="16"/>
        <v>0</v>
      </c>
      <c r="T44" s="3" t="str">
        <f t="shared" si="17"/>
        <v/>
      </c>
      <c r="U44" s="3" t="str">
        <f t="shared" si="18"/>
        <v/>
      </c>
      <c r="V44" s="3" t="str">
        <f t="shared" si="19"/>
        <v/>
      </c>
      <c r="W44" s="3" t="str">
        <f t="shared" si="20"/>
        <v/>
      </c>
      <c r="X44" s="3" t="str">
        <f>IF(L44&lt;&gt;"PLAYER","",IF(Y44="Y",INDEX(Players[Name],MATCH(M44,Players[Name],0)),IF(Y44="A",INDEX(Players[Name],MATCH(M44&amp;" ?",Players[Name],0)),M44)))</f>
        <v/>
      </c>
      <c r="Y44" s="3" t="str">
        <f>IF(L44&lt;&gt;"PLAYER","",IF(ISNUMBER(MATCH(M44,Players[Name],0)),"Y",IF(AA44=1,"A","N")))</f>
        <v/>
      </c>
      <c r="Z44" s="3" t="str">
        <f>IF(L44&lt;&gt;"PLAYER","",_xlfn.TEXTJOIN("; ",TRUE,IF(M44="","Empty name",IF(Y44="N",IF(AA44&gt;1,"Which "&amp;M44&amp;"? "&amp;AA44&amp;" players start with it (like "&amp;INDEX(Players[Name],MATCH(M44&amp;" ?",Players[Name],0))&amp;") - type the last initial",IF(ISNUMBER(FIND(" ",M44)),IF(IFERROR(IF(M44="",FALSE,OR(M44="Unknown",AND(LEN(M44)-LEN(SUBSTITUTE(M44," ",""))=1,LEN(M44)&gt;=4,MID(M44,LEN(M44)-1,1)=" ",CODE(RIGHT(M44,1))&gt;=65,CODE(RIGHT(M44,1))&lt;=90))),FALSE),"New player? Not on Players list - add it there first","Not on Players list and not First L format (like Zack B)")&amp;IF(ISNUMBER(MATCH(LEFT(M44,FIND(" ",M44)-1)&amp;" ?",Players[Name],0))," (same first name as "&amp;INDEX(Players[Name],MATCH(LEFT(M44,FIND(" ",M44)-1)&amp;" ?",Players[Name],0))&amp;")",""),"Not on Players list - type first name + last initial (like Zack B)")),"")),IF(OR(V44&lt;Pod_Min,V44&gt;Pod_Max),"Pod has "&amp;V44&amp;" players",""),IF(U44=0,IF(T44=0,"No winner (*) in pod",IF(T44&gt;1,T44&amp;" winners in pod","")),IF(U44&lt;V44,"Some = but not all players","")),IF(X44="Unknown","",IF(COUNTIFS($O$8:$O$257,O44,$Q$8:$Q$257,Q44,$X$8:$X$257,X44)&gt;1,"Name twice in pod",IF(COUNTIFS($O$8:$O$257,O44,$X$8:$X$257,X44)&gt;1,"Name in 2 pods this round","")))))</f>
        <v/>
      </c>
      <c r="AA44" s="3" t="str">
        <f>IF(L44&lt;&gt;"PLAYER","",IF(OR(M44="",ISNUMBER(FIND(" ",M44))),0,COUNTIF(Players[Name],M44&amp;" ?")))</f>
        <v/>
      </c>
    </row>
    <row r="45" spans="1:27" x14ac:dyDescent="0.45">
      <c r="A45" s="17"/>
      <c r="B45" s="6" t="str">
        <f t="shared" si="0"/>
        <v/>
      </c>
      <c r="C45" s="6" t="str">
        <f t="shared" si="1"/>
        <v/>
      </c>
      <c r="D45" s="6" t="str">
        <f t="shared" si="2"/>
        <v/>
      </c>
      <c r="E45" s="6" t="str">
        <f t="shared" si="3"/>
        <v/>
      </c>
      <c r="F45" s="6" t="str">
        <f t="shared" si="4"/>
        <v/>
      </c>
      <c r="G45" s="6" t="str">
        <f t="shared" si="5"/>
        <v/>
      </c>
      <c r="H45" s="10" t="str">
        <f t="shared" si="6"/>
        <v/>
      </c>
      <c r="I45" s="6" t="str">
        <f t="shared" si="7"/>
        <v/>
      </c>
      <c r="J45" s="3" t="str">
        <f>IFERROR(MATCH(ROWS(J$8:J45),$S$8:$S$257,0),"")</f>
        <v/>
      </c>
      <c r="K45" s="3" t="str">
        <f t="shared" si="8"/>
        <v/>
      </c>
      <c r="L45" s="3" t="str">
        <f t="shared" si="9"/>
        <v/>
      </c>
      <c r="M45" s="3" t="str">
        <f t="shared" si="10"/>
        <v/>
      </c>
      <c r="N45" s="3" t="str">
        <f t="shared" si="11"/>
        <v/>
      </c>
      <c r="O45" s="3">
        <f t="shared" si="12"/>
        <v>1</v>
      </c>
      <c r="P45" s="3">
        <f t="shared" si="13"/>
        <v>0</v>
      </c>
      <c r="Q45" s="3">
        <f t="shared" si="14"/>
        <v>0</v>
      </c>
      <c r="R45" s="3" t="str">
        <f t="shared" si="15"/>
        <v/>
      </c>
      <c r="S45" s="3">
        <f t="shared" si="16"/>
        <v>0</v>
      </c>
      <c r="T45" s="3" t="str">
        <f t="shared" si="17"/>
        <v/>
      </c>
      <c r="U45" s="3" t="str">
        <f t="shared" si="18"/>
        <v/>
      </c>
      <c r="V45" s="3" t="str">
        <f t="shared" si="19"/>
        <v/>
      </c>
      <c r="W45" s="3" t="str">
        <f t="shared" si="20"/>
        <v/>
      </c>
      <c r="X45" s="3" t="str">
        <f>IF(L45&lt;&gt;"PLAYER","",IF(Y45="Y",INDEX(Players[Name],MATCH(M45,Players[Name],0)),IF(Y45="A",INDEX(Players[Name],MATCH(M45&amp;" ?",Players[Name],0)),M45)))</f>
        <v/>
      </c>
      <c r="Y45" s="3" t="str">
        <f>IF(L45&lt;&gt;"PLAYER","",IF(ISNUMBER(MATCH(M45,Players[Name],0)),"Y",IF(AA45=1,"A","N")))</f>
        <v/>
      </c>
      <c r="Z45" s="3" t="str">
        <f>IF(L45&lt;&gt;"PLAYER","",_xlfn.TEXTJOIN("; ",TRUE,IF(M45="","Empty name",IF(Y45="N",IF(AA45&gt;1,"Which "&amp;M45&amp;"? "&amp;AA45&amp;" players start with it (like "&amp;INDEX(Players[Name],MATCH(M45&amp;" ?",Players[Name],0))&amp;") - type the last initial",IF(ISNUMBER(FIND(" ",M45)),IF(IFERROR(IF(M45="",FALSE,OR(M45="Unknown",AND(LEN(M45)-LEN(SUBSTITUTE(M45," ",""))=1,LEN(M45)&gt;=4,MID(M45,LEN(M45)-1,1)=" ",CODE(RIGHT(M45,1))&gt;=65,CODE(RIGHT(M45,1))&lt;=90))),FALSE),"New player? Not on Players list - add it there first","Not on Players list and not First L format (like Zack B)")&amp;IF(ISNUMBER(MATCH(LEFT(M45,FIND(" ",M45)-1)&amp;" ?",Players[Name],0))," (same first name as "&amp;INDEX(Players[Name],MATCH(LEFT(M45,FIND(" ",M45)-1)&amp;" ?",Players[Name],0))&amp;")",""),"Not on Players list - type first name + last initial (like Zack B)")),"")),IF(OR(V45&lt;Pod_Min,V45&gt;Pod_Max),"Pod has "&amp;V45&amp;" players",""),IF(U45=0,IF(T45=0,"No winner (*) in pod",IF(T45&gt;1,T45&amp;" winners in pod","")),IF(U45&lt;V45,"Some = but not all players","")),IF(X45="Unknown","",IF(COUNTIFS($O$8:$O$257,O45,$Q$8:$Q$257,Q45,$X$8:$X$257,X45)&gt;1,"Name twice in pod",IF(COUNTIFS($O$8:$O$257,O45,$X$8:$X$257,X45)&gt;1,"Name in 2 pods this round","")))))</f>
        <v/>
      </c>
      <c r="AA45" s="3" t="str">
        <f>IF(L45&lt;&gt;"PLAYER","",IF(OR(M45="",ISNUMBER(FIND(" ",M45))),0,COUNTIF(Players[Name],M45&amp;" ?")))</f>
        <v/>
      </c>
    </row>
    <row r="46" spans="1:27" x14ac:dyDescent="0.45">
      <c r="A46" s="17"/>
      <c r="B46" s="6" t="str">
        <f t="shared" si="0"/>
        <v/>
      </c>
      <c r="C46" s="6" t="str">
        <f t="shared" si="1"/>
        <v/>
      </c>
      <c r="D46" s="6" t="str">
        <f t="shared" si="2"/>
        <v/>
      </c>
      <c r="E46" s="6" t="str">
        <f t="shared" si="3"/>
        <v/>
      </c>
      <c r="F46" s="6" t="str">
        <f t="shared" si="4"/>
        <v/>
      </c>
      <c r="G46" s="6" t="str">
        <f t="shared" si="5"/>
        <v/>
      </c>
      <c r="H46" s="10" t="str">
        <f t="shared" si="6"/>
        <v/>
      </c>
      <c r="I46" s="6" t="str">
        <f t="shared" si="7"/>
        <v/>
      </c>
      <c r="J46" s="3" t="str">
        <f>IFERROR(MATCH(ROWS(J$8:J46),$S$8:$S$257,0),"")</f>
        <v/>
      </c>
      <c r="K46" s="3" t="str">
        <f t="shared" si="8"/>
        <v/>
      </c>
      <c r="L46" s="3" t="str">
        <f t="shared" si="9"/>
        <v/>
      </c>
      <c r="M46" s="3" t="str">
        <f t="shared" si="10"/>
        <v/>
      </c>
      <c r="N46" s="3" t="str">
        <f t="shared" si="11"/>
        <v/>
      </c>
      <c r="O46" s="3">
        <f t="shared" si="12"/>
        <v>1</v>
      </c>
      <c r="P46" s="3">
        <f t="shared" si="13"/>
        <v>0</v>
      </c>
      <c r="Q46" s="3">
        <f t="shared" si="14"/>
        <v>0</v>
      </c>
      <c r="R46" s="3" t="str">
        <f t="shared" si="15"/>
        <v/>
      </c>
      <c r="S46" s="3">
        <f t="shared" si="16"/>
        <v>0</v>
      </c>
      <c r="T46" s="3" t="str">
        <f t="shared" si="17"/>
        <v/>
      </c>
      <c r="U46" s="3" t="str">
        <f t="shared" si="18"/>
        <v/>
      </c>
      <c r="V46" s="3" t="str">
        <f t="shared" si="19"/>
        <v/>
      </c>
      <c r="W46" s="3" t="str">
        <f t="shared" si="20"/>
        <v/>
      </c>
      <c r="X46" s="3" t="str">
        <f>IF(L46&lt;&gt;"PLAYER","",IF(Y46="Y",INDEX(Players[Name],MATCH(M46,Players[Name],0)),IF(Y46="A",INDEX(Players[Name],MATCH(M46&amp;" ?",Players[Name],0)),M46)))</f>
        <v/>
      </c>
      <c r="Y46" s="3" t="str">
        <f>IF(L46&lt;&gt;"PLAYER","",IF(ISNUMBER(MATCH(M46,Players[Name],0)),"Y",IF(AA46=1,"A","N")))</f>
        <v/>
      </c>
      <c r="Z46" s="3" t="str">
        <f>IF(L46&lt;&gt;"PLAYER","",_xlfn.TEXTJOIN("; ",TRUE,IF(M46="","Empty name",IF(Y46="N",IF(AA46&gt;1,"Which "&amp;M46&amp;"? "&amp;AA46&amp;" players start with it (like "&amp;INDEX(Players[Name],MATCH(M46&amp;" ?",Players[Name],0))&amp;") - type the last initial",IF(ISNUMBER(FIND(" ",M46)),IF(IFERROR(IF(M46="",FALSE,OR(M46="Unknown",AND(LEN(M46)-LEN(SUBSTITUTE(M46," ",""))=1,LEN(M46)&gt;=4,MID(M46,LEN(M46)-1,1)=" ",CODE(RIGHT(M46,1))&gt;=65,CODE(RIGHT(M46,1))&lt;=90))),FALSE),"New player? Not on Players list - add it there first","Not on Players list and not First L format (like Zack B)")&amp;IF(ISNUMBER(MATCH(LEFT(M46,FIND(" ",M46)-1)&amp;" ?",Players[Name],0))," (same first name as "&amp;INDEX(Players[Name],MATCH(LEFT(M46,FIND(" ",M46)-1)&amp;" ?",Players[Name],0))&amp;")",""),"Not on Players list - type first name + last initial (like Zack B)")),"")),IF(OR(V46&lt;Pod_Min,V46&gt;Pod_Max),"Pod has "&amp;V46&amp;" players",""),IF(U46=0,IF(T46=0,"No winner (*) in pod",IF(T46&gt;1,T46&amp;" winners in pod","")),IF(U46&lt;V46,"Some = but not all players","")),IF(X46="Unknown","",IF(COUNTIFS($O$8:$O$257,O46,$Q$8:$Q$257,Q46,$X$8:$X$257,X46)&gt;1,"Name twice in pod",IF(COUNTIFS($O$8:$O$257,O46,$X$8:$X$257,X46)&gt;1,"Name in 2 pods this round","")))))</f>
        <v/>
      </c>
      <c r="AA46" s="3" t="str">
        <f>IF(L46&lt;&gt;"PLAYER","",IF(OR(M46="",ISNUMBER(FIND(" ",M46))),0,COUNTIF(Players[Name],M46&amp;" ?")))</f>
        <v/>
      </c>
    </row>
    <row r="47" spans="1:27" x14ac:dyDescent="0.45">
      <c r="A47" s="17"/>
      <c r="B47" s="6" t="str">
        <f t="shared" si="0"/>
        <v/>
      </c>
      <c r="C47" s="6" t="str">
        <f t="shared" si="1"/>
        <v/>
      </c>
      <c r="D47" s="6" t="str">
        <f t="shared" si="2"/>
        <v/>
      </c>
      <c r="E47" s="6" t="str">
        <f t="shared" si="3"/>
        <v/>
      </c>
      <c r="F47" s="6" t="str">
        <f t="shared" si="4"/>
        <v/>
      </c>
      <c r="G47" s="6" t="str">
        <f t="shared" si="5"/>
        <v/>
      </c>
      <c r="H47" s="10" t="str">
        <f t="shared" si="6"/>
        <v/>
      </c>
      <c r="I47" s="6" t="str">
        <f t="shared" si="7"/>
        <v/>
      </c>
      <c r="J47" s="3" t="str">
        <f>IFERROR(MATCH(ROWS(J$8:J47),$S$8:$S$257,0),"")</f>
        <v/>
      </c>
      <c r="K47" s="3" t="str">
        <f t="shared" si="8"/>
        <v/>
      </c>
      <c r="L47" s="3" t="str">
        <f t="shared" si="9"/>
        <v/>
      </c>
      <c r="M47" s="3" t="str">
        <f t="shared" si="10"/>
        <v/>
      </c>
      <c r="N47" s="3" t="str">
        <f t="shared" si="11"/>
        <v/>
      </c>
      <c r="O47" s="3">
        <f t="shared" si="12"/>
        <v>1</v>
      </c>
      <c r="P47" s="3">
        <f t="shared" si="13"/>
        <v>0</v>
      </c>
      <c r="Q47" s="3">
        <f t="shared" si="14"/>
        <v>0</v>
      </c>
      <c r="R47" s="3" t="str">
        <f t="shared" si="15"/>
        <v/>
      </c>
      <c r="S47" s="3">
        <f t="shared" si="16"/>
        <v>0</v>
      </c>
      <c r="T47" s="3" t="str">
        <f t="shared" si="17"/>
        <v/>
      </c>
      <c r="U47" s="3" t="str">
        <f t="shared" si="18"/>
        <v/>
      </c>
      <c r="V47" s="3" t="str">
        <f t="shared" si="19"/>
        <v/>
      </c>
      <c r="W47" s="3" t="str">
        <f t="shared" si="20"/>
        <v/>
      </c>
      <c r="X47" s="3" t="str">
        <f>IF(L47&lt;&gt;"PLAYER","",IF(Y47="Y",INDEX(Players[Name],MATCH(M47,Players[Name],0)),IF(Y47="A",INDEX(Players[Name],MATCH(M47&amp;" ?",Players[Name],0)),M47)))</f>
        <v/>
      </c>
      <c r="Y47" s="3" t="str">
        <f>IF(L47&lt;&gt;"PLAYER","",IF(ISNUMBER(MATCH(M47,Players[Name],0)),"Y",IF(AA47=1,"A","N")))</f>
        <v/>
      </c>
      <c r="Z47" s="3" t="str">
        <f>IF(L47&lt;&gt;"PLAYER","",_xlfn.TEXTJOIN("; ",TRUE,IF(M47="","Empty name",IF(Y47="N",IF(AA47&gt;1,"Which "&amp;M47&amp;"? "&amp;AA47&amp;" players start with it (like "&amp;INDEX(Players[Name],MATCH(M47&amp;" ?",Players[Name],0))&amp;") - type the last initial",IF(ISNUMBER(FIND(" ",M47)),IF(IFERROR(IF(M47="",FALSE,OR(M47="Unknown",AND(LEN(M47)-LEN(SUBSTITUTE(M47," ",""))=1,LEN(M47)&gt;=4,MID(M47,LEN(M47)-1,1)=" ",CODE(RIGHT(M47,1))&gt;=65,CODE(RIGHT(M47,1))&lt;=90))),FALSE),"New player? Not on Players list - add it there first","Not on Players list and not First L format (like Zack B)")&amp;IF(ISNUMBER(MATCH(LEFT(M47,FIND(" ",M47)-1)&amp;" ?",Players[Name],0))," (same first name as "&amp;INDEX(Players[Name],MATCH(LEFT(M47,FIND(" ",M47)-1)&amp;" ?",Players[Name],0))&amp;")",""),"Not on Players list - type first name + last initial (like Zack B)")),"")),IF(OR(V47&lt;Pod_Min,V47&gt;Pod_Max),"Pod has "&amp;V47&amp;" players",""),IF(U47=0,IF(T47=0,"No winner (*) in pod",IF(T47&gt;1,T47&amp;" winners in pod","")),IF(U47&lt;V47,"Some = but not all players","")),IF(X47="Unknown","",IF(COUNTIFS($O$8:$O$257,O47,$Q$8:$Q$257,Q47,$X$8:$X$257,X47)&gt;1,"Name twice in pod",IF(COUNTIFS($O$8:$O$257,O47,$X$8:$X$257,X47)&gt;1,"Name in 2 pods this round","")))))</f>
        <v/>
      </c>
      <c r="AA47" s="3" t="str">
        <f>IF(L47&lt;&gt;"PLAYER","",IF(OR(M47="",ISNUMBER(FIND(" ",M47))),0,COUNTIF(Players[Name],M47&amp;" ?")))</f>
        <v/>
      </c>
    </row>
    <row r="48" spans="1:27" x14ac:dyDescent="0.45">
      <c r="A48" s="17"/>
      <c r="B48" s="6" t="str">
        <f t="shared" si="0"/>
        <v/>
      </c>
      <c r="C48" s="6" t="str">
        <f t="shared" si="1"/>
        <v/>
      </c>
      <c r="D48" s="6" t="str">
        <f t="shared" si="2"/>
        <v/>
      </c>
      <c r="E48" s="6" t="str">
        <f t="shared" si="3"/>
        <v/>
      </c>
      <c r="F48" s="6" t="str">
        <f t="shared" si="4"/>
        <v/>
      </c>
      <c r="G48" s="6" t="str">
        <f t="shared" si="5"/>
        <v/>
      </c>
      <c r="H48" s="10" t="str">
        <f t="shared" si="6"/>
        <v/>
      </c>
      <c r="I48" s="6" t="str">
        <f t="shared" si="7"/>
        <v/>
      </c>
      <c r="J48" s="3" t="str">
        <f>IFERROR(MATCH(ROWS(J$8:J48),$S$8:$S$257,0),"")</f>
        <v/>
      </c>
      <c r="K48" s="3" t="str">
        <f t="shared" si="8"/>
        <v/>
      </c>
      <c r="L48" s="3" t="str">
        <f t="shared" si="9"/>
        <v/>
      </c>
      <c r="M48" s="3" t="str">
        <f t="shared" si="10"/>
        <v/>
      </c>
      <c r="N48" s="3" t="str">
        <f t="shared" si="11"/>
        <v/>
      </c>
      <c r="O48" s="3">
        <f t="shared" si="12"/>
        <v>1</v>
      </c>
      <c r="P48" s="3">
        <f t="shared" si="13"/>
        <v>0</v>
      </c>
      <c r="Q48" s="3">
        <f t="shared" si="14"/>
        <v>0</v>
      </c>
      <c r="R48" s="3" t="str">
        <f t="shared" si="15"/>
        <v/>
      </c>
      <c r="S48" s="3">
        <f t="shared" si="16"/>
        <v>0</v>
      </c>
      <c r="T48" s="3" t="str">
        <f t="shared" si="17"/>
        <v/>
      </c>
      <c r="U48" s="3" t="str">
        <f t="shared" si="18"/>
        <v/>
      </c>
      <c r="V48" s="3" t="str">
        <f t="shared" si="19"/>
        <v/>
      </c>
      <c r="W48" s="3" t="str">
        <f t="shared" si="20"/>
        <v/>
      </c>
      <c r="X48" s="3" t="str">
        <f>IF(L48&lt;&gt;"PLAYER","",IF(Y48="Y",INDEX(Players[Name],MATCH(M48,Players[Name],0)),IF(Y48="A",INDEX(Players[Name],MATCH(M48&amp;" ?",Players[Name],0)),M48)))</f>
        <v/>
      </c>
      <c r="Y48" s="3" t="str">
        <f>IF(L48&lt;&gt;"PLAYER","",IF(ISNUMBER(MATCH(M48,Players[Name],0)),"Y",IF(AA48=1,"A","N")))</f>
        <v/>
      </c>
      <c r="Z48" s="3" t="str">
        <f>IF(L48&lt;&gt;"PLAYER","",_xlfn.TEXTJOIN("; ",TRUE,IF(M48="","Empty name",IF(Y48="N",IF(AA48&gt;1,"Which "&amp;M48&amp;"? "&amp;AA48&amp;" players start with it (like "&amp;INDEX(Players[Name],MATCH(M48&amp;" ?",Players[Name],0))&amp;") - type the last initial",IF(ISNUMBER(FIND(" ",M48)),IF(IFERROR(IF(M48="",FALSE,OR(M48="Unknown",AND(LEN(M48)-LEN(SUBSTITUTE(M48," ",""))=1,LEN(M48)&gt;=4,MID(M48,LEN(M48)-1,1)=" ",CODE(RIGHT(M48,1))&gt;=65,CODE(RIGHT(M48,1))&lt;=90))),FALSE),"New player? Not on Players list - add it there first","Not on Players list and not First L format (like Zack B)")&amp;IF(ISNUMBER(MATCH(LEFT(M48,FIND(" ",M48)-1)&amp;" ?",Players[Name],0))," (same first name as "&amp;INDEX(Players[Name],MATCH(LEFT(M48,FIND(" ",M48)-1)&amp;" ?",Players[Name],0))&amp;")",""),"Not on Players list - type first name + last initial (like Zack B)")),"")),IF(OR(V48&lt;Pod_Min,V48&gt;Pod_Max),"Pod has "&amp;V48&amp;" players",""),IF(U48=0,IF(T48=0,"No winner (*) in pod",IF(T48&gt;1,T48&amp;" winners in pod","")),IF(U48&lt;V48,"Some = but not all players","")),IF(X48="Unknown","",IF(COUNTIFS($O$8:$O$257,O48,$Q$8:$Q$257,Q48,$X$8:$X$257,X48)&gt;1,"Name twice in pod",IF(COUNTIFS($O$8:$O$257,O48,$X$8:$X$257,X48)&gt;1,"Name in 2 pods this round","")))))</f>
        <v/>
      </c>
      <c r="AA48" s="3" t="str">
        <f>IF(L48&lt;&gt;"PLAYER","",IF(OR(M48="",ISNUMBER(FIND(" ",M48))),0,COUNTIF(Players[Name],M48&amp;" ?")))</f>
        <v/>
      </c>
    </row>
    <row r="49" spans="1:27" x14ac:dyDescent="0.45">
      <c r="A49" s="17"/>
      <c r="B49" s="6" t="str">
        <f t="shared" si="0"/>
        <v/>
      </c>
      <c r="C49" s="6" t="str">
        <f t="shared" si="1"/>
        <v/>
      </c>
      <c r="D49" s="6" t="str">
        <f t="shared" si="2"/>
        <v/>
      </c>
      <c r="E49" s="6" t="str">
        <f t="shared" si="3"/>
        <v/>
      </c>
      <c r="F49" s="6" t="str">
        <f t="shared" si="4"/>
        <v/>
      </c>
      <c r="G49" s="6" t="str">
        <f t="shared" si="5"/>
        <v/>
      </c>
      <c r="H49" s="10" t="str">
        <f t="shared" si="6"/>
        <v/>
      </c>
      <c r="I49" s="6" t="str">
        <f t="shared" si="7"/>
        <v/>
      </c>
      <c r="J49" s="3" t="str">
        <f>IFERROR(MATCH(ROWS(J$8:J49),$S$8:$S$257,0),"")</f>
        <v/>
      </c>
      <c r="K49" s="3" t="str">
        <f t="shared" si="8"/>
        <v/>
      </c>
      <c r="L49" s="3" t="str">
        <f t="shared" si="9"/>
        <v/>
      </c>
      <c r="M49" s="3" t="str">
        <f t="shared" si="10"/>
        <v/>
      </c>
      <c r="N49" s="3" t="str">
        <f t="shared" si="11"/>
        <v/>
      </c>
      <c r="O49" s="3">
        <f t="shared" si="12"/>
        <v>1</v>
      </c>
      <c r="P49" s="3">
        <f t="shared" si="13"/>
        <v>0</v>
      </c>
      <c r="Q49" s="3">
        <f t="shared" si="14"/>
        <v>0</v>
      </c>
      <c r="R49" s="3" t="str">
        <f t="shared" si="15"/>
        <v/>
      </c>
      <c r="S49" s="3">
        <f t="shared" si="16"/>
        <v>0</v>
      </c>
      <c r="T49" s="3" t="str">
        <f t="shared" si="17"/>
        <v/>
      </c>
      <c r="U49" s="3" t="str">
        <f t="shared" si="18"/>
        <v/>
      </c>
      <c r="V49" s="3" t="str">
        <f t="shared" si="19"/>
        <v/>
      </c>
      <c r="W49" s="3" t="str">
        <f t="shared" si="20"/>
        <v/>
      </c>
      <c r="X49" s="3" t="str">
        <f>IF(L49&lt;&gt;"PLAYER","",IF(Y49="Y",INDEX(Players[Name],MATCH(M49,Players[Name],0)),IF(Y49="A",INDEX(Players[Name],MATCH(M49&amp;" ?",Players[Name],0)),M49)))</f>
        <v/>
      </c>
      <c r="Y49" s="3" t="str">
        <f>IF(L49&lt;&gt;"PLAYER","",IF(ISNUMBER(MATCH(M49,Players[Name],0)),"Y",IF(AA49=1,"A","N")))</f>
        <v/>
      </c>
      <c r="Z49" s="3" t="str">
        <f>IF(L49&lt;&gt;"PLAYER","",_xlfn.TEXTJOIN("; ",TRUE,IF(M49="","Empty name",IF(Y49="N",IF(AA49&gt;1,"Which "&amp;M49&amp;"? "&amp;AA49&amp;" players start with it (like "&amp;INDEX(Players[Name],MATCH(M49&amp;" ?",Players[Name],0))&amp;") - type the last initial",IF(ISNUMBER(FIND(" ",M49)),IF(IFERROR(IF(M49="",FALSE,OR(M49="Unknown",AND(LEN(M49)-LEN(SUBSTITUTE(M49," ",""))=1,LEN(M49)&gt;=4,MID(M49,LEN(M49)-1,1)=" ",CODE(RIGHT(M49,1))&gt;=65,CODE(RIGHT(M49,1))&lt;=90))),FALSE),"New player? Not on Players list - add it there first","Not on Players list and not First L format (like Zack B)")&amp;IF(ISNUMBER(MATCH(LEFT(M49,FIND(" ",M49)-1)&amp;" ?",Players[Name],0))," (same first name as "&amp;INDEX(Players[Name],MATCH(LEFT(M49,FIND(" ",M49)-1)&amp;" ?",Players[Name],0))&amp;")",""),"Not on Players list - type first name + last initial (like Zack B)")),"")),IF(OR(V49&lt;Pod_Min,V49&gt;Pod_Max),"Pod has "&amp;V49&amp;" players",""),IF(U49=0,IF(T49=0,"No winner (*) in pod",IF(T49&gt;1,T49&amp;" winners in pod","")),IF(U49&lt;V49,"Some = but not all players","")),IF(X49="Unknown","",IF(COUNTIFS($O$8:$O$257,O49,$Q$8:$Q$257,Q49,$X$8:$X$257,X49)&gt;1,"Name twice in pod",IF(COUNTIFS($O$8:$O$257,O49,$X$8:$X$257,X49)&gt;1,"Name in 2 pods this round","")))))</f>
        <v/>
      </c>
      <c r="AA49" s="3" t="str">
        <f>IF(L49&lt;&gt;"PLAYER","",IF(OR(M49="",ISNUMBER(FIND(" ",M49))),0,COUNTIF(Players[Name],M49&amp;" ?")))</f>
        <v/>
      </c>
    </row>
    <row r="50" spans="1:27" x14ac:dyDescent="0.45">
      <c r="A50" s="17"/>
      <c r="B50" s="6" t="str">
        <f t="shared" si="0"/>
        <v/>
      </c>
      <c r="C50" s="6" t="str">
        <f t="shared" si="1"/>
        <v/>
      </c>
      <c r="D50" s="6" t="str">
        <f t="shared" si="2"/>
        <v/>
      </c>
      <c r="E50" s="6" t="str">
        <f t="shared" si="3"/>
        <v/>
      </c>
      <c r="F50" s="6" t="str">
        <f t="shared" si="4"/>
        <v/>
      </c>
      <c r="G50" s="6" t="str">
        <f t="shared" si="5"/>
        <v/>
      </c>
      <c r="H50" s="10" t="str">
        <f t="shared" si="6"/>
        <v/>
      </c>
      <c r="I50" s="6" t="str">
        <f t="shared" si="7"/>
        <v/>
      </c>
      <c r="J50" s="3" t="str">
        <f>IFERROR(MATCH(ROWS(J$8:J50),$S$8:$S$257,0),"")</f>
        <v/>
      </c>
      <c r="K50" s="3" t="str">
        <f t="shared" si="8"/>
        <v/>
      </c>
      <c r="L50" s="3" t="str">
        <f t="shared" si="9"/>
        <v/>
      </c>
      <c r="M50" s="3" t="str">
        <f t="shared" si="10"/>
        <v/>
      </c>
      <c r="N50" s="3" t="str">
        <f t="shared" si="11"/>
        <v/>
      </c>
      <c r="O50" s="3">
        <f t="shared" si="12"/>
        <v>1</v>
      </c>
      <c r="P50" s="3">
        <f t="shared" si="13"/>
        <v>0</v>
      </c>
      <c r="Q50" s="3">
        <f t="shared" si="14"/>
        <v>0</v>
      </c>
      <c r="R50" s="3" t="str">
        <f t="shared" si="15"/>
        <v/>
      </c>
      <c r="S50" s="3">
        <f t="shared" si="16"/>
        <v>0</v>
      </c>
      <c r="T50" s="3" t="str">
        <f t="shared" si="17"/>
        <v/>
      </c>
      <c r="U50" s="3" t="str">
        <f t="shared" si="18"/>
        <v/>
      </c>
      <c r="V50" s="3" t="str">
        <f t="shared" si="19"/>
        <v/>
      </c>
      <c r="W50" s="3" t="str">
        <f t="shared" si="20"/>
        <v/>
      </c>
      <c r="X50" s="3" t="str">
        <f>IF(L50&lt;&gt;"PLAYER","",IF(Y50="Y",INDEX(Players[Name],MATCH(M50,Players[Name],0)),IF(Y50="A",INDEX(Players[Name],MATCH(M50&amp;" ?",Players[Name],0)),M50)))</f>
        <v/>
      </c>
      <c r="Y50" s="3" t="str">
        <f>IF(L50&lt;&gt;"PLAYER","",IF(ISNUMBER(MATCH(M50,Players[Name],0)),"Y",IF(AA50=1,"A","N")))</f>
        <v/>
      </c>
      <c r="Z50" s="3" t="str">
        <f>IF(L50&lt;&gt;"PLAYER","",_xlfn.TEXTJOIN("; ",TRUE,IF(M50="","Empty name",IF(Y50="N",IF(AA50&gt;1,"Which "&amp;M50&amp;"? "&amp;AA50&amp;" players start with it (like "&amp;INDEX(Players[Name],MATCH(M50&amp;" ?",Players[Name],0))&amp;") - type the last initial",IF(ISNUMBER(FIND(" ",M50)),IF(IFERROR(IF(M50="",FALSE,OR(M50="Unknown",AND(LEN(M50)-LEN(SUBSTITUTE(M50," ",""))=1,LEN(M50)&gt;=4,MID(M50,LEN(M50)-1,1)=" ",CODE(RIGHT(M50,1))&gt;=65,CODE(RIGHT(M50,1))&lt;=90))),FALSE),"New player? Not on Players list - add it there first","Not on Players list and not First L format (like Zack B)")&amp;IF(ISNUMBER(MATCH(LEFT(M50,FIND(" ",M50)-1)&amp;" ?",Players[Name],0))," (same first name as "&amp;INDEX(Players[Name],MATCH(LEFT(M50,FIND(" ",M50)-1)&amp;" ?",Players[Name],0))&amp;")",""),"Not on Players list - type first name + last initial (like Zack B)")),"")),IF(OR(V50&lt;Pod_Min,V50&gt;Pod_Max),"Pod has "&amp;V50&amp;" players",""),IF(U50=0,IF(T50=0,"No winner (*) in pod",IF(T50&gt;1,T50&amp;" winners in pod","")),IF(U50&lt;V50,"Some = but not all players","")),IF(X50="Unknown","",IF(COUNTIFS($O$8:$O$257,O50,$Q$8:$Q$257,Q50,$X$8:$X$257,X50)&gt;1,"Name twice in pod",IF(COUNTIFS($O$8:$O$257,O50,$X$8:$X$257,X50)&gt;1,"Name in 2 pods this round","")))))</f>
        <v/>
      </c>
      <c r="AA50" s="3" t="str">
        <f>IF(L50&lt;&gt;"PLAYER","",IF(OR(M50="",ISNUMBER(FIND(" ",M50))),0,COUNTIF(Players[Name],M50&amp;" ?")))</f>
        <v/>
      </c>
    </row>
    <row r="51" spans="1:27" x14ac:dyDescent="0.45">
      <c r="A51" s="17"/>
      <c r="B51" s="6" t="str">
        <f t="shared" si="0"/>
        <v/>
      </c>
      <c r="C51" s="6" t="str">
        <f t="shared" si="1"/>
        <v/>
      </c>
      <c r="D51" s="6" t="str">
        <f t="shared" si="2"/>
        <v/>
      </c>
      <c r="E51" s="6" t="str">
        <f t="shared" si="3"/>
        <v/>
      </c>
      <c r="F51" s="6" t="str">
        <f t="shared" si="4"/>
        <v/>
      </c>
      <c r="G51" s="6" t="str">
        <f t="shared" si="5"/>
        <v/>
      </c>
      <c r="H51" s="10" t="str">
        <f t="shared" si="6"/>
        <v/>
      </c>
      <c r="I51" s="6" t="str">
        <f t="shared" si="7"/>
        <v/>
      </c>
      <c r="J51" s="3" t="str">
        <f>IFERROR(MATCH(ROWS(J$8:J51),$S$8:$S$257,0),"")</f>
        <v/>
      </c>
      <c r="K51" s="3" t="str">
        <f t="shared" si="8"/>
        <v/>
      </c>
      <c r="L51" s="3" t="str">
        <f t="shared" si="9"/>
        <v/>
      </c>
      <c r="M51" s="3" t="str">
        <f t="shared" si="10"/>
        <v/>
      </c>
      <c r="N51" s="3" t="str">
        <f t="shared" si="11"/>
        <v/>
      </c>
      <c r="O51" s="3">
        <f t="shared" si="12"/>
        <v>1</v>
      </c>
      <c r="P51" s="3">
        <f t="shared" si="13"/>
        <v>0</v>
      </c>
      <c r="Q51" s="3">
        <f t="shared" si="14"/>
        <v>0</v>
      </c>
      <c r="R51" s="3" t="str">
        <f t="shared" si="15"/>
        <v/>
      </c>
      <c r="S51" s="3">
        <f t="shared" si="16"/>
        <v>0</v>
      </c>
      <c r="T51" s="3" t="str">
        <f t="shared" si="17"/>
        <v/>
      </c>
      <c r="U51" s="3" t="str">
        <f t="shared" si="18"/>
        <v/>
      </c>
      <c r="V51" s="3" t="str">
        <f t="shared" si="19"/>
        <v/>
      </c>
      <c r="W51" s="3" t="str">
        <f t="shared" si="20"/>
        <v/>
      </c>
      <c r="X51" s="3" t="str">
        <f>IF(L51&lt;&gt;"PLAYER","",IF(Y51="Y",INDEX(Players[Name],MATCH(M51,Players[Name],0)),IF(Y51="A",INDEX(Players[Name],MATCH(M51&amp;" ?",Players[Name],0)),M51)))</f>
        <v/>
      </c>
      <c r="Y51" s="3" t="str">
        <f>IF(L51&lt;&gt;"PLAYER","",IF(ISNUMBER(MATCH(M51,Players[Name],0)),"Y",IF(AA51=1,"A","N")))</f>
        <v/>
      </c>
      <c r="Z51" s="3" t="str">
        <f>IF(L51&lt;&gt;"PLAYER","",_xlfn.TEXTJOIN("; ",TRUE,IF(M51="","Empty name",IF(Y51="N",IF(AA51&gt;1,"Which "&amp;M51&amp;"? "&amp;AA51&amp;" players start with it (like "&amp;INDEX(Players[Name],MATCH(M51&amp;" ?",Players[Name],0))&amp;") - type the last initial",IF(ISNUMBER(FIND(" ",M51)),IF(IFERROR(IF(M51="",FALSE,OR(M51="Unknown",AND(LEN(M51)-LEN(SUBSTITUTE(M51," ",""))=1,LEN(M51)&gt;=4,MID(M51,LEN(M51)-1,1)=" ",CODE(RIGHT(M51,1))&gt;=65,CODE(RIGHT(M51,1))&lt;=90))),FALSE),"New player? Not on Players list - add it there first","Not on Players list and not First L format (like Zack B)")&amp;IF(ISNUMBER(MATCH(LEFT(M51,FIND(" ",M51)-1)&amp;" ?",Players[Name],0))," (same first name as "&amp;INDEX(Players[Name],MATCH(LEFT(M51,FIND(" ",M51)-1)&amp;" ?",Players[Name],0))&amp;")",""),"Not on Players list - type first name + last initial (like Zack B)")),"")),IF(OR(V51&lt;Pod_Min,V51&gt;Pod_Max),"Pod has "&amp;V51&amp;" players",""),IF(U51=0,IF(T51=0,"No winner (*) in pod",IF(T51&gt;1,T51&amp;" winners in pod","")),IF(U51&lt;V51,"Some = but not all players","")),IF(X51="Unknown","",IF(COUNTIFS($O$8:$O$257,O51,$Q$8:$Q$257,Q51,$X$8:$X$257,X51)&gt;1,"Name twice in pod",IF(COUNTIFS($O$8:$O$257,O51,$X$8:$X$257,X51)&gt;1,"Name in 2 pods this round","")))))</f>
        <v/>
      </c>
      <c r="AA51" s="3" t="str">
        <f>IF(L51&lt;&gt;"PLAYER","",IF(OR(M51="",ISNUMBER(FIND(" ",M51))),0,COUNTIF(Players[Name],M51&amp;" ?")))</f>
        <v/>
      </c>
    </row>
    <row r="52" spans="1:27" x14ac:dyDescent="0.45">
      <c r="A52" s="17"/>
      <c r="B52" s="6" t="str">
        <f t="shared" si="0"/>
        <v/>
      </c>
      <c r="C52" s="6" t="str">
        <f t="shared" si="1"/>
        <v/>
      </c>
      <c r="D52" s="6" t="str">
        <f t="shared" si="2"/>
        <v/>
      </c>
      <c r="E52" s="6" t="str">
        <f t="shared" si="3"/>
        <v/>
      </c>
      <c r="F52" s="6" t="str">
        <f t="shared" si="4"/>
        <v/>
      </c>
      <c r="G52" s="6" t="str">
        <f t="shared" si="5"/>
        <v/>
      </c>
      <c r="H52" s="10" t="str">
        <f t="shared" si="6"/>
        <v/>
      </c>
      <c r="I52" s="6" t="str">
        <f t="shared" si="7"/>
        <v/>
      </c>
      <c r="J52" s="3" t="str">
        <f>IFERROR(MATCH(ROWS(J$8:J52),$S$8:$S$257,0),"")</f>
        <v/>
      </c>
      <c r="K52" s="3" t="str">
        <f t="shared" si="8"/>
        <v/>
      </c>
      <c r="L52" s="3" t="str">
        <f t="shared" si="9"/>
        <v/>
      </c>
      <c r="M52" s="3" t="str">
        <f t="shared" si="10"/>
        <v/>
      </c>
      <c r="N52" s="3" t="str">
        <f t="shared" si="11"/>
        <v/>
      </c>
      <c r="O52" s="3">
        <f t="shared" si="12"/>
        <v>1</v>
      </c>
      <c r="P52" s="3">
        <f t="shared" si="13"/>
        <v>0</v>
      </c>
      <c r="Q52" s="3">
        <f t="shared" si="14"/>
        <v>0</v>
      </c>
      <c r="R52" s="3" t="str">
        <f t="shared" si="15"/>
        <v/>
      </c>
      <c r="S52" s="3">
        <f t="shared" si="16"/>
        <v>0</v>
      </c>
      <c r="T52" s="3" t="str">
        <f t="shared" si="17"/>
        <v/>
      </c>
      <c r="U52" s="3" t="str">
        <f t="shared" si="18"/>
        <v/>
      </c>
      <c r="V52" s="3" t="str">
        <f t="shared" si="19"/>
        <v/>
      </c>
      <c r="W52" s="3" t="str">
        <f t="shared" si="20"/>
        <v/>
      </c>
      <c r="X52" s="3" t="str">
        <f>IF(L52&lt;&gt;"PLAYER","",IF(Y52="Y",INDEX(Players[Name],MATCH(M52,Players[Name],0)),IF(Y52="A",INDEX(Players[Name],MATCH(M52&amp;" ?",Players[Name],0)),M52)))</f>
        <v/>
      </c>
      <c r="Y52" s="3" t="str">
        <f>IF(L52&lt;&gt;"PLAYER","",IF(ISNUMBER(MATCH(M52,Players[Name],0)),"Y",IF(AA52=1,"A","N")))</f>
        <v/>
      </c>
      <c r="Z52" s="3" t="str">
        <f>IF(L52&lt;&gt;"PLAYER","",_xlfn.TEXTJOIN("; ",TRUE,IF(M52="","Empty name",IF(Y52="N",IF(AA52&gt;1,"Which "&amp;M52&amp;"? "&amp;AA52&amp;" players start with it (like "&amp;INDEX(Players[Name],MATCH(M52&amp;" ?",Players[Name],0))&amp;") - type the last initial",IF(ISNUMBER(FIND(" ",M52)),IF(IFERROR(IF(M52="",FALSE,OR(M52="Unknown",AND(LEN(M52)-LEN(SUBSTITUTE(M52," ",""))=1,LEN(M52)&gt;=4,MID(M52,LEN(M52)-1,1)=" ",CODE(RIGHT(M52,1))&gt;=65,CODE(RIGHT(M52,1))&lt;=90))),FALSE),"New player? Not on Players list - add it there first","Not on Players list and not First L format (like Zack B)")&amp;IF(ISNUMBER(MATCH(LEFT(M52,FIND(" ",M52)-1)&amp;" ?",Players[Name],0))," (same first name as "&amp;INDEX(Players[Name],MATCH(LEFT(M52,FIND(" ",M52)-1)&amp;" ?",Players[Name],0))&amp;")",""),"Not on Players list - type first name + last initial (like Zack B)")),"")),IF(OR(V52&lt;Pod_Min,V52&gt;Pod_Max),"Pod has "&amp;V52&amp;" players",""),IF(U52=0,IF(T52=0,"No winner (*) in pod",IF(T52&gt;1,T52&amp;" winners in pod","")),IF(U52&lt;V52,"Some = but not all players","")),IF(X52="Unknown","",IF(COUNTIFS($O$8:$O$257,O52,$Q$8:$Q$257,Q52,$X$8:$X$257,X52)&gt;1,"Name twice in pod",IF(COUNTIFS($O$8:$O$257,O52,$X$8:$X$257,X52)&gt;1,"Name in 2 pods this round","")))))</f>
        <v/>
      </c>
      <c r="AA52" s="3" t="str">
        <f>IF(L52&lt;&gt;"PLAYER","",IF(OR(M52="",ISNUMBER(FIND(" ",M52))),0,COUNTIF(Players[Name],M52&amp;" ?")))</f>
        <v/>
      </c>
    </row>
    <row r="53" spans="1:27" x14ac:dyDescent="0.45">
      <c r="A53" s="17"/>
      <c r="B53" s="6" t="str">
        <f t="shared" si="0"/>
        <v/>
      </c>
      <c r="C53" s="6" t="str">
        <f t="shared" si="1"/>
        <v/>
      </c>
      <c r="D53" s="6" t="str">
        <f t="shared" si="2"/>
        <v/>
      </c>
      <c r="E53" s="6" t="str">
        <f t="shared" si="3"/>
        <v/>
      </c>
      <c r="F53" s="6" t="str">
        <f t="shared" si="4"/>
        <v/>
      </c>
      <c r="G53" s="6" t="str">
        <f t="shared" si="5"/>
        <v/>
      </c>
      <c r="H53" s="10" t="str">
        <f t="shared" si="6"/>
        <v/>
      </c>
      <c r="I53" s="6" t="str">
        <f t="shared" si="7"/>
        <v/>
      </c>
      <c r="J53" s="3" t="str">
        <f>IFERROR(MATCH(ROWS(J$8:J53),$S$8:$S$257,0),"")</f>
        <v/>
      </c>
      <c r="K53" s="3" t="str">
        <f t="shared" si="8"/>
        <v/>
      </c>
      <c r="L53" s="3" t="str">
        <f t="shared" si="9"/>
        <v/>
      </c>
      <c r="M53" s="3" t="str">
        <f t="shared" si="10"/>
        <v/>
      </c>
      <c r="N53" s="3" t="str">
        <f t="shared" si="11"/>
        <v/>
      </c>
      <c r="O53" s="3">
        <f t="shared" si="12"/>
        <v>1</v>
      </c>
      <c r="P53" s="3">
        <f t="shared" si="13"/>
        <v>0</v>
      </c>
      <c r="Q53" s="3">
        <f t="shared" si="14"/>
        <v>0</v>
      </c>
      <c r="R53" s="3" t="str">
        <f t="shared" si="15"/>
        <v/>
      </c>
      <c r="S53" s="3">
        <f t="shared" si="16"/>
        <v>0</v>
      </c>
      <c r="T53" s="3" t="str">
        <f t="shared" si="17"/>
        <v/>
      </c>
      <c r="U53" s="3" t="str">
        <f t="shared" si="18"/>
        <v/>
      </c>
      <c r="V53" s="3" t="str">
        <f t="shared" si="19"/>
        <v/>
      </c>
      <c r="W53" s="3" t="str">
        <f t="shared" si="20"/>
        <v/>
      </c>
      <c r="X53" s="3" t="str">
        <f>IF(L53&lt;&gt;"PLAYER","",IF(Y53="Y",INDEX(Players[Name],MATCH(M53,Players[Name],0)),IF(Y53="A",INDEX(Players[Name],MATCH(M53&amp;" ?",Players[Name],0)),M53)))</f>
        <v/>
      </c>
      <c r="Y53" s="3" t="str">
        <f>IF(L53&lt;&gt;"PLAYER","",IF(ISNUMBER(MATCH(M53,Players[Name],0)),"Y",IF(AA53=1,"A","N")))</f>
        <v/>
      </c>
      <c r="Z53" s="3" t="str">
        <f>IF(L53&lt;&gt;"PLAYER","",_xlfn.TEXTJOIN("; ",TRUE,IF(M53="","Empty name",IF(Y53="N",IF(AA53&gt;1,"Which "&amp;M53&amp;"? "&amp;AA53&amp;" players start with it (like "&amp;INDEX(Players[Name],MATCH(M53&amp;" ?",Players[Name],0))&amp;") - type the last initial",IF(ISNUMBER(FIND(" ",M53)),IF(IFERROR(IF(M53="",FALSE,OR(M53="Unknown",AND(LEN(M53)-LEN(SUBSTITUTE(M53," ",""))=1,LEN(M53)&gt;=4,MID(M53,LEN(M53)-1,1)=" ",CODE(RIGHT(M53,1))&gt;=65,CODE(RIGHT(M53,1))&lt;=90))),FALSE),"New player? Not on Players list - add it there first","Not on Players list and not First L format (like Zack B)")&amp;IF(ISNUMBER(MATCH(LEFT(M53,FIND(" ",M53)-1)&amp;" ?",Players[Name],0))," (same first name as "&amp;INDEX(Players[Name],MATCH(LEFT(M53,FIND(" ",M53)-1)&amp;" ?",Players[Name],0))&amp;")",""),"Not on Players list - type first name + last initial (like Zack B)")),"")),IF(OR(V53&lt;Pod_Min,V53&gt;Pod_Max),"Pod has "&amp;V53&amp;" players",""),IF(U53=0,IF(T53=0,"No winner (*) in pod",IF(T53&gt;1,T53&amp;" winners in pod","")),IF(U53&lt;V53,"Some = but not all players","")),IF(X53="Unknown","",IF(COUNTIFS($O$8:$O$257,O53,$Q$8:$Q$257,Q53,$X$8:$X$257,X53)&gt;1,"Name twice in pod",IF(COUNTIFS($O$8:$O$257,O53,$X$8:$X$257,X53)&gt;1,"Name in 2 pods this round","")))))</f>
        <v/>
      </c>
      <c r="AA53" s="3" t="str">
        <f>IF(L53&lt;&gt;"PLAYER","",IF(OR(M53="",ISNUMBER(FIND(" ",M53))),0,COUNTIF(Players[Name],M53&amp;" ?")))</f>
        <v/>
      </c>
    </row>
    <row r="54" spans="1:27" x14ac:dyDescent="0.45">
      <c r="A54" s="17"/>
      <c r="B54" s="6" t="str">
        <f t="shared" si="0"/>
        <v/>
      </c>
      <c r="C54" s="6" t="str">
        <f t="shared" si="1"/>
        <v/>
      </c>
      <c r="D54" s="6" t="str">
        <f t="shared" si="2"/>
        <v/>
      </c>
      <c r="E54" s="6" t="str">
        <f t="shared" si="3"/>
        <v/>
      </c>
      <c r="F54" s="6" t="str">
        <f t="shared" si="4"/>
        <v/>
      </c>
      <c r="G54" s="6" t="str">
        <f t="shared" si="5"/>
        <v/>
      </c>
      <c r="H54" s="10" t="str">
        <f t="shared" si="6"/>
        <v/>
      </c>
      <c r="I54" s="6" t="str">
        <f t="shared" si="7"/>
        <v/>
      </c>
      <c r="J54" s="3" t="str">
        <f>IFERROR(MATCH(ROWS(J$8:J54),$S$8:$S$257,0),"")</f>
        <v/>
      </c>
      <c r="K54" s="3" t="str">
        <f t="shared" si="8"/>
        <v/>
      </c>
      <c r="L54" s="3" t="str">
        <f t="shared" si="9"/>
        <v/>
      </c>
      <c r="M54" s="3" t="str">
        <f t="shared" si="10"/>
        <v/>
      </c>
      <c r="N54" s="3" t="str">
        <f t="shared" si="11"/>
        <v/>
      </c>
      <c r="O54" s="3">
        <f t="shared" si="12"/>
        <v>1</v>
      </c>
      <c r="P54" s="3">
        <f t="shared" si="13"/>
        <v>0</v>
      </c>
      <c r="Q54" s="3">
        <f t="shared" si="14"/>
        <v>0</v>
      </c>
      <c r="R54" s="3" t="str">
        <f t="shared" si="15"/>
        <v/>
      </c>
      <c r="S54" s="3">
        <f t="shared" si="16"/>
        <v>0</v>
      </c>
      <c r="T54" s="3" t="str">
        <f t="shared" si="17"/>
        <v/>
      </c>
      <c r="U54" s="3" t="str">
        <f t="shared" si="18"/>
        <v/>
      </c>
      <c r="V54" s="3" t="str">
        <f t="shared" si="19"/>
        <v/>
      </c>
      <c r="W54" s="3" t="str">
        <f t="shared" si="20"/>
        <v/>
      </c>
      <c r="X54" s="3" t="str">
        <f>IF(L54&lt;&gt;"PLAYER","",IF(Y54="Y",INDEX(Players[Name],MATCH(M54,Players[Name],0)),IF(Y54="A",INDEX(Players[Name],MATCH(M54&amp;" ?",Players[Name],0)),M54)))</f>
        <v/>
      </c>
      <c r="Y54" s="3" t="str">
        <f>IF(L54&lt;&gt;"PLAYER","",IF(ISNUMBER(MATCH(M54,Players[Name],0)),"Y",IF(AA54=1,"A","N")))</f>
        <v/>
      </c>
      <c r="Z54" s="3" t="str">
        <f>IF(L54&lt;&gt;"PLAYER","",_xlfn.TEXTJOIN("; ",TRUE,IF(M54="","Empty name",IF(Y54="N",IF(AA54&gt;1,"Which "&amp;M54&amp;"? "&amp;AA54&amp;" players start with it (like "&amp;INDEX(Players[Name],MATCH(M54&amp;" ?",Players[Name],0))&amp;") - type the last initial",IF(ISNUMBER(FIND(" ",M54)),IF(IFERROR(IF(M54="",FALSE,OR(M54="Unknown",AND(LEN(M54)-LEN(SUBSTITUTE(M54," ",""))=1,LEN(M54)&gt;=4,MID(M54,LEN(M54)-1,1)=" ",CODE(RIGHT(M54,1))&gt;=65,CODE(RIGHT(M54,1))&lt;=90))),FALSE),"New player? Not on Players list - add it there first","Not on Players list and not First L format (like Zack B)")&amp;IF(ISNUMBER(MATCH(LEFT(M54,FIND(" ",M54)-1)&amp;" ?",Players[Name],0))," (same first name as "&amp;INDEX(Players[Name],MATCH(LEFT(M54,FIND(" ",M54)-1)&amp;" ?",Players[Name],0))&amp;")",""),"Not on Players list - type first name + last initial (like Zack B)")),"")),IF(OR(V54&lt;Pod_Min,V54&gt;Pod_Max),"Pod has "&amp;V54&amp;" players",""),IF(U54=0,IF(T54=0,"No winner (*) in pod",IF(T54&gt;1,T54&amp;" winners in pod","")),IF(U54&lt;V54,"Some = but not all players","")),IF(X54="Unknown","",IF(COUNTIFS($O$8:$O$257,O54,$Q$8:$Q$257,Q54,$X$8:$X$257,X54)&gt;1,"Name twice in pod",IF(COUNTIFS($O$8:$O$257,O54,$X$8:$X$257,X54)&gt;1,"Name in 2 pods this round","")))))</f>
        <v/>
      </c>
      <c r="AA54" s="3" t="str">
        <f>IF(L54&lt;&gt;"PLAYER","",IF(OR(M54="",ISNUMBER(FIND(" ",M54))),0,COUNTIF(Players[Name],M54&amp;" ?")))</f>
        <v/>
      </c>
    </row>
    <row r="55" spans="1:27" x14ac:dyDescent="0.45">
      <c r="A55" s="17"/>
      <c r="B55" s="6" t="str">
        <f t="shared" si="0"/>
        <v/>
      </c>
      <c r="C55" s="6" t="str">
        <f t="shared" si="1"/>
        <v/>
      </c>
      <c r="D55" s="6" t="str">
        <f t="shared" si="2"/>
        <v/>
      </c>
      <c r="E55" s="6" t="str">
        <f t="shared" si="3"/>
        <v/>
      </c>
      <c r="F55" s="6" t="str">
        <f t="shared" si="4"/>
        <v/>
      </c>
      <c r="G55" s="6" t="str">
        <f t="shared" si="5"/>
        <v/>
      </c>
      <c r="H55" s="10" t="str">
        <f t="shared" si="6"/>
        <v/>
      </c>
      <c r="I55" s="6" t="str">
        <f t="shared" si="7"/>
        <v/>
      </c>
      <c r="J55" s="3" t="str">
        <f>IFERROR(MATCH(ROWS(J$8:J55),$S$8:$S$257,0),"")</f>
        <v/>
      </c>
      <c r="K55" s="3" t="str">
        <f t="shared" si="8"/>
        <v/>
      </c>
      <c r="L55" s="3" t="str">
        <f t="shared" si="9"/>
        <v/>
      </c>
      <c r="M55" s="3" t="str">
        <f t="shared" si="10"/>
        <v/>
      </c>
      <c r="N55" s="3" t="str">
        <f t="shared" si="11"/>
        <v/>
      </c>
      <c r="O55" s="3">
        <f t="shared" si="12"/>
        <v>1</v>
      </c>
      <c r="P55" s="3">
        <f t="shared" si="13"/>
        <v>0</v>
      </c>
      <c r="Q55" s="3">
        <f t="shared" si="14"/>
        <v>0</v>
      </c>
      <c r="R55" s="3" t="str">
        <f t="shared" si="15"/>
        <v/>
      </c>
      <c r="S55" s="3">
        <f t="shared" si="16"/>
        <v>0</v>
      </c>
      <c r="T55" s="3" t="str">
        <f t="shared" si="17"/>
        <v/>
      </c>
      <c r="U55" s="3" t="str">
        <f t="shared" si="18"/>
        <v/>
      </c>
      <c r="V55" s="3" t="str">
        <f t="shared" si="19"/>
        <v/>
      </c>
      <c r="W55" s="3" t="str">
        <f t="shared" si="20"/>
        <v/>
      </c>
      <c r="X55" s="3" t="str">
        <f>IF(L55&lt;&gt;"PLAYER","",IF(Y55="Y",INDEX(Players[Name],MATCH(M55,Players[Name],0)),IF(Y55="A",INDEX(Players[Name],MATCH(M55&amp;" ?",Players[Name],0)),M55)))</f>
        <v/>
      </c>
      <c r="Y55" s="3" t="str">
        <f>IF(L55&lt;&gt;"PLAYER","",IF(ISNUMBER(MATCH(M55,Players[Name],0)),"Y",IF(AA55=1,"A","N")))</f>
        <v/>
      </c>
      <c r="Z55" s="3" t="str">
        <f>IF(L55&lt;&gt;"PLAYER","",_xlfn.TEXTJOIN("; ",TRUE,IF(M55="","Empty name",IF(Y55="N",IF(AA55&gt;1,"Which "&amp;M55&amp;"? "&amp;AA55&amp;" players start with it (like "&amp;INDEX(Players[Name],MATCH(M55&amp;" ?",Players[Name],0))&amp;") - type the last initial",IF(ISNUMBER(FIND(" ",M55)),IF(IFERROR(IF(M55="",FALSE,OR(M55="Unknown",AND(LEN(M55)-LEN(SUBSTITUTE(M55," ",""))=1,LEN(M55)&gt;=4,MID(M55,LEN(M55)-1,1)=" ",CODE(RIGHT(M55,1))&gt;=65,CODE(RIGHT(M55,1))&lt;=90))),FALSE),"New player? Not on Players list - add it there first","Not on Players list and not First L format (like Zack B)")&amp;IF(ISNUMBER(MATCH(LEFT(M55,FIND(" ",M55)-1)&amp;" ?",Players[Name],0))," (same first name as "&amp;INDEX(Players[Name],MATCH(LEFT(M55,FIND(" ",M55)-1)&amp;" ?",Players[Name],0))&amp;")",""),"Not on Players list - type first name + last initial (like Zack B)")),"")),IF(OR(V55&lt;Pod_Min,V55&gt;Pod_Max),"Pod has "&amp;V55&amp;" players",""),IF(U55=0,IF(T55=0,"No winner (*) in pod",IF(T55&gt;1,T55&amp;" winners in pod","")),IF(U55&lt;V55,"Some = but not all players","")),IF(X55="Unknown","",IF(COUNTIFS($O$8:$O$257,O55,$Q$8:$Q$257,Q55,$X$8:$X$257,X55)&gt;1,"Name twice in pod",IF(COUNTIFS($O$8:$O$257,O55,$X$8:$X$257,X55)&gt;1,"Name in 2 pods this round","")))))</f>
        <v/>
      </c>
      <c r="AA55" s="3" t="str">
        <f>IF(L55&lt;&gt;"PLAYER","",IF(OR(M55="",ISNUMBER(FIND(" ",M55))),0,COUNTIF(Players[Name],M55&amp;" ?")))</f>
        <v/>
      </c>
    </row>
    <row r="56" spans="1:27" x14ac:dyDescent="0.45">
      <c r="A56" s="17"/>
      <c r="B56" s="6" t="str">
        <f t="shared" si="0"/>
        <v/>
      </c>
      <c r="C56" s="6" t="str">
        <f t="shared" si="1"/>
        <v/>
      </c>
      <c r="D56" s="6" t="str">
        <f t="shared" si="2"/>
        <v/>
      </c>
      <c r="E56" s="6" t="str">
        <f t="shared" si="3"/>
        <v/>
      </c>
      <c r="F56" s="6" t="str">
        <f t="shared" si="4"/>
        <v/>
      </c>
      <c r="G56" s="6" t="str">
        <f t="shared" si="5"/>
        <v/>
      </c>
      <c r="H56" s="10" t="str">
        <f t="shared" si="6"/>
        <v/>
      </c>
      <c r="I56" s="6" t="str">
        <f t="shared" si="7"/>
        <v/>
      </c>
      <c r="J56" s="3" t="str">
        <f>IFERROR(MATCH(ROWS(J$8:J56),$S$8:$S$257,0),"")</f>
        <v/>
      </c>
      <c r="K56" s="3" t="str">
        <f t="shared" si="8"/>
        <v/>
      </c>
      <c r="L56" s="3" t="str">
        <f t="shared" si="9"/>
        <v/>
      </c>
      <c r="M56" s="3" t="str">
        <f t="shared" si="10"/>
        <v/>
      </c>
      <c r="N56" s="3" t="str">
        <f t="shared" si="11"/>
        <v/>
      </c>
      <c r="O56" s="3">
        <f t="shared" si="12"/>
        <v>1</v>
      </c>
      <c r="P56" s="3">
        <f t="shared" si="13"/>
        <v>0</v>
      </c>
      <c r="Q56" s="3">
        <f t="shared" si="14"/>
        <v>0</v>
      </c>
      <c r="R56" s="3" t="str">
        <f t="shared" si="15"/>
        <v/>
      </c>
      <c r="S56" s="3">
        <f t="shared" si="16"/>
        <v>0</v>
      </c>
      <c r="T56" s="3" t="str">
        <f t="shared" si="17"/>
        <v/>
      </c>
      <c r="U56" s="3" t="str">
        <f t="shared" si="18"/>
        <v/>
      </c>
      <c r="V56" s="3" t="str">
        <f t="shared" si="19"/>
        <v/>
      </c>
      <c r="W56" s="3" t="str">
        <f t="shared" si="20"/>
        <v/>
      </c>
      <c r="X56" s="3" t="str">
        <f>IF(L56&lt;&gt;"PLAYER","",IF(Y56="Y",INDEX(Players[Name],MATCH(M56,Players[Name],0)),IF(Y56="A",INDEX(Players[Name],MATCH(M56&amp;" ?",Players[Name],0)),M56)))</f>
        <v/>
      </c>
      <c r="Y56" s="3" t="str">
        <f>IF(L56&lt;&gt;"PLAYER","",IF(ISNUMBER(MATCH(M56,Players[Name],0)),"Y",IF(AA56=1,"A","N")))</f>
        <v/>
      </c>
      <c r="Z56" s="3" t="str">
        <f>IF(L56&lt;&gt;"PLAYER","",_xlfn.TEXTJOIN("; ",TRUE,IF(M56="","Empty name",IF(Y56="N",IF(AA56&gt;1,"Which "&amp;M56&amp;"? "&amp;AA56&amp;" players start with it (like "&amp;INDEX(Players[Name],MATCH(M56&amp;" ?",Players[Name],0))&amp;") - type the last initial",IF(ISNUMBER(FIND(" ",M56)),IF(IFERROR(IF(M56="",FALSE,OR(M56="Unknown",AND(LEN(M56)-LEN(SUBSTITUTE(M56," ",""))=1,LEN(M56)&gt;=4,MID(M56,LEN(M56)-1,1)=" ",CODE(RIGHT(M56,1))&gt;=65,CODE(RIGHT(M56,1))&lt;=90))),FALSE),"New player? Not on Players list - add it there first","Not on Players list and not First L format (like Zack B)")&amp;IF(ISNUMBER(MATCH(LEFT(M56,FIND(" ",M56)-1)&amp;" ?",Players[Name],0))," (same first name as "&amp;INDEX(Players[Name],MATCH(LEFT(M56,FIND(" ",M56)-1)&amp;" ?",Players[Name],0))&amp;")",""),"Not on Players list - type first name + last initial (like Zack B)")),"")),IF(OR(V56&lt;Pod_Min,V56&gt;Pod_Max),"Pod has "&amp;V56&amp;" players",""),IF(U56=0,IF(T56=0,"No winner (*) in pod",IF(T56&gt;1,T56&amp;" winners in pod","")),IF(U56&lt;V56,"Some = but not all players","")),IF(X56="Unknown","",IF(COUNTIFS($O$8:$O$257,O56,$Q$8:$Q$257,Q56,$X$8:$X$257,X56)&gt;1,"Name twice in pod",IF(COUNTIFS($O$8:$O$257,O56,$X$8:$X$257,X56)&gt;1,"Name in 2 pods this round","")))))</f>
        <v/>
      </c>
      <c r="AA56" s="3" t="str">
        <f>IF(L56&lt;&gt;"PLAYER","",IF(OR(M56="",ISNUMBER(FIND(" ",M56))),0,COUNTIF(Players[Name],M56&amp;" ?")))</f>
        <v/>
      </c>
    </row>
    <row r="57" spans="1:27" x14ac:dyDescent="0.45">
      <c r="A57" s="17"/>
      <c r="B57" s="6" t="str">
        <f t="shared" si="0"/>
        <v/>
      </c>
      <c r="C57" s="6" t="str">
        <f t="shared" si="1"/>
        <v/>
      </c>
      <c r="D57" s="6" t="str">
        <f t="shared" si="2"/>
        <v/>
      </c>
      <c r="E57" s="6" t="str">
        <f t="shared" si="3"/>
        <v/>
      </c>
      <c r="F57" s="6" t="str">
        <f t="shared" si="4"/>
        <v/>
      </c>
      <c r="G57" s="6" t="str">
        <f t="shared" si="5"/>
        <v/>
      </c>
      <c r="H57" s="10" t="str">
        <f t="shared" si="6"/>
        <v/>
      </c>
      <c r="I57" s="6" t="str">
        <f t="shared" si="7"/>
        <v/>
      </c>
      <c r="J57" s="3" t="str">
        <f>IFERROR(MATCH(ROWS(J$8:J57),$S$8:$S$257,0),"")</f>
        <v/>
      </c>
      <c r="K57" s="3" t="str">
        <f t="shared" si="8"/>
        <v/>
      </c>
      <c r="L57" s="3" t="str">
        <f t="shared" si="9"/>
        <v/>
      </c>
      <c r="M57" s="3" t="str">
        <f t="shared" si="10"/>
        <v/>
      </c>
      <c r="N57" s="3" t="str">
        <f t="shared" si="11"/>
        <v/>
      </c>
      <c r="O57" s="3">
        <f t="shared" si="12"/>
        <v>1</v>
      </c>
      <c r="P57" s="3">
        <f t="shared" si="13"/>
        <v>0</v>
      </c>
      <c r="Q57" s="3">
        <f t="shared" si="14"/>
        <v>0</v>
      </c>
      <c r="R57" s="3" t="str">
        <f t="shared" si="15"/>
        <v/>
      </c>
      <c r="S57" s="3">
        <f t="shared" si="16"/>
        <v>0</v>
      </c>
      <c r="T57" s="3" t="str">
        <f t="shared" si="17"/>
        <v/>
      </c>
      <c r="U57" s="3" t="str">
        <f t="shared" si="18"/>
        <v/>
      </c>
      <c r="V57" s="3" t="str">
        <f t="shared" si="19"/>
        <v/>
      </c>
      <c r="W57" s="3" t="str">
        <f t="shared" si="20"/>
        <v/>
      </c>
      <c r="X57" s="3" t="str">
        <f>IF(L57&lt;&gt;"PLAYER","",IF(Y57="Y",INDEX(Players[Name],MATCH(M57,Players[Name],0)),IF(Y57="A",INDEX(Players[Name],MATCH(M57&amp;" ?",Players[Name],0)),M57)))</f>
        <v/>
      </c>
      <c r="Y57" s="3" t="str">
        <f>IF(L57&lt;&gt;"PLAYER","",IF(ISNUMBER(MATCH(M57,Players[Name],0)),"Y",IF(AA57=1,"A","N")))</f>
        <v/>
      </c>
      <c r="Z57" s="3" t="str">
        <f>IF(L57&lt;&gt;"PLAYER","",_xlfn.TEXTJOIN("; ",TRUE,IF(M57="","Empty name",IF(Y57="N",IF(AA57&gt;1,"Which "&amp;M57&amp;"? "&amp;AA57&amp;" players start with it (like "&amp;INDEX(Players[Name],MATCH(M57&amp;" ?",Players[Name],0))&amp;") - type the last initial",IF(ISNUMBER(FIND(" ",M57)),IF(IFERROR(IF(M57="",FALSE,OR(M57="Unknown",AND(LEN(M57)-LEN(SUBSTITUTE(M57," ",""))=1,LEN(M57)&gt;=4,MID(M57,LEN(M57)-1,1)=" ",CODE(RIGHT(M57,1))&gt;=65,CODE(RIGHT(M57,1))&lt;=90))),FALSE),"New player? Not on Players list - add it there first","Not on Players list and not First L format (like Zack B)")&amp;IF(ISNUMBER(MATCH(LEFT(M57,FIND(" ",M57)-1)&amp;" ?",Players[Name],0))," (same first name as "&amp;INDEX(Players[Name],MATCH(LEFT(M57,FIND(" ",M57)-1)&amp;" ?",Players[Name],0))&amp;")",""),"Not on Players list - type first name + last initial (like Zack B)")),"")),IF(OR(V57&lt;Pod_Min,V57&gt;Pod_Max),"Pod has "&amp;V57&amp;" players",""),IF(U57=0,IF(T57=0,"No winner (*) in pod",IF(T57&gt;1,T57&amp;" winners in pod","")),IF(U57&lt;V57,"Some = but not all players","")),IF(X57="Unknown","",IF(COUNTIFS($O$8:$O$257,O57,$Q$8:$Q$257,Q57,$X$8:$X$257,X57)&gt;1,"Name twice in pod",IF(COUNTIFS($O$8:$O$257,O57,$X$8:$X$257,X57)&gt;1,"Name in 2 pods this round","")))))</f>
        <v/>
      </c>
      <c r="AA57" s="3" t="str">
        <f>IF(L57&lt;&gt;"PLAYER","",IF(OR(M57="",ISNUMBER(FIND(" ",M57))),0,COUNTIF(Players[Name],M57&amp;" ?")))</f>
        <v/>
      </c>
    </row>
    <row r="58" spans="1:27" x14ac:dyDescent="0.45">
      <c r="A58" s="17"/>
      <c r="B58" s="6" t="str">
        <f t="shared" si="0"/>
        <v/>
      </c>
      <c r="C58" s="6" t="str">
        <f t="shared" si="1"/>
        <v/>
      </c>
      <c r="D58" s="6" t="str">
        <f t="shared" si="2"/>
        <v/>
      </c>
      <c r="E58" s="6" t="str">
        <f t="shared" si="3"/>
        <v/>
      </c>
      <c r="F58" s="6" t="str">
        <f t="shared" si="4"/>
        <v/>
      </c>
      <c r="G58" s="6" t="str">
        <f t="shared" si="5"/>
        <v/>
      </c>
      <c r="H58" s="10" t="str">
        <f t="shared" si="6"/>
        <v/>
      </c>
      <c r="I58" s="6" t="str">
        <f t="shared" si="7"/>
        <v/>
      </c>
      <c r="J58" s="3" t="str">
        <f>IFERROR(MATCH(ROWS(J$8:J58),$S$8:$S$257,0),"")</f>
        <v/>
      </c>
      <c r="K58" s="3" t="str">
        <f t="shared" si="8"/>
        <v/>
      </c>
      <c r="L58" s="3" t="str">
        <f t="shared" si="9"/>
        <v/>
      </c>
      <c r="M58" s="3" t="str">
        <f t="shared" si="10"/>
        <v/>
      </c>
      <c r="N58" s="3" t="str">
        <f t="shared" si="11"/>
        <v/>
      </c>
      <c r="O58" s="3">
        <f t="shared" si="12"/>
        <v>1</v>
      </c>
      <c r="P58" s="3">
        <f t="shared" si="13"/>
        <v>0</v>
      </c>
      <c r="Q58" s="3">
        <f t="shared" si="14"/>
        <v>0</v>
      </c>
      <c r="R58" s="3" t="str">
        <f t="shared" si="15"/>
        <v/>
      </c>
      <c r="S58" s="3">
        <f t="shared" si="16"/>
        <v>0</v>
      </c>
      <c r="T58" s="3" t="str">
        <f t="shared" si="17"/>
        <v/>
      </c>
      <c r="U58" s="3" t="str">
        <f t="shared" si="18"/>
        <v/>
      </c>
      <c r="V58" s="3" t="str">
        <f t="shared" si="19"/>
        <v/>
      </c>
      <c r="W58" s="3" t="str">
        <f t="shared" si="20"/>
        <v/>
      </c>
      <c r="X58" s="3" t="str">
        <f>IF(L58&lt;&gt;"PLAYER","",IF(Y58="Y",INDEX(Players[Name],MATCH(M58,Players[Name],0)),IF(Y58="A",INDEX(Players[Name],MATCH(M58&amp;" ?",Players[Name],0)),M58)))</f>
        <v/>
      </c>
      <c r="Y58" s="3" t="str">
        <f>IF(L58&lt;&gt;"PLAYER","",IF(ISNUMBER(MATCH(M58,Players[Name],0)),"Y",IF(AA58=1,"A","N")))</f>
        <v/>
      </c>
      <c r="Z58" s="3" t="str">
        <f>IF(L58&lt;&gt;"PLAYER","",_xlfn.TEXTJOIN("; ",TRUE,IF(M58="","Empty name",IF(Y58="N",IF(AA58&gt;1,"Which "&amp;M58&amp;"? "&amp;AA58&amp;" players start with it (like "&amp;INDEX(Players[Name],MATCH(M58&amp;" ?",Players[Name],0))&amp;") - type the last initial",IF(ISNUMBER(FIND(" ",M58)),IF(IFERROR(IF(M58="",FALSE,OR(M58="Unknown",AND(LEN(M58)-LEN(SUBSTITUTE(M58," ",""))=1,LEN(M58)&gt;=4,MID(M58,LEN(M58)-1,1)=" ",CODE(RIGHT(M58,1))&gt;=65,CODE(RIGHT(M58,1))&lt;=90))),FALSE),"New player? Not on Players list - add it there first","Not on Players list and not First L format (like Zack B)")&amp;IF(ISNUMBER(MATCH(LEFT(M58,FIND(" ",M58)-1)&amp;" ?",Players[Name],0))," (same first name as "&amp;INDEX(Players[Name],MATCH(LEFT(M58,FIND(" ",M58)-1)&amp;" ?",Players[Name],0))&amp;")",""),"Not on Players list - type first name + last initial (like Zack B)")),"")),IF(OR(V58&lt;Pod_Min,V58&gt;Pod_Max),"Pod has "&amp;V58&amp;" players",""),IF(U58=0,IF(T58=0,"No winner (*) in pod",IF(T58&gt;1,T58&amp;" winners in pod","")),IF(U58&lt;V58,"Some = but not all players","")),IF(X58="Unknown","",IF(COUNTIFS($O$8:$O$257,O58,$Q$8:$Q$257,Q58,$X$8:$X$257,X58)&gt;1,"Name twice in pod",IF(COUNTIFS($O$8:$O$257,O58,$X$8:$X$257,X58)&gt;1,"Name in 2 pods this round","")))))</f>
        <v/>
      </c>
      <c r="AA58" s="3" t="str">
        <f>IF(L58&lt;&gt;"PLAYER","",IF(OR(M58="",ISNUMBER(FIND(" ",M58))),0,COUNTIF(Players[Name],M58&amp;" ?")))</f>
        <v/>
      </c>
    </row>
    <row r="59" spans="1:27" x14ac:dyDescent="0.45">
      <c r="A59" s="17"/>
      <c r="B59" s="6" t="str">
        <f t="shared" si="0"/>
        <v/>
      </c>
      <c r="C59" s="6" t="str">
        <f t="shared" si="1"/>
        <v/>
      </c>
      <c r="D59" s="6" t="str">
        <f t="shared" si="2"/>
        <v/>
      </c>
      <c r="E59" s="6" t="str">
        <f t="shared" si="3"/>
        <v/>
      </c>
      <c r="F59" s="6" t="str">
        <f t="shared" si="4"/>
        <v/>
      </c>
      <c r="G59" s="6" t="str">
        <f t="shared" si="5"/>
        <v/>
      </c>
      <c r="H59" s="10" t="str">
        <f t="shared" si="6"/>
        <v/>
      </c>
      <c r="I59" s="6" t="str">
        <f t="shared" si="7"/>
        <v/>
      </c>
      <c r="J59" s="3" t="str">
        <f>IFERROR(MATCH(ROWS(J$8:J59),$S$8:$S$257,0),"")</f>
        <v/>
      </c>
      <c r="K59" s="3" t="str">
        <f t="shared" si="8"/>
        <v/>
      </c>
      <c r="L59" s="3" t="str">
        <f t="shared" si="9"/>
        <v/>
      </c>
      <c r="M59" s="3" t="str">
        <f t="shared" si="10"/>
        <v/>
      </c>
      <c r="N59" s="3" t="str">
        <f t="shared" si="11"/>
        <v/>
      </c>
      <c r="O59" s="3">
        <f t="shared" si="12"/>
        <v>1</v>
      </c>
      <c r="P59" s="3">
        <f t="shared" si="13"/>
        <v>0</v>
      </c>
      <c r="Q59" s="3">
        <f t="shared" si="14"/>
        <v>0</v>
      </c>
      <c r="R59" s="3" t="str">
        <f t="shared" si="15"/>
        <v/>
      </c>
      <c r="S59" s="3">
        <f t="shared" si="16"/>
        <v>0</v>
      </c>
      <c r="T59" s="3" t="str">
        <f t="shared" si="17"/>
        <v/>
      </c>
      <c r="U59" s="3" t="str">
        <f t="shared" si="18"/>
        <v/>
      </c>
      <c r="V59" s="3" t="str">
        <f t="shared" si="19"/>
        <v/>
      </c>
      <c r="W59" s="3" t="str">
        <f t="shared" si="20"/>
        <v/>
      </c>
      <c r="X59" s="3" t="str">
        <f>IF(L59&lt;&gt;"PLAYER","",IF(Y59="Y",INDEX(Players[Name],MATCH(M59,Players[Name],0)),IF(Y59="A",INDEX(Players[Name],MATCH(M59&amp;" ?",Players[Name],0)),M59)))</f>
        <v/>
      </c>
      <c r="Y59" s="3" t="str">
        <f>IF(L59&lt;&gt;"PLAYER","",IF(ISNUMBER(MATCH(M59,Players[Name],0)),"Y",IF(AA59=1,"A","N")))</f>
        <v/>
      </c>
      <c r="Z59" s="3" t="str">
        <f>IF(L59&lt;&gt;"PLAYER","",_xlfn.TEXTJOIN("; ",TRUE,IF(M59="","Empty name",IF(Y59="N",IF(AA59&gt;1,"Which "&amp;M59&amp;"? "&amp;AA59&amp;" players start with it (like "&amp;INDEX(Players[Name],MATCH(M59&amp;" ?",Players[Name],0))&amp;") - type the last initial",IF(ISNUMBER(FIND(" ",M59)),IF(IFERROR(IF(M59="",FALSE,OR(M59="Unknown",AND(LEN(M59)-LEN(SUBSTITUTE(M59," ",""))=1,LEN(M59)&gt;=4,MID(M59,LEN(M59)-1,1)=" ",CODE(RIGHT(M59,1))&gt;=65,CODE(RIGHT(M59,1))&lt;=90))),FALSE),"New player? Not on Players list - add it there first","Not on Players list and not First L format (like Zack B)")&amp;IF(ISNUMBER(MATCH(LEFT(M59,FIND(" ",M59)-1)&amp;" ?",Players[Name],0))," (same first name as "&amp;INDEX(Players[Name],MATCH(LEFT(M59,FIND(" ",M59)-1)&amp;" ?",Players[Name],0))&amp;")",""),"Not on Players list - type first name + last initial (like Zack B)")),"")),IF(OR(V59&lt;Pod_Min,V59&gt;Pod_Max),"Pod has "&amp;V59&amp;" players",""),IF(U59=0,IF(T59=0,"No winner (*) in pod",IF(T59&gt;1,T59&amp;" winners in pod","")),IF(U59&lt;V59,"Some = but not all players","")),IF(X59="Unknown","",IF(COUNTIFS($O$8:$O$257,O59,$Q$8:$Q$257,Q59,$X$8:$X$257,X59)&gt;1,"Name twice in pod",IF(COUNTIFS($O$8:$O$257,O59,$X$8:$X$257,X59)&gt;1,"Name in 2 pods this round","")))))</f>
        <v/>
      </c>
      <c r="AA59" s="3" t="str">
        <f>IF(L59&lt;&gt;"PLAYER","",IF(OR(M59="",ISNUMBER(FIND(" ",M59))),0,COUNTIF(Players[Name],M59&amp;" ?")))</f>
        <v/>
      </c>
    </row>
    <row r="60" spans="1:27" x14ac:dyDescent="0.45">
      <c r="A60" s="17"/>
      <c r="B60" s="6" t="str">
        <f t="shared" si="0"/>
        <v/>
      </c>
      <c r="C60" s="6" t="str">
        <f t="shared" si="1"/>
        <v/>
      </c>
      <c r="D60" s="6" t="str">
        <f t="shared" si="2"/>
        <v/>
      </c>
      <c r="E60" s="6" t="str">
        <f t="shared" si="3"/>
        <v/>
      </c>
      <c r="F60" s="6" t="str">
        <f t="shared" si="4"/>
        <v/>
      </c>
      <c r="G60" s="6" t="str">
        <f t="shared" si="5"/>
        <v/>
      </c>
      <c r="H60" s="10" t="str">
        <f t="shared" si="6"/>
        <v/>
      </c>
      <c r="I60" s="6" t="str">
        <f t="shared" si="7"/>
        <v/>
      </c>
      <c r="J60" s="3" t="str">
        <f>IFERROR(MATCH(ROWS(J$8:J60),$S$8:$S$257,0),"")</f>
        <v/>
      </c>
      <c r="K60" s="3" t="str">
        <f t="shared" si="8"/>
        <v/>
      </c>
      <c r="L60" s="3" t="str">
        <f t="shared" si="9"/>
        <v/>
      </c>
      <c r="M60" s="3" t="str">
        <f t="shared" si="10"/>
        <v/>
      </c>
      <c r="N60" s="3" t="str">
        <f t="shared" si="11"/>
        <v/>
      </c>
      <c r="O60" s="3">
        <f t="shared" si="12"/>
        <v>1</v>
      </c>
      <c r="P60" s="3">
        <f t="shared" si="13"/>
        <v>0</v>
      </c>
      <c r="Q60" s="3">
        <f t="shared" si="14"/>
        <v>0</v>
      </c>
      <c r="R60" s="3" t="str">
        <f t="shared" si="15"/>
        <v/>
      </c>
      <c r="S60" s="3">
        <f t="shared" si="16"/>
        <v>0</v>
      </c>
      <c r="T60" s="3" t="str">
        <f t="shared" si="17"/>
        <v/>
      </c>
      <c r="U60" s="3" t="str">
        <f t="shared" si="18"/>
        <v/>
      </c>
      <c r="V60" s="3" t="str">
        <f t="shared" si="19"/>
        <v/>
      </c>
      <c r="W60" s="3" t="str">
        <f t="shared" si="20"/>
        <v/>
      </c>
      <c r="X60" s="3" t="str">
        <f>IF(L60&lt;&gt;"PLAYER","",IF(Y60="Y",INDEX(Players[Name],MATCH(M60,Players[Name],0)),IF(Y60="A",INDEX(Players[Name],MATCH(M60&amp;" ?",Players[Name],0)),M60)))</f>
        <v/>
      </c>
      <c r="Y60" s="3" t="str">
        <f>IF(L60&lt;&gt;"PLAYER","",IF(ISNUMBER(MATCH(M60,Players[Name],0)),"Y",IF(AA60=1,"A","N")))</f>
        <v/>
      </c>
      <c r="Z60" s="3" t="str">
        <f>IF(L60&lt;&gt;"PLAYER","",_xlfn.TEXTJOIN("; ",TRUE,IF(M60="","Empty name",IF(Y60="N",IF(AA60&gt;1,"Which "&amp;M60&amp;"? "&amp;AA60&amp;" players start with it (like "&amp;INDEX(Players[Name],MATCH(M60&amp;" ?",Players[Name],0))&amp;") - type the last initial",IF(ISNUMBER(FIND(" ",M60)),IF(IFERROR(IF(M60="",FALSE,OR(M60="Unknown",AND(LEN(M60)-LEN(SUBSTITUTE(M60," ",""))=1,LEN(M60)&gt;=4,MID(M60,LEN(M60)-1,1)=" ",CODE(RIGHT(M60,1))&gt;=65,CODE(RIGHT(M60,1))&lt;=90))),FALSE),"New player? Not on Players list - add it there first","Not on Players list and not First L format (like Zack B)")&amp;IF(ISNUMBER(MATCH(LEFT(M60,FIND(" ",M60)-1)&amp;" ?",Players[Name],0))," (same first name as "&amp;INDEX(Players[Name],MATCH(LEFT(M60,FIND(" ",M60)-1)&amp;" ?",Players[Name],0))&amp;")",""),"Not on Players list - type first name + last initial (like Zack B)")),"")),IF(OR(V60&lt;Pod_Min,V60&gt;Pod_Max),"Pod has "&amp;V60&amp;" players",""),IF(U60=0,IF(T60=0,"No winner (*) in pod",IF(T60&gt;1,T60&amp;" winners in pod","")),IF(U60&lt;V60,"Some = but not all players","")),IF(X60="Unknown","",IF(COUNTIFS($O$8:$O$257,O60,$Q$8:$Q$257,Q60,$X$8:$X$257,X60)&gt;1,"Name twice in pod",IF(COUNTIFS($O$8:$O$257,O60,$X$8:$X$257,X60)&gt;1,"Name in 2 pods this round","")))))</f>
        <v/>
      </c>
      <c r="AA60" s="3" t="str">
        <f>IF(L60&lt;&gt;"PLAYER","",IF(OR(M60="",ISNUMBER(FIND(" ",M60))),0,COUNTIF(Players[Name],M60&amp;" ?")))</f>
        <v/>
      </c>
    </row>
    <row r="61" spans="1:27" x14ac:dyDescent="0.45">
      <c r="A61" s="17"/>
      <c r="B61" s="6" t="str">
        <f t="shared" si="0"/>
        <v/>
      </c>
      <c r="C61" s="6" t="str">
        <f t="shared" si="1"/>
        <v/>
      </c>
      <c r="D61" s="6" t="str">
        <f t="shared" si="2"/>
        <v/>
      </c>
      <c r="E61" s="6" t="str">
        <f t="shared" si="3"/>
        <v/>
      </c>
      <c r="F61" s="6" t="str">
        <f t="shared" si="4"/>
        <v/>
      </c>
      <c r="G61" s="6" t="str">
        <f t="shared" si="5"/>
        <v/>
      </c>
      <c r="H61" s="10" t="str">
        <f t="shared" si="6"/>
        <v/>
      </c>
      <c r="I61" s="6" t="str">
        <f t="shared" si="7"/>
        <v/>
      </c>
      <c r="J61" s="3" t="str">
        <f>IFERROR(MATCH(ROWS(J$8:J61),$S$8:$S$257,0),"")</f>
        <v/>
      </c>
      <c r="K61" s="3" t="str">
        <f t="shared" si="8"/>
        <v/>
      </c>
      <c r="L61" s="3" t="str">
        <f t="shared" si="9"/>
        <v/>
      </c>
      <c r="M61" s="3" t="str">
        <f t="shared" si="10"/>
        <v/>
      </c>
      <c r="N61" s="3" t="str">
        <f t="shared" si="11"/>
        <v/>
      </c>
      <c r="O61" s="3">
        <f t="shared" si="12"/>
        <v>1</v>
      </c>
      <c r="P61" s="3">
        <f t="shared" si="13"/>
        <v>0</v>
      </c>
      <c r="Q61" s="3">
        <f t="shared" si="14"/>
        <v>0</v>
      </c>
      <c r="R61" s="3" t="str">
        <f t="shared" si="15"/>
        <v/>
      </c>
      <c r="S61" s="3">
        <f t="shared" si="16"/>
        <v>0</v>
      </c>
      <c r="T61" s="3" t="str">
        <f t="shared" si="17"/>
        <v/>
      </c>
      <c r="U61" s="3" t="str">
        <f t="shared" si="18"/>
        <v/>
      </c>
      <c r="V61" s="3" t="str">
        <f t="shared" si="19"/>
        <v/>
      </c>
      <c r="W61" s="3" t="str">
        <f t="shared" si="20"/>
        <v/>
      </c>
      <c r="X61" s="3" t="str">
        <f>IF(L61&lt;&gt;"PLAYER","",IF(Y61="Y",INDEX(Players[Name],MATCH(M61,Players[Name],0)),IF(Y61="A",INDEX(Players[Name],MATCH(M61&amp;" ?",Players[Name],0)),M61)))</f>
        <v/>
      </c>
      <c r="Y61" s="3" t="str">
        <f>IF(L61&lt;&gt;"PLAYER","",IF(ISNUMBER(MATCH(M61,Players[Name],0)),"Y",IF(AA61=1,"A","N")))</f>
        <v/>
      </c>
      <c r="Z61" s="3" t="str">
        <f>IF(L61&lt;&gt;"PLAYER","",_xlfn.TEXTJOIN("; ",TRUE,IF(M61="","Empty name",IF(Y61="N",IF(AA61&gt;1,"Which "&amp;M61&amp;"? "&amp;AA61&amp;" players start with it (like "&amp;INDEX(Players[Name],MATCH(M61&amp;" ?",Players[Name],0))&amp;") - type the last initial",IF(ISNUMBER(FIND(" ",M61)),IF(IFERROR(IF(M61="",FALSE,OR(M61="Unknown",AND(LEN(M61)-LEN(SUBSTITUTE(M61," ",""))=1,LEN(M61)&gt;=4,MID(M61,LEN(M61)-1,1)=" ",CODE(RIGHT(M61,1))&gt;=65,CODE(RIGHT(M61,1))&lt;=90))),FALSE),"New player? Not on Players list - add it there first","Not on Players list and not First L format (like Zack B)")&amp;IF(ISNUMBER(MATCH(LEFT(M61,FIND(" ",M61)-1)&amp;" ?",Players[Name],0))," (same first name as "&amp;INDEX(Players[Name],MATCH(LEFT(M61,FIND(" ",M61)-1)&amp;" ?",Players[Name],0))&amp;")",""),"Not on Players list - type first name + last initial (like Zack B)")),"")),IF(OR(V61&lt;Pod_Min,V61&gt;Pod_Max),"Pod has "&amp;V61&amp;" players",""),IF(U61=0,IF(T61=0,"No winner (*) in pod",IF(T61&gt;1,T61&amp;" winners in pod","")),IF(U61&lt;V61,"Some = but not all players","")),IF(X61="Unknown","",IF(COUNTIFS($O$8:$O$257,O61,$Q$8:$Q$257,Q61,$X$8:$X$257,X61)&gt;1,"Name twice in pod",IF(COUNTIFS($O$8:$O$257,O61,$X$8:$X$257,X61)&gt;1,"Name in 2 pods this round","")))))</f>
        <v/>
      </c>
      <c r="AA61" s="3" t="str">
        <f>IF(L61&lt;&gt;"PLAYER","",IF(OR(M61="",ISNUMBER(FIND(" ",M61))),0,COUNTIF(Players[Name],M61&amp;" ?")))</f>
        <v/>
      </c>
    </row>
    <row r="62" spans="1:27" x14ac:dyDescent="0.45">
      <c r="A62" s="17"/>
      <c r="B62" s="6" t="str">
        <f t="shared" si="0"/>
        <v/>
      </c>
      <c r="C62" s="6" t="str">
        <f t="shared" si="1"/>
        <v/>
      </c>
      <c r="D62" s="6" t="str">
        <f t="shared" si="2"/>
        <v/>
      </c>
      <c r="E62" s="6" t="str">
        <f t="shared" si="3"/>
        <v/>
      </c>
      <c r="F62" s="6" t="str">
        <f t="shared" si="4"/>
        <v/>
      </c>
      <c r="G62" s="6" t="str">
        <f t="shared" si="5"/>
        <v/>
      </c>
      <c r="H62" s="10" t="str">
        <f t="shared" si="6"/>
        <v/>
      </c>
      <c r="I62" s="6" t="str">
        <f t="shared" si="7"/>
        <v/>
      </c>
      <c r="J62" s="3" t="str">
        <f>IFERROR(MATCH(ROWS(J$8:J62),$S$8:$S$257,0),"")</f>
        <v/>
      </c>
      <c r="K62" s="3" t="str">
        <f t="shared" si="8"/>
        <v/>
      </c>
      <c r="L62" s="3" t="str">
        <f t="shared" si="9"/>
        <v/>
      </c>
      <c r="M62" s="3" t="str">
        <f t="shared" si="10"/>
        <v/>
      </c>
      <c r="N62" s="3" t="str">
        <f t="shared" si="11"/>
        <v/>
      </c>
      <c r="O62" s="3">
        <f t="shared" si="12"/>
        <v>1</v>
      </c>
      <c r="P62" s="3">
        <f t="shared" si="13"/>
        <v>0</v>
      </c>
      <c r="Q62" s="3">
        <f t="shared" si="14"/>
        <v>0</v>
      </c>
      <c r="R62" s="3" t="str">
        <f t="shared" si="15"/>
        <v/>
      </c>
      <c r="S62" s="3">
        <f t="shared" si="16"/>
        <v>0</v>
      </c>
      <c r="T62" s="3" t="str">
        <f t="shared" si="17"/>
        <v/>
      </c>
      <c r="U62" s="3" t="str">
        <f t="shared" si="18"/>
        <v/>
      </c>
      <c r="V62" s="3" t="str">
        <f t="shared" si="19"/>
        <v/>
      </c>
      <c r="W62" s="3" t="str">
        <f t="shared" si="20"/>
        <v/>
      </c>
      <c r="X62" s="3" t="str">
        <f>IF(L62&lt;&gt;"PLAYER","",IF(Y62="Y",INDEX(Players[Name],MATCH(M62,Players[Name],0)),IF(Y62="A",INDEX(Players[Name],MATCH(M62&amp;" ?",Players[Name],0)),M62)))</f>
        <v/>
      </c>
      <c r="Y62" s="3" t="str">
        <f>IF(L62&lt;&gt;"PLAYER","",IF(ISNUMBER(MATCH(M62,Players[Name],0)),"Y",IF(AA62=1,"A","N")))</f>
        <v/>
      </c>
      <c r="Z62" s="3" t="str">
        <f>IF(L62&lt;&gt;"PLAYER","",_xlfn.TEXTJOIN("; ",TRUE,IF(M62="","Empty name",IF(Y62="N",IF(AA62&gt;1,"Which "&amp;M62&amp;"? "&amp;AA62&amp;" players start with it (like "&amp;INDEX(Players[Name],MATCH(M62&amp;" ?",Players[Name],0))&amp;") - type the last initial",IF(ISNUMBER(FIND(" ",M62)),IF(IFERROR(IF(M62="",FALSE,OR(M62="Unknown",AND(LEN(M62)-LEN(SUBSTITUTE(M62," ",""))=1,LEN(M62)&gt;=4,MID(M62,LEN(M62)-1,1)=" ",CODE(RIGHT(M62,1))&gt;=65,CODE(RIGHT(M62,1))&lt;=90))),FALSE),"New player? Not on Players list - add it there first","Not on Players list and not First L format (like Zack B)")&amp;IF(ISNUMBER(MATCH(LEFT(M62,FIND(" ",M62)-1)&amp;" ?",Players[Name],0))," (same first name as "&amp;INDEX(Players[Name],MATCH(LEFT(M62,FIND(" ",M62)-1)&amp;" ?",Players[Name],0))&amp;")",""),"Not on Players list - type first name + last initial (like Zack B)")),"")),IF(OR(V62&lt;Pod_Min,V62&gt;Pod_Max),"Pod has "&amp;V62&amp;" players",""),IF(U62=0,IF(T62=0,"No winner (*) in pod",IF(T62&gt;1,T62&amp;" winners in pod","")),IF(U62&lt;V62,"Some = but not all players","")),IF(X62="Unknown","",IF(COUNTIFS($O$8:$O$257,O62,$Q$8:$Q$257,Q62,$X$8:$X$257,X62)&gt;1,"Name twice in pod",IF(COUNTIFS($O$8:$O$257,O62,$X$8:$X$257,X62)&gt;1,"Name in 2 pods this round","")))))</f>
        <v/>
      </c>
      <c r="AA62" s="3" t="str">
        <f>IF(L62&lt;&gt;"PLAYER","",IF(OR(M62="",ISNUMBER(FIND(" ",M62))),0,COUNTIF(Players[Name],M62&amp;" ?")))</f>
        <v/>
      </c>
    </row>
    <row r="63" spans="1:27" x14ac:dyDescent="0.45">
      <c r="A63" s="17"/>
      <c r="B63" s="6" t="str">
        <f t="shared" si="0"/>
        <v/>
      </c>
      <c r="C63" s="6" t="str">
        <f t="shared" si="1"/>
        <v/>
      </c>
      <c r="D63" s="6" t="str">
        <f t="shared" si="2"/>
        <v/>
      </c>
      <c r="E63" s="6" t="str">
        <f t="shared" si="3"/>
        <v/>
      </c>
      <c r="F63" s="6" t="str">
        <f t="shared" si="4"/>
        <v/>
      </c>
      <c r="G63" s="6" t="str">
        <f t="shared" si="5"/>
        <v/>
      </c>
      <c r="H63" s="10" t="str">
        <f t="shared" si="6"/>
        <v/>
      </c>
      <c r="I63" s="6" t="str">
        <f t="shared" si="7"/>
        <v/>
      </c>
      <c r="J63" s="3" t="str">
        <f>IFERROR(MATCH(ROWS(J$8:J63),$S$8:$S$257,0),"")</f>
        <v/>
      </c>
      <c r="K63" s="3" t="str">
        <f t="shared" si="8"/>
        <v/>
      </c>
      <c r="L63" s="3" t="str">
        <f t="shared" si="9"/>
        <v/>
      </c>
      <c r="M63" s="3" t="str">
        <f t="shared" si="10"/>
        <v/>
      </c>
      <c r="N63" s="3" t="str">
        <f t="shared" si="11"/>
        <v/>
      </c>
      <c r="O63" s="3">
        <f t="shared" si="12"/>
        <v>1</v>
      </c>
      <c r="P63" s="3">
        <f t="shared" si="13"/>
        <v>0</v>
      </c>
      <c r="Q63" s="3">
        <f t="shared" si="14"/>
        <v>0</v>
      </c>
      <c r="R63" s="3" t="str">
        <f t="shared" si="15"/>
        <v/>
      </c>
      <c r="S63" s="3">
        <f t="shared" si="16"/>
        <v>0</v>
      </c>
      <c r="T63" s="3" t="str">
        <f t="shared" si="17"/>
        <v/>
      </c>
      <c r="U63" s="3" t="str">
        <f t="shared" si="18"/>
        <v/>
      </c>
      <c r="V63" s="3" t="str">
        <f t="shared" si="19"/>
        <v/>
      </c>
      <c r="W63" s="3" t="str">
        <f t="shared" si="20"/>
        <v/>
      </c>
      <c r="X63" s="3" t="str">
        <f>IF(L63&lt;&gt;"PLAYER","",IF(Y63="Y",INDEX(Players[Name],MATCH(M63,Players[Name],0)),IF(Y63="A",INDEX(Players[Name],MATCH(M63&amp;" ?",Players[Name],0)),M63)))</f>
        <v/>
      </c>
      <c r="Y63" s="3" t="str">
        <f>IF(L63&lt;&gt;"PLAYER","",IF(ISNUMBER(MATCH(M63,Players[Name],0)),"Y",IF(AA63=1,"A","N")))</f>
        <v/>
      </c>
      <c r="Z63" s="3" t="str">
        <f>IF(L63&lt;&gt;"PLAYER","",_xlfn.TEXTJOIN("; ",TRUE,IF(M63="","Empty name",IF(Y63="N",IF(AA63&gt;1,"Which "&amp;M63&amp;"? "&amp;AA63&amp;" players start with it (like "&amp;INDEX(Players[Name],MATCH(M63&amp;" ?",Players[Name],0))&amp;") - type the last initial",IF(ISNUMBER(FIND(" ",M63)),IF(IFERROR(IF(M63="",FALSE,OR(M63="Unknown",AND(LEN(M63)-LEN(SUBSTITUTE(M63," ",""))=1,LEN(M63)&gt;=4,MID(M63,LEN(M63)-1,1)=" ",CODE(RIGHT(M63,1))&gt;=65,CODE(RIGHT(M63,1))&lt;=90))),FALSE),"New player? Not on Players list - add it there first","Not on Players list and not First L format (like Zack B)")&amp;IF(ISNUMBER(MATCH(LEFT(M63,FIND(" ",M63)-1)&amp;" ?",Players[Name],0))," (same first name as "&amp;INDEX(Players[Name],MATCH(LEFT(M63,FIND(" ",M63)-1)&amp;" ?",Players[Name],0))&amp;")",""),"Not on Players list - type first name + last initial (like Zack B)")),"")),IF(OR(V63&lt;Pod_Min,V63&gt;Pod_Max),"Pod has "&amp;V63&amp;" players",""),IF(U63=0,IF(T63=0,"No winner (*) in pod",IF(T63&gt;1,T63&amp;" winners in pod","")),IF(U63&lt;V63,"Some = but not all players","")),IF(X63="Unknown","",IF(COUNTIFS($O$8:$O$257,O63,$Q$8:$Q$257,Q63,$X$8:$X$257,X63)&gt;1,"Name twice in pod",IF(COUNTIFS($O$8:$O$257,O63,$X$8:$X$257,X63)&gt;1,"Name in 2 pods this round","")))))</f>
        <v/>
      </c>
      <c r="AA63" s="3" t="str">
        <f>IF(L63&lt;&gt;"PLAYER","",IF(OR(M63="",ISNUMBER(FIND(" ",M63))),0,COUNTIF(Players[Name],M63&amp;" ?")))</f>
        <v/>
      </c>
    </row>
    <row r="64" spans="1:27" x14ac:dyDescent="0.45">
      <c r="A64" s="17"/>
      <c r="B64" s="6" t="str">
        <f t="shared" si="0"/>
        <v/>
      </c>
      <c r="C64" s="6" t="str">
        <f t="shared" si="1"/>
        <v/>
      </c>
      <c r="D64" s="6" t="str">
        <f t="shared" si="2"/>
        <v/>
      </c>
      <c r="E64" s="6" t="str">
        <f t="shared" si="3"/>
        <v/>
      </c>
      <c r="F64" s="6" t="str">
        <f t="shared" si="4"/>
        <v/>
      </c>
      <c r="G64" s="6" t="str">
        <f t="shared" si="5"/>
        <v/>
      </c>
      <c r="H64" s="10" t="str">
        <f t="shared" si="6"/>
        <v/>
      </c>
      <c r="I64" s="6" t="str">
        <f t="shared" si="7"/>
        <v/>
      </c>
      <c r="J64" s="3" t="str">
        <f>IFERROR(MATCH(ROWS(J$8:J64),$S$8:$S$257,0),"")</f>
        <v/>
      </c>
      <c r="K64" s="3" t="str">
        <f t="shared" si="8"/>
        <v/>
      </c>
      <c r="L64" s="3" t="str">
        <f t="shared" si="9"/>
        <v/>
      </c>
      <c r="M64" s="3" t="str">
        <f t="shared" si="10"/>
        <v/>
      </c>
      <c r="N64" s="3" t="str">
        <f t="shared" si="11"/>
        <v/>
      </c>
      <c r="O64" s="3">
        <f t="shared" si="12"/>
        <v>1</v>
      </c>
      <c r="P64" s="3">
        <f t="shared" si="13"/>
        <v>0</v>
      </c>
      <c r="Q64" s="3">
        <f t="shared" si="14"/>
        <v>0</v>
      </c>
      <c r="R64" s="3" t="str">
        <f t="shared" si="15"/>
        <v/>
      </c>
      <c r="S64" s="3">
        <f t="shared" si="16"/>
        <v>0</v>
      </c>
      <c r="T64" s="3" t="str">
        <f t="shared" si="17"/>
        <v/>
      </c>
      <c r="U64" s="3" t="str">
        <f t="shared" si="18"/>
        <v/>
      </c>
      <c r="V64" s="3" t="str">
        <f t="shared" si="19"/>
        <v/>
      </c>
      <c r="W64" s="3" t="str">
        <f t="shared" si="20"/>
        <v/>
      </c>
      <c r="X64" s="3" t="str">
        <f>IF(L64&lt;&gt;"PLAYER","",IF(Y64="Y",INDEX(Players[Name],MATCH(M64,Players[Name],0)),IF(Y64="A",INDEX(Players[Name],MATCH(M64&amp;" ?",Players[Name],0)),M64)))</f>
        <v/>
      </c>
      <c r="Y64" s="3" t="str">
        <f>IF(L64&lt;&gt;"PLAYER","",IF(ISNUMBER(MATCH(M64,Players[Name],0)),"Y",IF(AA64=1,"A","N")))</f>
        <v/>
      </c>
      <c r="Z64" s="3" t="str">
        <f>IF(L64&lt;&gt;"PLAYER","",_xlfn.TEXTJOIN("; ",TRUE,IF(M64="","Empty name",IF(Y64="N",IF(AA64&gt;1,"Which "&amp;M64&amp;"? "&amp;AA64&amp;" players start with it (like "&amp;INDEX(Players[Name],MATCH(M64&amp;" ?",Players[Name],0))&amp;") - type the last initial",IF(ISNUMBER(FIND(" ",M64)),IF(IFERROR(IF(M64="",FALSE,OR(M64="Unknown",AND(LEN(M64)-LEN(SUBSTITUTE(M64," ",""))=1,LEN(M64)&gt;=4,MID(M64,LEN(M64)-1,1)=" ",CODE(RIGHT(M64,1))&gt;=65,CODE(RIGHT(M64,1))&lt;=90))),FALSE),"New player? Not on Players list - add it there first","Not on Players list and not First L format (like Zack B)")&amp;IF(ISNUMBER(MATCH(LEFT(M64,FIND(" ",M64)-1)&amp;" ?",Players[Name],0))," (same first name as "&amp;INDEX(Players[Name],MATCH(LEFT(M64,FIND(" ",M64)-1)&amp;" ?",Players[Name],0))&amp;")",""),"Not on Players list - type first name + last initial (like Zack B)")),"")),IF(OR(V64&lt;Pod_Min,V64&gt;Pod_Max),"Pod has "&amp;V64&amp;" players",""),IF(U64=0,IF(T64=0,"No winner (*) in pod",IF(T64&gt;1,T64&amp;" winners in pod","")),IF(U64&lt;V64,"Some = but not all players","")),IF(X64="Unknown","",IF(COUNTIFS($O$8:$O$257,O64,$Q$8:$Q$257,Q64,$X$8:$X$257,X64)&gt;1,"Name twice in pod",IF(COUNTIFS($O$8:$O$257,O64,$X$8:$X$257,X64)&gt;1,"Name in 2 pods this round","")))))</f>
        <v/>
      </c>
      <c r="AA64" s="3" t="str">
        <f>IF(L64&lt;&gt;"PLAYER","",IF(OR(M64="",ISNUMBER(FIND(" ",M64))),0,COUNTIF(Players[Name],M64&amp;" ?")))</f>
        <v/>
      </c>
    </row>
    <row r="65" spans="1:27" x14ac:dyDescent="0.45">
      <c r="A65" s="17"/>
      <c r="B65" s="6" t="str">
        <f t="shared" si="0"/>
        <v/>
      </c>
      <c r="C65" s="6" t="str">
        <f t="shared" si="1"/>
        <v/>
      </c>
      <c r="D65" s="6" t="str">
        <f t="shared" si="2"/>
        <v/>
      </c>
      <c r="E65" s="6" t="str">
        <f t="shared" si="3"/>
        <v/>
      </c>
      <c r="F65" s="6" t="str">
        <f t="shared" si="4"/>
        <v/>
      </c>
      <c r="G65" s="6" t="str">
        <f t="shared" si="5"/>
        <v/>
      </c>
      <c r="H65" s="10" t="str">
        <f t="shared" si="6"/>
        <v/>
      </c>
      <c r="I65" s="6" t="str">
        <f t="shared" si="7"/>
        <v/>
      </c>
      <c r="J65" s="3" t="str">
        <f>IFERROR(MATCH(ROWS(J$8:J65),$S$8:$S$257,0),"")</f>
        <v/>
      </c>
      <c r="K65" s="3" t="str">
        <f t="shared" si="8"/>
        <v/>
      </c>
      <c r="L65" s="3" t="str">
        <f t="shared" si="9"/>
        <v/>
      </c>
      <c r="M65" s="3" t="str">
        <f t="shared" si="10"/>
        <v/>
      </c>
      <c r="N65" s="3" t="str">
        <f t="shared" si="11"/>
        <v/>
      </c>
      <c r="O65" s="3">
        <f t="shared" si="12"/>
        <v>1</v>
      </c>
      <c r="P65" s="3">
        <f t="shared" si="13"/>
        <v>0</v>
      </c>
      <c r="Q65" s="3">
        <f t="shared" si="14"/>
        <v>0</v>
      </c>
      <c r="R65" s="3" t="str">
        <f t="shared" si="15"/>
        <v/>
      </c>
      <c r="S65" s="3">
        <f t="shared" si="16"/>
        <v>0</v>
      </c>
      <c r="T65" s="3" t="str">
        <f t="shared" si="17"/>
        <v/>
      </c>
      <c r="U65" s="3" t="str">
        <f t="shared" si="18"/>
        <v/>
      </c>
      <c r="V65" s="3" t="str">
        <f t="shared" si="19"/>
        <v/>
      </c>
      <c r="W65" s="3" t="str">
        <f t="shared" si="20"/>
        <v/>
      </c>
      <c r="X65" s="3" t="str">
        <f>IF(L65&lt;&gt;"PLAYER","",IF(Y65="Y",INDEX(Players[Name],MATCH(M65,Players[Name],0)),IF(Y65="A",INDEX(Players[Name],MATCH(M65&amp;" ?",Players[Name],0)),M65)))</f>
        <v/>
      </c>
      <c r="Y65" s="3" t="str">
        <f>IF(L65&lt;&gt;"PLAYER","",IF(ISNUMBER(MATCH(M65,Players[Name],0)),"Y",IF(AA65=1,"A","N")))</f>
        <v/>
      </c>
      <c r="Z65" s="3" t="str">
        <f>IF(L65&lt;&gt;"PLAYER","",_xlfn.TEXTJOIN("; ",TRUE,IF(M65="","Empty name",IF(Y65="N",IF(AA65&gt;1,"Which "&amp;M65&amp;"? "&amp;AA65&amp;" players start with it (like "&amp;INDEX(Players[Name],MATCH(M65&amp;" ?",Players[Name],0))&amp;") - type the last initial",IF(ISNUMBER(FIND(" ",M65)),IF(IFERROR(IF(M65="",FALSE,OR(M65="Unknown",AND(LEN(M65)-LEN(SUBSTITUTE(M65," ",""))=1,LEN(M65)&gt;=4,MID(M65,LEN(M65)-1,1)=" ",CODE(RIGHT(M65,1))&gt;=65,CODE(RIGHT(M65,1))&lt;=90))),FALSE),"New player? Not on Players list - add it there first","Not on Players list and not First L format (like Zack B)")&amp;IF(ISNUMBER(MATCH(LEFT(M65,FIND(" ",M65)-1)&amp;" ?",Players[Name],0))," (same first name as "&amp;INDEX(Players[Name],MATCH(LEFT(M65,FIND(" ",M65)-1)&amp;" ?",Players[Name],0))&amp;")",""),"Not on Players list - type first name + last initial (like Zack B)")),"")),IF(OR(V65&lt;Pod_Min,V65&gt;Pod_Max),"Pod has "&amp;V65&amp;" players",""),IF(U65=0,IF(T65=0,"No winner (*) in pod",IF(T65&gt;1,T65&amp;" winners in pod","")),IF(U65&lt;V65,"Some = but not all players","")),IF(X65="Unknown","",IF(COUNTIFS($O$8:$O$257,O65,$Q$8:$Q$257,Q65,$X$8:$X$257,X65)&gt;1,"Name twice in pod",IF(COUNTIFS($O$8:$O$257,O65,$X$8:$X$257,X65)&gt;1,"Name in 2 pods this round","")))))</f>
        <v/>
      </c>
      <c r="AA65" s="3" t="str">
        <f>IF(L65&lt;&gt;"PLAYER","",IF(OR(M65="",ISNUMBER(FIND(" ",M65))),0,COUNTIF(Players[Name],M65&amp;" ?")))</f>
        <v/>
      </c>
    </row>
    <row r="66" spans="1:27" x14ac:dyDescent="0.45">
      <c r="A66" s="17"/>
      <c r="B66" s="6" t="str">
        <f t="shared" si="0"/>
        <v/>
      </c>
      <c r="C66" s="6" t="str">
        <f t="shared" si="1"/>
        <v/>
      </c>
      <c r="D66" s="6" t="str">
        <f t="shared" si="2"/>
        <v/>
      </c>
      <c r="E66" s="6" t="str">
        <f t="shared" si="3"/>
        <v/>
      </c>
      <c r="F66" s="6" t="str">
        <f t="shared" si="4"/>
        <v/>
      </c>
      <c r="G66" s="6" t="str">
        <f t="shared" si="5"/>
        <v/>
      </c>
      <c r="H66" s="10" t="str">
        <f t="shared" si="6"/>
        <v/>
      </c>
      <c r="I66" s="6" t="str">
        <f t="shared" si="7"/>
        <v/>
      </c>
      <c r="J66" s="3" t="str">
        <f>IFERROR(MATCH(ROWS(J$8:J66),$S$8:$S$257,0),"")</f>
        <v/>
      </c>
      <c r="K66" s="3" t="str">
        <f t="shared" si="8"/>
        <v/>
      </c>
      <c r="L66" s="3" t="str">
        <f t="shared" si="9"/>
        <v/>
      </c>
      <c r="M66" s="3" t="str">
        <f t="shared" si="10"/>
        <v/>
      </c>
      <c r="N66" s="3" t="str">
        <f t="shared" si="11"/>
        <v/>
      </c>
      <c r="O66" s="3">
        <f t="shared" si="12"/>
        <v>1</v>
      </c>
      <c r="P66" s="3">
        <f t="shared" si="13"/>
        <v>0</v>
      </c>
      <c r="Q66" s="3">
        <f t="shared" si="14"/>
        <v>0</v>
      </c>
      <c r="R66" s="3" t="str">
        <f t="shared" si="15"/>
        <v/>
      </c>
      <c r="S66" s="3">
        <f t="shared" si="16"/>
        <v>0</v>
      </c>
      <c r="T66" s="3" t="str">
        <f t="shared" si="17"/>
        <v/>
      </c>
      <c r="U66" s="3" t="str">
        <f t="shared" si="18"/>
        <v/>
      </c>
      <c r="V66" s="3" t="str">
        <f t="shared" si="19"/>
        <v/>
      </c>
      <c r="W66" s="3" t="str">
        <f t="shared" si="20"/>
        <v/>
      </c>
      <c r="X66" s="3" t="str">
        <f>IF(L66&lt;&gt;"PLAYER","",IF(Y66="Y",INDEX(Players[Name],MATCH(M66,Players[Name],0)),IF(Y66="A",INDEX(Players[Name],MATCH(M66&amp;" ?",Players[Name],0)),M66)))</f>
        <v/>
      </c>
      <c r="Y66" s="3" t="str">
        <f>IF(L66&lt;&gt;"PLAYER","",IF(ISNUMBER(MATCH(M66,Players[Name],0)),"Y",IF(AA66=1,"A","N")))</f>
        <v/>
      </c>
      <c r="Z66" s="3" t="str">
        <f>IF(L66&lt;&gt;"PLAYER","",_xlfn.TEXTJOIN("; ",TRUE,IF(M66="","Empty name",IF(Y66="N",IF(AA66&gt;1,"Which "&amp;M66&amp;"? "&amp;AA66&amp;" players start with it (like "&amp;INDEX(Players[Name],MATCH(M66&amp;" ?",Players[Name],0))&amp;") - type the last initial",IF(ISNUMBER(FIND(" ",M66)),IF(IFERROR(IF(M66="",FALSE,OR(M66="Unknown",AND(LEN(M66)-LEN(SUBSTITUTE(M66," ",""))=1,LEN(M66)&gt;=4,MID(M66,LEN(M66)-1,1)=" ",CODE(RIGHT(M66,1))&gt;=65,CODE(RIGHT(M66,1))&lt;=90))),FALSE),"New player? Not on Players list - add it there first","Not on Players list and not First L format (like Zack B)")&amp;IF(ISNUMBER(MATCH(LEFT(M66,FIND(" ",M66)-1)&amp;" ?",Players[Name],0))," (same first name as "&amp;INDEX(Players[Name],MATCH(LEFT(M66,FIND(" ",M66)-1)&amp;" ?",Players[Name],0))&amp;")",""),"Not on Players list - type first name + last initial (like Zack B)")),"")),IF(OR(V66&lt;Pod_Min,V66&gt;Pod_Max),"Pod has "&amp;V66&amp;" players",""),IF(U66=0,IF(T66=0,"No winner (*) in pod",IF(T66&gt;1,T66&amp;" winners in pod","")),IF(U66&lt;V66,"Some = but not all players","")),IF(X66="Unknown","",IF(COUNTIFS($O$8:$O$257,O66,$Q$8:$Q$257,Q66,$X$8:$X$257,X66)&gt;1,"Name twice in pod",IF(COUNTIFS($O$8:$O$257,O66,$X$8:$X$257,X66)&gt;1,"Name in 2 pods this round","")))))</f>
        <v/>
      </c>
      <c r="AA66" s="3" t="str">
        <f>IF(L66&lt;&gt;"PLAYER","",IF(OR(M66="",ISNUMBER(FIND(" ",M66))),0,COUNTIF(Players[Name],M66&amp;" ?")))</f>
        <v/>
      </c>
    </row>
    <row r="67" spans="1:27" x14ac:dyDescent="0.45">
      <c r="A67" s="17"/>
      <c r="B67" s="6" t="str">
        <f t="shared" si="0"/>
        <v/>
      </c>
      <c r="C67" s="6" t="str">
        <f t="shared" si="1"/>
        <v/>
      </c>
      <c r="D67" s="6" t="str">
        <f t="shared" si="2"/>
        <v/>
      </c>
      <c r="E67" s="6" t="str">
        <f t="shared" si="3"/>
        <v/>
      </c>
      <c r="F67" s="6" t="str">
        <f t="shared" si="4"/>
        <v/>
      </c>
      <c r="G67" s="6" t="str">
        <f t="shared" si="5"/>
        <v/>
      </c>
      <c r="H67" s="10" t="str">
        <f t="shared" si="6"/>
        <v/>
      </c>
      <c r="I67" s="6" t="str">
        <f t="shared" si="7"/>
        <v/>
      </c>
      <c r="J67" s="3" t="str">
        <f>IFERROR(MATCH(ROWS(J$8:J67),$S$8:$S$257,0),"")</f>
        <v/>
      </c>
      <c r="K67" s="3" t="str">
        <f t="shared" si="8"/>
        <v/>
      </c>
      <c r="L67" s="3" t="str">
        <f t="shared" si="9"/>
        <v/>
      </c>
      <c r="M67" s="3" t="str">
        <f t="shared" si="10"/>
        <v/>
      </c>
      <c r="N67" s="3" t="str">
        <f t="shared" si="11"/>
        <v/>
      </c>
      <c r="O67" s="3">
        <f t="shared" si="12"/>
        <v>1</v>
      </c>
      <c r="P67" s="3">
        <f t="shared" si="13"/>
        <v>0</v>
      </c>
      <c r="Q67" s="3">
        <f t="shared" si="14"/>
        <v>0</v>
      </c>
      <c r="R67" s="3" t="str">
        <f t="shared" si="15"/>
        <v/>
      </c>
      <c r="S67" s="3">
        <f t="shared" si="16"/>
        <v>0</v>
      </c>
      <c r="T67" s="3" t="str">
        <f t="shared" si="17"/>
        <v/>
      </c>
      <c r="U67" s="3" t="str">
        <f t="shared" si="18"/>
        <v/>
      </c>
      <c r="V67" s="3" t="str">
        <f t="shared" si="19"/>
        <v/>
      </c>
      <c r="W67" s="3" t="str">
        <f t="shared" si="20"/>
        <v/>
      </c>
      <c r="X67" s="3" t="str">
        <f>IF(L67&lt;&gt;"PLAYER","",IF(Y67="Y",INDEX(Players[Name],MATCH(M67,Players[Name],0)),IF(Y67="A",INDEX(Players[Name],MATCH(M67&amp;" ?",Players[Name],0)),M67)))</f>
        <v/>
      </c>
      <c r="Y67" s="3" t="str">
        <f>IF(L67&lt;&gt;"PLAYER","",IF(ISNUMBER(MATCH(M67,Players[Name],0)),"Y",IF(AA67=1,"A","N")))</f>
        <v/>
      </c>
      <c r="Z67" s="3" t="str">
        <f>IF(L67&lt;&gt;"PLAYER","",_xlfn.TEXTJOIN("; ",TRUE,IF(M67="","Empty name",IF(Y67="N",IF(AA67&gt;1,"Which "&amp;M67&amp;"? "&amp;AA67&amp;" players start with it (like "&amp;INDEX(Players[Name],MATCH(M67&amp;" ?",Players[Name],0))&amp;") - type the last initial",IF(ISNUMBER(FIND(" ",M67)),IF(IFERROR(IF(M67="",FALSE,OR(M67="Unknown",AND(LEN(M67)-LEN(SUBSTITUTE(M67," ",""))=1,LEN(M67)&gt;=4,MID(M67,LEN(M67)-1,1)=" ",CODE(RIGHT(M67,1))&gt;=65,CODE(RIGHT(M67,1))&lt;=90))),FALSE),"New player? Not on Players list - add it there first","Not on Players list and not First L format (like Zack B)")&amp;IF(ISNUMBER(MATCH(LEFT(M67,FIND(" ",M67)-1)&amp;" ?",Players[Name],0))," (same first name as "&amp;INDEX(Players[Name],MATCH(LEFT(M67,FIND(" ",M67)-1)&amp;" ?",Players[Name],0))&amp;")",""),"Not on Players list - type first name + last initial (like Zack B)")),"")),IF(OR(V67&lt;Pod_Min,V67&gt;Pod_Max),"Pod has "&amp;V67&amp;" players",""),IF(U67=0,IF(T67=0,"No winner (*) in pod",IF(T67&gt;1,T67&amp;" winners in pod","")),IF(U67&lt;V67,"Some = but not all players","")),IF(X67="Unknown","",IF(COUNTIFS($O$8:$O$257,O67,$Q$8:$Q$257,Q67,$X$8:$X$257,X67)&gt;1,"Name twice in pod",IF(COUNTIFS($O$8:$O$257,O67,$X$8:$X$257,X67)&gt;1,"Name in 2 pods this round","")))))</f>
        <v/>
      </c>
      <c r="AA67" s="3" t="str">
        <f>IF(L67&lt;&gt;"PLAYER","",IF(OR(M67="",ISNUMBER(FIND(" ",M67))),0,COUNTIF(Players[Name],M67&amp;" ?")))</f>
        <v/>
      </c>
    </row>
    <row r="68" spans="1:27" x14ac:dyDescent="0.45">
      <c r="A68" s="17"/>
      <c r="B68" s="6" t="str">
        <f t="shared" si="0"/>
        <v/>
      </c>
      <c r="C68" s="6" t="str">
        <f t="shared" si="1"/>
        <v/>
      </c>
      <c r="D68" s="6" t="str">
        <f t="shared" si="2"/>
        <v/>
      </c>
      <c r="E68" s="6" t="str">
        <f t="shared" si="3"/>
        <v/>
      </c>
      <c r="F68" s="6" t="str">
        <f t="shared" si="4"/>
        <v/>
      </c>
      <c r="G68" s="6" t="str">
        <f t="shared" si="5"/>
        <v/>
      </c>
      <c r="H68" s="10" t="str">
        <f t="shared" si="6"/>
        <v/>
      </c>
      <c r="I68" s="6" t="str">
        <f t="shared" si="7"/>
        <v/>
      </c>
      <c r="J68" s="3" t="str">
        <f>IFERROR(MATCH(ROWS(J$8:J68),$S$8:$S$257,0),"")</f>
        <v/>
      </c>
      <c r="K68" s="3" t="str">
        <f t="shared" si="8"/>
        <v/>
      </c>
      <c r="L68" s="3" t="str">
        <f t="shared" si="9"/>
        <v/>
      </c>
      <c r="M68" s="3" t="str">
        <f t="shared" si="10"/>
        <v/>
      </c>
      <c r="N68" s="3" t="str">
        <f t="shared" si="11"/>
        <v/>
      </c>
      <c r="O68" s="3">
        <f t="shared" si="12"/>
        <v>1</v>
      </c>
      <c r="P68" s="3">
        <f t="shared" si="13"/>
        <v>0</v>
      </c>
      <c r="Q68" s="3">
        <f t="shared" si="14"/>
        <v>0</v>
      </c>
      <c r="R68" s="3" t="str">
        <f t="shared" si="15"/>
        <v/>
      </c>
      <c r="S68" s="3">
        <f t="shared" si="16"/>
        <v>0</v>
      </c>
      <c r="T68" s="3" t="str">
        <f t="shared" si="17"/>
        <v/>
      </c>
      <c r="U68" s="3" t="str">
        <f t="shared" si="18"/>
        <v/>
      </c>
      <c r="V68" s="3" t="str">
        <f t="shared" si="19"/>
        <v/>
      </c>
      <c r="W68" s="3" t="str">
        <f t="shared" si="20"/>
        <v/>
      </c>
      <c r="X68" s="3" t="str">
        <f>IF(L68&lt;&gt;"PLAYER","",IF(Y68="Y",INDEX(Players[Name],MATCH(M68,Players[Name],0)),IF(Y68="A",INDEX(Players[Name],MATCH(M68&amp;" ?",Players[Name],0)),M68)))</f>
        <v/>
      </c>
      <c r="Y68" s="3" t="str">
        <f>IF(L68&lt;&gt;"PLAYER","",IF(ISNUMBER(MATCH(M68,Players[Name],0)),"Y",IF(AA68=1,"A","N")))</f>
        <v/>
      </c>
      <c r="Z68" s="3" t="str">
        <f>IF(L68&lt;&gt;"PLAYER","",_xlfn.TEXTJOIN("; ",TRUE,IF(M68="","Empty name",IF(Y68="N",IF(AA68&gt;1,"Which "&amp;M68&amp;"? "&amp;AA68&amp;" players start with it (like "&amp;INDEX(Players[Name],MATCH(M68&amp;" ?",Players[Name],0))&amp;") - type the last initial",IF(ISNUMBER(FIND(" ",M68)),IF(IFERROR(IF(M68="",FALSE,OR(M68="Unknown",AND(LEN(M68)-LEN(SUBSTITUTE(M68," ",""))=1,LEN(M68)&gt;=4,MID(M68,LEN(M68)-1,1)=" ",CODE(RIGHT(M68,1))&gt;=65,CODE(RIGHT(M68,1))&lt;=90))),FALSE),"New player? Not on Players list - add it there first","Not on Players list and not First L format (like Zack B)")&amp;IF(ISNUMBER(MATCH(LEFT(M68,FIND(" ",M68)-1)&amp;" ?",Players[Name],0))," (same first name as "&amp;INDEX(Players[Name],MATCH(LEFT(M68,FIND(" ",M68)-1)&amp;" ?",Players[Name],0))&amp;")",""),"Not on Players list - type first name + last initial (like Zack B)")),"")),IF(OR(V68&lt;Pod_Min,V68&gt;Pod_Max),"Pod has "&amp;V68&amp;" players",""),IF(U68=0,IF(T68=0,"No winner (*) in pod",IF(T68&gt;1,T68&amp;" winners in pod","")),IF(U68&lt;V68,"Some = but not all players","")),IF(X68="Unknown","",IF(COUNTIFS($O$8:$O$257,O68,$Q$8:$Q$257,Q68,$X$8:$X$257,X68)&gt;1,"Name twice in pod",IF(COUNTIFS($O$8:$O$257,O68,$X$8:$X$257,X68)&gt;1,"Name in 2 pods this round","")))))</f>
        <v/>
      </c>
      <c r="AA68" s="3" t="str">
        <f>IF(L68&lt;&gt;"PLAYER","",IF(OR(M68="",ISNUMBER(FIND(" ",M68))),0,COUNTIF(Players[Name],M68&amp;" ?")))</f>
        <v/>
      </c>
    </row>
    <row r="69" spans="1:27" x14ac:dyDescent="0.45">
      <c r="A69" s="17"/>
      <c r="B69" s="6" t="str">
        <f t="shared" si="0"/>
        <v/>
      </c>
      <c r="C69" s="6" t="str">
        <f t="shared" si="1"/>
        <v/>
      </c>
      <c r="D69" s="6" t="str">
        <f t="shared" si="2"/>
        <v/>
      </c>
      <c r="E69" s="6" t="str">
        <f t="shared" si="3"/>
        <v/>
      </c>
      <c r="F69" s="6" t="str">
        <f t="shared" si="4"/>
        <v/>
      </c>
      <c r="G69" s="6" t="str">
        <f t="shared" si="5"/>
        <v/>
      </c>
      <c r="H69" s="10" t="str">
        <f t="shared" si="6"/>
        <v/>
      </c>
      <c r="I69" s="6" t="str">
        <f t="shared" si="7"/>
        <v/>
      </c>
      <c r="J69" s="3" t="str">
        <f>IFERROR(MATCH(ROWS(J$8:J69),$S$8:$S$257,0),"")</f>
        <v/>
      </c>
      <c r="K69" s="3" t="str">
        <f t="shared" si="8"/>
        <v/>
      </c>
      <c r="L69" s="3" t="str">
        <f t="shared" si="9"/>
        <v/>
      </c>
      <c r="M69" s="3" t="str">
        <f t="shared" si="10"/>
        <v/>
      </c>
      <c r="N69" s="3" t="str">
        <f t="shared" si="11"/>
        <v/>
      </c>
      <c r="O69" s="3">
        <f t="shared" si="12"/>
        <v>1</v>
      </c>
      <c r="P69" s="3">
        <f t="shared" si="13"/>
        <v>0</v>
      </c>
      <c r="Q69" s="3">
        <f t="shared" si="14"/>
        <v>0</v>
      </c>
      <c r="R69" s="3" t="str">
        <f t="shared" si="15"/>
        <v/>
      </c>
      <c r="S69" s="3">
        <f t="shared" si="16"/>
        <v>0</v>
      </c>
      <c r="T69" s="3" t="str">
        <f t="shared" si="17"/>
        <v/>
      </c>
      <c r="U69" s="3" t="str">
        <f t="shared" si="18"/>
        <v/>
      </c>
      <c r="V69" s="3" t="str">
        <f t="shared" si="19"/>
        <v/>
      </c>
      <c r="W69" s="3" t="str">
        <f t="shared" si="20"/>
        <v/>
      </c>
      <c r="X69" s="3" t="str">
        <f>IF(L69&lt;&gt;"PLAYER","",IF(Y69="Y",INDEX(Players[Name],MATCH(M69,Players[Name],0)),IF(Y69="A",INDEX(Players[Name],MATCH(M69&amp;" ?",Players[Name],0)),M69)))</f>
        <v/>
      </c>
      <c r="Y69" s="3" t="str">
        <f>IF(L69&lt;&gt;"PLAYER","",IF(ISNUMBER(MATCH(M69,Players[Name],0)),"Y",IF(AA69=1,"A","N")))</f>
        <v/>
      </c>
      <c r="Z69" s="3" t="str">
        <f>IF(L69&lt;&gt;"PLAYER","",_xlfn.TEXTJOIN("; ",TRUE,IF(M69="","Empty name",IF(Y69="N",IF(AA69&gt;1,"Which "&amp;M69&amp;"? "&amp;AA69&amp;" players start with it (like "&amp;INDEX(Players[Name],MATCH(M69&amp;" ?",Players[Name],0))&amp;") - type the last initial",IF(ISNUMBER(FIND(" ",M69)),IF(IFERROR(IF(M69="",FALSE,OR(M69="Unknown",AND(LEN(M69)-LEN(SUBSTITUTE(M69," ",""))=1,LEN(M69)&gt;=4,MID(M69,LEN(M69)-1,1)=" ",CODE(RIGHT(M69,1))&gt;=65,CODE(RIGHT(M69,1))&lt;=90))),FALSE),"New player? Not on Players list - add it there first","Not on Players list and not First L format (like Zack B)")&amp;IF(ISNUMBER(MATCH(LEFT(M69,FIND(" ",M69)-1)&amp;" ?",Players[Name],0))," (same first name as "&amp;INDEX(Players[Name],MATCH(LEFT(M69,FIND(" ",M69)-1)&amp;" ?",Players[Name],0))&amp;")",""),"Not on Players list - type first name + last initial (like Zack B)")),"")),IF(OR(V69&lt;Pod_Min,V69&gt;Pod_Max),"Pod has "&amp;V69&amp;" players",""),IF(U69=0,IF(T69=0,"No winner (*) in pod",IF(T69&gt;1,T69&amp;" winners in pod","")),IF(U69&lt;V69,"Some = but not all players","")),IF(X69="Unknown","",IF(COUNTIFS($O$8:$O$257,O69,$Q$8:$Q$257,Q69,$X$8:$X$257,X69)&gt;1,"Name twice in pod",IF(COUNTIFS($O$8:$O$257,O69,$X$8:$X$257,X69)&gt;1,"Name in 2 pods this round","")))))</f>
        <v/>
      </c>
      <c r="AA69" s="3" t="str">
        <f>IF(L69&lt;&gt;"PLAYER","",IF(OR(M69="",ISNUMBER(FIND(" ",M69))),0,COUNTIF(Players[Name],M69&amp;" ?")))</f>
        <v/>
      </c>
    </row>
    <row r="70" spans="1:27" x14ac:dyDescent="0.45">
      <c r="A70" s="17"/>
      <c r="B70" s="6" t="str">
        <f t="shared" si="0"/>
        <v/>
      </c>
      <c r="C70" s="6" t="str">
        <f t="shared" si="1"/>
        <v/>
      </c>
      <c r="D70" s="6" t="str">
        <f t="shared" si="2"/>
        <v/>
      </c>
      <c r="E70" s="6" t="str">
        <f t="shared" si="3"/>
        <v/>
      </c>
      <c r="F70" s="6" t="str">
        <f t="shared" si="4"/>
        <v/>
      </c>
      <c r="G70" s="6" t="str">
        <f t="shared" si="5"/>
        <v/>
      </c>
      <c r="H70" s="10" t="str">
        <f t="shared" si="6"/>
        <v/>
      </c>
      <c r="I70" s="6" t="str">
        <f t="shared" si="7"/>
        <v/>
      </c>
      <c r="J70" s="3" t="str">
        <f>IFERROR(MATCH(ROWS(J$8:J70),$S$8:$S$257,0),"")</f>
        <v/>
      </c>
      <c r="K70" s="3" t="str">
        <f t="shared" si="8"/>
        <v/>
      </c>
      <c r="L70" s="3" t="str">
        <f t="shared" si="9"/>
        <v/>
      </c>
      <c r="M70" s="3" t="str">
        <f t="shared" si="10"/>
        <v/>
      </c>
      <c r="N70" s="3" t="str">
        <f t="shared" si="11"/>
        <v/>
      </c>
      <c r="O70" s="3">
        <f t="shared" si="12"/>
        <v>1</v>
      </c>
      <c r="P70" s="3">
        <f t="shared" si="13"/>
        <v>0</v>
      </c>
      <c r="Q70" s="3">
        <f t="shared" si="14"/>
        <v>0</v>
      </c>
      <c r="R70" s="3" t="str">
        <f t="shared" si="15"/>
        <v/>
      </c>
      <c r="S70" s="3">
        <f t="shared" si="16"/>
        <v>0</v>
      </c>
      <c r="T70" s="3" t="str">
        <f t="shared" si="17"/>
        <v/>
      </c>
      <c r="U70" s="3" t="str">
        <f t="shared" si="18"/>
        <v/>
      </c>
      <c r="V70" s="3" t="str">
        <f t="shared" si="19"/>
        <v/>
      </c>
      <c r="W70" s="3" t="str">
        <f t="shared" si="20"/>
        <v/>
      </c>
      <c r="X70" s="3" t="str">
        <f>IF(L70&lt;&gt;"PLAYER","",IF(Y70="Y",INDEX(Players[Name],MATCH(M70,Players[Name],0)),IF(Y70="A",INDEX(Players[Name],MATCH(M70&amp;" ?",Players[Name],0)),M70)))</f>
        <v/>
      </c>
      <c r="Y70" s="3" t="str">
        <f>IF(L70&lt;&gt;"PLAYER","",IF(ISNUMBER(MATCH(M70,Players[Name],0)),"Y",IF(AA70=1,"A","N")))</f>
        <v/>
      </c>
      <c r="Z70" s="3" t="str">
        <f>IF(L70&lt;&gt;"PLAYER","",_xlfn.TEXTJOIN("; ",TRUE,IF(M70="","Empty name",IF(Y70="N",IF(AA70&gt;1,"Which "&amp;M70&amp;"? "&amp;AA70&amp;" players start with it (like "&amp;INDEX(Players[Name],MATCH(M70&amp;" ?",Players[Name],0))&amp;") - type the last initial",IF(ISNUMBER(FIND(" ",M70)),IF(IFERROR(IF(M70="",FALSE,OR(M70="Unknown",AND(LEN(M70)-LEN(SUBSTITUTE(M70," ",""))=1,LEN(M70)&gt;=4,MID(M70,LEN(M70)-1,1)=" ",CODE(RIGHT(M70,1))&gt;=65,CODE(RIGHT(M70,1))&lt;=90))),FALSE),"New player? Not on Players list - add it there first","Not on Players list and not First L format (like Zack B)")&amp;IF(ISNUMBER(MATCH(LEFT(M70,FIND(" ",M70)-1)&amp;" ?",Players[Name],0))," (same first name as "&amp;INDEX(Players[Name],MATCH(LEFT(M70,FIND(" ",M70)-1)&amp;" ?",Players[Name],0))&amp;")",""),"Not on Players list - type first name + last initial (like Zack B)")),"")),IF(OR(V70&lt;Pod_Min,V70&gt;Pod_Max),"Pod has "&amp;V70&amp;" players",""),IF(U70=0,IF(T70=0,"No winner (*) in pod",IF(T70&gt;1,T70&amp;" winners in pod","")),IF(U70&lt;V70,"Some = but not all players","")),IF(X70="Unknown","",IF(COUNTIFS($O$8:$O$257,O70,$Q$8:$Q$257,Q70,$X$8:$X$257,X70)&gt;1,"Name twice in pod",IF(COUNTIFS($O$8:$O$257,O70,$X$8:$X$257,X70)&gt;1,"Name in 2 pods this round","")))))</f>
        <v/>
      </c>
      <c r="AA70" s="3" t="str">
        <f>IF(L70&lt;&gt;"PLAYER","",IF(OR(M70="",ISNUMBER(FIND(" ",M70))),0,COUNTIF(Players[Name],M70&amp;" ?")))</f>
        <v/>
      </c>
    </row>
    <row r="71" spans="1:27" x14ac:dyDescent="0.45">
      <c r="A71" s="17"/>
      <c r="B71" s="6" t="str">
        <f t="shared" si="0"/>
        <v/>
      </c>
      <c r="C71" s="6" t="str">
        <f t="shared" si="1"/>
        <v/>
      </c>
      <c r="D71" s="6" t="str">
        <f t="shared" si="2"/>
        <v/>
      </c>
      <c r="E71" s="6" t="str">
        <f t="shared" si="3"/>
        <v/>
      </c>
      <c r="F71" s="6" t="str">
        <f t="shared" si="4"/>
        <v/>
      </c>
      <c r="G71" s="6" t="str">
        <f t="shared" si="5"/>
        <v/>
      </c>
      <c r="H71" s="10" t="str">
        <f t="shared" si="6"/>
        <v/>
      </c>
      <c r="I71" s="6" t="str">
        <f t="shared" si="7"/>
        <v/>
      </c>
      <c r="J71" s="3" t="str">
        <f>IFERROR(MATCH(ROWS(J$8:J71),$S$8:$S$257,0),"")</f>
        <v/>
      </c>
      <c r="K71" s="3" t="str">
        <f t="shared" si="8"/>
        <v/>
      </c>
      <c r="L71" s="3" t="str">
        <f t="shared" si="9"/>
        <v/>
      </c>
      <c r="M71" s="3" t="str">
        <f t="shared" si="10"/>
        <v/>
      </c>
      <c r="N71" s="3" t="str">
        <f t="shared" si="11"/>
        <v/>
      </c>
      <c r="O71" s="3">
        <f t="shared" si="12"/>
        <v>1</v>
      </c>
      <c r="P71" s="3">
        <f t="shared" si="13"/>
        <v>0</v>
      </c>
      <c r="Q71" s="3">
        <f t="shared" si="14"/>
        <v>0</v>
      </c>
      <c r="R71" s="3" t="str">
        <f t="shared" si="15"/>
        <v/>
      </c>
      <c r="S71" s="3">
        <f t="shared" si="16"/>
        <v>0</v>
      </c>
      <c r="T71" s="3" t="str">
        <f t="shared" si="17"/>
        <v/>
      </c>
      <c r="U71" s="3" t="str">
        <f t="shared" si="18"/>
        <v/>
      </c>
      <c r="V71" s="3" t="str">
        <f t="shared" si="19"/>
        <v/>
      </c>
      <c r="W71" s="3" t="str">
        <f t="shared" si="20"/>
        <v/>
      </c>
      <c r="X71" s="3" t="str">
        <f>IF(L71&lt;&gt;"PLAYER","",IF(Y71="Y",INDEX(Players[Name],MATCH(M71,Players[Name],0)),IF(Y71="A",INDEX(Players[Name],MATCH(M71&amp;" ?",Players[Name],0)),M71)))</f>
        <v/>
      </c>
      <c r="Y71" s="3" t="str">
        <f>IF(L71&lt;&gt;"PLAYER","",IF(ISNUMBER(MATCH(M71,Players[Name],0)),"Y",IF(AA71=1,"A","N")))</f>
        <v/>
      </c>
      <c r="Z71" s="3" t="str">
        <f>IF(L71&lt;&gt;"PLAYER","",_xlfn.TEXTJOIN("; ",TRUE,IF(M71="","Empty name",IF(Y71="N",IF(AA71&gt;1,"Which "&amp;M71&amp;"? "&amp;AA71&amp;" players start with it (like "&amp;INDEX(Players[Name],MATCH(M71&amp;" ?",Players[Name],0))&amp;") - type the last initial",IF(ISNUMBER(FIND(" ",M71)),IF(IFERROR(IF(M71="",FALSE,OR(M71="Unknown",AND(LEN(M71)-LEN(SUBSTITUTE(M71," ",""))=1,LEN(M71)&gt;=4,MID(M71,LEN(M71)-1,1)=" ",CODE(RIGHT(M71,1))&gt;=65,CODE(RIGHT(M71,1))&lt;=90))),FALSE),"New player? Not on Players list - add it there first","Not on Players list and not First L format (like Zack B)")&amp;IF(ISNUMBER(MATCH(LEFT(M71,FIND(" ",M71)-1)&amp;" ?",Players[Name],0))," (same first name as "&amp;INDEX(Players[Name],MATCH(LEFT(M71,FIND(" ",M71)-1)&amp;" ?",Players[Name],0))&amp;")",""),"Not on Players list - type first name + last initial (like Zack B)")),"")),IF(OR(V71&lt;Pod_Min,V71&gt;Pod_Max),"Pod has "&amp;V71&amp;" players",""),IF(U71=0,IF(T71=0,"No winner (*) in pod",IF(T71&gt;1,T71&amp;" winners in pod","")),IF(U71&lt;V71,"Some = but not all players","")),IF(X71="Unknown","",IF(COUNTIFS($O$8:$O$257,O71,$Q$8:$Q$257,Q71,$X$8:$X$257,X71)&gt;1,"Name twice in pod",IF(COUNTIFS($O$8:$O$257,O71,$X$8:$X$257,X71)&gt;1,"Name in 2 pods this round","")))))</f>
        <v/>
      </c>
      <c r="AA71" s="3" t="str">
        <f>IF(L71&lt;&gt;"PLAYER","",IF(OR(M71="",ISNUMBER(FIND(" ",M71))),0,COUNTIF(Players[Name],M71&amp;" ?")))</f>
        <v/>
      </c>
    </row>
    <row r="72" spans="1:27" x14ac:dyDescent="0.45">
      <c r="A72" s="17"/>
      <c r="B72" s="6" t="str">
        <f t="shared" ref="B72:B135" si="21">IF(K72="","",IF(L72="DATE","Date: "&amp;IF($C$4="","not readable",TEXT($C$4,"dddd m/d/yyyy")),IF(L72="ROUND","Round "&amp;O72,IF(Z72&lt;&gt;"","FIX: "&amp;Z72,"OK - "&amp;W72&amp;", pod "&amp;Q72&amp;", seat "&amp;R72&amp;IF(Y72="A","   ("&amp;M72&amp;" = "&amp;X72&amp;")","")))))</f>
        <v/>
      </c>
      <c r="C72" s="6" t="str">
        <f t="shared" ref="C72:C135" si="22">IF($J72="","",INDEX($X$8:$X$257,$J72))</f>
        <v/>
      </c>
      <c r="D72" s="6" t="str">
        <f t="shared" ref="D72:D135" si="23">IF($J72="","",INDEX($W$8:$W$257,$J72))</f>
        <v/>
      </c>
      <c r="E72" s="6" t="str">
        <f t="shared" ref="E72:E135" si="24">IF($J72="","",INDEX($R$8:$R$257,$J72))</f>
        <v/>
      </c>
      <c r="F72" s="6" t="str">
        <f t="shared" ref="F72:F135" si="25">IF($J72="","",INDEX($Q$8:$Q$257,$J72))</f>
        <v/>
      </c>
      <c r="G72" s="6" t="str">
        <f t="shared" ref="G72:G135" si="26">IF($J72="","",INDEX($O$8:$O$257,$J72))</f>
        <v/>
      </c>
      <c r="H72" s="10" t="str">
        <f t="shared" ref="H72:H135" si="27">IF($J72="","",$C$4)</f>
        <v/>
      </c>
      <c r="I72" s="6" t="str">
        <f t="shared" ref="I72:I135" si="28">IF($J72="","",IF(INDEX($Z$8:$Z$257,$J72)="","OK","FIX"))</f>
        <v/>
      </c>
      <c r="J72" s="3" t="str">
        <f>IFERROR(MATCH(ROWS(J$8:J72),$S$8:$S$257,0),"")</f>
        <v/>
      </c>
      <c r="K72" s="3" t="str">
        <f t="shared" ref="K72:K135" si="29">TRIM(CLEAN(SUBSTITUTE(A72,_xlfn.UNICHAR(160)," ")))</f>
        <v/>
      </c>
      <c r="L72" s="3" t="str">
        <f t="shared" ref="L72:L135" si="30">IF(K72="","",IF(ISNUMBER(FIND("/",K72)),"DATE",IF(OR(LEFT(UPPER(K72),5)="ROUND",AND(LEFT(UPPER(K72),1)="R",LEN(K72)&gt;=2,ISNUMBER(--MID(K72,2,9)))),"ROUND","PLAYER")))</f>
        <v/>
      </c>
      <c r="M72" s="3" t="str">
        <f t="shared" ref="M72:M135" si="31">IF(L72="PLAYER",TRIM(SUBSTITUTE(SUBSTITUTE(K72,"*",""),"=","")),"")</f>
        <v/>
      </c>
      <c r="N72" s="3" t="str">
        <f t="shared" ref="N72:N135" si="32">IF(L72&lt;&gt;"PLAYER","",IF(ISNUMBER(FIND("=",K72)),"DRAW",IF(ISNUMBER(FIND("*",K72)),"WIN","")))</f>
        <v/>
      </c>
      <c r="O72" s="3">
        <f t="shared" ref="O72:O135" si="33">IF(L72="ROUND",IFERROR(VALUE(SUBSTITUTE(SUBSTITUTE(UPPER(K72),"ROUND",""),"R","")),1),MAX(1,N(O71)))</f>
        <v>1</v>
      </c>
      <c r="P72" s="3">
        <f t="shared" ref="P72:P135" si="34">IF(AND(L72="PLAYER",L71&lt;&gt;"PLAYER"),1,0)</f>
        <v>0</v>
      </c>
      <c r="Q72" s="3">
        <f t="shared" ref="Q72:Q135" si="35">IF(L72="ROUND",0,N(Q71)+P72)</f>
        <v>0</v>
      </c>
      <c r="R72" s="3" t="str">
        <f t="shared" ref="R72:R135" si="36">IF(L72&lt;&gt;"PLAYER","",IF(P72=1,1,N(R71)+1))</f>
        <v/>
      </c>
      <c r="S72" s="3">
        <f t="shared" ref="S72:S135" si="37">N(S71)+IF(L72="PLAYER",1,0)</f>
        <v>0</v>
      </c>
      <c r="T72" s="3" t="str">
        <f t="shared" ref="T72:T135" si="38">IF(L72="PLAYER",COUNTIFS($O$8:$O$257,O72,$Q$8:$Q$257,Q72,$N$8:$N$257,"WIN"),"")</f>
        <v/>
      </c>
      <c r="U72" s="3" t="str">
        <f t="shared" ref="U72:U135" si="39">IF(L72="PLAYER",COUNTIFS($O$8:$O$257,O72,$Q$8:$Q$257,Q72,$N$8:$N$257,"DRAW"),"")</f>
        <v/>
      </c>
      <c r="V72" s="3" t="str">
        <f t="shared" ref="V72:V135" si="40">IF(L72="PLAYER",COUNTIFS($O$8:$O$257,O72,$Q$8:$Q$257,Q72,$L$8:$L$257,"PLAYER"),"")</f>
        <v/>
      </c>
      <c r="W72" s="3" t="str">
        <f t="shared" ref="W72:W135" si="41">IF(L72&lt;&gt;"PLAYER","",IF(U72=V72,"Draw",IF(N72="WIN","Win","Loss")))</f>
        <v/>
      </c>
      <c r="X72" s="3" t="str">
        <f>IF(L72&lt;&gt;"PLAYER","",IF(Y72="Y",INDEX(Players[Name],MATCH(M72,Players[Name],0)),IF(Y72="A",INDEX(Players[Name],MATCH(M72&amp;" ?",Players[Name],0)),M72)))</f>
        <v/>
      </c>
      <c r="Y72" s="3" t="str">
        <f>IF(L72&lt;&gt;"PLAYER","",IF(ISNUMBER(MATCH(M72,Players[Name],0)),"Y",IF(AA72=1,"A","N")))</f>
        <v/>
      </c>
      <c r="Z72" s="3" t="str">
        <f>IF(L72&lt;&gt;"PLAYER","",_xlfn.TEXTJOIN("; ",TRUE,IF(M72="","Empty name",IF(Y72="N",IF(AA72&gt;1,"Which "&amp;M72&amp;"? "&amp;AA72&amp;" players start with it (like "&amp;INDEX(Players[Name],MATCH(M72&amp;" ?",Players[Name],0))&amp;") - type the last initial",IF(ISNUMBER(FIND(" ",M72)),IF(IFERROR(IF(M72="",FALSE,OR(M72="Unknown",AND(LEN(M72)-LEN(SUBSTITUTE(M72," ",""))=1,LEN(M72)&gt;=4,MID(M72,LEN(M72)-1,1)=" ",CODE(RIGHT(M72,1))&gt;=65,CODE(RIGHT(M72,1))&lt;=90))),FALSE),"New player? Not on Players list - add it there first","Not on Players list and not First L format (like Zack B)")&amp;IF(ISNUMBER(MATCH(LEFT(M72,FIND(" ",M72)-1)&amp;" ?",Players[Name],0))," (same first name as "&amp;INDEX(Players[Name],MATCH(LEFT(M72,FIND(" ",M72)-1)&amp;" ?",Players[Name],0))&amp;")",""),"Not on Players list - type first name + last initial (like Zack B)")),"")),IF(OR(V72&lt;Pod_Min,V72&gt;Pod_Max),"Pod has "&amp;V72&amp;" players",""),IF(U72=0,IF(T72=0,"No winner (*) in pod",IF(T72&gt;1,T72&amp;" winners in pod","")),IF(U72&lt;V72,"Some = but not all players","")),IF(X72="Unknown","",IF(COUNTIFS($O$8:$O$257,O72,$Q$8:$Q$257,Q72,$X$8:$X$257,X72)&gt;1,"Name twice in pod",IF(COUNTIFS($O$8:$O$257,O72,$X$8:$X$257,X72)&gt;1,"Name in 2 pods this round","")))))</f>
        <v/>
      </c>
      <c r="AA72" s="3" t="str">
        <f>IF(L72&lt;&gt;"PLAYER","",IF(OR(M72="",ISNUMBER(FIND(" ",M72))),0,COUNTIF(Players[Name],M72&amp;" ?")))</f>
        <v/>
      </c>
    </row>
    <row r="73" spans="1:27" x14ac:dyDescent="0.45">
      <c r="A73" s="17"/>
      <c r="B73" s="6" t="str">
        <f t="shared" si="21"/>
        <v/>
      </c>
      <c r="C73" s="6" t="str">
        <f t="shared" si="22"/>
        <v/>
      </c>
      <c r="D73" s="6" t="str">
        <f t="shared" si="23"/>
        <v/>
      </c>
      <c r="E73" s="6" t="str">
        <f t="shared" si="24"/>
        <v/>
      </c>
      <c r="F73" s="6" t="str">
        <f t="shared" si="25"/>
        <v/>
      </c>
      <c r="G73" s="6" t="str">
        <f t="shared" si="26"/>
        <v/>
      </c>
      <c r="H73" s="10" t="str">
        <f t="shared" si="27"/>
        <v/>
      </c>
      <c r="I73" s="6" t="str">
        <f t="shared" si="28"/>
        <v/>
      </c>
      <c r="J73" s="3" t="str">
        <f>IFERROR(MATCH(ROWS(J$8:J73),$S$8:$S$257,0),"")</f>
        <v/>
      </c>
      <c r="K73" s="3" t="str">
        <f t="shared" si="29"/>
        <v/>
      </c>
      <c r="L73" s="3" t="str">
        <f t="shared" si="30"/>
        <v/>
      </c>
      <c r="M73" s="3" t="str">
        <f t="shared" si="31"/>
        <v/>
      </c>
      <c r="N73" s="3" t="str">
        <f t="shared" si="32"/>
        <v/>
      </c>
      <c r="O73" s="3">
        <f t="shared" si="33"/>
        <v>1</v>
      </c>
      <c r="P73" s="3">
        <f t="shared" si="34"/>
        <v>0</v>
      </c>
      <c r="Q73" s="3">
        <f t="shared" si="35"/>
        <v>0</v>
      </c>
      <c r="R73" s="3" t="str">
        <f t="shared" si="36"/>
        <v/>
      </c>
      <c r="S73" s="3">
        <f t="shared" si="37"/>
        <v>0</v>
      </c>
      <c r="T73" s="3" t="str">
        <f t="shared" si="38"/>
        <v/>
      </c>
      <c r="U73" s="3" t="str">
        <f t="shared" si="39"/>
        <v/>
      </c>
      <c r="V73" s="3" t="str">
        <f t="shared" si="40"/>
        <v/>
      </c>
      <c r="W73" s="3" t="str">
        <f t="shared" si="41"/>
        <v/>
      </c>
      <c r="X73" s="3" t="str">
        <f>IF(L73&lt;&gt;"PLAYER","",IF(Y73="Y",INDEX(Players[Name],MATCH(M73,Players[Name],0)),IF(Y73="A",INDEX(Players[Name],MATCH(M73&amp;" ?",Players[Name],0)),M73)))</f>
        <v/>
      </c>
      <c r="Y73" s="3" t="str">
        <f>IF(L73&lt;&gt;"PLAYER","",IF(ISNUMBER(MATCH(M73,Players[Name],0)),"Y",IF(AA73=1,"A","N")))</f>
        <v/>
      </c>
      <c r="Z73" s="3" t="str">
        <f>IF(L73&lt;&gt;"PLAYER","",_xlfn.TEXTJOIN("; ",TRUE,IF(M73="","Empty name",IF(Y73="N",IF(AA73&gt;1,"Which "&amp;M73&amp;"? "&amp;AA73&amp;" players start with it (like "&amp;INDEX(Players[Name],MATCH(M73&amp;" ?",Players[Name],0))&amp;") - type the last initial",IF(ISNUMBER(FIND(" ",M73)),IF(IFERROR(IF(M73="",FALSE,OR(M73="Unknown",AND(LEN(M73)-LEN(SUBSTITUTE(M73," ",""))=1,LEN(M73)&gt;=4,MID(M73,LEN(M73)-1,1)=" ",CODE(RIGHT(M73,1))&gt;=65,CODE(RIGHT(M73,1))&lt;=90))),FALSE),"New player? Not on Players list - add it there first","Not on Players list and not First L format (like Zack B)")&amp;IF(ISNUMBER(MATCH(LEFT(M73,FIND(" ",M73)-1)&amp;" ?",Players[Name],0))," (same first name as "&amp;INDEX(Players[Name],MATCH(LEFT(M73,FIND(" ",M73)-1)&amp;" ?",Players[Name],0))&amp;")",""),"Not on Players list - type first name + last initial (like Zack B)")),"")),IF(OR(V73&lt;Pod_Min,V73&gt;Pod_Max),"Pod has "&amp;V73&amp;" players",""),IF(U73=0,IF(T73=0,"No winner (*) in pod",IF(T73&gt;1,T73&amp;" winners in pod","")),IF(U73&lt;V73,"Some = but not all players","")),IF(X73="Unknown","",IF(COUNTIFS($O$8:$O$257,O73,$Q$8:$Q$257,Q73,$X$8:$X$257,X73)&gt;1,"Name twice in pod",IF(COUNTIFS($O$8:$O$257,O73,$X$8:$X$257,X73)&gt;1,"Name in 2 pods this round","")))))</f>
        <v/>
      </c>
      <c r="AA73" s="3" t="str">
        <f>IF(L73&lt;&gt;"PLAYER","",IF(OR(M73="",ISNUMBER(FIND(" ",M73))),0,COUNTIF(Players[Name],M73&amp;" ?")))</f>
        <v/>
      </c>
    </row>
    <row r="74" spans="1:27" x14ac:dyDescent="0.45">
      <c r="A74" s="17"/>
      <c r="B74" s="6" t="str">
        <f t="shared" si="21"/>
        <v/>
      </c>
      <c r="C74" s="6" t="str">
        <f t="shared" si="22"/>
        <v/>
      </c>
      <c r="D74" s="6" t="str">
        <f t="shared" si="23"/>
        <v/>
      </c>
      <c r="E74" s="6" t="str">
        <f t="shared" si="24"/>
        <v/>
      </c>
      <c r="F74" s="6" t="str">
        <f t="shared" si="25"/>
        <v/>
      </c>
      <c r="G74" s="6" t="str">
        <f t="shared" si="26"/>
        <v/>
      </c>
      <c r="H74" s="10" t="str">
        <f t="shared" si="27"/>
        <v/>
      </c>
      <c r="I74" s="6" t="str">
        <f t="shared" si="28"/>
        <v/>
      </c>
      <c r="J74" s="3" t="str">
        <f>IFERROR(MATCH(ROWS(J$8:J74),$S$8:$S$257,0),"")</f>
        <v/>
      </c>
      <c r="K74" s="3" t="str">
        <f t="shared" si="29"/>
        <v/>
      </c>
      <c r="L74" s="3" t="str">
        <f t="shared" si="30"/>
        <v/>
      </c>
      <c r="M74" s="3" t="str">
        <f t="shared" si="31"/>
        <v/>
      </c>
      <c r="N74" s="3" t="str">
        <f t="shared" si="32"/>
        <v/>
      </c>
      <c r="O74" s="3">
        <f t="shared" si="33"/>
        <v>1</v>
      </c>
      <c r="P74" s="3">
        <f t="shared" si="34"/>
        <v>0</v>
      </c>
      <c r="Q74" s="3">
        <f t="shared" si="35"/>
        <v>0</v>
      </c>
      <c r="R74" s="3" t="str">
        <f t="shared" si="36"/>
        <v/>
      </c>
      <c r="S74" s="3">
        <f t="shared" si="37"/>
        <v>0</v>
      </c>
      <c r="T74" s="3" t="str">
        <f t="shared" si="38"/>
        <v/>
      </c>
      <c r="U74" s="3" t="str">
        <f t="shared" si="39"/>
        <v/>
      </c>
      <c r="V74" s="3" t="str">
        <f t="shared" si="40"/>
        <v/>
      </c>
      <c r="W74" s="3" t="str">
        <f t="shared" si="41"/>
        <v/>
      </c>
      <c r="X74" s="3" t="str">
        <f>IF(L74&lt;&gt;"PLAYER","",IF(Y74="Y",INDEX(Players[Name],MATCH(M74,Players[Name],0)),IF(Y74="A",INDEX(Players[Name],MATCH(M74&amp;" ?",Players[Name],0)),M74)))</f>
        <v/>
      </c>
      <c r="Y74" s="3" t="str">
        <f>IF(L74&lt;&gt;"PLAYER","",IF(ISNUMBER(MATCH(M74,Players[Name],0)),"Y",IF(AA74=1,"A","N")))</f>
        <v/>
      </c>
      <c r="Z74" s="3" t="str">
        <f>IF(L74&lt;&gt;"PLAYER","",_xlfn.TEXTJOIN("; ",TRUE,IF(M74="","Empty name",IF(Y74="N",IF(AA74&gt;1,"Which "&amp;M74&amp;"? "&amp;AA74&amp;" players start with it (like "&amp;INDEX(Players[Name],MATCH(M74&amp;" ?",Players[Name],0))&amp;") - type the last initial",IF(ISNUMBER(FIND(" ",M74)),IF(IFERROR(IF(M74="",FALSE,OR(M74="Unknown",AND(LEN(M74)-LEN(SUBSTITUTE(M74," ",""))=1,LEN(M74)&gt;=4,MID(M74,LEN(M74)-1,1)=" ",CODE(RIGHT(M74,1))&gt;=65,CODE(RIGHT(M74,1))&lt;=90))),FALSE),"New player? Not on Players list - add it there first","Not on Players list and not First L format (like Zack B)")&amp;IF(ISNUMBER(MATCH(LEFT(M74,FIND(" ",M74)-1)&amp;" ?",Players[Name],0))," (same first name as "&amp;INDEX(Players[Name],MATCH(LEFT(M74,FIND(" ",M74)-1)&amp;" ?",Players[Name],0))&amp;")",""),"Not on Players list - type first name + last initial (like Zack B)")),"")),IF(OR(V74&lt;Pod_Min,V74&gt;Pod_Max),"Pod has "&amp;V74&amp;" players",""),IF(U74=0,IF(T74=0,"No winner (*) in pod",IF(T74&gt;1,T74&amp;" winners in pod","")),IF(U74&lt;V74,"Some = but not all players","")),IF(X74="Unknown","",IF(COUNTIFS($O$8:$O$257,O74,$Q$8:$Q$257,Q74,$X$8:$X$257,X74)&gt;1,"Name twice in pod",IF(COUNTIFS($O$8:$O$257,O74,$X$8:$X$257,X74)&gt;1,"Name in 2 pods this round","")))))</f>
        <v/>
      </c>
      <c r="AA74" s="3" t="str">
        <f>IF(L74&lt;&gt;"PLAYER","",IF(OR(M74="",ISNUMBER(FIND(" ",M74))),0,COUNTIF(Players[Name],M74&amp;" ?")))</f>
        <v/>
      </c>
    </row>
    <row r="75" spans="1:27" x14ac:dyDescent="0.45">
      <c r="A75" s="17"/>
      <c r="B75" s="6" t="str">
        <f t="shared" si="21"/>
        <v/>
      </c>
      <c r="C75" s="6" t="str">
        <f t="shared" si="22"/>
        <v/>
      </c>
      <c r="D75" s="6" t="str">
        <f t="shared" si="23"/>
        <v/>
      </c>
      <c r="E75" s="6" t="str">
        <f t="shared" si="24"/>
        <v/>
      </c>
      <c r="F75" s="6" t="str">
        <f t="shared" si="25"/>
        <v/>
      </c>
      <c r="G75" s="6" t="str">
        <f t="shared" si="26"/>
        <v/>
      </c>
      <c r="H75" s="10" t="str">
        <f t="shared" si="27"/>
        <v/>
      </c>
      <c r="I75" s="6" t="str">
        <f t="shared" si="28"/>
        <v/>
      </c>
      <c r="J75" s="3" t="str">
        <f>IFERROR(MATCH(ROWS(J$8:J75),$S$8:$S$257,0),"")</f>
        <v/>
      </c>
      <c r="K75" s="3" t="str">
        <f t="shared" si="29"/>
        <v/>
      </c>
      <c r="L75" s="3" t="str">
        <f t="shared" si="30"/>
        <v/>
      </c>
      <c r="M75" s="3" t="str">
        <f t="shared" si="31"/>
        <v/>
      </c>
      <c r="N75" s="3" t="str">
        <f t="shared" si="32"/>
        <v/>
      </c>
      <c r="O75" s="3">
        <f t="shared" si="33"/>
        <v>1</v>
      </c>
      <c r="P75" s="3">
        <f t="shared" si="34"/>
        <v>0</v>
      </c>
      <c r="Q75" s="3">
        <f t="shared" si="35"/>
        <v>0</v>
      </c>
      <c r="R75" s="3" t="str">
        <f t="shared" si="36"/>
        <v/>
      </c>
      <c r="S75" s="3">
        <f t="shared" si="37"/>
        <v>0</v>
      </c>
      <c r="T75" s="3" t="str">
        <f t="shared" si="38"/>
        <v/>
      </c>
      <c r="U75" s="3" t="str">
        <f t="shared" si="39"/>
        <v/>
      </c>
      <c r="V75" s="3" t="str">
        <f t="shared" si="40"/>
        <v/>
      </c>
      <c r="W75" s="3" t="str">
        <f t="shared" si="41"/>
        <v/>
      </c>
      <c r="X75" s="3" t="str">
        <f>IF(L75&lt;&gt;"PLAYER","",IF(Y75="Y",INDEX(Players[Name],MATCH(M75,Players[Name],0)),IF(Y75="A",INDEX(Players[Name],MATCH(M75&amp;" ?",Players[Name],0)),M75)))</f>
        <v/>
      </c>
      <c r="Y75" s="3" t="str">
        <f>IF(L75&lt;&gt;"PLAYER","",IF(ISNUMBER(MATCH(M75,Players[Name],0)),"Y",IF(AA75=1,"A","N")))</f>
        <v/>
      </c>
      <c r="Z75" s="3" t="str">
        <f>IF(L75&lt;&gt;"PLAYER","",_xlfn.TEXTJOIN("; ",TRUE,IF(M75="","Empty name",IF(Y75="N",IF(AA75&gt;1,"Which "&amp;M75&amp;"? "&amp;AA75&amp;" players start with it (like "&amp;INDEX(Players[Name],MATCH(M75&amp;" ?",Players[Name],0))&amp;") - type the last initial",IF(ISNUMBER(FIND(" ",M75)),IF(IFERROR(IF(M75="",FALSE,OR(M75="Unknown",AND(LEN(M75)-LEN(SUBSTITUTE(M75," ",""))=1,LEN(M75)&gt;=4,MID(M75,LEN(M75)-1,1)=" ",CODE(RIGHT(M75,1))&gt;=65,CODE(RIGHT(M75,1))&lt;=90))),FALSE),"New player? Not on Players list - add it there first","Not on Players list and not First L format (like Zack B)")&amp;IF(ISNUMBER(MATCH(LEFT(M75,FIND(" ",M75)-1)&amp;" ?",Players[Name],0))," (same first name as "&amp;INDEX(Players[Name],MATCH(LEFT(M75,FIND(" ",M75)-1)&amp;" ?",Players[Name],0))&amp;")",""),"Not on Players list - type first name + last initial (like Zack B)")),"")),IF(OR(V75&lt;Pod_Min,V75&gt;Pod_Max),"Pod has "&amp;V75&amp;" players",""),IF(U75=0,IF(T75=0,"No winner (*) in pod",IF(T75&gt;1,T75&amp;" winners in pod","")),IF(U75&lt;V75,"Some = but not all players","")),IF(X75="Unknown","",IF(COUNTIFS($O$8:$O$257,O75,$Q$8:$Q$257,Q75,$X$8:$X$257,X75)&gt;1,"Name twice in pod",IF(COUNTIFS($O$8:$O$257,O75,$X$8:$X$257,X75)&gt;1,"Name in 2 pods this round","")))))</f>
        <v/>
      </c>
      <c r="AA75" s="3" t="str">
        <f>IF(L75&lt;&gt;"PLAYER","",IF(OR(M75="",ISNUMBER(FIND(" ",M75))),0,COUNTIF(Players[Name],M75&amp;" ?")))</f>
        <v/>
      </c>
    </row>
    <row r="76" spans="1:27" x14ac:dyDescent="0.45">
      <c r="A76" s="17"/>
      <c r="B76" s="6" t="str">
        <f t="shared" si="21"/>
        <v/>
      </c>
      <c r="C76" s="6" t="str">
        <f t="shared" si="22"/>
        <v/>
      </c>
      <c r="D76" s="6" t="str">
        <f t="shared" si="23"/>
        <v/>
      </c>
      <c r="E76" s="6" t="str">
        <f t="shared" si="24"/>
        <v/>
      </c>
      <c r="F76" s="6" t="str">
        <f t="shared" si="25"/>
        <v/>
      </c>
      <c r="G76" s="6" t="str">
        <f t="shared" si="26"/>
        <v/>
      </c>
      <c r="H76" s="10" t="str">
        <f t="shared" si="27"/>
        <v/>
      </c>
      <c r="I76" s="6" t="str">
        <f t="shared" si="28"/>
        <v/>
      </c>
      <c r="J76" s="3" t="str">
        <f>IFERROR(MATCH(ROWS(J$8:J76),$S$8:$S$257,0),"")</f>
        <v/>
      </c>
      <c r="K76" s="3" t="str">
        <f t="shared" si="29"/>
        <v/>
      </c>
      <c r="L76" s="3" t="str">
        <f t="shared" si="30"/>
        <v/>
      </c>
      <c r="M76" s="3" t="str">
        <f t="shared" si="31"/>
        <v/>
      </c>
      <c r="N76" s="3" t="str">
        <f t="shared" si="32"/>
        <v/>
      </c>
      <c r="O76" s="3">
        <f t="shared" si="33"/>
        <v>1</v>
      </c>
      <c r="P76" s="3">
        <f t="shared" si="34"/>
        <v>0</v>
      </c>
      <c r="Q76" s="3">
        <f t="shared" si="35"/>
        <v>0</v>
      </c>
      <c r="R76" s="3" t="str">
        <f t="shared" si="36"/>
        <v/>
      </c>
      <c r="S76" s="3">
        <f t="shared" si="37"/>
        <v>0</v>
      </c>
      <c r="T76" s="3" t="str">
        <f t="shared" si="38"/>
        <v/>
      </c>
      <c r="U76" s="3" t="str">
        <f t="shared" si="39"/>
        <v/>
      </c>
      <c r="V76" s="3" t="str">
        <f t="shared" si="40"/>
        <v/>
      </c>
      <c r="W76" s="3" t="str">
        <f t="shared" si="41"/>
        <v/>
      </c>
      <c r="X76" s="3" t="str">
        <f>IF(L76&lt;&gt;"PLAYER","",IF(Y76="Y",INDEX(Players[Name],MATCH(M76,Players[Name],0)),IF(Y76="A",INDEX(Players[Name],MATCH(M76&amp;" ?",Players[Name],0)),M76)))</f>
        <v/>
      </c>
      <c r="Y76" s="3" t="str">
        <f>IF(L76&lt;&gt;"PLAYER","",IF(ISNUMBER(MATCH(M76,Players[Name],0)),"Y",IF(AA76=1,"A","N")))</f>
        <v/>
      </c>
      <c r="Z76" s="3" t="str">
        <f>IF(L76&lt;&gt;"PLAYER","",_xlfn.TEXTJOIN("; ",TRUE,IF(M76="","Empty name",IF(Y76="N",IF(AA76&gt;1,"Which "&amp;M76&amp;"? "&amp;AA76&amp;" players start with it (like "&amp;INDEX(Players[Name],MATCH(M76&amp;" ?",Players[Name],0))&amp;") - type the last initial",IF(ISNUMBER(FIND(" ",M76)),IF(IFERROR(IF(M76="",FALSE,OR(M76="Unknown",AND(LEN(M76)-LEN(SUBSTITUTE(M76," ",""))=1,LEN(M76)&gt;=4,MID(M76,LEN(M76)-1,1)=" ",CODE(RIGHT(M76,1))&gt;=65,CODE(RIGHT(M76,1))&lt;=90))),FALSE),"New player? Not on Players list - add it there first","Not on Players list and not First L format (like Zack B)")&amp;IF(ISNUMBER(MATCH(LEFT(M76,FIND(" ",M76)-1)&amp;" ?",Players[Name],0))," (same first name as "&amp;INDEX(Players[Name],MATCH(LEFT(M76,FIND(" ",M76)-1)&amp;" ?",Players[Name],0))&amp;")",""),"Not on Players list - type first name + last initial (like Zack B)")),"")),IF(OR(V76&lt;Pod_Min,V76&gt;Pod_Max),"Pod has "&amp;V76&amp;" players",""),IF(U76=0,IF(T76=0,"No winner (*) in pod",IF(T76&gt;1,T76&amp;" winners in pod","")),IF(U76&lt;V76,"Some = but not all players","")),IF(X76="Unknown","",IF(COUNTIFS($O$8:$O$257,O76,$Q$8:$Q$257,Q76,$X$8:$X$257,X76)&gt;1,"Name twice in pod",IF(COUNTIFS($O$8:$O$257,O76,$X$8:$X$257,X76)&gt;1,"Name in 2 pods this round","")))))</f>
        <v/>
      </c>
      <c r="AA76" s="3" t="str">
        <f>IF(L76&lt;&gt;"PLAYER","",IF(OR(M76="",ISNUMBER(FIND(" ",M76))),0,COUNTIF(Players[Name],M76&amp;" ?")))</f>
        <v/>
      </c>
    </row>
    <row r="77" spans="1:27" x14ac:dyDescent="0.45">
      <c r="A77" s="17"/>
      <c r="B77" s="6" t="str">
        <f t="shared" si="21"/>
        <v/>
      </c>
      <c r="C77" s="6" t="str">
        <f t="shared" si="22"/>
        <v/>
      </c>
      <c r="D77" s="6" t="str">
        <f t="shared" si="23"/>
        <v/>
      </c>
      <c r="E77" s="6" t="str">
        <f t="shared" si="24"/>
        <v/>
      </c>
      <c r="F77" s="6" t="str">
        <f t="shared" si="25"/>
        <v/>
      </c>
      <c r="G77" s="6" t="str">
        <f t="shared" si="26"/>
        <v/>
      </c>
      <c r="H77" s="10" t="str">
        <f t="shared" si="27"/>
        <v/>
      </c>
      <c r="I77" s="6" t="str">
        <f t="shared" si="28"/>
        <v/>
      </c>
      <c r="J77" s="3" t="str">
        <f>IFERROR(MATCH(ROWS(J$8:J77),$S$8:$S$257,0),"")</f>
        <v/>
      </c>
      <c r="K77" s="3" t="str">
        <f t="shared" si="29"/>
        <v/>
      </c>
      <c r="L77" s="3" t="str">
        <f t="shared" si="30"/>
        <v/>
      </c>
      <c r="M77" s="3" t="str">
        <f t="shared" si="31"/>
        <v/>
      </c>
      <c r="N77" s="3" t="str">
        <f t="shared" si="32"/>
        <v/>
      </c>
      <c r="O77" s="3">
        <f t="shared" si="33"/>
        <v>1</v>
      </c>
      <c r="P77" s="3">
        <f t="shared" si="34"/>
        <v>0</v>
      </c>
      <c r="Q77" s="3">
        <f t="shared" si="35"/>
        <v>0</v>
      </c>
      <c r="R77" s="3" t="str">
        <f t="shared" si="36"/>
        <v/>
      </c>
      <c r="S77" s="3">
        <f t="shared" si="37"/>
        <v>0</v>
      </c>
      <c r="T77" s="3" t="str">
        <f t="shared" si="38"/>
        <v/>
      </c>
      <c r="U77" s="3" t="str">
        <f t="shared" si="39"/>
        <v/>
      </c>
      <c r="V77" s="3" t="str">
        <f t="shared" si="40"/>
        <v/>
      </c>
      <c r="W77" s="3" t="str">
        <f t="shared" si="41"/>
        <v/>
      </c>
      <c r="X77" s="3" t="str">
        <f>IF(L77&lt;&gt;"PLAYER","",IF(Y77="Y",INDEX(Players[Name],MATCH(M77,Players[Name],0)),IF(Y77="A",INDEX(Players[Name],MATCH(M77&amp;" ?",Players[Name],0)),M77)))</f>
        <v/>
      </c>
      <c r="Y77" s="3" t="str">
        <f>IF(L77&lt;&gt;"PLAYER","",IF(ISNUMBER(MATCH(M77,Players[Name],0)),"Y",IF(AA77=1,"A","N")))</f>
        <v/>
      </c>
      <c r="Z77" s="3" t="str">
        <f>IF(L77&lt;&gt;"PLAYER","",_xlfn.TEXTJOIN("; ",TRUE,IF(M77="","Empty name",IF(Y77="N",IF(AA77&gt;1,"Which "&amp;M77&amp;"? "&amp;AA77&amp;" players start with it (like "&amp;INDEX(Players[Name],MATCH(M77&amp;" ?",Players[Name],0))&amp;") - type the last initial",IF(ISNUMBER(FIND(" ",M77)),IF(IFERROR(IF(M77="",FALSE,OR(M77="Unknown",AND(LEN(M77)-LEN(SUBSTITUTE(M77," ",""))=1,LEN(M77)&gt;=4,MID(M77,LEN(M77)-1,1)=" ",CODE(RIGHT(M77,1))&gt;=65,CODE(RIGHT(M77,1))&lt;=90))),FALSE),"New player? Not on Players list - add it there first","Not on Players list and not First L format (like Zack B)")&amp;IF(ISNUMBER(MATCH(LEFT(M77,FIND(" ",M77)-1)&amp;" ?",Players[Name],0))," (same first name as "&amp;INDEX(Players[Name],MATCH(LEFT(M77,FIND(" ",M77)-1)&amp;" ?",Players[Name],0))&amp;")",""),"Not on Players list - type first name + last initial (like Zack B)")),"")),IF(OR(V77&lt;Pod_Min,V77&gt;Pod_Max),"Pod has "&amp;V77&amp;" players",""),IF(U77=0,IF(T77=0,"No winner (*) in pod",IF(T77&gt;1,T77&amp;" winners in pod","")),IF(U77&lt;V77,"Some = but not all players","")),IF(X77="Unknown","",IF(COUNTIFS($O$8:$O$257,O77,$Q$8:$Q$257,Q77,$X$8:$X$257,X77)&gt;1,"Name twice in pod",IF(COUNTIFS($O$8:$O$257,O77,$X$8:$X$257,X77)&gt;1,"Name in 2 pods this round","")))))</f>
        <v/>
      </c>
      <c r="AA77" s="3" t="str">
        <f>IF(L77&lt;&gt;"PLAYER","",IF(OR(M77="",ISNUMBER(FIND(" ",M77))),0,COUNTIF(Players[Name],M77&amp;" ?")))</f>
        <v/>
      </c>
    </row>
    <row r="78" spans="1:27" x14ac:dyDescent="0.45">
      <c r="A78" s="17"/>
      <c r="B78" s="6" t="str">
        <f t="shared" si="21"/>
        <v/>
      </c>
      <c r="C78" s="6" t="str">
        <f t="shared" si="22"/>
        <v/>
      </c>
      <c r="D78" s="6" t="str">
        <f t="shared" si="23"/>
        <v/>
      </c>
      <c r="E78" s="6" t="str">
        <f t="shared" si="24"/>
        <v/>
      </c>
      <c r="F78" s="6" t="str">
        <f t="shared" si="25"/>
        <v/>
      </c>
      <c r="G78" s="6" t="str">
        <f t="shared" si="26"/>
        <v/>
      </c>
      <c r="H78" s="10" t="str">
        <f t="shared" si="27"/>
        <v/>
      </c>
      <c r="I78" s="6" t="str">
        <f t="shared" si="28"/>
        <v/>
      </c>
      <c r="J78" s="3" t="str">
        <f>IFERROR(MATCH(ROWS(J$8:J78),$S$8:$S$257,0),"")</f>
        <v/>
      </c>
      <c r="K78" s="3" t="str">
        <f t="shared" si="29"/>
        <v/>
      </c>
      <c r="L78" s="3" t="str">
        <f t="shared" si="30"/>
        <v/>
      </c>
      <c r="M78" s="3" t="str">
        <f t="shared" si="31"/>
        <v/>
      </c>
      <c r="N78" s="3" t="str">
        <f t="shared" si="32"/>
        <v/>
      </c>
      <c r="O78" s="3">
        <f t="shared" si="33"/>
        <v>1</v>
      </c>
      <c r="P78" s="3">
        <f t="shared" si="34"/>
        <v>0</v>
      </c>
      <c r="Q78" s="3">
        <f t="shared" si="35"/>
        <v>0</v>
      </c>
      <c r="R78" s="3" t="str">
        <f t="shared" si="36"/>
        <v/>
      </c>
      <c r="S78" s="3">
        <f t="shared" si="37"/>
        <v>0</v>
      </c>
      <c r="T78" s="3" t="str">
        <f t="shared" si="38"/>
        <v/>
      </c>
      <c r="U78" s="3" t="str">
        <f t="shared" si="39"/>
        <v/>
      </c>
      <c r="V78" s="3" t="str">
        <f t="shared" si="40"/>
        <v/>
      </c>
      <c r="W78" s="3" t="str">
        <f t="shared" si="41"/>
        <v/>
      </c>
      <c r="X78" s="3" t="str">
        <f>IF(L78&lt;&gt;"PLAYER","",IF(Y78="Y",INDEX(Players[Name],MATCH(M78,Players[Name],0)),IF(Y78="A",INDEX(Players[Name],MATCH(M78&amp;" ?",Players[Name],0)),M78)))</f>
        <v/>
      </c>
      <c r="Y78" s="3" t="str">
        <f>IF(L78&lt;&gt;"PLAYER","",IF(ISNUMBER(MATCH(M78,Players[Name],0)),"Y",IF(AA78=1,"A","N")))</f>
        <v/>
      </c>
      <c r="Z78" s="3" t="str">
        <f>IF(L78&lt;&gt;"PLAYER","",_xlfn.TEXTJOIN("; ",TRUE,IF(M78="","Empty name",IF(Y78="N",IF(AA78&gt;1,"Which "&amp;M78&amp;"? "&amp;AA78&amp;" players start with it (like "&amp;INDEX(Players[Name],MATCH(M78&amp;" ?",Players[Name],0))&amp;") - type the last initial",IF(ISNUMBER(FIND(" ",M78)),IF(IFERROR(IF(M78="",FALSE,OR(M78="Unknown",AND(LEN(M78)-LEN(SUBSTITUTE(M78," ",""))=1,LEN(M78)&gt;=4,MID(M78,LEN(M78)-1,1)=" ",CODE(RIGHT(M78,1))&gt;=65,CODE(RIGHT(M78,1))&lt;=90))),FALSE),"New player? Not on Players list - add it there first","Not on Players list and not First L format (like Zack B)")&amp;IF(ISNUMBER(MATCH(LEFT(M78,FIND(" ",M78)-1)&amp;" ?",Players[Name],0))," (same first name as "&amp;INDEX(Players[Name],MATCH(LEFT(M78,FIND(" ",M78)-1)&amp;" ?",Players[Name],0))&amp;")",""),"Not on Players list - type first name + last initial (like Zack B)")),"")),IF(OR(V78&lt;Pod_Min,V78&gt;Pod_Max),"Pod has "&amp;V78&amp;" players",""),IF(U78=0,IF(T78=0,"No winner (*) in pod",IF(T78&gt;1,T78&amp;" winners in pod","")),IF(U78&lt;V78,"Some = but not all players","")),IF(X78="Unknown","",IF(COUNTIFS($O$8:$O$257,O78,$Q$8:$Q$257,Q78,$X$8:$X$257,X78)&gt;1,"Name twice in pod",IF(COUNTIFS($O$8:$O$257,O78,$X$8:$X$257,X78)&gt;1,"Name in 2 pods this round","")))))</f>
        <v/>
      </c>
      <c r="AA78" s="3" t="str">
        <f>IF(L78&lt;&gt;"PLAYER","",IF(OR(M78="",ISNUMBER(FIND(" ",M78))),0,COUNTIF(Players[Name],M78&amp;" ?")))</f>
        <v/>
      </c>
    </row>
    <row r="79" spans="1:27" x14ac:dyDescent="0.45">
      <c r="A79" s="17"/>
      <c r="B79" s="6" t="str">
        <f t="shared" si="21"/>
        <v/>
      </c>
      <c r="C79" s="6" t="str">
        <f t="shared" si="22"/>
        <v/>
      </c>
      <c r="D79" s="6" t="str">
        <f t="shared" si="23"/>
        <v/>
      </c>
      <c r="E79" s="6" t="str">
        <f t="shared" si="24"/>
        <v/>
      </c>
      <c r="F79" s="6" t="str">
        <f t="shared" si="25"/>
        <v/>
      </c>
      <c r="G79" s="6" t="str">
        <f t="shared" si="26"/>
        <v/>
      </c>
      <c r="H79" s="10" t="str">
        <f t="shared" si="27"/>
        <v/>
      </c>
      <c r="I79" s="6" t="str">
        <f t="shared" si="28"/>
        <v/>
      </c>
      <c r="J79" s="3" t="str">
        <f>IFERROR(MATCH(ROWS(J$8:J79),$S$8:$S$257,0),"")</f>
        <v/>
      </c>
      <c r="K79" s="3" t="str">
        <f t="shared" si="29"/>
        <v/>
      </c>
      <c r="L79" s="3" t="str">
        <f t="shared" si="30"/>
        <v/>
      </c>
      <c r="M79" s="3" t="str">
        <f t="shared" si="31"/>
        <v/>
      </c>
      <c r="N79" s="3" t="str">
        <f t="shared" si="32"/>
        <v/>
      </c>
      <c r="O79" s="3">
        <f t="shared" si="33"/>
        <v>1</v>
      </c>
      <c r="P79" s="3">
        <f t="shared" si="34"/>
        <v>0</v>
      </c>
      <c r="Q79" s="3">
        <f t="shared" si="35"/>
        <v>0</v>
      </c>
      <c r="R79" s="3" t="str">
        <f t="shared" si="36"/>
        <v/>
      </c>
      <c r="S79" s="3">
        <f t="shared" si="37"/>
        <v>0</v>
      </c>
      <c r="T79" s="3" t="str">
        <f t="shared" si="38"/>
        <v/>
      </c>
      <c r="U79" s="3" t="str">
        <f t="shared" si="39"/>
        <v/>
      </c>
      <c r="V79" s="3" t="str">
        <f t="shared" si="40"/>
        <v/>
      </c>
      <c r="W79" s="3" t="str">
        <f t="shared" si="41"/>
        <v/>
      </c>
      <c r="X79" s="3" t="str">
        <f>IF(L79&lt;&gt;"PLAYER","",IF(Y79="Y",INDEX(Players[Name],MATCH(M79,Players[Name],0)),IF(Y79="A",INDEX(Players[Name],MATCH(M79&amp;" ?",Players[Name],0)),M79)))</f>
        <v/>
      </c>
      <c r="Y79" s="3" t="str">
        <f>IF(L79&lt;&gt;"PLAYER","",IF(ISNUMBER(MATCH(M79,Players[Name],0)),"Y",IF(AA79=1,"A","N")))</f>
        <v/>
      </c>
      <c r="Z79" s="3" t="str">
        <f>IF(L79&lt;&gt;"PLAYER","",_xlfn.TEXTJOIN("; ",TRUE,IF(M79="","Empty name",IF(Y79="N",IF(AA79&gt;1,"Which "&amp;M79&amp;"? "&amp;AA79&amp;" players start with it (like "&amp;INDEX(Players[Name],MATCH(M79&amp;" ?",Players[Name],0))&amp;") - type the last initial",IF(ISNUMBER(FIND(" ",M79)),IF(IFERROR(IF(M79="",FALSE,OR(M79="Unknown",AND(LEN(M79)-LEN(SUBSTITUTE(M79," ",""))=1,LEN(M79)&gt;=4,MID(M79,LEN(M79)-1,1)=" ",CODE(RIGHT(M79,1))&gt;=65,CODE(RIGHT(M79,1))&lt;=90))),FALSE),"New player? Not on Players list - add it there first","Not on Players list and not First L format (like Zack B)")&amp;IF(ISNUMBER(MATCH(LEFT(M79,FIND(" ",M79)-1)&amp;" ?",Players[Name],0))," (same first name as "&amp;INDEX(Players[Name],MATCH(LEFT(M79,FIND(" ",M79)-1)&amp;" ?",Players[Name],0))&amp;")",""),"Not on Players list - type first name + last initial (like Zack B)")),"")),IF(OR(V79&lt;Pod_Min,V79&gt;Pod_Max),"Pod has "&amp;V79&amp;" players",""),IF(U79=0,IF(T79=0,"No winner (*) in pod",IF(T79&gt;1,T79&amp;" winners in pod","")),IF(U79&lt;V79,"Some = but not all players","")),IF(X79="Unknown","",IF(COUNTIFS($O$8:$O$257,O79,$Q$8:$Q$257,Q79,$X$8:$X$257,X79)&gt;1,"Name twice in pod",IF(COUNTIFS($O$8:$O$257,O79,$X$8:$X$257,X79)&gt;1,"Name in 2 pods this round","")))))</f>
        <v/>
      </c>
      <c r="AA79" s="3" t="str">
        <f>IF(L79&lt;&gt;"PLAYER","",IF(OR(M79="",ISNUMBER(FIND(" ",M79))),0,COUNTIF(Players[Name],M79&amp;" ?")))</f>
        <v/>
      </c>
    </row>
    <row r="80" spans="1:27" x14ac:dyDescent="0.45">
      <c r="A80" s="17"/>
      <c r="B80" s="6" t="str">
        <f t="shared" si="21"/>
        <v/>
      </c>
      <c r="C80" s="6" t="str">
        <f t="shared" si="22"/>
        <v/>
      </c>
      <c r="D80" s="6" t="str">
        <f t="shared" si="23"/>
        <v/>
      </c>
      <c r="E80" s="6" t="str">
        <f t="shared" si="24"/>
        <v/>
      </c>
      <c r="F80" s="6" t="str">
        <f t="shared" si="25"/>
        <v/>
      </c>
      <c r="G80" s="6" t="str">
        <f t="shared" si="26"/>
        <v/>
      </c>
      <c r="H80" s="10" t="str">
        <f t="shared" si="27"/>
        <v/>
      </c>
      <c r="I80" s="6" t="str">
        <f t="shared" si="28"/>
        <v/>
      </c>
      <c r="J80" s="3" t="str">
        <f>IFERROR(MATCH(ROWS(J$8:J80),$S$8:$S$257,0),"")</f>
        <v/>
      </c>
      <c r="K80" s="3" t="str">
        <f t="shared" si="29"/>
        <v/>
      </c>
      <c r="L80" s="3" t="str">
        <f t="shared" si="30"/>
        <v/>
      </c>
      <c r="M80" s="3" t="str">
        <f t="shared" si="31"/>
        <v/>
      </c>
      <c r="N80" s="3" t="str">
        <f t="shared" si="32"/>
        <v/>
      </c>
      <c r="O80" s="3">
        <f t="shared" si="33"/>
        <v>1</v>
      </c>
      <c r="P80" s="3">
        <f t="shared" si="34"/>
        <v>0</v>
      </c>
      <c r="Q80" s="3">
        <f t="shared" si="35"/>
        <v>0</v>
      </c>
      <c r="R80" s="3" t="str">
        <f t="shared" si="36"/>
        <v/>
      </c>
      <c r="S80" s="3">
        <f t="shared" si="37"/>
        <v>0</v>
      </c>
      <c r="T80" s="3" t="str">
        <f t="shared" si="38"/>
        <v/>
      </c>
      <c r="U80" s="3" t="str">
        <f t="shared" si="39"/>
        <v/>
      </c>
      <c r="V80" s="3" t="str">
        <f t="shared" si="40"/>
        <v/>
      </c>
      <c r="W80" s="3" t="str">
        <f t="shared" si="41"/>
        <v/>
      </c>
      <c r="X80" s="3" t="str">
        <f>IF(L80&lt;&gt;"PLAYER","",IF(Y80="Y",INDEX(Players[Name],MATCH(M80,Players[Name],0)),IF(Y80="A",INDEX(Players[Name],MATCH(M80&amp;" ?",Players[Name],0)),M80)))</f>
        <v/>
      </c>
      <c r="Y80" s="3" t="str">
        <f>IF(L80&lt;&gt;"PLAYER","",IF(ISNUMBER(MATCH(M80,Players[Name],0)),"Y",IF(AA80=1,"A","N")))</f>
        <v/>
      </c>
      <c r="Z80" s="3" t="str">
        <f>IF(L80&lt;&gt;"PLAYER","",_xlfn.TEXTJOIN("; ",TRUE,IF(M80="","Empty name",IF(Y80="N",IF(AA80&gt;1,"Which "&amp;M80&amp;"? "&amp;AA80&amp;" players start with it (like "&amp;INDEX(Players[Name],MATCH(M80&amp;" ?",Players[Name],0))&amp;") - type the last initial",IF(ISNUMBER(FIND(" ",M80)),IF(IFERROR(IF(M80="",FALSE,OR(M80="Unknown",AND(LEN(M80)-LEN(SUBSTITUTE(M80," ",""))=1,LEN(M80)&gt;=4,MID(M80,LEN(M80)-1,1)=" ",CODE(RIGHT(M80,1))&gt;=65,CODE(RIGHT(M80,1))&lt;=90))),FALSE),"New player? Not on Players list - add it there first","Not on Players list and not First L format (like Zack B)")&amp;IF(ISNUMBER(MATCH(LEFT(M80,FIND(" ",M80)-1)&amp;" ?",Players[Name],0))," (same first name as "&amp;INDEX(Players[Name],MATCH(LEFT(M80,FIND(" ",M80)-1)&amp;" ?",Players[Name],0))&amp;")",""),"Not on Players list - type first name + last initial (like Zack B)")),"")),IF(OR(V80&lt;Pod_Min,V80&gt;Pod_Max),"Pod has "&amp;V80&amp;" players",""),IF(U80=0,IF(T80=0,"No winner (*) in pod",IF(T80&gt;1,T80&amp;" winners in pod","")),IF(U80&lt;V80,"Some = but not all players","")),IF(X80="Unknown","",IF(COUNTIFS($O$8:$O$257,O80,$Q$8:$Q$257,Q80,$X$8:$X$257,X80)&gt;1,"Name twice in pod",IF(COUNTIFS($O$8:$O$257,O80,$X$8:$X$257,X80)&gt;1,"Name in 2 pods this round","")))))</f>
        <v/>
      </c>
      <c r="AA80" s="3" t="str">
        <f>IF(L80&lt;&gt;"PLAYER","",IF(OR(M80="",ISNUMBER(FIND(" ",M80))),0,COUNTIF(Players[Name],M80&amp;" ?")))</f>
        <v/>
      </c>
    </row>
    <row r="81" spans="1:27" x14ac:dyDescent="0.45">
      <c r="A81" s="17"/>
      <c r="B81" s="6" t="str">
        <f t="shared" si="21"/>
        <v/>
      </c>
      <c r="C81" s="6" t="str">
        <f t="shared" si="22"/>
        <v/>
      </c>
      <c r="D81" s="6" t="str">
        <f t="shared" si="23"/>
        <v/>
      </c>
      <c r="E81" s="6" t="str">
        <f t="shared" si="24"/>
        <v/>
      </c>
      <c r="F81" s="6" t="str">
        <f t="shared" si="25"/>
        <v/>
      </c>
      <c r="G81" s="6" t="str">
        <f t="shared" si="26"/>
        <v/>
      </c>
      <c r="H81" s="10" t="str">
        <f t="shared" si="27"/>
        <v/>
      </c>
      <c r="I81" s="6" t="str">
        <f t="shared" si="28"/>
        <v/>
      </c>
      <c r="J81" s="3" t="str">
        <f>IFERROR(MATCH(ROWS(J$8:J81),$S$8:$S$257,0),"")</f>
        <v/>
      </c>
      <c r="K81" s="3" t="str">
        <f t="shared" si="29"/>
        <v/>
      </c>
      <c r="L81" s="3" t="str">
        <f t="shared" si="30"/>
        <v/>
      </c>
      <c r="M81" s="3" t="str">
        <f t="shared" si="31"/>
        <v/>
      </c>
      <c r="N81" s="3" t="str">
        <f t="shared" si="32"/>
        <v/>
      </c>
      <c r="O81" s="3">
        <f t="shared" si="33"/>
        <v>1</v>
      </c>
      <c r="P81" s="3">
        <f t="shared" si="34"/>
        <v>0</v>
      </c>
      <c r="Q81" s="3">
        <f t="shared" si="35"/>
        <v>0</v>
      </c>
      <c r="R81" s="3" t="str">
        <f t="shared" si="36"/>
        <v/>
      </c>
      <c r="S81" s="3">
        <f t="shared" si="37"/>
        <v>0</v>
      </c>
      <c r="T81" s="3" t="str">
        <f t="shared" si="38"/>
        <v/>
      </c>
      <c r="U81" s="3" t="str">
        <f t="shared" si="39"/>
        <v/>
      </c>
      <c r="V81" s="3" t="str">
        <f t="shared" si="40"/>
        <v/>
      </c>
      <c r="W81" s="3" t="str">
        <f t="shared" si="41"/>
        <v/>
      </c>
      <c r="X81" s="3" t="str">
        <f>IF(L81&lt;&gt;"PLAYER","",IF(Y81="Y",INDEX(Players[Name],MATCH(M81,Players[Name],0)),IF(Y81="A",INDEX(Players[Name],MATCH(M81&amp;" ?",Players[Name],0)),M81)))</f>
        <v/>
      </c>
      <c r="Y81" s="3" t="str">
        <f>IF(L81&lt;&gt;"PLAYER","",IF(ISNUMBER(MATCH(M81,Players[Name],0)),"Y",IF(AA81=1,"A","N")))</f>
        <v/>
      </c>
      <c r="Z81" s="3" t="str">
        <f>IF(L81&lt;&gt;"PLAYER","",_xlfn.TEXTJOIN("; ",TRUE,IF(M81="","Empty name",IF(Y81="N",IF(AA81&gt;1,"Which "&amp;M81&amp;"? "&amp;AA81&amp;" players start with it (like "&amp;INDEX(Players[Name],MATCH(M81&amp;" ?",Players[Name],0))&amp;") - type the last initial",IF(ISNUMBER(FIND(" ",M81)),IF(IFERROR(IF(M81="",FALSE,OR(M81="Unknown",AND(LEN(M81)-LEN(SUBSTITUTE(M81," ",""))=1,LEN(M81)&gt;=4,MID(M81,LEN(M81)-1,1)=" ",CODE(RIGHT(M81,1))&gt;=65,CODE(RIGHT(M81,1))&lt;=90))),FALSE),"New player? Not on Players list - add it there first","Not on Players list and not First L format (like Zack B)")&amp;IF(ISNUMBER(MATCH(LEFT(M81,FIND(" ",M81)-1)&amp;" ?",Players[Name],0))," (same first name as "&amp;INDEX(Players[Name],MATCH(LEFT(M81,FIND(" ",M81)-1)&amp;" ?",Players[Name],0))&amp;")",""),"Not on Players list - type first name + last initial (like Zack B)")),"")),IF(OR(V81&lt;Pod_Min,V81&gt;Pod_Max),"Pod has "&amp;V81&amp;" players",""),IF(U81=0,IF(T81=0,"No winner (*) in pod",IF(T81&gt;1,T81&amp;" winners in pod","")),IF(U81&lt;V81,"Some = but not all players","")),IF(X81="Unknown","",IF(COUNTIFS($O$8:$O$257,O81,$Q$8:$Q$257,Q81,$X$8:$X$257,X81)&gt;1,"Name twice in pod",IF(COUNTIFS($O$8:$O$257,O81,$X$8:$X$257,X81)&gt;1,"Name in 2 pods this round","")))))</f>
        <v/>
      </c>
      <c r="AA81" s="3" t="str">
        <f>IF(L81&lt;&gt;"PLAYER","",IF(OR(M81="",ISNUMBER(FIND(" ",M81))),0,COUNTIF(Players[Name],M81&amp;" ?")))</f>
        <v/>
      </c>
    </row>
    <row r="82" spans="1:27" x14ac:dyDescent="0.45">
      <c r="A82" s="17"/>
      <c r="B82" s="6" t="str">
        <f t="shared" si="21"/>
        <v/>
      </c>
      <c r="C82" s="6" t="str">
        <f t="shared" si="22"/>
        <v/>
      </c>
      <c r="D82" s="6" t="str">
        <f t="shared" si="23"/>
        <v/>
      </c>
      <c r="E82" s="6" t="str">
        <f t="shared" si="24"/>
        <v/>
      </c>
      <c r="F82" s="6" t="str">
        <f t="shared" si="25"/>
        <v/>
      </c>
      <c r="G82" s="6" t="str">
        <f t="shared" si="26"/>
        <v/>
      </c>
      <c r="H82" s="10" t="str">
        <f t="shared" si="27"/>
        <v/>
      </c>
      <c r="I82" s="6" t="str">
        <f t="shared" si="28"/>
        <v/>
      </c>
      <c r="J82" s="3" t="str">
        <f>IFERROR(MATCH(ROWS(J$8:J82),$S$8:$S$257,0),"")</f>
        <v/>
      </c>
      <c r="K82" s="3" t="str">
        <f t="shared" si="29"/>
        <v/>
      </c>
      <c r="L82" s="3" t="str">
        <f t="shared" si="30"/>
        <v/>
      </c>
      <c r="M82" s="3" t="str">
        <f t="shared" si="31"/>
        <v/>
      </c>
      <c r="N82" s="3" t="str">
        <f t="shared" si="32"/>
        <v/>
      </c>
      <c r="O82" s="3">
        <f t="shared" si="33"/>
        <v>1</v>
      </c>
      <c r="P82" s="3">
        <f t="shared" si="34"/>
        <v>0</v>
      </c>
      <c r="Q82" s="3">
        <f t="shared" si="35"/>
        <v>0</v>
      </c>
      <c r="R82" s="3" t="str">
        <f t="shared" si="36"/>
        <v/>
      </c>
      <c r="S82" s="3">
        <f t="shared" si="37"/>
        <v>0</v>
      </c>
      <c r="T82" s="3" t="str">
        <f t="shared" si="38"/>
        <v/>
      </c>
      <c r="U82" s="3" t="str">
        <f t="shared" si="39"/>
        <v/>
      </c>
      <c r="V82" s="3" t="str">
        <f t="shared" si="40"/>
        <v/>
      </c>
      <c r="W82" s="3" t="str">
        <f t="shared" si="41"/>
        <v/>
      </c>
      <c r="X82" s="3" t="str">
        <f>IF(L82&lt;&gt;"PLAYER","",IF(Y82="Y",INDEX(Players[Name],MATCH(M82,Players[Name],0)),IF(Y82="A",INDEX(Players[Name],MATCH(M82&amp;" ?",Players[Name],0)),M82)))</f>
        <v/>
      </c>
      <c r="Y82" s="3" t="str">
        <f>IF(L82&lt;&gt;"PLAYER","",IF(ISNUMBER(MATCH(M82,Players[Name],0)),"Y",IF(AA82=1,"A","N")))</f>
        <v/>
      </c>
      <c r="Z82" s="3" t="str">
        <f>IF(L82&lt;&gt;"PLAYER","",_xlfn.TEXTJOIN("; ",TRUE,IF(M82="","Empty name",IF(Y82="N",IF(AA82&gt;1,"Which "&amp;M82&amp;"? "&amp;AA82&amp;" players start with it (like "&amp;INDEX(Players[Name],MATCH(M82&amp;" ?",Players[Name],0))&amp;") - type the last initial",IF(ISNUMBER(FIND(" ",M82)),IF(IFERROR(IF(M82="",FALSE,OR(M82="Unknown",AND(LEN(M82)-LEN(SUBSTITUTE(M82," ",""))=1,LEN(M82)&gt;=4,MID(M82,LEN(M82)-1,1)=" ",CODE(RIGHT(M82,1))&gt;=65,CODE(RIGHT(M82,1))&lt;=90))),FALSE),"New player? Not on Players list - add it there first","Not on Players list and not First L format (like Zack B)")&amp;IF(ISNUMBER(MATCH(LEFT(M82,FIND(" ",M82)-1)&amp;" ?",Players[Name],0))," (same first name as "&amp;INDEX(Players[Name],MATCH(LEFT(M82,FIND(" ",M82)-1)&amp;" ?",Players[Name],0))&amp;")",""),"Not on Players list - type first name + last initial (like Zack B)")),"")),IF(OR(V82&lt;Pod_Min,V82&gt;Pod_Max),"Pod has "&amp;V82&amp;" players",""),IF(U82=0,IF(T82=0,"No winner (*) in pod",IF(T82&gt;1,T82&amp;" winners in pod","")),IF(U82&lt;V82,"Some = but not all players","")),IF(X82="Unknown","",IF(COUNTIFS($O$8:$O$257,O82,$Q$8:$Q$257,Q82,$X$8:$X$257,X82)&gt;1,"Name twice in pod",IF(COUNTIFS($O$8:$O$257,O82,$X$8:$X$257,X82)&gt;1,"Name in 2 pods this round","")))))</f>
        <v/>
      </c>
      <c r="AA82" s="3" t="str">
        <f>IF(L82&lt;&gt;"PLAYER","",IF(OR(M82="",ISNUMBER(FIND(" ",M82))),0,COUNTIF(Players[Name],M82&amp;" ?")))</f>
        <v/>
      </c>
    </row>
    <row r="83" spans="1:27" x14ac:dyDescent="0.45">
      <c r="A83" s="17"/>
      <c r="B83" s="6" t="str">
        <f t="shared" si="21"/>
        <v/>
      </c>
      <c r="C83" s="6" t="str">
        <f t="shared" si="22"/>
        <v/>
      </c>
      <c r="D83" s="6" t="str">
        <f t="shared" si="23"/>
        <v/>
      </c>
      <c r="E83" s="6" t="str">
        <f t="shared" si="24"/>
        <v/>
      </c>
      <c r="F83" s="6" t="str">
        <f t="shared" si="25"/>
        <v/>
      </c>
      <c r="G83" s="6" t="str">
        <f t="shared" si="26"/>
        <v/>
      </c>
      <c r="H83" s="10" t="str">
        <f t="shared" si="27"/>
        <v/>
      </c>
      <c r="I83" s="6" t="str">
        <f t="shared" si="28"/>
        <v/>
      </c>
      <c r="J83" s="3" t="str">
        <f>IFERROR(MATCH(ROWS(J$8:J83),$S$8:$S$257,0),"")</f>
        <v/>
      </c>
      <c r="K83" s="3" t="str">
        <f t="shared" si="29"/>
        <v/>
      </c>
      <c r="L83" s="3" t="str">
        <f t="shared" si="30"/>
        <v/>
      </c>
      <c r="M83" s="3" t="str">
        <f t="shared" si="31"/>
        <v/>
      </c>
      <c r="N83" s="3" t="str">
        <f t="shared" si="32"/>
        <v/>
      </c>
      <c r="O83" s="3">
        <f t="shared" si="33"/>
        <v>1</v>
      </c>
      <c r="P83" s="3">
        <f t="shared" si="34"/>
        <v>0</v>
      </c>
      <c r="Q83" s="3">
        <f t="shared" si="35"/>
        <v>0</v>
      </c>
      <c r="R83" s="3" t="str">
        <f t="shared" si="36"/>
        <v/>
      </c>
      <c r="S83" s="3">
        <f t="shared" si="37"/>
        <v>0</v>
      </c>
      <c r="T83" s="3" t="str">
        <f t="shared" si="38"/>
        <v/>
      </c>
      <c r="U83" s="3" t="str">
        <f t="shared" si="39"/>
        <v/>
      </c>
      <c r="V83" s="3" t="str">
        <f t="shared" si="40"/>
        <v/>
      </c>
      <c r="W83" s="3" t="str">
        <f t="shared" si="41"/>
        <v/>
      </c>
      <c r="X83" s="3" t="str">
        <f>IF(L83&lt;&gt;"PLAYER","",IF(Y83="Y",INDEX(Players[Name],MATCH(M83,Players[Name],0)),IF(Y83="A",INDEX(Players[Name],MATCH(M83&amp;" ?",Players[Name],0)),M83)))</f>
        <v/>
      </c>
      <c r="Y83" s="3" t="str">
        <f>IF(L83&lt;&gt;"PLAYER","",IF(ISNUMBER(MATCH(M83,Players[Name],0)),"Y",IF(AA83=1,"A","N")))</f>
        <v/>
      </c>
      <c r="Z83" s="3" t="str">
        <f>IF(L83&lt;&gt;"PLAYER","",_xlfn.TEXTJOIN("; ",TRUE,IF(M83="","Empty name",IF(Y83="N",IF(AA83&gt;1,"Which "&amp;M83&amp;"? "&amp;AA83&amp;" players start with it (like "&amp;INDEX(Players[Name],MATCH(M83&amp;" ?",Players[Name],0))&amp;") - type the last initial",IF(ISNUMBER(FIND(" ",M83)),IF(IFERROR(IF(M83="",FALSE,OR(M83="Unknown",AND(LEN(M83)-LEN(SUBSTITUTE(M83," ",""))=1,LEN(M83)&gt;=4,MID(M83,LEN(M83)-1,1)=" ",CODE(RIGHT(M83,1))&gt;=65,CODE(RIGHT(M83,1))&lt;=90))),FALSE),"New player? Not on Players list - add it there first","Not on Players list and not First L format (like Zack B)")&amp;IF(ISNUMBER(MATCH(LEFT(M83,FIND(" ",M83)-1)&amp;" ?",Players[Name],0))," (same first name as "&amp;INDEX(Players[Name],MATCH(LEFT(M83,FIND(" ",M83)-1)&amp;" ?",Players[Name],0))&amp;")",""),"Not on Players list - type first name + last initial (like Zack B)")),"")),IF(OR(V83&lt;Pod_Min,V83&gt;Pod_Max),"Pod has "&amp;V83&amp;" players",""),IF(U83=0,IF(T83=0,"No winner (*) in pod",IF(T83&gt;1,T83&amp;" winners in pod","")),IF(U83&lt;V83,"Some = but not all players","")),IF(X83="Unknown","",IF(COUNTIFS($O$8:$O$257,O83,$Q$8:$Q$257,Q83,$X$8:$X$257,X83)&gt;1,"Name twice in pod",IF(COUNTIFS($O$8:$O$257,O83,$X$8:$X$257,X83)&gt;1,"Name in 2 pods this round","")))))</f>
        <v/>
      </c>
      <c r="AA83" s="3" t="str">
        <f>IF(L83&lt;&gt;"PLAYER","",IF(OR(M83="",ISNUMBER(FIND(" ",M83))),0,COUNTIF(Players[Name],M83&amp;" ?")))</f>
        <v/>
      </c>
    </row>
    <row r="84" spans="1:27" x14ac:dyDescent="0.45">
      <c r="A84" s="17"/>
      <c r="B84" s="6" t="str">
        <f t="shared" si="21"/>
        <v/>
      </c>
      <c r="C84" s="6" t="str">
        <f t="shared" si="22"/>
        <v/>
      </c>
      <c r="D84" s="6" t="str">
        <f t="shared" si="23"/>
        <v/>
      </c>
      <c r="E84" s="6" t="str">
        <f t="shared" si="24"/>
        <v/>
      </c>
      <c r="F84" s="6" t="str">
        <f t="shared" si="25"/>
        <v/>
      </c>
      <c r="G84" s="6" t="str">
        <f t="shared" si="26"/>
        <v/>
      </c>
      <c r="H84" s="10" t="str">
        <f t="shared" si="27"/>
        <v/>
      </c>
      <c r="I84" s="6" t="str">
        <f t="shared" si="28"/>
        <v/>
      </c>
      <c r="J84" s="3" t="str">
        <f>IFERROR(MATCH(ROWS(J$8:J84),$S$8:$S$257,0),"")</f>
        <v/>
      </c>
      <c r="K84" s="3" t="str">
        <f t="shared" si="29"/>
        <v/>
      </c>
      <c r="L84" s="3" t="str">
        <f t="shared" si="30"/>
        <v/>
      </c>
      <c r="M84" s="3" t="str">
        <f t="shared" si="31"/>
        <v/>
      </c>
      <c r="N84" s="3" t="str">
        <f t="shared" si="32"/>
        <v/>
      </c>
      <c r="O84" s="3">
        <f t="shared" si="33"/>
        <v>1</v>
      </c>
      <c r="P84" s="3">
        <f t="shared" si="34"/>
        <v>0</v>
      </c>
      <c r="Q84" s="3">
        <f t="shared" si="35"/>
        <v>0</v>
      </c>
      <c r="R84" s="3" t="str">
        <f t="shared" si="36"/>
        <v/>
      </c>
      <c r="S84" s="3">
        <f t="shared" si="37"/>
        <v>0</v>
      </c>
      <c r="T84" s="3" t="str">
        <f t="shared" si="38"/>
        <v/>
      </c>
      <c r="U84" s="3" t="str">
        <f t="shared" si="39"/>
        <v/>
      </c>
      <c r="V84" s="3" t="str">
        <f t="shared" si="40"/>
        <v/>
      </c>
      <c r="W84" s="3" t="str">
        <f t="shared" si="41"/>
        <v/>
      </c>
      <c r="X84" s="3" t="str">
        <f>IF(L84&lt;&gt;"PLAYER","",IF(Y84="Y",INDEX(Players[Name],MATCH(M84,Players[Name],0)),IF(Y84="A",INDEX(Players[Name],MATCH(M84&amp;" ?",Players[Name],0)),M84)))</f>
        <v/>
      </c>
      <c r="Y84" s="3" t="str">
        <f>IF(L84&lt;&gt;"PLAYER","",IF(ISNUMBER(MATCH(M84,Players[Name],0)),"Y",IF(AA84=1,"A","N")))</f>
        <v/>
      </c>
      <c r="Z84" s="3" t="str">
        <f>IF(L84&lt;&gt;"PLAYER","",_xlfn.TEXTJOIN("; ",TRUE,IF(M84="","Empty name",IF(Y84="N",IF(AA84&gt;1,"Which "&amp;M84&amp;"? "&amp;AA84&amp;" players start with it (like "&amp;INDEX(Players[Name],MATCH(M84&amp;" ?",Players[Name],0))&amp;") - type the last initial",IF(ISNUMBER(FIND(" ",M84)),IF(IFERROR(IF(M84="",FALSE,OR(M84="Unknown",AND(LEN(M84)-LEN(SUBSTITUTE(M84," ",""))=1,LEN(M84)&gt;=4,MID(M84,LEN(M84)-1,1)=" ",CODE(RIGHT(M84,1))&gt;=65,CODE(RIGHT(M84,1))&lt;=90))),FALSE),"New player? Not on Players list - add it there first","Not on Players list and not First L format (like Zack B)")&amp;IF(ISNUMBER(MATCH(LEFT(M84,FIND(" ",M84)-1)&amp;" ?",Players[Name],0))," (same first name as "&amp;INDEX(Players[Name],MATCH(LEFT(M84,FIND(" ",M84)-1)&amp;" ?",Players[Name],0))&amp;")",""),"Not on Players list - type first name + last initial (like Zack B)")),"")),IF(OR(V84&lt;Pod_Min,V84&gt;Pod_Max),"Pod has "&amp;V84&amp;" players",""),IF(U84=0,IF(T84=0,"No winner (*) in pod",IF(T84&gt;1,T84&amp;" winners in pod","")),IF(U84&lt;V84,"Some = but not all players","")),IF(X84="Unknown","",IF(COUNTIFS($O$8:$O$257,O84,$Q$8:$Q$257,Q84,$X$8:$X$257,X84)&gt;1,"Name twice in pod",IF(COUNTIFS($O$8:$O$257,O84,$X$8:$X$257,X84)&gt;1,"Name in 2 pods this round","")))))</f>
        <v/>
      </c>
      <c r="AA84" s="3" t="str">
        <f>IF(L84&lt;&gt;"PLAYER","",IF(OR(M84="",ISNUMBER(FIND(" ",M84))),0,COUNTIF(Players[Name],M84&amp;" ?")))</f>
        <v/>
      </c>
    </row>
    <row r="85" spans="1:27" x14ac:dyDescent="0.45">
      <c r="A85" s="17"/>
      <c r="B85" s="6" t="str">
        <f t="shared" si="21"/>
        <v/>
      </c>
      <c r="C85" s="6" t="str">
        <f t="shared" si="22"/>
        <v/>
      </c>
      <c r="D85" s="6" t="str">
        <f t="shared" si="23"/>
        <v/>
      </c>
      <c r="E85" s="6" t="str">
        <f t="shared" si="24"/>
        <v/>
      </c>
      <c r="F85" s="6" t="str">
        <f t="shared" si="25"/>
        <v/>
      </c>
      <c r="G85" s="6" t="str">
        <f t="shared" si="26"/>
        <v/>
      </c>
      <c r="H85" s="10" t="str">
        <f t="shared" si="27"/>
        <v/>
      </c>
      <c r="I85" s="6" t="str">
        <f t="shared" si="28"/>
        <v/>
      </c>
      <c r="J85" s="3" t="str">
        <f>IFERROR(MATCH(ROWS(J$8:J85),$S$8:$S$257,0),"")</f>
        <v/>
      </c>
      <c r="K85" s="3" t="str">
        <f t="shared" si="29"/>
        <v/>
      </c>
      <c r="L85" s="3" t="str">
        <f t="shared" si="30"/>
        <v/>
      </c>
      <c r="M85" s="3" t="str">
        <f t="shared" si="31"/>
        <v/>
      </c>
      <c r="N85" s="3" t="str">
        <f t="shared" si="32"/>
        <v/>
      </c>
      <c r="O85" s="3">
        <f t="shared" si="33"/>
        <v>1</v>
      </c>
      <c r="P85" s="3">
        <f t="shared" si="34"/>
        <v>0</v>
      </c>
      <c r="Q85" s="3">
        <f t="shared" si="35"/>
        <v>0</v>
      </c>
      <c r="R85" s="3" t="str">
        <f t="shared" si="36"/>
        <v/>
      </c>
      <c r="S85" s="3">
        <f t="shared" si="37"/>
        <v>0</v>
      </c>
      <c r="T85" s="3" t="str">
        <f t="shared" si="38"/>
        <v/>
      </c>
      <c r="U85" s="3" t="str">
        <f t="shared" si="39"/>
        <v/>
      </c>
      <c r="V85" s="3" t="str">
        <f t="shared" si="40"/>
        <v/>
      </c>
      <c r="W85" s="3" t="str">
        <f t="shared" si="41"/>
        <v/>
      </c>
      <c r="X85" s="3" t="str">
        <f>IF(L85&lt;&gt;"PLAYER","",IF(Y85="Y",INDEX(Players[Name],MATCH(M85,Players[Name],0)),IF(Y85="A",INDEX(Players[Name],MATCH(M85&amp;" ?",Players[Name],0)),M85)))</f>
        <v/>
      </c>
      <c r="Y85" s="3" t="str">
        <f>IF(L85&lt;&gt;"PLAYER","",IF(ISNUMBER(MATCH(M85,Players[Name],0)),"Y",IF(AA85=1,"A","N")))</f>
        <v/>
      </c>
      <c r="Z85" s="3" t="str">
        <f>IF(L85&lt;&gt;"PLAYER","",_xlfn.TEXTJOIN("; ",TRUE,IF(M85="","Empty name",IF(Y85="N",IF(AA85&gt;1,"Which "&amp;M85&amp;"? "&amp;AA85&amp;" players start with it (like "&amp;INDEX(Players[Name],MATCH(M85&amp;" ?",Players[Name],0))&amp;") - type the last initial",IF(ISNUMBER(FIND(" ",M85)),IF(IFERROR(IF(M85="",FALSE,OR(M85="Unknown",AND(LEN(M85)-LEN(SUBSTITUTE(M85," ",""))=1,LEN(M85)&gt;=4,MID(M85,LEN(M85)-1,1)=" ",CODE(RIGHT(M85,1))&gt;=65,CODE(RIGHT(M85,1))&lt;=90))),FALSE),"New player? Not on Players list - add it there first","Not on Players list and not First L format (like Zack B)")&amp;IF(ISNUMBER(MATCH(LEFT(M85,FIND(" ",M85)-1)&amp;" ?",Players[Name],0))," (same first name as "&amp;INDEX(Players[Name],MATCH(LEFT(M85,FIND(" ",M85)-1)&amp;" ?",Players[Name],0))&amp;")",""),"Not on Players list - type first name + last initial (like Zack B)")),"")),IF(OR(V85&lt;Pod_Min,V85&gt;Pod_Max),"Pod has "&amp;V85&amp;" players",""),IF(U85=0,IF(T85=0,"No winner (*) in pod",IF(T85&gt;1,T85&amp;" winners in pod","")),IF(U85&lt;V85,"Some = but not all players","")),IF(X85="Unknown","",IF(COUNTIFS($O$8:$O$257,O85,$Q$8:$Q$257,Q85,$X$8:$X$257,X85)&gt;1,"Name twice in pod",IF(COUNTIFS($O$8:$O$257,O85,$X$8:$X$257,X85)&gt;1,"Name in 2 pods this round","")))))</f>
        <v/>
      </c>
      <c r="AA85" s="3" t="str">
        <f>IF(L85&lt;&gt;"PLAYER","",IF(OR(M85="",ISNUMBER(FIND(" ",M85))),0,COUNTIF(Players[Name],M85&amp;" ?")))</f>
        <v/>
      </c>
    </row>
    <row r="86" spans="1:27" x14ac:dyDescent="0.45">
      <c r="A86" s="17"/>
      <c r="B86" s="6" t="str">
        <f t="shared" si="21"/>
        <v/>
      </c>
      <c r="C86" s="6" t="str">
        <f t="shared" si="22"/>
        <v/>
      </c>
      <c r="D86" s="6" t="str">
        <f t="shared" si="23"/>
        <v/>
      </c>
      <c r="E86" s="6" t="str">
        <f t="shared" si="24"/>
        <v/>
      </c>
      <c r="F86" s="6" t="str">
        <f t="shared" si="25"/>
        <v/>
      </c>
      <c r="G86" s="6" t="str">
        <f t="shared" si="26"/>
        <v/>
      </c>
      <c r="H86" s="10" t="str">
        <f t="shared" si="27"/>
        <v/>
      </c>
      <c r="I86" s="6" t="str">
        <f t="shared" si="28"/>
        <v/>
      </c>
      <c r="J86" s="3" t="str">
        <f>IFERROR(MATCH(ROWS(J$8:J86),$S$8:$S$257,0),"")</f>
        <v/>
      </c>
      <c r="K86" s="3" t="str">
        <f t="shared" si="29"/>
        <v/>
      </c>
      <c r="L86" s="3" t="str">
        <f t="shared" si="30"/>
        <v/>
      </c>
      <c r="M86" s="3" t="str">
        <f t="shared" si="31"/>
        <v/>
      </c>
      <c r="N86" s="3" t="str">
        <f t="shared" si="32"/>
        <v/>
      </c>
      <c r="O86" s="3">
        <f t="shared" si="33"/>
        <v>1</v>
      </c>
      <c r="P86" s="3">
        <f t="shared" si="34"/>
        <v>0</v>
      </c>
      <c r="Q86" s="3">
        <f t="shared" si="35"/>
        <v>0</v>
      </c>
      <c r="R86" s="3" t="str">
        <f t="shared" si="36"/>
        <v/>
      </c>
      <c r="S86" s="3">
        <f t="shared" si="37"/>
        <v>0</v>
      </c>
      <c r="T86" s="3" t="str">
        <f t="shared" si="38"/>
        <v/>
      </c>
      <c r="U86" s="3" t="str">
        <f t="shared" si="39"/>
        <v/>
      </c>
      <c r="V86" s="3" t="str">
        <f t="shared" si="40"/>
        <v/>
      </c>
      <c r="W86" s="3" t="str">
        <f t="shared" si="41"/>
        <v/>
      </c>
      <c r="X86" s="3" t="str">
        <f>IF(L86&lt;&gt;"PLAYER","",IF(Y86="Y",INDEX(Players[Name],MATCH(M86,Players[Name],0)),IF(Y86="A",INDEX(Players[Name],MATCH(M86&amp;" ?",Players[Name],0)),M86)))</f>
        <v/>
      </c>
      <c r="Y86" s="3" t="str">
        <f>IF(L86&lt;&gt;"PLAYER","",IF(ISNUMBER(MATCH(M86,Players[Name],0)),"Y",IF(AA86=1,"A","N")))</f>
        <v/>
      </c>
      <c r="Z86" s="3" t="str">
        <f>IF(L86&lt;&gt;"PLAYER","",_xlfn.TEXTJOIN("; ",TRUE,IF(M86="","Empty name",IF(Y86="N",IF(AA86&gt;1,"Which "&amp;M86&amp;"? "&amp;AA86&amp;" players start with it (like "&amp;INDEX(Players[Name],MATCH(M86&amp;" ?",Players[Name],0))&amp;") - type the last initial",IF(ISNUMBER(FIND(" ",M86)),IF(IFERROR(IF(M86="",FALSE,OR(M86="Unknown",AND(LEN(M86)-LEN(SUBSTITUTE(M86," ",""))=1,LEN(M86)&gt;=4,MID(M86,LEN(M86)-1,1)=" ",CODE(RIGHT(M86,1))&gt;=65,CODE(RIGHT(M86,1))&lt;=90))),FALSE),"New player? Not on Players list - add it there first","Not on Players list and not First L format (like Zack B)")&amp;IF(ISNUMBER(MATCH(LEFT(M86,FIND(" ",M86)-1)&amp;" ?",Players[Name],0))," (same first name as "&amp;INDEX(Players[Name],MATCH(LEFT(M86,FIND(" ",M86)-1)&amp;" ?",Players[Name],0))&amp;")",""),"Not on Players list - type first name + last initial (like Zack B)")),"")),IF(OR(V86&lt;Pod_Min,V86&gt;Pod_Max),"Pod has "&amp;V86&amp;" players",""),IF(U86=0,IF(T86=0,"No winner (*) in pod",IF(T86&gt;1,T86&amp;" winners in pod","")),IF(U86&lt;V86,"Some = but not all players","")),IF(X86="Unknown","",IF(COUNTIFS($O$8:$O$257,O86,$Q$8:$Q$257,Q86,$X$8:$X$257,X86)&gt;1,"Name twice in pod",IF(COUNTIFS($O$8:$O$257,O86,$X$8:$X$257,X86)&gt;1,"Name in 2 pods this round","")))))</f>
        <v/>
      </c>
      <c r="AA86" s="3" t="str">
        <f>IF(L86&lt;&gt;"PLAYER","",IF(OR(M86="",ISNUMBER(FIND(" ",M86))),0,COUNTIF(Players[Name],M86&amp;" ?")))</f>
        <v/>
      </c>
    </row>
    <row r="87" spans="1:27" x14ac:dyDescent="0.45">
      <c r="A87" s="17"/>
      <c r="B87" s="6" t="str">
        <f t="shared" si="21"/>
        <v/>
      </c>
      <c r="C87" s="6" t="str">
        <f t="shared" si="22"/>
        <v/>
      </c>
      <c r="D87" s="6" t="str">
        <f t="shared" si="23"/>
        <v/>
      </c>
      <c r="E87" s="6" t="str">
        <f t="shared" si="24"/>
        <v/>
      </c>
      <c r="F87" s="6" t="str">
        <f t="shared" si="25"/>
        <v/>
      </c>
      <c r="G87" s="6" t="str">
        <f t="shared" si="26"/>
        <v/>
      </c>
      <c r="H87" s="10" t="str">
        <f t="shared" si="27"/>
        <v/>
      </c>
      <c r="I87" s="6" t="str">
        <f t="shared" si="28"/>
        <v/>
      </c>
      <c r="J87" s="3" t="str">
        <f>IFERROR(MATCH(ROWS(J$8:J87),$S$8:$S$257,0),"")</f>
        <v/>
      </c>
      <c r="K87" s="3" t="str">
        <f t="shared" si="29"/>
        <v/>
      </c>
      <c r="L87" s="3" t="str">
        <f t="shared" si="30"/>
        <v/>
      </c>
      <c r="M87" s="3" t="str">
        <f t="shared" si="31"/>
        <v/>
      </c>
      <c r="N87" s="3" t="str">
        <f t="shared" si="32"/>
        <v/>
      </c>
      <c r="O87" s="3">
        <f t="shared" si="33"/>
        <v>1</v>
      </c>
      <c r="P87" s="3">
        <f t="shared" si="34"/>
        <v>0</v>
      </c>
      <c r="Q87" s="3">
        <f t="shared" si="35"/>
        <v>0</v>
      </c>
      <c r="R87" s="3" t="str">
        <f t="shared" si="36"/>
        <v/>
      </c>
      <c r="S87" s="3">
        <f t="shared" si="37"/>
        <v>0</v>
      </c>
      <c r="T87" s="3" t="str">
        <f t="shared" si="38"/>
        <v/>
      </c>
      <c r="U87" s="3" t="str">
        <f t="shared" si="39"/>
        <v/>
      </c>
      <c r="V87" s="3" t="str">
        <f t="shared" si="40"/>
        <v/>
      </c>
      <c r="W87" s="3" t="str">
        <f t="shared" si="41"/>
        <v/>
      </c>
      <c r="X87" s="3" t="str">
        <f>IF(L87&lt;&gt;"PLAYER","",IF(Y87="Y",INDEX(Players[Name],MATCH(M87,Players[Name],0)),IF(Y87="A",INDEX(Players[Name],MATCH(M87&amp;" ?",Players[Name],0)),M87)))</f>
        <v/>
      </c>
      <c r="Y87" s="3" t="str">
        <f>IF(L87&lt;&gt;"PLAYER","",IF(ISNUMBER(MATCH(M87,Players[Name],0)),"Y",IF(AA87=1,"A","N")))</f>
        <v/>
      </c>
      <c r="Z87" s="3" t="str">
        <f>IF(L87&lt;&gt;"PLAYER","",_xlfn.TEXTJOIN("; ",TRUE,IF(M87="","Empty name",IF(Y87="N",IF(AA87&gt;1,"Which "&amp;M87&amp;"? "&amp;AA87&amp;" players start with it (like "&amp;INDEX(Players[Name],MATCH(M87&amp;" ?",Players[Name],0))&amp;") - type the last initial",IF(ISNUMBER(FIND(" ",M87)),IF(IFERROR(IF(M87="",FALSE,OR(M87="Unknown",AND(LEN(M87)-LEN(SUBSTITUTE(M87," ",""))=1,LEN(M87)&gt;=4,MID(M87,LEN(M87)-1,1)=" ",CODE(RIGHT(M87,1))&gt;=65,CODE(RIGHT(M87,1))&lt;=90))),FALSE),"New player? Not on Players list - add it there first","Not on Players list and not First L format (like Zack B)")&amp;IF(ISNUMBER(MATCH(LEFT(M87,FIND(" ",M87)-1)&amp;" ?",Players[Name],0))," (same first name as "&amp;INDEX(Players[Name],MATCH(LEFT(M87,FIND(" ",M87)-1)&amp;" ?",Players[Name],0))&amp;")",""),"Not on Players list - type first name + last initial (like Zack B)")),"")),IF(OR(V87&lt;Pod_Min,V87&gt;Pod_Max),"Pod has "&amp;V87&amp;" players",""),IF(U87=0,IF(T87=0,"No winner (*) in pod",IF(T87&gt;1,T87&amp;" winners in pod","")),IF(U87&lt;V87,"Some = but not all players","")),IF(X87="Unknown","",IF(COUNTIFS($O$8:$O$257,O87,$Q$8:$Q$257,Q87,$X$8:$X$257,X87)&gt;1,"Name twice in pod",IF(COUNTIFS($O$8:$O$257,O87,$X$8:$X$257,X87)&gt;1,"Name in 2 pods this round","")))))</f>
        <v/>
      </c>
      <c r="AA87" s="3" t="str">
        <f>IF(L87&lt;&gt;"PLAYER","",IF(OR(M87="",ISNUMBER(FIND(" ",M87))),0,COUNTIF(Players[Name],M87&amp;" ?")))</f>
        <v/>
      </c>
    </row>
    <row r="88" spans="1:27" x14ac:dyDescent="0.45">
      <c r="A88" s="17"/>
      <c r="B88" s="6" t="str">
        <f t="shared" si="21"/>
        <v/>
      </c>
      <c r="C88" s="6" t="str">
        <f t="shared" si="22"/>
        <v/>
      </c>
      <c r="D88" s="6" t="str">
        <f t="shared" si="23"/>
        <v/>
      </c>
      <c r="E88" s="6" t="str">
        <f t="shared" si="24"/>
        <v/>
      </c>
      <c r="F88" s="6" t="str">
        <f t="shared" si="25"/>
        <v/>
      </c>
      <c r="G88" s="6" t="str">
        <f t="shared" si="26"/>
        <v/>
      </c>
      <c r="H88" s="10" t="str">
        <f t="shared" si="27"/>
        <v/>
      </c>
      <c r="I88" s="6" t="str">
        <f t="shared" si="28"/>
        <v/>
      </c>
      <c r="J88" s="3" t="str">
        <f>IFERROR(MATCH(ROWS(J$8:J88),$S$8:$S$257,0),"")</f>
        <v/>
      </c>
      <c r="K88" s="3" t="str">
        <f t="shared" si="29"/>
        <v/>
      </c>
      <c r="L88" s="3" t="str">
        <f t="shared" si="30"/>
        <v/>
      </c>
      <c r="M88" s="3" t="str">
        <f t="shared" si="31"/>
        <v/>
      </c>
      <c r="N88" s="3" t="str">
        <f t="shared" si="32"/>
        <v/>
      </c>
      <c r="O88" s="3">
        <f t="shared" si="33"/>
        <v>1</v>
      </c>
      <c r="P88" s="3">
        <f t="shared" si="34"/>
        <v>0</v>
      </c>
      <c r="Q88" s="3">
        <f t="shared" si="35"/>
        <v>0</v>
      </c>
      <c r="R88" s="3" t="str">
        <f t="shared" si="36"/>
        <v/>
      </c>
      <c r="S88" s="3">
        <f t="shared" si="37"/>
        <v>0</v>
      </c>
      <c r="T88" s="3" t="str">
        <f t="shared" si="38"/>
        <v/>
      </c>
      <c r="U88" s="3" t="str">
        <f t="shared" si="39"/>
        <v/>
      </c>
      <c r="V88" s="3" t="str">
        <f t="shared" si="40"/>
        <v/>
      </c>
      <c r="W88" s="3" t="str">
        <f t="shared" si="41"/>
        <v/>
      </c>
      <c r="X88" s="3" t="str">
        <f>IF(L88&lt;&gt;"PLAYER","",IF(Y88="Y",INDEX(Players[Name],MATCH(M88,Players[Name],0)),IF(Y88="A",INDEX(Players[Name],MATCH(M88&amp;" ?",Players[Name],0)),M88)))</f>
        <v/>
      </c>
      <c r="Y88" s="3" t="str">
        <f>IF(L88&lt;&gt;"PLAYER","",IF(ISNUMBER(MATCH(M88,Players[Name],0)),"Y",IF(AA88=1,"A","N")))</f>
        <v/>
      </c>
      <c r="Z88" s="3" t="str">
        <f>IF(L88&lt;&gt;"PLAYER","",_xlfn.TEXTJOIN("; ",TRUE,IF(M88="","Empty name",IF(Y88="N",IF(AA88&gt;1,"Which "&amp;M88&amp;"? "&amp;AA88&amp;" players start with it (like "&amp;INDEX(Players[Name],MATCH(M88&amp;" ?",Players[Name],0))&amp;") - type the last initial",IF(ISNUMBER(FIND(" ",M88)),IF(IFERROR(IF(M88="",FALSE,OR(M88="Unknown",AND(LEN(M88)-LEN(SUBSTITUTE(M88," ",""))=1,LEN(M88)&gt;=4,MID(M88,LEN(M88)-1,1)=" ",CODE(RIGHT(M88,1))&gt;=65,CODE(RIGHT(M88,1))&lt;=90))),FALSE),"New player? Not on Players list - add it there first","Not on Players list and not First L format (like Zack B)")&amp;IF(ISNUMBER(MATCH(LEFT(M88,FIND(" ",M88)-1)&amp;" ?",Players[Name],0))," (same first name as "&amp;INDEX(Players[Name],MATCH(LEFT(M88,FIND(" ",M88)-1)&amp;" ?",Players[Name],0))&amp;")",""),"Not on Players list - type first name + last initial (like Zack B)")),"")),IF(OR(V88&lt;Pod_Min,V88&gt;Pod_Max),"Pod has "&amp;V88&amp;" players",""),IF(U88=0,IF(T88=0,"No winner (*) in pod",IF(T88&gt;1,T88&amp;" winners in pod","")),IF(U88&lt;V88,"Some = but not all players","")),IF(X88="Unknown","",IF(COUNTIFS($O$8:$O$257,O88,$Q$8:$Q$257,Q88,$X$8:$X$257,X88)&gt;1,"Name twice in pod",IF(COUNTIFS($O$8:$O$257,O88,$X$8:$X$257,X88)&gt;1,"Name in 2 pods this round","")))))</f>
        <v/>
      </c>
      <c r="AA88" s="3" t="str">
        <f>IF(L88&lt;&gt;"PLAYER","",IF(OR(M88="",ISNUMBER(FIND(" ",M88))),0,COUNTIF(Players[Name],M88&amp;" ?")))</f>
        <v/>
      </c>
    </row>
    <row r="89" spans="1:27" x14ac:dyDescent="0.45">
      <c r="A89" s="17"/>
      <c r="B89" s="6" t="str">
        <f t="shared" si="21"/>
        <v/>
      </c>
      <c r="C89" s="6" t="str">
        <f t="shared" si="22"/>
        <v/>
      </c>
      <c r="D89" s="6" t="str">
        <f t="shared" si="23"/>
        <v/>
      </c>
      <c r="E89" s="6" t="str">
        <f t="shared" si="24"/>
        <v/>
      </c>
      <c r="F89" s="6" t="str">
        <f t="shared" si="25"/>
        <v/>
      </c>
      <c r="G89" s="6" t="str">
        <f t="shared" si="26"/>
        <v/>
      </c>
      <c r="H89" s="10" t="str">
        <f t="shared" si="27"/>
        <v/>
      </c>
      <c r="I89" s="6" t="str">
        <f t="shared" si="28"/>
        <v/>
      </c>
      <c r="J89" s="3" t="str">
        <f>IFERROR(MATCH(ROWS(J$8:J89),$S$8:$S$257,0),"")</f>
        <v/>
      </c>
      <c r="K89" s="3" t="str">
        <f t="shared" si="29"/>
        <v/>
      </c>
      <c r="L89" s="3" t="str">
        <f t="shared" si="30"/>
        <v/>
      </c>
      <c r="M89" s="3" t="str">
        <f t="shared" si="31"/>
        <v/>
      </c>
      <c r="N89" s="3" t="str">
        <f t="shared" si="32"/>
        <v/>
      </c>
      <c r="O89" s="3">
        <f t="shared" si="33"/>
        <v>1</v>
      </c>
      <c r="P89" s="3">
        <f t="shared" si="34"/>
        <v>0</v>
      </c>
      <c r="Q89" s="3">
        <f t="shared" si="35"/>
        <v>0</v>
      </c>
      <c r="R89" s="3" t="str">
        <f t="shared" si="36"/>
        <v/>
      </c>
      <c r="S89" s="3">
        <f t="shared" si="37"/>
        <v>0</v>
      </c>
      <c r="T89" s="3" t="str">
        <f t="shared" si="38"/>
        <v/>
      </c>
      <c r="U89" s="3" t="str">
        <f t="shared" si="39"/>
        <v/>
      </c>
      <c r="V89" s="3" t="str">
        <f t="shared" si="40"/>
        <v/>
      </c>
      <c r="W89" s="3" t="str">
        <f t="shared" si="41"/>
        <v/>
      </c>
      <c r="X89" s="3" t="str">
        <f>IF(L89&lt;&gt;"PLAYER","",IF(Y89="Y",INDEX(Players[Name],MATCH(M89,Players[Name],0)),IF(Y89="A",INDEX(Players[Name],MATCH(M89&amp;" ?",Players[Name],0)),M89)))</f>
        <v/>
      </c>
      <c r="Y89" s="3" t="str">
        <f>IF(L89&lt;&gt;"PLAYER","",IF(ISNUMBER(MATCH(M89,Players[Name],0)),"Y",IF(AA89=1,"A","N")))</f>
        <v/>
      </c>
      <c r="Z89" s="3" t="str">
        <f>IF(L89&lt;&gt;"PLAYER","",_xlfn.TEXTJOIN("; ",TRUE,IF(M89="","Empty name",IF(Y89="N",IF(AA89&gt;1,"Which "&amp;M89&amp;"? "&amp;AA89&amp;" players start with it (like "&amp;INDEX(Players[Name],MATCH(M89&amp;" ?",Players[Name],0))&amp;") - type the last initial",IF(ISNUMBER(FIND(" ",M89)),IF(IFERROR(IF(M89="",FALSE,OR(M89="Unknown",AND(LEN(M89)-LEN(SUBSTITUTE(M89," ",""))=1,LEN(M89)&gt;=4,MID(M89,LEN(M89)-1,1)=" ",CODE(RIGHT(M89,1))&gt;=65,CODE(RIGHT(M89,1))&lt;=90))),FALSE),"New player? Not on Players list - add it there first","Not on Players list and not First L format (like Zack B)")&amp;IF(ISNUMBER(MATCH(LEFT(M89,FIND(" ",M89)-1)&amp;" ?",Players[Name],0))," (same first name as "&amp;INDEX(Players[Name],MATCH(LEFT(M89,FIND(" ",M89)-1)&amp;" ?",Players[Name],0))&amp;")",""),"Not on Players list - type first name + last initial (like Zack B)")),"")),IF(OR(V89&lt;Pod_Min,V89&gt;Pod_Max),"Pod has "&amp;V89&amp;" players",""),IF(U89=0,IF(T89=0,"No winner (*) in pod",IF(T89&gt;1,T89&amp;" winners in pod","")),IF(U89&lt;V89,"Some = but not all players","")),IF(X89="Unknown","",IF(COUNTIFS($O$8:$O$257,O89,$Q$8:$Q$257,Q89,$X$8:$X$257,X89)&gt;1,"Name twice in pod",IF(COUNTIFS($O$8:$O$257,O89,$X$8:$X$257,X89)&gt;1,"Name in 2 pods this round","")))))</f>
        <v/>
      </c>
      <c r="AA89" s="3" t="str">
        <f>IF(L89&lt;&gt;"PLAYER","",IF(OR(M89="",ISNUMBER(FIND(" ",M89))),0,COUNTIF(Players[Name],M89&amp;" ?")))</f>
        <v/>
      </c>
    </row>
    <row r="90" spans="1:27" x14ac:dyDescent="0.45">
      <c r="A90" s="17"/>
      <c r="B90" s="6" t="str">
        <f t="shared" si="21"/>
        <v/>
      </c>
      <c r="C90" s="6" t="str">
        <f t="shared" si="22"/>
        <v/>
      </c>
      <c r="D90" s="6" t="str">
        <f t="shared" si="23"/>
        <v/>
      </c>
      <c r="E90" s="6" t="str">
        <f t="shared" si="24"/>
        <v/>
      </c>
      <c r="F90" s="6" t="str">
        <f t="shared" si="25"/>
        <v/>
      </c>
      <c r="G90" s="6" t="str">
        <f t="shared" si="26"/>
        <v/>
      </c>
      <c r="H90" s="10" t="str">
        <f t="shared" si="27"/>
        <v/>
      </c>
      <c r="I90" s="6" t="str">
        <f t="shared" si="28"/>
        <v/>
      </c>
      <c r="J90" s="3" t="str">
        <f>IFERROR(MATCH(ROWS(J$8:J90),$S$8:$S$257,0),"")</f>
        <v/>
      </c>
      <c r="K90" s="3" t="str">
        <f t="shared" si="29"/>
        <v/>
      </c>
      <c r="L90" s="3" t="str">
        <f t="shared" si="30"/>
        <v/>
      </c>
      <c r="M90" s="3" t="str">
        <f t="shared" si="31"/>
        <v/>
      </c>
      <c r="N90" s="3" t="str">
        <f t="shared" si="32"/>
        <v/>
      </c>
      <c r="O90" s="3">
        <f t="shared" si="33"/>
        <v>1</v>
      </c>
      <c r="P90" s="3">
        <f t="shared" si="34"/>
        <v>0</v>
      </c>
      <c r="Q90" s="3">
        <f t="shared" si="35"/>
        <v>0</v>
      </c>
      <c r="R90" s="3" t="str">
        <f t="shared" si="36"/>
        <v/>
      </c>
      <c r="S90" s="3">
        <f t="shared" si="37"/>
        <v>0</v>
      </c>
      <c r="T90" s="3" t="str">
        <f t="shared" si="38"/>
        <v/>
      </c>
      <c r="U90" s="3" t="str">
        <f t="shared" si="39"/>
        <v/>
      </c>
      <c r="V90" s="3" t="str">
        <f t="shared" si="40"/>
        <v/>
      </c>
      <c r="W90" s="3" t="str">
        <f t="shared" si="41"/>
        <v/>
      </c>
      <c r="X90" s="3" t="str">
        <f>IF(L90&lt;&gt;"PLAYER","",IF(Y90="Y",INDEX(Players[Name],MATCH(M90,Players[Name],0)),IF(Y90="A",INDEX(Players[Name],MATCH(M90&amp;" ?",Players[Name],0)),M90)))</f>
        <v/>
      </c>
      <c r="Y90" s="3" t="str">
        <f>IF(L90&lt;&gt;"PLAYER","",IF(ISNUMBER(MATCH(M90,Players[Name],0)),"Y",IF(AA90=1,"A","N")))</f>
        <v/>
      </c>
      <c r="Z90" s="3" t="str">
        <f>IF(L90&lt;&gt;"PLAYER","",_xlfn.TEXTJOIN("; ",TRUE,IF(M90="","Empty name",IF(Y90="N",IF(AA90&gt;1,"Which "&amp;M90&amp;"? "&amp;AA90&amp;" players start with it (like "&amp;INDEX(Players[Name],MATCH(M90&amp;" ?",Players[Name],0))&amp;") - type the last initial",IF(ISNUMBER(FIND(" ",M90)),IF(IFERROR(IF(M90="",FALSE,OR(M90="Unknown",AND(LEN(M90)-LEN(SUBSTITUTE(M90," ",""))=1,LEN(M90)&gt;=4,MID(M90,LEN(M90)-1,1)=" ",CODE(RIGHT(M90,1))&gt;=65,CODE(RIGHT(M90,1))&lt;=90))),FALSE),"New player? Not on Players list - add it there first","Not on Players list and not First L format (like Zack B)")&amp;IF(ISNUMBER(MATCH(LEFT(M90,FIND(" ",M90)-1)&amp;" ?",Players[Name],0))," (same first name as "&amp;INDEX(Players[Name],MATCH(LEFT(M90,FIND(" ",M90)-1)&amp;" ?",Players[Name],0))&amp;")",""),"Not on Players list - type first name + last initial (like Zack B)")),"")),IF(OR(V90&lt;Pod_Min,V90&gt;Pod_Max),"Pod has "&amp;V90&amp;" players",""),IF(U90=0,IF(T90=0,"No winner (*) in pod",IF(T90&gt;1,T90&amp;" winners in pod","")),IF(U90&lt;V90,"Some = but not all players","")),IF(X90="Unknown","",IF(COUNTIFS($O$8:$O$257,O90,$Q$8:$Q$257,Q90,$X$8:$X$257,X90)&gt;1,"Name twice in pod",IF(COUNTIFS($O$8:$O$257,O90,$X$8:$X$257,X90)&gt;1,"Name in 2 pods this round","")))))</f>
        <v/>
      </c>
      <c r="AA90" s="3" t="str">
        <f>IF(L90&lt;&gt;"PLAYER","",IF(OR(M90="",ISNUMBER(FIND(" ",M90))),0,COUNTIF(Players[Name],M90&amp;" ?")))</f>
        <v/>
      </c>
    </row>
    <row r="91" spans="1:27" x14ac:dyDescent="0.45">
      <c r="A91" s="17"/>
      <c r="B91" s="6" t="str">
        <f t="shared" si="21"/>
        <v/>
      </c>
      <c r="C91" s="6" t="str">
        <f t="shared" si="22"/>
        <v/>
      </c>
      <c r="D91" s="6" t="str">
        <f t="shared" si="23"/>
        <v/>
      </c>
      <c r="E91" s="6" t="str">
        <f t="shared" si="24"/>
        <v/>
      </c>
      <c r="F91" s="6" t="str">
        <f t="shared" si="25"/>
        <v/>
      </c>
      <c r="G91" s="6" t="str">
        <f t="shared" si="26"/>
        <v/>
      </c>
      <c r="H91" s="10" t="str">
        <f t="shared" si="27"/>
        <v/>
      </c>
      <c r="I91" s="6" t="str">
        <f t="shared" si="28"/>
        <v/>
      </c>
      <c r="J91" s="3" t="str">
        <f>IFERROR(MATCH(ROWS(J$8:J91),$S$8:$S$257,0),"")</f>
        <v/>
      </c>
      <c r="K91" s="3" t="str">
        <f t="shared" si="29"/>
        <v/>
      </c>
      <c r="L91" s="3" t="str">
        <f t="shared" si="30"/>
        <v/>
      </c>
      <c r="M91" s="3" t="str">
        <f t="shared" si="31"/>
        <v/>
      </c>
      <c r="N91" s="3" t="str">
        <f t="shared" si="32"/>
        <v/>
      </c>
      <c r="O91" s="3">
        <f t="shared" si="33"/>
        <v>1</v>
      </c>
      <c r="P91" s="3">
        <f t="shared" si="34"/>
        <v>0</v>
      </c>
      <c r="Q91" s="3">
        <f t="shared" si="35"/>
        <v>0</v>
      </c>
      <c r="R91" s="3" t="str">
        <f t="shared" si="36"/>
        <v/>
      </c>
      <c r="S91" s="3">
        <f t="shared" si="37"/>
        <v>0</v>
      </c>
      <c r="T91" s="3" t="str">
        <f t="shared" si="38"/>
        <v/>
      </c>
      <c r="U91" s="3" t="str">
        <f t="shared" si="39"/>
        <v/>
      </c>
      <c r="V91" s="3" t="str">
        <f t="shared" si="40"/>
        <v/>
      </c>
      <c r="W91" s="3" t="str">
        <f t="shared" si="41"/>
        <v/>
      </c>
      <c r="X91" s="3" t="str">
        <f>IF(L91&lt;&gt;"PLAYER","",IF(Y91="Y",INDEX(Players[Name],MATCH(M91,Players[Name],0)),IF(Y91="A",INDEX(Players[Name],MATCH(M91&amp;" ?",Players[Name],0)),M91)))</f>
        <v/>
      </c>
      <c r="Y91" s="3" t="str">
        <f>IF(L91&lt;&gt;"PLAYER","",IF(ISNUMBER(MATCH(M91,Players[Name],0)),"Y",IF(AA91=1,"A","N")))</f>
        <v/>
      </c>
      <c r="Z91" s="3" t="str">
        <f>IF(L91&lt;&gt;"PLAYER","",_xlfn.TEXTJOIN("; ",TRUE,IF(M91="","Empty name",IF(Y91="N",IF(AA91&gt;1,"Which "&amp;M91&amp;"? "&amp;AA91&amp;" players start with it (like "&amp;INDEX(Players[Name],MATCH(M91&amp;" ?",Players[Name],0))&amp;") - type the last initial",IF(ISNUMBER(FIND(" ",M91)),IF(IFERROR(IF(M91="",FALSE,OR(M91="Unknown",AND(LEN(M91)-LEN(SUBSTITUTE(M91," ",""))=1,LEN(M91)&gt;=4,MID(M91,LEN(M91)-1,1)=" ",CODE(RIGHT(M91,1))&gt;=65,CODE(RIGHT(M91,1))&lt;=90))),FALSE),"New player? Not on Players list - add it there first","Not on Players list and not First L format (like Zack B)")&amp;IF(ISNUMBER(MATCH(LEFT(M91,FIND(" ",M91)-1)&amp;" ?",Players[Name],0))," (same first name as "&amp;INDEX(Players[Name],MATCH(LEFT(M91,FIND(" ",M91)-1)&amp;" ?",Players[Name],0))&amp;")",""),"Not on Players list - type first name + last initial (like Zack B)")),"")),IF(OR(V91&lt;Pod_Min,V91&gt;Pod_Max),"Pod has "&amp;V91&amp;" players",""),IF(U91=0,IF(T91=0,"No winner (*) in pod",IF(T91&gt;1,T91&amp;" winners in pod","")),IF(U91&lt;V91,"Some = but not all players","")),IF(X91="Unknown","",IF(COUNTIFS($O$8:$O$257,O91,$Q$8:$Q$257,Q91,$X$8:$X$257,X91)&gt;1,"Name twice in pod",IF(COUNTIFS($O$8:$O$257,O91,$X$8:$X$257,X91)&gt;1,"Name in 2 pods this round","")))))</f>
        <v/>
      </c>
      <c r="AA91" s="3" t="str">
        <f>IF(L91&lt;&gt;"PLAYER","",IF(OR(M91="",ISNUMBER(FIND(" ",M91))),0,COUNTIF(Players[Name],M91&amp;" ?")))</f>
        <v/>
      </c>
    </row>
    <row r="92" spans="1:27" x14ac:dyDescent="0.45">
      <c r="A92" s="17"/>
      <c r="B92" s="6" t="str">
        <f t="shared" si="21"/>
        <v/>
      </c>
      <c r="C92" s="6" t="str">
        <f t="shared" si="22"/>
        <v/>
      </c>
      <c r="D92" s="6" t="str">
        <f t="shared" si="23"/>
        <v/>
      </c>
      <c r="E92" s="6" t="str">
        <f t="shared" si="24"/>
        <v/>
      </c>
      <c r="F92" s="6" t="str">
        <f t="shared" si="25"/>
        <v/>
      </c>
      <c r="G92" s="6" t="str">
        <f t="shared" si="26"/>
        <v/>
      </c>
      <c r="H92" s="10" t="str">
        <f t="shared" si="27"/>
        <v/>
      </c>
      <c r="I92" s="6" t="str">
        <f t="shared" si="28"/>
        <v/>
      </c>
      <c r="J92" s="3" t="str">
        <f>IFERROR(MATCH(ROWS(J$8:J92),$S$8:$S$257,0),"")</f>
        <v/>
      </c>
      <c r="K92" s="3" t="str">
        <f t="shared" si="29"/>
        <v/>
      </c>
      <c r="L92" s="3" t="str">
        <f t="shared" si="30"/>
        <v/>
      </c>
      <c r="M92" s="3" t="str">
        <f t="shared" si="31"/>
        <v/>
      </c>
      <c r="N92" s="3" t="str">
        <f t="shared" si="32"/>
        <v/>
      </c>
      <c r="O92" s="3">
        <f t="shared" si="33"/>
        <v>1</v>
      </c>
      <c r="P92" s="3">
        <f t="shared" si="34"/>
        <v>0</v>
      </c>
      <c r="Q92" s="3">
        <f t="shared" si="35"/>
        <v>0</v>
      </c>
      <c r="R92" s="3" t="str">
        <f t="shared" si="36"/>
        <v/>
      </c>
      <c r="S92" s="3">
        <f t="shared" si="37"/>
        <v>0</v>
      </c>
      <c r="T92" s="3" t="str">
        <f t="shared" si="38"/>
        <v/>
      </c>
      <c r="U92" s="3" t="str">
        <f t="shared" si="39"/>
        <v/>
      </c>
      <c r="V92" s="3" t="str">
        <f t="shared" si="40"/>
        <v/>
      </c>
      <c r="W92" s="3" t="str">
        <f t="shared" si="41"/>
        <v/>
      </c>
      <c r="X92" s="3" t="str">
        <f>IF(L92&lt;&gt;"PLAYER","",IF(Y92="Y",INDEX(Players[Name],MATCH(M92,Players[Name],0)),IF(Y92="A",INDEX(Players[Name],MATCH(M92&amp;" ?",Players[Name],0)),M92)))</f>
        <v/>
      </c>
      <c r="Y92" s="3" t="str">
        <f>IF(L92&lt;&gt;"PLAYER","",IF(ISNUMBER(MATCH(M92,Players[Name],0)),"Y",IF(AA92=1,"A","N")))</f>
        <v/>
      </c>
      <c r="Z92" s="3" t="str">
        <f>IF(L92&lt;&gt;"PLAYER","",_xlfn.TEXTJOIN("; ",TRUE,IF(M92="","Empty name",IF(Y92="N",IF(AA92&gt;1,"Which "&amp;M92&amp;"? "&amp;AA92&amp;" players start with it (like "&amp;INDEX(Players[Name],MATCH(M92&amp;" ?",Players[Name],0))&amp;") - type the last initial",IF(ISNUMBER(FIND(" ",M92)),IF(IFERROR(IF(M92="",FALSE,OR(M92="Unknown",AND(LEN(M92)-LEN(SUBSTITUTE(M92," ",""))=1,LEN(M92)&gt;=4,MID(M92,LEN(M92)-1,1)=" ",CODE(RIGHT(M92,1))&gt;=65,CODE(RIGHT(M92,1))&lt;=90))),FALSE),"New player? Not on Players list - add it there first","Not on Players list and not First L format (like Zack B)")&amp;IF(ISNUMBER(MATCH(LEFT(M92,FIND(" ",M92)-1)&amp;" ?",Players[Name],0))," (same first name as "&amp;INDEX(Players[Name],MATCH(LEFT(M92,FIND(" ",M92)-1)&amp;" ?",Players[Name],0))&amp;")",""),"Not on Players list - type first name + last initial (like Zack B)")),"")),IF(OR(V92&lt;Pod_Min,V92&gt;Pod_Max),"Pod has "&amp;V92&amp;" players",""),IF(U92=0,IF(T92=0,"No winner (*) in pod",IF(T92&gt;1,T92&amp;" winners in pod","")),IF(U92&lt;V92,"Some = but not all players","")),IF(X92="Unknown","",IF(COUNTIFS($O$8:$O$257,O92,$Q$8:$Q$257,Q92,$X$8:$X$257,X92)&gt;1,"Name twice in pod",IF(COUNTIFS($O$8:$O$257,O92,$X$8:$X$257,X92)&gt;1,"Name in 2 pods this round","")))))</f>
        <v/>
      </c>
      <c r="AA92" s="3" t="str">
        <f>IF(L92&lt;&gt;"PLAYER","",IF(OR(M92="",ISNUMBER(FIND(" ",M92))),0,COUNTIF(Players[Name],M92&amp;" ?")))</f>
        <v/>
      </c>
    </row>
    <row r="93" spans="1:27" x14ac:dyDescent="0.45">
      <c r="A93" s="17"/>
      <c r="B93" s="6" t="str">
        <f t="shared" si="21"/>
        <v/>
      </c>
      <c r="C93" s="6" t="str">
        <f t="shared" si="22"/>
        <v/>
      </c>
      <c r="D93" s="6" t="str">
        <f t="shared" si="23"/>
        <v/>
      </c>
      <c r="E93" s="6" t="str">
        <f t="shared" si="24"/>
        <v/>
      </c>
      <c r="F93" s="6" t="str">
        <f t="shared" si="25"/>
        <v/>
      </c>
      <c r="G93" s="6" t="str">
        <f t="shared" si="26"/>
        <v/>
      </c>
      <c r="H93" s="10" t="str">
        <f t="shared" si="27"/>
        <v/>
      </c>
      <c r="I93" s="6" t="str">
        <f t="shared" si="28"/>
        <v/>
      </c>
      <c r="J93" s="3" t="str">
        <f>IFERROR(MATCH(ROWS(J$8:J93),$S$8:$S$257,0),"")</f>
        <v/>
      </c>
      <c r="K93" s="3" t="str">
        <f t="shared" si="29"/>
        <v/>
      </c>
      <c r="L93" s="3" t="str">
        <f t="shared" si="30"/>
        <v/>
      </c>
      <c r="M93" s="3" t="str">
        <f t="shared" si="31"/>
        <v/>
      </c>
      <c r="N93" s="3" t="str">
        <f t="shared" si="32"/>
        <v/>
      </c>
      <c r="O93" s="3">
        <f t="shared" si="33"/>
        <v>1</v>
      </c>
      <c r="P93" s="3">
        <f t="shared" si="34"/>
        <v>0</v>
      </c>
      <c r="Q93" s="3">
        <f t="shared" si="35"/>
        <v>0</v>
      </c>
      <c r="R93" s="3" t="str">
        <f t="shared" si="36"/>
        <v/>
      </c>
      <c r="S93" s="3">
        <f t="shared" si="37"/>
        <v>0</v>
      </c>
      <c r="T93" s="3" t="str">
        <f t="shared" si="38"/>
        <v/>
      </c>
      <c r="U93" s="3" t="str">
        <f t="shared" si="39"/>
        <v/>
      </c>
      <c r="V93" s="3" t="str">
        <f t="shared" si="40"/>
        <v/>
      </c>
      <c r="W93" s="3" t="str">
        <f t="shared" si="41"/>
        <v/>
      </c>
      <c r="X93" s="3" t="str">
        <f>IF(L93&lt;&gt;"PLAYER","",IF(Y93="Y",INDEX(Players[Name],MATCH(M93,Players[Name],0)),IF(Y93="A",INDEX(Players[Name],MATCH(M93&amp;" ?",Players[Name],0)),M93)))</f>
        <v/>
      </c>
      <c r="Y93" s="3" t="str">
        <f>IF(L93&lt;&gt;"PLAYER","",IF(ISNUMBER(MATCH(M93,Players[Name],0)),"Y",IF(AA93=1,"A","N")))</f>
        <v/>
      </c>
      <c r="Z93" s="3" t="str">
        <f>IF(L93&lt;&gt;"PLAYER","",_xlfn.TEXTJOIN("; ",TRUE,IF(M93="","Empty name",IF(Y93="N",IF(AA93&gt;1,"Which "&amp;M93&amp;"? "&amp;AA93&amp;" players start with it (like "&amp;INDEX(Players[Name],MATCH(M93&amp;" ?",Players[Name],0))&amp;") - type the last initial",IF(ISNUMBER(FIND(" ",M93)),IF(IFERROR(IF(M93="",FALSE,OR(M93="Unknown",AND(LEN(M93)-LEN(SUBSTITUTE(M93," ",""))=1,LEN(M93)&gt;=4,MID(M93,LEN(M93)-1,1)=" ",CODE(RIGHT(M93,1))&gt;=65,CODE(RIGHT(M93,1))&lt;=90))),FALSE),"New player? Not on Players list - add it there first","Not on Players list and not First L format (like Zack B)")&amp;IF(ISNUMBER(MATCH(LEFT(M93,FIND(" ",M93)-1)&amp;" ?",Players[Name],0))," (same first name as "&amp;INDEX(Players[Name],MATCH(LEFT(M93,FIND(" ",M93)-1)&amp;" ?",Players[Name],0))&amp;")",""),"Not on Players list - type first name + last initial (like Zack B)")),"")),IF(OR(V93&lt;Pod_Min,V93&gt;Pod_Max),"Pod has "&amp;V93&amp;" players",""),IF(U93=0,IF(T93=0,"No winner (*) in pod",IF(T93&gt;1,T93&amp;" winners in pod","")),IF(U93&lt;V93,"Some = but not all players","")),IF(X93="Unknown","",IF(COUNTIFS($O$8:$O$257,O93,$Q$8:$Q$257,Q93,$X$8:$X$257,X93)&gt;1,"Name twice in pod",IF(COUNTIFS($O$8:$O$257,O93,$X$8:$X$257,X93)&gt;1,"Name in 2 pods this round","")))))</f>
        <v/>
      </c>
      <c r="AA93" s="3" t="str">
        <f>IF(L93&lt;&gt;"PLAYER","",IF(OR(M93="",ISNUMBER(FIND(" ",M93))),0,COUNTIF(Players[Name],M93&amp;" ?")))</f>
        <v/>
      </c>
    </row>
    <row r="94" spans="1:27" x14ac:dyDescent="0.45">
      <c r="A94" s="17"/>
      <c r="B94" s="6" t="str">
        <f t="shared" si="21"/>
        <v/>
      </c>
      <c r="C94" s="6" t="str">
        <f t="shared" si="22"/>
        <v/>
      </c>
      <c r="D94" s="6" t="str">
        <f t="shared" si="23"/>
        <v/>
      </c>
      <c r="E94" s="6" t="str">
        <f t="shared" si="24"/>
        <v/>
      </c>
      <c r="F94" s="6" t="str">
        <f t="shared" si="25"/>
        <v/>
      </c>
      <c r="G94" s="6" t="str">
        <f t="shared" si="26"/>
        <v/>
      </c>
      <c r="H94" s="10" t="str">
        <f t="shared" si="27"/>
        <v/>
      </c>
      <c r="I94" s="6" t="str">
        <f t="shared" si="28"/>
        <v/>
      </c>
      <c r="J94" s="3" t="str">
        <f>IFERROR(MATCH(ROWS(J$8:J94),$S$8:$S$257,0),"")</f>
        <v/>
      </c>
      <c r="K94" s="3" t="str">
        <f t="shared" si="29"/>
        <v/>
      </c>
      <c r="L94" s="3" t="str">
        <f t="shared" si="30"/>
        <v/>
      </c>
      <c r="M94" s="3" t="str">
        <f t="shared" si="31"/>
        <v/>
      </c>
      <c r="N94" s="3" t="str">
        <f t="shared" si="32"/>
        <v/>
      </c>
      <c r="O94" s="3">
        <f t="shared" si="33"/>
        <v>1</v>
      </c>
      <c r="P94" s="3">
        <f t="shared" si="34"/>
        <v>0</v>
      </c>
      <c r="Q94" s="3">
        <f t="shared" si="35"/>
        <v>0</v>
      </c>
      <c r="R94" s="3" t="str">
        <f t="shared" si="36"/>
        <v/>
      </c>
      <c r="S94" s="3">
        <f t="shared" si="37"/>
        <v>0</v>
      </c>
      <c r="T94" s="3" t="str">
        <f t="shared" si="38"/>
        <v/>
      </c>
      <c r="U94" s="3" t="str">
        <f t="shared" si="39"/>
        <v/>
      </c>
      <c r="V94" s="3" t="str">
        <f t="shared" si="40"/>
        <v/>
      </c>
      <c r="W94" s="3" t="str">
        <f t="shared" si="41"/>
        <v/>
      </c>
      <c r="X94" s="3" t="str">
        <f>IF(L94&lt;&gt;"PLAYER","",IF(Y94="Y",INDEX(Players[Name],MATCH(M94,Players[Name],0)),IF(Y94="A",INDEX(Players[Name],MATCH(M94&amp;" ?",Players[Name],0)),M94)))</f>
        <v/>
      </c>
      <c r="Y94" s="3" t="str">
        <f>IF(L94&lt;&gt;"PLAYER","",IF(ISNUMBER(MATCH(M94,Players[Name],0)),"Y",IF(AA94=1,"A","N")))</f>
        <v/>
      </c>
      <c r="Z94" s="3" t="str">
        <f>IF(L94&lt;&gt;"PLAYER","",_xlfn.TEXTJOIN("; ",TRUE,IF(M94="","Empty name",IF(Y94="N",IF(AA94&gt;1,"Which "&amp;M94&amp;"? "&amp;AA94&amp;" players start with it (like "&amp;INDEX(Players[Name],MATCH(M94&amp;" ?",Players[Name],0))&amp;") - type the last initial",IF(ISNUMBER(FIND(" ",M94)),IF(IFERROR(IF(M94="",FALSE,OR(M94="Unknown",AND(LEN(M94)-LEN(SUBSTITUTE(M94," ",""))=1,LEN(M94)&gt;=4,MID(M94,LEN(M94)-1,1)=" ",CODE(RIGHT(M94,1))&gt;=65,CODE(RIGHT(M94,1))&lt;=90))),FALSE),"New player? Not on Players list - add it there first","Not on Players list and not First L format (like Zack B)")&amp;IF(ISNUMBER(MATCH(LEFT(M94,FIND(" ",M94)-1)&amp;" ?",Players[Name],0))," (same first name as "&amp;INDEX(Players[Name],MATCH(LEFT(M94,FIND(" ",M94)-1)&amp;" ?",Players[Name],0))&amp;")",""),"Not on Players list - type first name + last initial (like Zack B)")),"")),IF(OR(V94&lt;Pod_Min,V94&gt;Pod_Max),"Pod has "&amp;V94&amp;" players",""),IF(U94=0,IF(T94=0,"No winner (*) in pod",IF(T94&gt;1,T94&amp;" winners in pod","")),IF(U94&lt;V94,"Some = but not all players","")),IF(X94="Unknown","",IF(COUNTIFS($O$8:$O$257,O94,$Q$8:$Q$257,Q94,$X$8:$X$257,X94)&gt;1,"Name twice in pod",IF(COUNTIFS($O$8:$O$257,O94,$X$8:$X$257,X94)&gt;1,"Name in 2 pods this round","")))))</f>
        <v/>
      </c>
      <c r="AA94" s="3" t="str">
        <f>IF(L94&lt;&gt;"PLAYER","",IF(OR(M94="",ISNUMBER(FIND(" ",M94))),0,COUNTIF(Players[Name],M94&amp;" ?")))</f>
        <v/>
      </c>
    </row>
    <row r="95" spans="1:27" x14ac:dyDescent="0.45">
      <c r="A95" s="17"/>
      <c r="B95" s="6" t="str">
        <f t="shared" si="21"/>
        <v/>
      </c>
      <c r="C95" s="6" t="str">
        <f t="shared" si="22"/>
        <v/>
      </c>
      <c r="D95" s="6" t="str">
        <f t="shared" si="23"/>
        <v/>
      </c>
      <c r="E95" s="6" t="str">
        <f t="shared" si="24"/>
        <v/>
      </c>
      <c r="F95" s="6" t="str">
        <f t="shared" si="25"/>
        <v/>
      </c>
      <c r="G95" s="6" t="str">
        <f t="shared" si="26"/>
        <v/>
      </c>
      <c r="H95" s="10" t="str">
        <f t="shared" si="27"/>
        <v/>
      </c>
      <c r="I95" s="6" t="str">
        <f t="shared" si="28"/>
        <v/>
      </c>
      <c r="J95" s="3" t="str">
        <f>IFERROR(MATCH(ROWS(J$8:J95),$S$8:$S$257,0),"")</f>
        <v/>
      </c>
      <c r="K95" s="3" t="str">
        <f t="shared" si="29"/>
        <v/>
      </c>
      <c r="L95" s="3" t="str">
        <f t="shared" si="30"/>
        <v/>
      </c>
      <c r="M95" s="3" t="str">
        <f t="shared" si="31"/>
        <v/>
      </c>
      <c r="N95" s="3" t="str">
        <f t="shared" si="32"/>
        <v/>
      </c>
      <c r="O95" s="3">
        <f t="shared" si="33"/>
        <v>1</v>
      </c>
      <c r="P95" s="3">
        <f t="shared" si="34"/>
        <v>0</v>
      </c>
      <c r="Q95" s="3">
        <f t="shared" si="35"/>
        <v>0</v>
      </c>
      <c r="R95" s="3" t="str">
        <f t="shared" si="36"/>
        <v/>
      </c>
      <c r="S95" s="3">
        <f t="shared" si="37"/>
        <v>0</v>
      </c>
      <c r="T95" s="3" t="str">
        <f t="shared" si="38"/>
        <v/>
      </c>
      <c r="U95" s="3" t="str">
        <f t="shared" si="39"/>
        <v/>
      </c>
      <c r="V95" s="3" t="str">
        <f t="shared" si="40"/>
        <v/>
      </c>
      <c r="W95" s="3" t="str">
        <f t="shared" si="41"/>
        <v/>
      </c>
      <c r="X95" s="3" t="str">
        <f>IF(L95&lt;&gt;"PLAYER","",IF(Y95="Y",INDEX(Players[Name],MATCH(M95,Players[Name],0)),IF(Y95="A",INDEX(Players[Name],MATCH(M95&amp;" ?",Players[Name],0)),M95)))</f>
        <v/>
      </c>
      <c r="Y95" s="3" t="str">
        <f>IF(L95&lt;&gt;"PLAYER","",IF(ISNUMBER(MATCH(M95,Players[Name],0)),"Y",IF(AA95=1,"A","N")))</f>
        <v/>
      </c>
      <c r="Z95" s="3" t="str">
        <f>IF(L95&lt;&gt;"PLAYER","",_xlfn.TEXTJOIN("; ",TRUE,IF(M95="","Empty name",IF(Y95="N",IF(AA95&gt;1,"Which "&amp;M95&amp;"? "&amp;AA95&amp;" players start with it (like "&amp;INDEX(Players[Name],MATCH(M95&amp;" ?",Players[Name],0))&amp;") - type the last initial",IF(ISNUMBER(FIND(" ",M95)),IF(IFERROR(IF(M95="",FALSE,OR(M95="Unknown",AND(LEN(M95)-LEN(SUBSTITUTE(M95," ",""))=1,LEN(M95)&gt;=4,MID(M95,LEN(M95)-1,1)=" ",CODE(RIGHT(M95,1))&gt;=65,CODE(RIGHT(M95,1))&lt;=90))),FALSE),"New player? Not on Players list - add it there first","Not on Players list and not First L format (like Zack B)")&amp;IF(ISNUMBER(MATCH(LEFT(M95,FIND(" ",M95)-1)&amp;" ?",Players[Name],0))," (same first name as "&amp;INDEX(Players[Name],MATCH(LEFT(M95,FIND(" ",M95)-1)&amp;" ?",Players[Name],0))&amp;")",""),"Not on Players list - type first name + last initial (like Zack B)")),"")),IF(OR(V95&lt;Pod_Min,V95&gt;Pod_Max),"Pod has "&amp;V95&amp;" players",""),IF(U95=0,IF(T95=0,"No winner (*) in pod",IF(T95&gt;1,T95&amp;" winners in pod","")),IF(U95&lt;V95,"Some = but not all players","")),IF(X95="Unknown","",IF(COUNTIFS($O$8:$O$257,O95,$Q$8:$Q$257,Q95,$X$8:$X$257,X95)&gt;1,"Name twice in pod",IF(COUNTIFS($O$8:$O$257,O95,$X$8:$X$257,X95)&gt;1,"Name in 2 pods this round","")))))</f>
        <v/>
      </c>
      <c r="AA95" s="3" t="str">
        <f>IF(L95&lt;&gt;"PLAYER","",IF(OR(M95="",ISNUMBER(FIND(" ",M95))),0,COUNTIF(Players[Name],M95&amp;" ?")))</f>
        <v/>
      </c>
    </row>
    <row r="96" spans="1:27" x14ac:dyDescent="0.45">
      <c r="A96" s="17"/>
      <c r="B96" s="6" t="str">
        <f t="shared" si="21"/>
        <v/>
      </c>
      <c r="C96" s="6" t="str">
        <f t="shared" si="22"/>
        <v/>
      </c>
      <c r="D96" s="6" t="str">
        <f t="shared" si="23"/>
        <v/>
      </c>
      <c r="E96" s="6" t="str">
        <f t="shared" si="24"/>
        <v/>
      </c>
      <c r="F96" s="6" t="str">
        <f t="shared" si="25"/>
        <v/>
      </c>
      <c r="G96" s="6" t="str">
        <f t="shared" si="26"/>
        <v/>
      </c>
      <c r="H96" s="10" t="str">
        <f t="shared" si="27"/>
        <v/>
      </c>
      <c r="I96" s="6" t="str">
        <f t="shared" si="28"/>
        <v/>
      </c>
      <c r="J96" s="3" t="str">
        <f>IFERROR(MATCH(ROWS(J$8:J96),$S$8:$S$257,0),"")</f>
        <v/>
      </c>
      <c r="K96" s="3" t="str">
        <f t="shared" si="29"/>
        <v/>
      </c>
      <c r="L96" s="3" t="str">
        <f t="shared" si="30"/>
        <v/>
      </c>
      <c r="M96" s="3" t="str">
        <f t="shared" si="31"/>
        <v/>
      </c>
      <c r="N96" s="3" t="str">
        <f t="shared" si="32"/>
        <v/>
      </c>
      <c r="O96" s="3">
        <f t="shared" si="33"/>
        <v>1</v>
      </c>
      <c r="P96" s="3">
        <f t="shared" si="34"/>
        <v>0</v>
      </c>
      <c r="Q96" s="3">
        <f t="shared" si="35"/>
        <v>0</v>
      </c>
      <c r="R96" s="3" t="str">
        <f t="shared" si="36"/>
        <v/>
      </c>
      <c r="S96" s="3">
        <f t="shared" si="37"/>
        <v>0</v>
      </c>
      <c r="T96" s="3" t="str">
        <f t="shared" si="38"/>
        <v/>
      </c>
      <c r="U96" s="3" t="str">
        <f t="shared" si="39"/>
        <v/>
      </c>
      <c r="V96" s="3" t="str">
        <f t="shared" si="40"/>
        <v/>
      </c>
      <c r="W96" s="3" t="str">
        <f t="shared" si="41"/>
        <v/>
      </c>
      <c r="X96" s="3" t="str">
        <f>IF(L96&lt;&gt;"PLAYER","",IF(Y96="Y",INDEX(Players[Name],MATCH(M96,Players[Name],0)),IF(Y96="A",INDEX(Players[Name],MATCH(M96&amp;" ?",Players[Name],0)),M96)))</f>
        <v/>
      </c>
      <c r="Y96" s="3" t="str">
        <f>IF(L96&lt;&gt;"PLAYER","",IF(ISNUMBER(MATCH(M96,Players[Name],0)),"Y",IF(AA96=1,"A","N")))</f>
        <v/>
      </c>
      <c r="Z96" s="3" t="str">
        <f>IF(L96&lt;&gt;"PLAYER","",_xlfn.TEXTJOIN("; ",TRUE,IF(M96="","Empty name",IF(Y96="N",IF(AA96&gt;1,"Which "&amp;M96&amp;"? "&amp;AA96&amp;" players start with it (like "&amp;INDEX(Players[Name],MATCH(M96&amp;" ?",Players[Name],0))&amp;") - type the last initial",IF(ISNUMBER(FIND(" ",M96)),IF(IFERROR(IF(M96="",FALSE,OR(M96="Unknown",AND(LEN(M96)-LEN(SUBSTITUTE(M96," ",""))=1,LEN(M96)&gt;=4,MID(M96,LEN(M96)-1,1)=" ",CODE(RIGHT(M96,1))&gt;=65,CODE(RIGHT(M96,1))&lt;=90))),FALSE),"New player? Not on Players list - add it there first","Not on Players list and not First L format (like Zack B)")&amp;IF(ISNUMBER(MATCH(LEFT(M96,FIND(" ",M96)-1)&amp;" ?",Players[Name],0))," (same first name as "&amp;INDEX(Players[Name],MATCH(LEFT(M96,FIND(" ",M96)-1)&amp;" ?",Players[Name],0))&amp;")",""),"Not on Players list - type first name + last initial (like Zack B)")),"")),IF(OR(V96&lt;Pod_Min,V96&gt;Pod_Max),"Pod has "&amp;V96&amp;" players",""),IF(U96=0,IF(T96=0,"No winner (*) in pod",IF(T96&gt;1,T96&amp;" winners in pod","")),IF(U96&lt;V96,"Some = but not all players","")),IF(X96="Unknown","",IF(COUNTIFS($O$8:$O$257,O96,$Q$8:$Q$257,Q96,$X$8:$X$257,X96)&gt;1,"Name twice in pod",IF(COUNTIFS($O$8:$O$257,O96,$X$8:$X$257,X96)&gt;1,"Name in 2 pods this round","")))))</f>
        <v/>
      </c>
      <c r="AA96" s="3" t="str">
        <f>IF(L96&lt;&gt;"PLAYER","",IF(OR(M96="",ISNUMBER(FIND(" ",M96))),0,COUNTIF(Players[Name],M96&amp;" ?")))</f>
        <v/>
      </c>
    </row>
    <row r="97" spans="1:27" x14ac:dyDescent="0.45">
      <c r="A97" s="17"/>
      <c r="B97" s="6" t="str">
        <f t="shared" si="21"/>
        <v/>
      </c>
      <c r="C97" s="6" t="str">
        <f t="shared" si="22"/>
        <v/>
      </c>
      <c r="D97" s="6" t="str">
        <f t="shared" si="23"/>
        <v/>
      </c>
      <c r="E97" s="6" t="str">
        <f t="shared" si="24"/>
        <v/>
      </c>
      <c r="F97" s="6" t="str">
        <f t="shared" si="25"/>
        <v/>
      </c>
      <c r="G97" s="6" t="str">
        <f t="shared" si="26"/>
        <v/>
      </c>
      <c r="H97" s="10" t="str">
        <f t="shared" si="27"/>
        <v/>
      </c>
      <c r="I97" s="6" t="str">
        <f t="shared" si="28"/>
        <v/>
      </c>
      <c r="J97" s="3" t="str">
        <f>IFERROR(MATCH(ROWS(J$8:J97),$S$8:$S$257,0),"")</f>
        <v/>
      </c>
      <c r="K97" s="3" t="str">
        <f t="shared" si="29"/>
        <v/>
      </c>
      <c r="L97" s="3" t="str">
        <f t="shared" si="30"/>
        <v/>
      </c>
      <c r="M97" s="3" t="str">
        <f t="shared" si="31"/>
        <v/>
      </c>
      <c r="N97" s="3" t="str">
        <f t="shared" si="32"/>
        <v/>
      </c>
      <c r="O97" s="3">
        <f t="shared" si="33"/>
        <v>1</v>
      </c>
      <c r="P97" s="3">
        <f t="shared" si="34"/>
        <v>0</v>
      </c>
      <c r="Q97" s="3">
        <f t="shared" si="35"/>
        <v>0</v>
      </c>
      <c r="R97" s="3" t="str">
        <f t="shared" si="36"/>
        <v/>
      </c>
      <c r="S97" s="3">
        <f t="shared" si="37"/>
        <v>0</v>
      </c>
      <c r="T97" s="3" t="str">
        <f t="shared" si="38"/>
        <v/>
      </c>
      <c r="U97" s="3" t="str">
        <f t="shared" si="39"/>
        <v/>
      </c>
      <c r="V97" s="3" t="str">
        <f t="shared" si="40"/>
        <v/>
      </c>
      <c r="W97" s="3" t="str">
        <f t="shared" si="41"/>
        <v/>
      </c>
      <c r="X97" s="3" t="str">
        <f>IF(L97&lt;&gt;"PLAYER","",IF(Y97="Y",INDEX(Players[Name],MATCH(M97,Players[Name],0)),IF(Y97="A",INDEX(Players[Name],MATCH(M97&amp;" ?",Players[Name],0)),M97)))</f>
        <v/>
      </c>
      <c r="Y97" s="3" t="str">
        <f>IF(L97&lt;&gt;"PLAYER","",IF(ISNUMBER(MATCH(M97,Players[Name],0)),"Y",IF(AA97=1,"A","N")))</f>
        <v/>
      </c>
      <c r="Z97" s="3" t="str">
        <f>IF(L97&lt;&gt;"PLAYER","",_xlfn.TEXTJOIN("; ",TRUE,IF(M97="","Empty name",IF(Y97="N",IF(AA97&gt;1,"Which "&amp;M97&amp;"? "&amp;AA97&amp;" players start with it (like "&amp;INDEX(Players[Name],MATCH(M97&amp;" ?",Players[Name],0))&amp;") - type the last initial",IF(ISNUMBER(FIND(" ",M97)),IF(IFERROR(IF(M97="",FALSE,OR(M97="Unknown",AND(LEN(M97)-LEN(SUBSTITUTE(M97," ",""))=1,LEN(M97)&gt;=4,MID(M97,LEN(M97)-1,1)=" ",CODE(RIGHT(M97,1))&gt;=65,CODE(RIGHT(M97,1))&lt;=90))),FALSE),"New player? Not on Players list - add it there first","Not on Players list and not First L format (like Zack B)")&amp;IF(ISNUMBER(MATCH(LEFT(M97,FIND(" ",M97)-1)&amp;" ?",Players[Name],0))," (same first name as "&amp;INDEX(Players[Name],MATCH(LEFT(M97,FIND(" ",M97)-1)&amp;" ?",Players[Name],0))&amp;")",""),"Not on Players list - type first name + last initial (like Zack B)")),"")),IF(OR(V97&lt;Pod_Min,V97&gt;Pod_Max),"Pod has "&amp;V97&amp;" players",""),IF(U97=0,IF(T97=0,"No winner (*) in pod",IF(T97&gt;1,T97&amp;" winners in pod","")),IF(U97&lt;V97,"Some = but not all players","")),IF(X97="Unknown","",IF(COUNTIFS($O$8:$O$257,O97,$Q$8:$Q$257,Q97,$X$8:$X$257,X97)&gt;1,"Name twice in pod",IF(COUNTIFS($O$8:$O$257,O97,$X$8:$X$257,X97)&gt;1,"Name in 2 pods this round","")))))</f>
        <v/>
      </c>
      <c r="AA97" s="3" t="str">
        <f>IF(L97&lt;&gt;"PLAYER","",IF(OR(M97="",ISNUMBER(FIND(" ",M97))),0,COUNTIF(Players[Name],M97&amp;" ?")))</f>
        <v/>
      </c>
    </row>
    <row r="98" spans="1:27" x14ac:dyDescent="0.45">
      <c r="A98" s="17"/>
      <c r="B98" s="6" t="str">
        <f t="shared" si="21"/>
        <v/>
      </c>
      <c r="C98" s="6" t="str">
        <f t="shared" si="22"/>
        <v/>
      </c>
      <c r="D98" s="6" t="str">
        <f t="shared" si="23"/>
        <v/>
      </c>
      <c r="E98" s="6" t="str">
        <f t="shared" si="24"/>
        <v/>
      </c>
      <c r="F98" s="6" t="str">
        <f t="shared" si="25"/>
        <v/>
      </c>
      <c r="G98" s="6" t="str">
        <f t="shared" si="26"/>
        <v/>
      </c>
      <c r="H98" s="10" t="str">
        <f t="shared" si="27"/>
        <v/>
      </c>
      <c r="I98" s="6" t="str">
        <f t="shared" si="28"/>
        <v/>
      </c>
      <c r="J98" s="3" t="str">
        <f>IFERROR(MATCH(ROWS(J$8:J98),$S$8:$S$257,0),"")</f>
        <v/>
      </c>
      <c r="K98" s="3" t="str">
        <f t="shared" si="29"/>
        <v/>
      </c>
      <c r="L98" s="3" t="str">
        <f t="shared" si="30"/>
        <v/>
      </c>
      <c r="M98" s="3" t="str">
        <f t="shared" si="31"/>
        <v/>
      </c>
      <c r="N98" s="3" t="str">
        <f t="shared" si="32"/>
        <v/>
      </c>
      <c r="O98" s="3">
        <f t="shared" si="33"/>
        <v>1</v>
      </c>
      <c r="P98" s="3">
        <f t="shared" si="34"/>
        <v>0</v>
      </c>
      <c r="Q98" s="3">
        <f t="shared" si="35"/>
        <v>0</v>
      </c>
      <c r="R98" s="3" t="str">
        <f t="shared" si="36"/>
        <v/>
      </c>
      <c r="S98" s="3">
        <f t="shared" si="37"/>
        <v>0</v>
      </c>
      <c r="T98" s="3" t="str">
        <f t="shared" si="38"/>
        <v/>
      </c>
      <c r="U98" s="3" t="str">
        <f t="shared" si="39"/>
        <v/>
      </c>
      <c r="V98" s="3" t="str">
        <f t="shared" si="40"/>
        <v/>
      </c>
      <c r="W98" s="3" t="str">
        <f t="shared" si="41"/>
        <v/>
      </c>
      <c r="X98" s="3" t="str">
        <f>IF(L98&lt;&gt;"PLAYER","",IF(Y98="Y",INDEX(Players[Name],MATCH(M98,Players[Name],0)),IF(Y98="A",INDEX(Players[Name],MATCH(M98&amp;" ?",Players[Name],0)),M98)))</f>
        <v/>
      </c>
      <c r="Y98" s="3" t="str">
        <f>IF(L98&lt;&gt;"PLAYER","",IF(ISNUMBER(MATCH(M98,Players[Name],0)),"Y",IF(AA98=1,"A","N")))</f>
        <v/>
      </c>
      <c r="Z98" s="3" t="str">
        <f>IF(L98&lt;&gt;"PLAYER","",_xlfn.TEXTJOIN("; ",TRUE,IF(M98="","Empty name",IF(Y98="N",IF(AA98&gt;1,"Which "&amp;M98&amp;"? "&amp;AA98&amp;" players start with it (like "&amp;INDEX(Players[Name],MATCH(M98&amp;" ?",Players[Name],0))&amp;") - type the last initial",IF(ISNUMBER(FIND(" ",M98)),IF(IFERROR(IF(M98="",FALSE,OR(M98="Unknown",AND(LEN(M98)-LEN(SUBSTITUTE(M98," ",""))=1,LEN(M98)&gt;=4,MID(M98,LEN(M98)-1,1)=" ",CODE(RIGHT(M98,1))&gt;=65,CODE(RIGHT(M98,1))&lt;=90))),FALSE),"New player? Not on Players list - add it there first","Not on Players list and not First L format (like Zack B)")&amp;IF(ISNUMBER(MATCH(LEFT(M98,FIND(" ",M98)-1)&amp;" ?",Players[Name],0))," (same first name as "&amp;INDEX(Players[Name],MATCH(LEFT(M98,FIND(" ",M98)-1)&amp;" ?",Players[Name],0))&amp;")",""),"Not on Players list - type first name + last initial (like Zack B)")),"")),IF(OR(V98&lt;Pod_Min,V98&gt;Pod_Max),"Pod has "&amp;V98&amp;" players",""),IF(U98=0,IF(T98=0,"No winner (*) in pod",IF(T98&gt;1,T98&amp;" winners in pod","")),IF(U98&lt;V98,"Some = but not all players","")),IF(X98="Unknown","",IF(COUNTIFS($O$8:$O$257,O98,$Q$8:$Q$257,Q98,$X$8:$X$257,X98)&gt;1,"Name twice in pod",IF(COUNTIFS($O$8:$O$257,O98,$X$8:$X$257,X98)&gt;1,"Name in 2 pods this round","")))))</f>
        <v/>
      </c>
      <c r="AA98" s="3" t="str">
        <f>IF(L98&lt;&gt;"PLAYER","",IF(OR(M98="",ISNUMBER(FIND(" ",M98))),0,COUNTIF(Players[Name],M98&amp;" ?")))</f>
        <v/>
      </c>
    </row>
    <row r="99" spans="1:27" x14ac:dyDescent="0.45">
      <c r="A99" s="17"/>
      <c r="B99" s="6" t="str">
        <f t="shared" si="21"/>
        <v/>
      </c>
      <c r="C99" s="6" t="str">
        <f t="shared" si="22"/>
        <v/>
      </c>
      <c r="D99" s="6" t="str">
        <f t="shared" si="23"/>
        <v/>
      </c>
      <c r="E99" s="6" t="str">
        <f t="shared" si="24"/>
        <v/>
      </c>
      <c r="F99" s="6" t="str">
        <f t="shared" si="25"/>
        <v/>
      </c>
      <c r="G99" s="6" t="str">
        <f t="shared" si="26"/>
        <v/>
      </c>
      <c r="H99" s="10" t="str">
        <f t="shared" si="27"/>
        <v/>
      </c>
      <c r="I99" s="6" t="str">
        <f t="shared" si="28"/>
        <v/>
      </c>
      <c r="J99" s="3" t="str">
        <f>IFERROR(MATCH(ROWS(J$8:J99),$S$8:$S$257,0),"")</f>
        <v/>
      </c>
      <c r="K99" s="3" t="str">
        <f t="shared" si="29"/>
        <v/>
      </c>
      <c r="L99" s="3" t="str">
        <f t="shared" si="30"/>
        <v/>
      </c>
      <c r="M99" s="3" t="str">
        <f t="shared" si="31"/>
        <v/>
      </c>
      <c r="N99" s="3" t="str">
        <f t="shared" si="32"/>
        <v/>
      </c>
      <c r="O99" s="3">
        <f t="shared" si="33"/>
        <v>1</v>
      </c>
      <c r="P99" s="3">
        <f t="shared" si="34"/>
        <v>0</v>
      </c>
      <c r="Q99" s="3">
        <f t="shared" si="35"/>
        <v>0</v>
      </c>
      <c r="R99" s="3" t="str">
        <f t="shared" si="36"/>
        <v/>
      </c>
      <c r="S99" s="3">
        <f t="shared" si="37"/>
        <v>0</v>
      </c>
      <c r="T99" s="3" t="str">
        <f t="shared" si="38"/>
        <v/>
      </c>
      <c r="U99" s="3" t="str">
        <f t="shared" si="39"/>
        <v/>
      </c>
      <c r="V99" s="3" t="str">
        <f t="shared" si="40"/>
        <v/>
      </c>
      <c r="W99" s="3" t="str">
        <f t="shared" si="41"/>
        <v/>
      </c>
      <c r="X99" s="3" t="str">
        <f>IF(L99&lt;&gt;"PLAYER","",IF(Y99="Y",INDEX(Players[Name],MATCH(M99,Players[Name],0)),IF(Y99="A",INDEX(Players[Name],MATCH(M99&amp;" ?",Players[Name],0)),M99)))</f>
        <v/>
      </c>
      <c r="Y99" s="3" t="str">
        <f>IF(L99&lt;&gt;"PLAYER","",IF(ISNUMBER(MATCH(M99,Players[Name],0)),"Y",IF(AA99=1,"A","N")))</f>
        <v/>
      </c>
      <c r="Z99" s="3" t="str">
        <f>IF(L99&lt;&gt;"PLAYER","",_xlfn.TEXTJOIN("; ",TRUE,IF(M99="","Empty name",IF(Y99="N",IF(AA99&gt;1,"Which "&amp;M99&amp;"? "&amp;AA99&amp;" players start with it (like "&amp;INDEX(Players[Name],MATCH(M99&amp;" ?",Players[Name],0))&amp;") - type the last initial",IF(ISNUMBER(FIND(" ",M99)),IF(IFERROR(IF(M99="",FALSE,OR(M99="Unknown",AND(LEN(M99)-LEN(SUBSTITUTE(M99," ",""))=1,LEN(M99)&gt;=4,MID(M99,LEN(M99)-1,1)=" ",CODE(RIGHT(M99,1))&gt;=65,CODE(RIGHT(M99,1))&lt;=90))),FALSE),"New player? Not on Players list - add it there first","Not on Players list and not First L format (like Zack B)")&amp;IF(ISNUMBER(MATCH(LEFT(M99,FIND(" ",M99)-1)&amp;" ?",Players[Name],0))," (same first name as "&amp;INDEX(Players[Name],MATCH(LEFT(M99,FIND(" ",M99)-1)&amp;" ?",Players[Name],0))&amp;")",""),"Not on Players list - type first name + last initial (like Zack B)")),"")),IF(OR(V99&lt;Pod_Min,V99&gt;Pod_Max),"Pod has "&amp;V99&amp;" players",""),IF(U99=0,IF(T99=0,"No winner (*) in pod",IF(T99&gt;1,T99&amp;" winners in pod","")),IF(U99&lt;V99,"Some = but not all players","")),IF(X99="Unknown","",IF(COUNTIFS($O$8:$O$257,O99,$Q$8:$Q$257,Q99,$X$8:$X$257,X99)&gt;1,"Name twice in pod",IF(COUNTIFS($O$8:$O$257,O99,$X$8:$X$257,X99)&gt;1,"Name in 2 pods this round","")))))</f>
        <v/>
      </c>
      <c r="AA99" s="3" t="str">
        <f>IF(L99&lt;&gt;"PLAYER","",IF(OR(M99="",ISNUMBER(FIND(" ",M99))),0,COUNTIF(Players[Name],M99&amp;" ?")))</f>
        <v/>
      </c>
    </row>
    <row r="100" spans="1:27" x14ac:dyDescent="0.45">
      <c r="A100" s="17"/>
      <c r="B100" s="6" t="str">
        <f t="shared" si="21"/>
        <v/>
      </c>
      <c r="C100" s="6" t="str">
        <f t="shared" si="22"/>
        <v/>
      </c>
      <c r="D100" s="6" t="str">
        <f t="shared" si="23"/>
        <v/>
      </c>
      <c r="E100" s="6" t="str">
        <f t="shared" si="24"/>
        <v/>
      </c>
      <c r="F100" s="6" t="str">
        <f t="shared" si="25"/>
        <v/>
      </c>
      <c r="G100" s="6" t="str">
        <f t="shared" si="26"/>
        <v/>
      </c>
      <c r="H100" s="10" t="str">
        <f t="shared" si="27"/>
        <v/>
      </c>
      <c r="I100" s="6" t="str">
        <f t="shared" si="28"/>
        <v/>
      </c>
      <c r="J100" s="3" t="str">
        <f>IFERROR(MATCH(ROWS(J$8:J100),$S$8:$S$257,0),"")</f>
        <v/>
      </c>
      <c r="K100" s="3" t="str">
        <f t="shared" si="29"/>
        <v/>
      </c>
      <c r="L100" s="3" t="str">
        <f t="shared" si="30"/>
        <v/>
      </c>
      <c r="M100" s="3" t="str">
        <f t="shared" si="31"/>
        <v/>
      </c>
      <c r="N100" s="3" t="str">
        <f t="shared" si="32"/>
        <v/>
      </c>
      <c r="O100" s="3">
        <f t="shared" si="33"/>
        <v>1</v>
      </c>
      <c r="P100" s="3">
        <f t="shared" si="34"/>
        <v>0</v>
      </c>
      <c r="Q100" s="3">
        <f t="shared" si="35"/>
        <v>0</v>
      </c>
      <c r="R100" s="3" t="str">
        <f t="shared" si="36"/>
        <v/>
      </c>
      <c r="S100" s="3">
        <f t="shared" si="37"/>
        <v>0</v>
      </c>
      <c r="T100" s="3" t="str">
        <f t="shared" si="38"/>
        <v/>
      </c>
      <c r="U100" s="3" t="str">
        <f t="shared" si="39"/>
        <v/>
      </c>
      <c r="V100" s="3" t="str">
        <f t="shared" si="40"/>
        <v/>
      </c>
      <c r="W100" s="3" t="str">
        <f t="shared" si="41"/>
        <v/>
      </c>
      <c r="X100" s="3" t="str">
        <f>IF(L100&lt;&gt;"PLAYER","",IF(Y100="Y",INDEX(Players[Name],MATCH(M100,Players[Name],0)),IF(Y100="A",INDEX(Players[Name],MATCH(M100&amp;" ?",Players[Name],0)),M100)))</f>
        <v/>
      </c>
      <c r="Y100" s="3" t="str">
        <f>IF(L100&lt;&gt;"PLAYER","",IF(ISNUMBER(MATCH(M100,Players[Name],0)),"Y",IF(AA100=1,"A","N")))</f>
        <v/>
      </c>
      <c r="Z100" s="3" t="str">
        <f>IF(L100&lt;&gt;"PLAYER","",_xlfn.TEXTJOIN("; ",TRUE,IF(M100="","Empty name",IF(Y100="N",IF(AA100&gt;1,"Which "&amp;M100&amp;"? "&amp;AA100&amp;" players start with it (like "&amp;INDEX(Players[Name],MATCH(M100&amp;" ?",Players[Name],0))&amp;") - type the last initial",IF(ISNUMBER(FIND(" ",M100)),IF(IFERROR(IF(M100="",FALSE,OR(M100="Unknown",AND(LEN(M100)-LEN(SUBSTITUTE(M100," ",""))=1,LEN(M100)&gt;=4,MID(M100,LEN(M100)-1,1)=" ",CODE(RIGHT(M100,1))&gt;=65,CODE(RIGHT(M100,1))&lt;=90))),FALSE),"New player? Not on Players list - add it there first","Not on Players list and not First L format (like Zack B)")&amp;IF(ISNUMBER(MATCH(LEFT(M100,FIND(" ",M100)-1)&amp;" ?",Players[Name],0))," (same first name as "&amp;INDEX(Players[Name],MATCH(LEFT(M100,FIND(" ",M100)-1)&amp;" ?",Players[Name],0))&amp;")",""),"Not on Players list - type first name + last initial (like Zack B)")),"")),IF(OR(V100&lt;Pod_Min,V100&gt;Pod_Max),"Pod has "&amp;V100&amp;" players",""),IF(U100=0,IF(T100=0,"No winner (*) in pod",IF(T100&gt;1,T100&amp;" winners in pod","")),IF(U100&lt;V100,"Some = but not all players","")),IF(X100="Unknown","",IF(COUNTIFS($O$8:$O$257,O100,$Q$8:$Q$257,Q100,$X$8:$X$257,X100)&gt;1,"Name twice in pod",IF(COUNTIFS($O$8:$O$257,O100,$X$8:$X$257,X100)&gt;1,"Name in 2 pods this round","")))))</f>
        <v/>
      </c>
      <c r="AA100" s="3" t="str">
        <f>IF(L100&lt;&gt;"PLAYER","",IF(OR(M100="",ISNUMBER(FIND(" ",M100))),0,COUNTIF(Players[Name],M100&amp;" ?")))</f>
        <v/>
      </c>
    </row>
    <row r="101" spans="1:27" x14ac:dyDescent="0.45">
      <c r="A101" s="17"/>
      <c r="B101" s="6" t="str">
        <f t="shared" si="21"/>
        <v/>
      </c>
      <c r="C101" s="6" t="str">
        <f t="shared" si="22"/>
        <v/>
      </c>
      <c r="D101" s="6" t="str">
        <f t="shared" si="23"/>
        <v/>
      </c>
      <c r="E101" s="6" t="str">
        <f t="shared" si="24"/>
        <v/>
      </c>
      <c r="F101" s="6" t="str">
        <f t="shared" si="25"/>
        <v/>
      </c>
      <c r="G101" s="6" t="str">
        <f t="shared" si="26"/>
        <v/>
      </c>
      <c r="H101" s="10" t="str">
        <f t="shared" si="27"/>
        <v/>
      </c>
      <c r="I101" s="6" t="str">
        <f t="shared" si="28"/>
        <v/>
      </c>
      <c r="J101" s="3" t="str">
        <f>IFERROR(MATCH(ROWS(J$8:J101),$S$8:$S$257,0),"")</f>
        <v/>
      </c>
      <c r="K101" s="3" t="str">
        <f t="shared" si="29"/>
        <v/>
      </c>
      <c r="L101" s="3" t="str">
        <f t="shared" si="30"/>
        <v/>
      </c>
      <c r="M101" s="3" t="str">
        <f t="shared" si="31"/>
        <v/>
      </c>
      <c r="N101" s="3" t="str">
        <f t="shared" si="32"/>
        <v/>
      </c>
      <c r="O101" s="3">
        <f t="shared" si="33"/>
        <v>1</v>
      </c>
      <c r="P101" s="3">
        <f t="shared" si="34"/>
        <v>0</v>
      </c>
      <c r="Q101" s="3">
        <f t="shared" si="35"/>
        <v>0</v>
      </c>
      <c r="R101" s="3" t="str">
        <f t="shared" si="36"/>
        <v/>
      </c>
      <c r="S101" s="3">
        <f t="shared" si="37"/>
        <v>0</v>
      </c>
      <c r="T101" s="3" t="str">
        <f t="shared" si="38"/>
        <v/>
      </c>
      <c r="U101" s="3" t="str">
        <f t="shared" si="39"/>
        <v/>
      </c>
      <c r="V101" s="3" t="str">
        <f t="shared" si="40"/>
        <v/>
      </c>
      <c r="W101" s="3" t="str">
        <f t="shared" si="41"/>
        <v/>
      </c>
      <c r="X101" s="3" t="str">
        <f>IF(L101&lt;&gt;"PLAYER","",IF(Y101="Y",INDEX(Players[Name],MATCH(M101,Players[Name],0)),IF(Y101="A",INDEX(Players[Name],MATCH(M101&amp;" ?",Players[Name],0)),M101)))</f>
        <v/>
      </c>
      <c r="Y101" s="3" t="str">
        <f>IF(L101&lt;&gt;"PLAYER","",IF(ISNUMBER(MATCH(M101,Players[Name],0)),"Y",IF(AA101=1,"A","N")))</f>
        <v/>
      </c>
      <c r="Z101" s="3" t="str">
        <f>IF(L101&lt;&gt;"PLAYER","",_xlfn.TEXTJOIN("; ",TRUE,IF(M101="","Empty name",IF(Y101="N",IF(AA101&gt;1,"Which "&amp;M101&amp;"? "&amp;AA101&amp;" players start with it (like "&amp;INDEX(Players[Name],MATCH(M101&amp;" ?",Players[Name],0))&amp;") - type the last initial",IF(ISNUMBER(FIND(" ",M101)),IF(IFERROR(IF(M101="",FALSE,OR(M101="Unknown",AND(LEN(M101)-LEN(SUBSTITUTE(M101," ",""))=1,LEN(M101)&gt;=4,MID(M101,LEN(M101)-1,1)=" ",CODE(RIGHT(M101,1))&gt;=65,CODE(RIGHT(M101,1))&lt;=90))),FALSE),"New player? Not on Players list - add it there first","Not on Players list and not First L format (like Zack B)")&amp;IF(ISNUMBER(MATCH(LEFT(M101,FIND(" ",M101)-1)&amp;" ?",Players[Name],0))," (same first name as "&amp;INDEX(Players[Name],MATCH(LEFT(M101,FIND(" ",M101)-1)&amp;" ?",Players[Name],0))&amp;")",""),"Not on Players list - type first name + last initial (like Zack B)")),"")),IF(OR(V101&lt;Pod_Min,V101&gt;Pod_Max),"Pod has "&amp;V101&amp;" players",""),IF(U101=0,IF(T101=0,"No winner (*) in pod",IF(T101&gt;1,T101&amp;" winners in pod","")),IF(U101&lt;V101,"Some = but not all players","")),IF(X101="Unknown","",IF(COUNTIFS($O$8:$O$257,O101,$Q$8:$Q$257,Q101,$X$8:$X$257,X101)&gt;1,"Name twice in pod",IF(COUNTIFS($O$8:$O$257,O101,$X$8:$X$257,X101)&gt;1,"Name in 2 pods this round","")))))</f>
        <v/>
      </c>
      <c r="AA101" s="3" t="str">
        <f>IF(L101&lt;&gt;"PLAYER","",IF(OR(M101="",ISNUMBER(FIND(" ",M101))),0,COUNTIF(Players[Name],M101&amp;" ?")))</f>
        <v/>
      </c>
    </row>
    <row r="102" spans="1:27" x14ac:dyDescent="0.45">
      <c r="A102" s="17"/>
      <c r="B102" s="6" t="str">
        <f t="shared" si="21"/>
        <v/>
      </c>
      <c r="C102" s="6" t="str">
        <f t="shared" si="22"/>
        <v/>
      </c>
      <c r="D102" s="6" t="str">
        <f t="shared" si="23"/>
        <v/>
      </c>
      <c r="E102" s="6" t="str">
        <f t="shared" si="24"/>
        <v/>
      </c>
      <c r="F102" s="6" t="str">
        <f t="shared" si="25"/>
        <v/>
      </c>
      <c r="G102" s="6" t="str">
        <f t="shared" si="26"/>
        <v/>
      </c>
      <c r="H102" s="10" t="str">
        <f t="shared" si="27"/>
        <v/>
      </c>
      <c r="I102" s="6" t="str">
        <f t="shared" si="28"/>
        <v/>
      </c>
      <c r="J102" s="3" t="str">
        <f>IFERROR(MATCH(ROWS(J$8:J102),$S$8:$S$257,0),"")</f>
        <v/>
      </c>
      <c r="K102" s="3" t="str">
        <f t="shared" si="29"/>
        <v/>
      </c>
      <c r="L102" s="3" t="str">
        <f t="shared" si="30"/>
        <v/>
      </c>
      <c r="M102" s="3" t="str">
        <f t="shared" si="31"/>
        <v/>
      </c>
      <c r="N102" s="3" t="str">
        <f t="shared" si="32"/>
        <v/>
      </c>
      <c r="O102" s="3">
        <f t="shared" si="33"/>
        <v>1</v>
      </c>
      <c r="P102" s="3">
        <f t="shared" si="34"/>
        <v>0</v>
      </c>
      <c r="Q102" s="3">
        <f t="shared" si="35"/>
        <v>0</v>
      </c>
      <c r="R102" s="3" t="str">
        <f t="shared" si="36"/>
        <v/>
      </c>
      <c r="S102" s="3">
        <f t="shared" si="37"/>
        <v>0</v>
      </c>
      <c r="T102" s="3" t="str">
        <f t="shared" si="38"/>
        <v/>
      </c>
      <c r="U102" s="3" t="str">
        <f t="shared" si="39"/>
        <v/>
      </c>
      <c r="V102" s="3" t="str">
        <f t="shared" si="40"/>
        <v/>
      </c>
      <c r="W102" s="3" t="str">
        <f t="shared" si="41"/>
        <v/>
      </c>
      <c r="X102" s="3" t="str">
        <f>IF(L102&lt;&gt;"PLAYER","",IF(Y102="Y",INDEX(Players[Name],MATCH(M102,Players[Name],0)),IF(Y102="A",INDEX(Players[Name],MATCH(M102&amp;" ?",Players[Name],0)),M102)))</f>
        <v/>
      </c>
      <c r="Y102" s="3" t="str">
        <f>IF(L102&lt;&gt;"PLAYER","",IF(ISNUMBER(MATCH(M102,Players[Name],0)),"Y",IF(AA102=1,"A","N")))</f>
        <v/>
      </c>
      <c r="Z102" s="3" t="str">
        <f>IF(L102&lt;&gt;"PLAYER","",_xlfn.TEXTJOIN("; ",TRUE,IF(M102="","Empty name",IF(Y102="N",IF(AA102&gt;1,"Which "&amp;M102&amp;"? "&amp;AA102&amp;" players start with it (like "&amp;INDEX(Players[Name],MATCH(M102&amp;" ?",Players[Name],0))&amp;") - type the last initial",IF(ISNUMBER(FIND(" ",M102)),IF(IFERROR(IF(M102="",FALSE,OR(M102="Unknown",AND(LEN(M102)-LEN(SUBSTITUTE(M102," ",""))=1,LEN(M102)&gt;=4,MID(M102,LEN(M102)-1,1)=" ",CODE(RIGHT(M102,1))&gt;=65,CODE(RIGHT(M102,1))&lt;=90))),FALSE),"New player? Not on Players list - add it there first","Not on Players list and not First L format (like Zack B)")&amp;IF(ISNUMBER(MATCH(LEFT(M102,FIND(" ",M102)-1)&amp;" ?",Players[Name],0))," (same first name as "&amp;INDEX(Players[Name],MATCH(LEFT(M102,FIND(" ",M102)-1)&amp;" ?",Players[Name],0))&amp;")",""),"Not on Players list - type first name + last initial (like Zack B)")),"")),IF(OR(V102&lt;Pod_Min,V102&gt;Pod_Max),"Pod has "&amp;V102&amp;" players",""),IF(U102=0,IF(T102=0,"No winner (*) in pod",IF(T102&gt;1,T102&amp;" winners in pod","")),IF(U102&lt;V102,"Some = but not all players","")),IF(X102="Unknown","",IF(COUNTIFS($O$8:$O$257,O102,$Q$8:$Q$257,Q102,$X$8:$X$257,X102)&gt;1,"Name twice in pod",IF(COUNTIFS($O$8:$O$257,O102,$X$8:$X$257,X102)&gt;1,"Name in 2 pods this round","")))))</f>
        <v/>
      </c>
      <c r="AA102" s="3" t="str">
        <f>IF(L102&lt;&gt;"PLAYER","",IF(OR(M102="",ISNUMBER(FIND(" ",M102))),0,COUNTIF(Players[Name],M102&amp;" ?")))</f>
        <v/>
      </c>
    </row>
    <row r="103" spans="1:27" x14ac:dyDescent="0.45">
      <c r="A103" s="17"/>
      <c r="B103" s="6" t="str">
        <f t="shared" si="21"/>
        <v/>
      </c>
      <c r="C103" s="6" t="str">
        <f t="shared" si="22"/>
        <v/>
      </c>
      <c r="D103" s="6" t="str">
        <f t="shared" si="23"/>
        <v/>
      </c>
      <c r="E103" s="6" t="str">
        <f t="shared" si="24"/>
        <v/>
      </c>
      <c r="F103" s="6" t="str">
        <f t="shared" si="25"/>
        <v/>
      </c>
      <c r="G103" s="6" t="str">
        <f t="shared" si="26"/>
        <v/>
      </c>
      <c r="H103" s="10" t="str">
        <f t="shared" si="27"/>
        <v/>
      </c>
      <c r="I103" s="6" t="str">
        <f t="shared" si="28"/>
        <v/>
      </c>
      <c r="J103" s="3" t="str">
        <f>IFERROR(MATCH(ROWS(J$8:J103),$S$8:$S$257,0),"")</f>
        <v/>
      </c>
      <c r="K103" s="3" t="str">
        <f t="shared" si="29"/>
        <v/>
      </c>
      <c r="L103" s="3" t="str">
        <f t="shared" si="30"/>
        <v/>
      </c>
      <c r="M103" s="3" t="str">
        <f t="shared" si="31"/>
        <v/>
      </c>
      <c r="N103" s="3" t="str">
        <f t="shared" si="32"/>
        <v/>
      </c>
      <c r="O103" s="3">
        <f t="shared" si="33"/>
        <v>1</v>
      </c>
      <c r="P103" s="3">
        <f t="shared" si="34"/>
        <v>0</v>
      </c>
      <c r="Q103" s="3">
        <f t="shared" si="35"/>
        <v>0</v>
      </c>
      <c r="R103" s="3" t="str">
        <f t="shared" si="36"/>
        <v/>
      </c>
      <c r="S103" s="3">
        <f t="shared" si="37"/>
        <v>0</v>
      </c>
      <c r="T103" s="3" t="str">
        <f t="shared" si="38"/>
        <v/>
      </c>
      <c r="U103" s="3" t="str">
        <f t="shared" si="39"/>
        <v/>
      </c>
      <c r="V103" s="3" t="str">
        <f t="shared" si="40"/>
        <v/>
      </c>
      <c r="W103" s="3" t="str">
        <f t="shared" si="41"/>
        <v/>
      </c>
      <c r="X103" s="3" t="str">
        <f>IF(L103&lt;&gt;"PLAYER","",IF(Y103="Y",INDEX(Players[Name],MATCH(M103,Players[Name],0)),IF(Y103="A",INDEX(Players[Name],MATCH(M103&amp;" ?",Players[Name],0)),M103)))</f>
        <v/>
      </c>
      <c r="Y103" s="3" t="str">
        <f>IF(L103&lt;&gt;"PLAYER","",IF(ISNUMBER(MATCH(M103,Players[Name],0)),"Y",IF(AA103=1,"A","N")))</f>
        <v/>
      </c>
      <c r="Z103" s="3" t="str">
        <f>IF(L103&lt;&gt;"PLAYER","",_xlfn.TEXTJOIN("; ",TRUE,IF(M103="","Empty name",IF(Y103="N",IF(AA103&gt;1,"Which "&amp;M103&amp;"? "&amp;AA103&amp;" players start with it (like "&amp;INDEX(Players[Name],MATCH(M103&amp;" ?",Players[Name],0))&amp;") - type the last initial",IF(ISNUMBER(FIND(" ",M103)),IF(IFERROR(IF(M103="",FALSE,OR(M103="Unknown",AND(LEN(M103)-LEN(SUBSTITUTE(M103," ",""))=1,LEN(M103)&gt;=4,MID(M103,LEN(M103)-1,1)=" ",CODE(RIGHT(M103,1))&gt;=65,CODE(RIGHT(M103,1))&lt;=90))),FALSE),"New player? Not on Players list - add it there first","Not on Players list and not First L format (like Zack B)")&amp;IF(ISNUMBER(MATCH(LEFT(M103,FIND(" ",M103)-1)&amp;" ?",Players[Name],0))," (same first name as "&amp;INDEX(Players[Name],MATCH(LEFT(M103,FIND(" ",M103)-1)&amp;" ?",Players[Name],0))&amp;")",""),"Not on Players list - type first name + last initial (like Zack B)")),"")),IF(OR(V103&lt;Pod_Min,V103&gt;Pod_Max),"Pod has "&amp;V103&amp;" players",""),IF(U103=0,IF(T103=0,"No winner (*) in pod",IF(T103&gt;1,T103&amp;" winners in pod","")),IF(U103&lt;V103,"Some = but not all players","")),IF(X103="Unknown","",IF(COUNTIFS($O$8:$O$257,O103,$Q$8:$Q$257,Q103,$X$8:$X$257,X103)&gt;1,"Name twice in pod",IF(COUNTIFS($O$8:$O$257,O103,$X$8:$X$257,X103)&gt;1,"Name in 2 pods this round","")))))</f>
        <v/>
      </c>
      <c r="AA103" s="3" t="str">
        <f>IF(L103&lt;&gt;"PLAYER","",IF(OR(M103="",ISNUMBER(FIND(" ",M103))),0,COUNTIF(Players[Name],M103&amp;" ?")))</f>
        <v/>
      </c>
    </row>
    <row r="104" spans="1:27" x14ac:dyDescent="0.45">
      <c r="A104" s="17"/>
      <c r="B104" s="6" t="str">
        <f t="shared" si="21"/>
        <v/>
      </c>
      <c r="C104" s="6" t="str">
        <f t="shared" si="22"/>
        <v/>
      </c>
      <c r="D104" s="6" t="str">
        <f t="shared" si="23"/>
        <v/>
      </c>
      <c r="E104" s="6" t="str">
        <f t="shared" si="24"/>
        <v/>
      </c>
      <c r="F104" s="6" t="str">
        <f t="shared" si="25"/>
        <v/>
      </c>
      <c r="G104" s="6" t="str">
        <f t="shared" si="26"/>
        <v/>
      </c>
      <c r="H104" s="10" t="str">
        <f t="shared" si="27"/>
        <v/>
      </c>
      <c r="I104" s="6" t="str">
        <f t="shared" si="28"/>
        <v/>
      </c>
      <c r="J104" s="3" t="str">
        <f>IFERROR(MATCH(ROWS(J$8:J104),$S$8:$S$257,0),"")</f>
        <v/>
      </c>
      <c r="K104" s="3" t="str">
        <f t="shared" si="29"/>
        <v/>
      </c>
      <c r="L104" s="3" t="str">
        <f t="shared" si="30"/>
        <v/>
      </c>
      <c r="M104" s="3" t="str">
        <f t="shared" si="31"/>
        <v/>
      </c>
      <c r="N104" s="3" t="str">
        <f t="shared" si="32"/>
        <v/>
      </c>
      <c r="O104" s="3">
        <f t="shared" si="33"/>
        <v>1</v>
      </c>
      <c r="P104" s="3">
        <f t="shared" si="34"/>
        <v>0</v>
      </c>
      <c r="Q104" s="3">
        <f t="shared" si="35"/>
        <v>0</v>
      </c>
      <c r="R104" s="3" t="str">
        <f t="shared" si="36"/>
        <v/>
      </c>
      <c r="S104" s="3">
        <f t="shared" si="37"/>
        <v>0</v>
      </c>
      <c r="T104" s="3" t="str">
        <f t="shared" si="38"/>
        <v/>
      </c>
      <c r="U104" s="3" t="str">
        <f t="shared" si="39"/>
        <v/>
      </c>
      <c r="V104" s="3" t="str">
        <f t="shared" si="40"/>
        <v/>
      </c>
      <c r="W104" s="3" t="str">
        <f t="shared" si="41"/>
        <v/>
      </c>
      <c r="X104" s="3" t="str">
        <f>IF(L104&lt;&gt;"PLAYER","",IF(Y104="Y",INDEX(Players[Name],MATCH(M104,Players[Name],0)),IF(Y104="A",INDEX(Players[Name],MATCH(M104&amp;" ?",Players[Name],0)),M104)))</f>
        <v/>
      </c>
      <c r="Y104" s="3" t="str">
        <f>IF(L104&lt;&gt;"PLAYER","",IF(ISNUMBER(MATCH(M104,Players[Name],0)),"Y",IF(AA104=1,"A","N")))</f>
        <v/>
      </c>
      <c r="Z104" s="3" t="str">
        <f>IF(L104&lt;&gt;"PLAYER","",_xlfn.TEXTJOIN("; ",TRUE,IF(M104="","Empty name",IF(Y104="N",IF(AA104&gt;1,"Which "&amp;M104&amp;"? "&amp;AA104&amp;" players start with it (like "&amp;INDEX(Players[Name],MATCH(M104&amp;" ?",Players[Name],0))&amp;") - type the last initial",IF(ISNUMBER(FIND(" ",M104)),IF(IFERROR(IF(M104="",FALSE,OR(M104="Unknown",AND(LEN(M104)-LEN(SUBSTITUTE(M104," ",""))=1,LEN(M104)&gt;=4,MID(M104,LEN(M104)-1,1)=" ",CODE(RIGHT(M104,1))&gt;=65,CODE(RIGHT(M104,1))&lt;=90))),FALSE),"New player? Not on Players list - add it there first","Not on Players list and not First L format (like Zack B)")&amp;IF(ISNUMBER(MATCH(LEFT(M104,FIND(" ",M104)-1)&amp;" ?",Players[Name],0))," (same first name as "&amp;INDEX(Players[Name],MATCH(LEFT(M104,FIND(" ",M104)-1)&amp;" ?",Players[Name],0))&amp;")",""),"Not on Players list - type first name + last initial (like Zack B)")),"")),IF(OR(V104&lt;Pod_Min,V104&gt;Pod_Max),"Pod has "&amp;V104&amp;" players",""),IF(U104=0,IF(T104=0,"No winner (*) in pod",IF(T104&gt;1,T104&amp;" winners in pod","")),IF(U104&lt;V104,"Some = but not all players","")),IF(X104="Unknown","",IF(COUNTIFS($O$8:$O$257,O104,$Q$8:$Q$257,Q104,$X$8:$X$257,X104)&gt;1,"Name twice in pod",IF(COUNTIFS($O$8:$O$257,O104,$X$8:$X$257,X104)&gt;1,"Name in 2 pods this round","")))))</f>
        <v/>
      </c>
      <c r="AA104" s="3" t="str">
        <f>IF(L104&lt;&gt;"PLAYER","",IF(OR(M104="",ISNUMBER(FIND(" ",M104))),0,COUNTIF(Players[Name],M104&amp;" ?")))</f>
        <v/>
      </c>
    </row>
    <row r="105" spans="1:27" x14ac:dyDescent="0.45">
      <c r="A105" s="17"/>
      <c r="B105" s="6" t="str">
        <f t="shared" si="21"/>
        <v/>
      </c>
      <c r="C105" s="6" t="str">
        <f t="shared" si="22"/>
        <v/>
      </c>
      <c r="D105" s="6" t="str">
        <f t="shared" si="23"/>
        <v/>
      </c>
      <c r="E105" s="6" t="str">
        <f t="shared" si="24"/>
        <v/>
      </c>
      <c r="F105" s="6" t="str">
        <f t="shared" si="25"/>
        <v/>
      </c>
      <c r="G105" s="6" t="str">
        <f t="shared" si="26"/>
        <v/>
      </c>
      <c r="H105" s="10" t="str">
        <f t="shared" si="27"/>
        <v/>
      </c>
      <c r="I105" s="6" t="str">
        <f t="shared" si="28"/>
        <v/>
      </c>
      <c r="J105" s="3" t="str">
        <f>IFERROR(MATCH(ROWS(J$8:J105),$S$8:$S$257,0),"")</f>
        <v/>
      </c>
      <c r="K105" s="3" t="str">
        <f t="shared" si="29"/>
        <v/>
      </c>
      <c r="L105" s="3" t="str">
        <f t="shared" si="30"/>
        <v/>
      </c>
      <c r="M105" s="3" t="str">
        <f t="shared" si="31"/>
        <v/>
      </c>
      <c r="N105" s="3" t="str">
        <f t="shared" si="32"/>
        <v/>
      </c>
      <c r="O105" s="3">
        <f t="shared" si="33"/>
        <v>1</v>
      </c>
      <c r="P105" s="3">
        <f t="shared" si="34"/>
        <v>0</v>
      </c>
      <c r="Q105" s="3">
        <f t="shared" si="35"/>
        <v>0</v>
      </c>
      <c r="R105" s="3" t="str">
        <f t="shared" si="36"/>
        <v/>
      </c>
      <c r="S105" s="3">
        <f t="shared" si="37"/>
        <v>0</v>
      </c>
      <c r="T105" s="3" t="str">
        <f t="shared" si="38"/>
        <v/>
      </c>
      <c r="U105" s="3" t="str">
        <f t="shared" si="39"/>
        <v/>
      </c>
      <c r="V105" s="3" t="str">
        <f t="shared" si="40"/>
        <v/>
      </c>
      <c r="W105" s="3" t="str">
        <f t="shared" si="41"/>
        <v/>
      </c>
      <c r="X105" s="3" t="str">
        <f>IF(L105&lt;&gt;"PLAYER","",IF(Y105="Y",INDEX(Players[Name],MATCH(M105,Players[Name],0)),IF(Y105="A",INDEX(Players[Name],MATCH(M105&amp;" ?",Players[Name],0)),M105)))</f>
        <v/>
      </c>
      <c r="Y105" s="3" t="str">
        <f>IF(L105&lt;&gt;"PLAYER","",IF(ISNUMBER(MATCH(M105,Players[Name],0)),"Y",IF(AA105=1,"A","N")))</f>
        <v/>
      </c>
      <c r="Z105" s="3" t="str">
        <f>IF(L105&lt;&gt;"PLAYER","",_xlfn.TEXTJOIN("; ",TRUE,IF(M105="","Empty name",IF(Y105="N",IF(AA105&gt;1,"Which "&amp;M105&amp;"? "&amp;AA105&amp;" players start with it (like "&amp;INDEX(Players[Name],MATCH(M105&amp;" ?",Players[Name],0))&amp;") - type the last initial",IF(ISNUMBER(FIND(" ",M105)),IF(IFERROR(IF(M105="",FALSE,OR(M105="Unknown",AND(LEN(M105)-LEN(SUBSTITUTE(M105," ",""))=1,LEN(M105)&gt;=4,MID(M105,LEN(M105)-1,1)=" ",CODE(RIGHT(M105,1))&gt;=65,CODE(RIGHT(M105,1))&lt;=90))),FALSE),"New player? Not on Players list - add it there first","Not on Players list and not First L format (like Zack B)")&amp;IF(ISNUMBER(MATCH(LEFT(M105,FIND(" ",M105)-1)&amp;" ?",Players[Name],0))," (same first name as "&amp;INDEX(Players[Name],MATCH(LEFT(M105,FIND(" ",M105)-1)&amp;" ?",Players[Name],0))&amp;")",""),"Not on Players list - type first name + last initial (like Zack B)")),"")),IF(OR(V105&lt;Pod_Min,V105&gt;Pod_Max),"Pod has "&amp;V105&amp;" players",""),IF(U105=0,IF(T105=0,"No winner (*) in pod",IF(T105&gt;1,T105&amp;" winners in pod","")),IF(U105&lt;V105,"Some = but not all players","")),IF(X105="Unknown","",IF(COUNTIFS($O$8:$O$257,O105,$Q$8:$Q$257,Q105,$X$8:$X$257,X105)&gt;1,"Name twice in pod",IF(COUNTIFS($O$8:$O$257,O105,$X$8:$X$257,X105)&gt;1,"Name in 2 pods this round","")))))</f>
        <v/>
      </c>
      <c r="AA105" s="3" t="str">
        <f>IF(L105&lt;&gt;"PLAYER","",IF(OR(M105="",ISNUMBER(FIND(" ",M105))),0,COUNTIF(Players[Name],M105&amp;" ?")))</f>
        <v/>
      </c>
    </row>
    <row r="106" spans="1:27" x14ac:dyDescent="0.45">
      <c r="A106" s="17"/>
      <c r="B106" s="6" t="str">
        <f t="shared" si="21"/>
        <v/>
      </c>
      <c r="C106" s="6" t="str">
        <f t="shared" si="22"/>
        <v/>
      </c>
      <c r="D106" s="6" t="str">
        <f t="shared" si="23"/>
        <v/>
      </c>
      <c r="E106" s="6" t="str">
        <f t="shared" si="24"/>
        <v/>
      </c>
      <c r="F106" s="6" t="str">
        <f t="shared" si="25"/>
        <v/>
      </c>
      <c r="G106" s="6" t="str">
        <f t="shared" si="26"/>
        <v/>
      </c>
      <c r="H106" s="10" t="str">
        <f t="shared" si="27"/>
        <v/>
      </c>
      <c r="I106" s="6" t="str">
        <f t="shared" si="28"/>
        <v/>
      </c>
      <c r="J106" s="3" t="str">
        <f>IFERROR(MATCH(ROWS(J$8:J106),$S$8:$S$257,0),"")</f>
        <v/>
      </c>
      <c r="K106" s="3" t="str">
        <f t="shared" si="29"/>
        <v/>
      </c>
      <c r="L106" s="3" t="str">
        <f t="shared" si="30"/>
        <v/>
      </c>
      <c r="M106" s="3" t="str">
        <f t="shared" si="31"/>
        <v/>
      </c>
      <c r="N106" s="3" t="str">
        <f t="shared" si="32"/>
        <v/>
      </c>
      <c r="O106" s="3">
        <f t="shared" si="33"/>
        <v>1</v>
      </c>
      <c r="P106" s="3">
        <f t="shared" si="34"/>
        <v>0</v>
      </c>
      <c r="Q106" s="3">
        <f t="shared" si="35"/>
        <v>0</v>
      </c>
      <c r="R106" s="3" t="str">
        <f t="shared" si="36"/>
        <v/>
      </c>
      <c r="S106" s="3">
        <f t="shared" si="37"/>
        <v>0</v>
      </c>
      <c r="T106" s="3" t="str">
        <f t="shared" si="38"/>
        <v/>
      </c>
      <c r="U106" s="3" t="str">
        <f t="shared" si="39"/>
        <v/>
      </c>
      <c r="V106" s="3" t="str">
        <f t="shared" si="40"/>
        <v/>
      </c>
      <c r="W106" s="3" t="str">
        <f t="shared" si="41"/>
        <v/>
      </c>
      <c r="X106" s="3" t="str">
        <f>IF(L106&lt;&gt;"PLAYER","",IF(Y106="Y",INDEX(Players[Name],MATCH(M106,Players[Name],0)),IF(Y106="A",INDEX(Players[Name],MATCH(M106&amp;" ?",Players[Name],0)),M106)))</f>
        <v/>
      </c>
      <c r="Y106" s="3" t="str">
        <f>IF(L106&lt;&gt;"PLAYER","",IF(ISNUMBER(MATCH(M106,Players[Name],0)),"Y",IF(AA106=1,"A","N")))</f>
        <v/>
      </c>
      <c r="Z106" s="3" t="str">
        <f>IF(L106&lt;&gt;"PLAYER","",_xlfn.TEXTJOIN("; ",TRUE,IF(M106="","Empty name",IF(Y106="N",IF(AA106&gt;1,"Which "&amp;M106&amp;"? "&amp;AA106&amp;" players start with it (like "&amp;INDEX(Players[Name],MATCH(M106&amp;" ?",Players[Name],0))&amp;") - type the last initial",IF(ISNUMBER(FIND(" ",M106)),IF(IFERROR(IF(M106="",FALSE,OR(M106="Unknown",AND(LEN(M106)-LEN(SUBSTITUTE(M106," ",""))=1,LEN(M106)&gt;=4,MID(M106,LEN(M106)-1,1)=" ",CODE(RIGHT(M106,1))&gt;=65,CODE(RIGHT(M106,1))&lt;=90))),FALSE),"New player? Not on Players list - add it there first","Not on Players list and not First L format (like Zack B)")&amp;IF(ISNUMBER(MATCH(LEFT(M106,FIND(" ",M106)-1)&amp;" ?",Players[Name],0))," (same first name as "&amp;INDEX(Players[Name],MATCH(LEFT(M106,FIND(" ",M106)-1)&amp;" ?",Players[Name],0))&amp;")",""),"Not on Players list - type first name + last initial (like Zack B)")),"")),IF(OR(V106&lt;Pod_Min,V106&gt;Pod_Max),"Pod has "&amp;V106&amp;" players",""),IF(U106=0,IF(T106=0,"No winner (*) in pod",IF(T106&gt;1,T106&amp;" winners in pod","")),IF(U106&lt;V106,"Some = but not all players","")),IF(X106="Unknown","",IF(COUNTIFS($O$8:$O$257,O106,$Q$8:$Q$257,Q106,$X$8:$X$257,X106)&gt;1,"Name twice in pod",IF(COUNTIFS($O$8:$O$257,O106,$X$8:$X$257,X106)&gt;1,"Name in 2 pods this round","")))))</f>
        <v/>
      </c>
      <c r="AA106" s="3" t="str">
        <f>IF(L106&lt;&gt;"PLAYER","",IF(OR(M106="",ISNUMBER(FIND(" ",M106))),0,COUNTIF(Players[Name],M106&amp;" ?")))</f>
        <v/>
      </c>
    </row>
    <row r="107" spans="1:27" x14ac:dyDescent="0.45">
      <c r="A107" s="17"/>
      <c r="B107" s="6" t="str">
        <f t="shared" si="21"/>
        <v/>
      </c>
      <c r="C107" s="6" t="str">
        <f t="shared" si="22"/>
        <v/>
      </c>
      <c r="D107" s="6" t="str">
        <f t="shared" si="23"/>
        <v/>
      </c>
      <c r="E107" s="6" t="str">
        <f t="shared" si="24"/>
        <v/>
      </c>
      <c r="F107" s="6" t="str">
        <f t="shared" si="25"/>
        <v/>
      </c>
      <c r="G107" s="6" t="str">
        <f t="shared" si="26"/>
        <v/>
      </c>
      <c r="H107" s="10" t="str">
        <f t="shared" si="27"/>
        <v/>
      </c>
      <c r="I107" s="6" t="str">
        <f t="shared" si="28"/>
        <v/>
      </c>
      <c r="J107" s="3" t="str">
        <f>IFERROR(MATCH(ROWS(J$8:J107),$S$8:$S$257,0),"")</f>
        <v/>
      </c>
      <c r="K107" s="3" t="str">
        <f t="shared" si="29"/>
        <v/>
      </c>
      <c r="L107" s="3" t="str">
        <f t="shared" si="30"/>
        <v/>
      </c>
      <c r="M107" s="3" t="str">
        <f t="shared" si="31"/>
        <v/>
      </c>
      <c r="N107" s="3" t="str">
        <f t="shared" si="32"/>
        <v/>
      </c>
      <c r="O107" s="3">
        <f t="shared" si="33"/>
        <v>1</v>
      </c>
      <c r="P107" s="3">
        <f t="shared" si="34"/>
        <v>0</v>
      </c>
      <c r="Q107" s="3">
        <f t="shared" si="35"/>
        <v>0</v>
      </c>
      <c r="R107" s="3" t="str">
        <f t="shared" si="36"/>
        <v/>
      </c>
      <c r="S107" s="3">
        <f t="shared" si="37"/>
        <v>0</v>
      </c>
      <c r="T107" s="3" t="str">
        <f t="shared" si="38"/>
        <v/>
      </c>
      <c r="U107" s="3" t="str">
        <f t="shared" si="39"/>
        <v/>
      </c>
      <c r="V107" s="3" t="str">
        <f t="shared" si="40"/>
        <v/>
      </c>
      <c r="W107" s="3" t="str">
        <f t="shared" si="41"/>
        <v/>
      </c>
      <c r="X107" s="3" t="str">
        <f>IF(L107&lt;&gt;"PLAYER","",IF(Y107="Y",INDEX(Players[Name],MATCH(M107,Players[Name],0)),IF(Y107="A",INDEX(Players[Name],MATCH(M107&amp;" ?",Players[Name],0)),M107)))</f>
        <v/>
      </c>
      <c r="Y107" s="3" t="str">
        <f>IF(L107&lt;&gt;"PLAYER","",IF(ISNUMBER(MATCH(M107,Players[Name],0)),"Y",IF(AA107=1,"A","N")))</f>
        <v/>
      </c>
      <c r="Z107" s="3" t="str">
        <f>IF(L107&lt;&gt;"PLAYER","",_xlfn.TEXTJOIN("; ",TRUE,IF(M107="","Empty name",IF(Y107="N",IF(AA107&gt;1,"Which "&amp;M107&amp;"? "&amp;AA107&amp;" players start with it (like "&amp;INDEX(Players[Name],MATCH(M107&amp;" ?",Players[Name],0))&amp;") - type the last initial",IF(ISNUMBER(FIND(" ",M107)),IF(IFERROR(IF(M107="",FALSE,OR(M107="Unknown",AND(LEN(M107)-LEN(SUBSTITUTE(M107," ",""))=1,LEN(M107)&gt;=4,MID(M107,LEN(M107)-1,1)=" ",CODE(RIGHT(M107,1))&gt;=65,CODE(RIGHT(M107,1))&lt;=90))),FALSE),"New player? Not on Players list - add it there first","Not on Players list and not First L format (like Zack B)")&amp;IF(ISNUMBER(MATCH(LEFT(M107,FIND(" ",M107)-1)&amp;" ?",Players[Name],0))," (same first name as "&amp;INDEX(Players[Name],MATCH(LEFT(M107,FIND(" ",M107)-1)&amp;" ?",Players[Name],0))&amp;")",""),"Not on Players list - type first name + last initial (like Zack B)")),"")),IF(OR(V107&lt;Pod_Min,V107&gt;Pod_Max),"Pod has "&amp;V107&amp;" players",""),IF(U107=0,IF(T107=0,"No winner (*) in pod",IF(T107&gt;1,T107&amp;" winners in pod","")),IF(U107&lt;V107,"Some = but not all players","")),IF(X107="Unknown","",IF(COUNTIFS($O$8:$O$257,O107,$Q$8:$Q$257,Q107,$X$8:$X$257,X107)&gt;1,"Name twice in pod",IF(COUNTIFS($O$8:$O$257,O107,$X$8:$X$257,X107)&gt;1,"Name in 2 pods this round","")))))</f>
        <v/>
      </c>
      <c r="AA107" s="3" t="str">
        <f>IF(L107&lt;&gt;"PLAYER","",IF(OR(M107="",ISNUMBER(FIND(" ",M107))),0,COUNTIF(Players[Name],M107&amp;" ?")))</f>
        <v/>
      </c>
    </row>
    <row r="108" spans="1:27" x14ac:dyDescent="0.45">
      <c r="A108" s="17"/>
      <c r="B108" s="6" t="str">
        <f t="shared" si="21"/>
        <v/>
      </c>
      <c r="C108" s="6" t="str">
        <f t="shared" si="22"/>
        <v/>
      </c>
      <c r="D108" s="6" t="str">
        <f t="shared" si="23"/>
        <v/>
      </c>
      <c r="E108" s="6" t="str">
        <f t="shared" si="24"/>
        <v/>
      </c>
      <c r="F108" s="6" t="str">
        <f t="shared" si="25"/>
        <v/>
      </c>
      <c r="G108" s="6" t="str">
        <f t="shared" si="26"/>
        <v/>
      </c>
      <c r="H108" s="10" t="str">
        <f t="shared" si="27"/>
        <v/>
      </c>
      <c r="I108" s="6" t="str">
        <f t="shared" si="28"/>
        <v/>
      </c>
      <c r="J108" s="3" t="str">
        <f>IFERROR(MATCH(ROWS(J$8:J108),$S$8:$S$257,0),"")</f>
        <v/>
      </c>
      <c r="K108" s="3" t="str">
        <f t="shared" si="29"/>
        <v/>
      </c>
      <c r="L108" s="3" t="str">
        <f t="shared" si="30"/>
        <v/>
      </c>
      <c r="M108" s="3" t="str">
        <f t="shared" si="31"/>
        <v/>
      </c>
      <c r="N108" s="3" t="str">
        <f t="shared" si="32"/>
        <v/>
      </c>
      <c r="O108" s="3">
        <f t="shared" si="33"/>
        <v>1</v>
      </c>
      <c r="P108" s="3">
        <f t="shared" si="34"/>
        <v>0</v>
      </c>
      <c r="Q108" s="3">
        <f t="shared" si="35"/>
        <v>0</v>
      </c>
      <c r="R108" s="3" t="str">
        <f t="shared" si="36"/>
        <v/>
      </c>
      <c r="S108" s="3">
        <f t="shared" si="37"/>
        <v>0</v>
      </c>
      <c r="T108" s="3" t="str">
        <f t="shared" si="38"/>
        <v/>
      </c>
      <c r="U108" s="3" t="str">
        <f t="shared" si="39"/>
        <v/>
      </c>
      <c r="V108" s="3" t="str">
        <f t="shared" si="40"/>
        <v/>
      </c>
      <c r="W108" s="3" t="str">
        <f t="shared" si="41"/>
        <v/>
      </c>
      <c r="X108" s="3" t="str">
        <f>IF(L108&lt;&gt;"PLAYER","",IF(Y108="Y",INDEX(Players[Name],MATCH(M108,Players[Name],0)),IF(Y108="A",INDEX(Players[Name],MATCH(M108&amp;" ?",Players[Name],0)),M108)))</f>
        <v/>
      </c>
      <c r="Y108" s="3" t="str">
        <f>IF(L108&lt;&gt;"PLAYER","",IF(ISNUMBER(MATCH(M108,Players[Name],0)),"Y",IF(AA108=1,"A","N")))</f>
        <v/>
      </c>
      <c r="Z108" s="3" t="str">
        <f>IF(L108&lt;&gt;"PLAYER","",_xlfn.TEXTJOIN("; ",TRUE,IF(M108="","Empty name",IF(Y108="N",IF(AA108&gt;1,"Which "&amp;M108&amp;"? "&amp;AA108&amp;" players start with it (like "&amp;INDEX(Players[Name],MATCH(M108&amp;" ?",Players[Name],0))&amp;") - type the last initial",IF(ISNUMBER(FIND(" ",M108)),IF(IFERROR(IF(M108="",FALSE,OR(M108="Unknown",AND(LEN(M108)-LEN(SUBSTITUTE(M108," ",""))=1,LEN(M108)&gt;=4,MID(M108,LEN(M108)-1,1)=" ",CODE(RIGHT(M108,1))&gt;=65,CODE(RIGHT(M108,1))&lt;=90))),FALSE),"New player? Not on Players list - add it there first","Not on Players list and not First L format (like Zack B)")&amp;IF(ISNUMBER(MATCH(LEFT(M108,FIND(" ",M108)-1)&amp;" ?",Players[Name],0))," (same first name as "&amp;INDEX(Players[Name],MATCH(LEFT(M108,FIND(" ",M108)-1)&amp;" ?",Players[Name],0))&amp;")",""),"Not on Players list - type first name + last initial (like Zack B)")),"")),IF(OR(V108&lt;Pod_Min,V108&gt;Pod_Max),"Pod has "&amp;V108&amp;" players",""),IF(U108=0,IF(T108=0,"No winner (*) in pod",IF(T108&gt;1,T108&amp;" winners in pod","")),IF(U108&lt;V108,"Some = but not all players","")),IF(X108="Unknown","",IF(COUNTIFS($O$8:$O$257,O108,$Q$8:$Q$257,Q108,$X$8:$X$257,X108)&gt;1,"Name twice in pod",IF(COUNTIFS($O$8:$O$257,O108,$X$8:$X$257,X108)&gt;1,"Name in 2 pods this round","")))))</f>
        <v/>
      </c>
      <c r="AA108" s="3" t="str">
        <f>IF(L108&lt;&gt;"PLAYER","",IF(OR(M108="",ISNUMBER(FIND(" ",M108))),0,COUNTIF(Players[Name],M108&amp;" ?")))</f>
        <v/>
      </c>
    </row>
    <row r="109" spans="1:27" x14ac:dyDescent="0.45">
      <c r="A109" s="17"/>
      <c r="B109" s="6" t="str">
        <f t="shared" si="21"/>
        <v/>
      </c>
      <c r="C109" s="6" t="str">
        <f t="shared" si="22"/>
        <v/>
      </c>
      <c r="D109" s="6" t="str">
        <f t="shared" si="23"/>
        <v/>
      </c>
      <c r="E109" s="6" t="str">
        <f t="shared" si="24"/>
        <v/>
      </c>
      <c r="F109" s="6" t="str">
        <f t="shared" si="25"/>
        <v/>
      </c>
      <c r="G109" s="6" t="str">
        <f t="shared" si="26"/>
        <v/>
      </c>
      <c r="H109" s="10" t="str">
        <f t="shared" si="27"/>
        <v/>
      </c>
      <c r="I109" s="6" t="str">
        <f t="shared" si="28"/>
        <v/>
      </c>
      <c r="J109" s="3" t="str">
        <f>IFERROR(MATCH(ROWS(J$8:J109),$S$8:$S$257,0),"")</f>
        <v/>
      </c>
      <c r="K109" s="3" t="str">
        <f t="shared" si="29"/>
        <v/>
      </c>
      <c r="L109" s="3" t="str">
        <f t="shared" si="30"/>
        <v/>
      </c>
      <c r="M109" s="3" t="str">
        <f t="shared" si="31"/>
        <v/>
      </c>
      <c r="N109" s="3" t="str">
        <f t="shared" si="32"/>
        <v/>
      </c>
      <c r="O109" s="3">
        <f t="shared" si="33"/>
        <v>1</v>
      </c>
      <c r="P109" s="3">
        <f t="shared" si="34"/>
        <v>0</v>
      </c>
      <c r="Q109" s="3">
        <f t="shared" si="35"/>
        <v>0</v>
      </c>
      <c r="R109" s="3" t="str">
        <f t="shared" si="36"/>
        <v/>
      </c>
      <c r="S109" s="3">
        <f t="shared" si="37"/>
        <v>0</v>
      </c>
      <c r="T109" s="3" t="str">
        <f t="shared" si="38"/>
        <v/>
      </c>
      <c r="U109" s="3" t="str">
        <f t="shared" si="39"/>
        <v/>
      </c>
      <c r="V109" s="3" t="str">
        <f t="shared" si="40"/>
        <v/>
      </c>
      <c r="W109" s="3" t="str">
        <f t="shared" si="41"/>
        <v/>
      </c>
      <c r="X109" s="3" t="str">
        <f>IF(L109&lt;&gt;"PLAYER","",IF(Y109="Y",INDEX(Players[Name],MATCH(M109,Players[Name],0)),IF(Y109="A",INDEX(Players[Name],MATCH(M109&amp;" ?",Players[Name],0)),M109)))</f>
        <v/>
      </c>
      <c r="Y109" s="3" t="str">
        <f>IF(L109&lt;&gt;"PLAYER","",IF(ISNUMBER(MATCH(M109,Players[Name],0)),"Y",IF(AA109=1,"A","N")))</f>
        <v/>
      </c>
      <c r="Z109" s="3" t="str">
        <f>IF(L109&lt;&gt;"PLAYER","",_xlfn.TEXTJOIN("; ",TRUE,IF(M109="","Empty name",IF(Y109="N",IF(AA109&gt;1,"Which "&amp;M109&amp;"? "&amp;AA109&amp;" players start with it (like "&amp;INDEX(Players[Name],MATCH(M109&amp;" ?",Players[Name],0))&amp;") - type the last initial",IF(ISNUMBER(FIND(" ",M109)),IF(IFERROR(IF(M109="",FALSE,OR(M109="Unknown",AND(LEN(M109)-LEN(SUBSTITUTE(M109," ",""))=1,LEN(M109)&gt;=4,MID(M109,LEN(M109)-1,1)=" ",CODE(RIGHT(M109,1))&gt;=65,CODE(RIGHT(M109,1))&lt;=90))),FALSE),"New player? Not on Players list - add it there first","Not on Players list and not First L format (like Zack B)")&amp;IF(ISNUMBER(MATCH(LEFT(M109,FIND(" ",M109)-1)&amp;" ?",Players[Name],0))," (same first name as "&amp;INDEX(Players[Name],MATCH(LEFT(M109,FIND(" ",M109)-1)&amp;" ?",Players[Name],0))&amp;")",""),"Not on Players list - type first name + last initial (like Zack B)")),"")),IF(OR(V109&lt;Pod_Min,V109&gt;Pod_Max),"Pod has "&amp;V109&amp;" players",""),IF(U109=0,IF(T109=0,"No winner (*) in pod",IF(T109&gt;1,T109&amp;" winners in pod","")),IF(U109&lt;V109,"Some = but not all players","")),IF(X109="Unknown","",IF(COUNTIFS($O$8:$O$257,O109,$Q$8:$Q$257,Q109,$X$8:$X$257,X109)&gt;1,"Name twice in pod",IF(COUNTIFS($O$8:$O$257,O109,$X$8:$X$257,X109)&gt;1,"Name in 2 pods this round","")))))</f>
        <v/>
      </c>
      <c r="AA109" s="3" t="str">
        <f>IF(L109&lt;&gt;"PLAYER","",IF(OR(M109="",ISNUMBER(FIND(" ",M109))),0,COUNTIF(Players[Name],M109&amp;" ?")))</f>
        <v/>
      </c>
    </row>
    <row r="110" spans="1:27" x14ac:dyDescent="0.45">
      <c r="A110" s="17"/>
      <c r="B110" s="6" t="str">
        <f t="shared" si="21"/>
        <v/>
      </c>
      <c r="C110" s="6" t="str">
        <f t="shared" si="22"/>
        <v/>
      </c>
      <c r="D110" s="6" t="str">
        <f t="shared" si="23"/>
        <v/>
      </c>
      <c r="E110" s="6" t="str">
        <f t="shared" si="24"/>
        <v/>
      </c>
      <c r="F110" s="6" t="str">
        <f t="shared" si="25"/>
        <v/>
      </c>
      <c r="G110" s="6" t="str">
        <f t="shared" si="26"/>
        <v/>
      </c>
      <c r="H110" s="10" t="str">
        <f t="shared" si="27"/>
        <v/>
      </c>
      <c r="I110" s="6" t="str">
        <f t="shared" si="28"/>
        <v/>
      </c>
      <c r="J110" s="3" t="str">
        <f>IFERROR(MATCH(ROWS(J$8:J110),$S$8:$S$257,0),"")</f>
        <v/>
      </c>
      <c r="K110" s="3" t="str">
        <f t="shared" si="29"/>
        <v/>
      </c>
      <c r="L110" s="3" t="str">
        <f t="shared" si="30"/>
        <v/>
      </c>
      <c r="M110" s="3" t="str">
        <f t="shared" si="31"/>
        <v/>
      </c>
      <c r="N110" s="3" t="str">
        <f t="shared" si="32"/>
        <v/>
      </c>
      <c r="O110" s="3">
        <f t="shared" si="33"/>
        <v>1</v>
      </c>
      <c r="P110" s="3">
        <f t="shared" si="34"/>
        <v>0</v>
      </c>
      <c r="Q110" s="3">
        <f t="shared" si="35"/>
        <v>0</v>
      </c>
      <c r="R110" s="3" t="str">
        <f t="shared" si="36"/>
        <v/>
      </c>
      <c r="S110" s="3">
        <f t="shared" si="37"/>
        <v>0</v>
      </c>
      <c r="T110" s="3" t="str">
        <f t="shared" si="38"/>
        <v/>
      </c>
      <c r="U110" s="3" t="str">
        <f t="shared" si="39"/>
        <v/>
      </c>
      <c r="V110" s="3" t="str">
        <f t="shared" si="40"/>
        <v/>
      </c>
      <c r="W110" s="3" t="str">
        <f t="shared" si="41"/>
        <v/>
      </c>
      <c r="X110" s="3" t="str">
        <f>IF(L110&lt;&gt;"PLAYER","",IF(Y110="Y",INDEX(Players[Name],MATCH(M110,Players[Name],0)),IF(Y110="A",INDEX(Players[Name],MATCH(M110&amp;" ?",Players[Name],0)),M110)))</f>
        <v/>
      </c>
      <c r="Y110" s="3" t="str">
        <f>IF(L110&lt;&gt;"PLAYER","",IF(ISNUMBER(MATCH(M110,Players[Name],0)),"Y",IF(AA110=1,"A","N")))</f>
        <v/>
      </c>
      <c r="Z110" s="3" t="str">
        <f>IF(L110&lt;&gt;"PLAYER","",_xlfn.TEXTJOIN("; ",TRUE,IF(M110="","Empty name",IF(Y110="N",IF(AA110&gt;1,"Which "&amp;M110&amp;"? "&amp;AA110&amp;" players start with it (like "&amp;INDEX(Players[Name],MATCH(M110&amp;" ?",Players[Name],0))&amp;") - type the last initial",IF(ISNUMBER(FIND(" ",M110)),IF(IFERROR(IF(M110="",FALSE,OR(M110="Unknown",AND(LEN(M110)-LEN(SUBSTITUTE(M110," ",""))=1,LEN(M110)&gt;=4,MID(M110,LEN(M110)-1,1)=" ",CODE(RIGHT(M110,1))&gt;=65,CODE(RIGHT(M110,1))&lt;=90))),FALSE),"New player? Not on Players list - add it there first","Not on Players list and not First L format (like Zack B)")&amp;IF(ISNUMBER(MATCH(LEFT(M110,FIND(" ",M110)-1)&amp;" ?",Players[Name],0))," (same first name as "&amp;INDEX(Players[Name],MATCH(LEFT(M110,FIND(" ",M110)-1)&amp;" ?",Players[Name],0))&amp;")",""),"Not on Players list - type first name + last initial (like Zack B)")),"")),IF(OR(V110&lt;Pod_Min,V110&gt;Pod_Max),"Pod has "&amp;V110&amp;" players",""),IF(U110=0,IF(T110=0,"No winner (*) in pod",IF(T110&gt;1,T110&amp;" winners in pod","")),IF(U110&lt;V110,"Some = but not all players","")),IF(X110="Unknown","",IF(COUNTIFS($O$8:$O$257,O110,$Q$8:$Q$257,Q110,$X$8:$X$257,X110)&gt;1,"Name twice in pod",IF(COUNTIFS($O$8:$O$257,O110,$X$8:$X$257,X110)&gt;1,"Name in 2 pods this round","")))))</f>
        <v/>
      </c>
      <c r="AA110" s="3" t="str">
        <f>IF(L110&lt;&gt;"PLAYER","",IF(OR(M110="",ISNUMBER(FIND(" ",M110))),0,COUNTIF(Players[Name],M110&amp;" ?")))</f>
        <v/>
      </c>
    </row>
    <row r="111" spans="1:27" x14ac:dyDescent="0.45">
      <c r="A111" s="17"/>
      <c r="B111" s="6" t="str">
        <f t="shared" si="21"/>
        <v/>
      </c>
      <c r="C111" s="6" t="str">
        <f t="shared" si="22"/>
        <v/>
      </c>
      <c r="D111" s="6" t="str">
        <f t="shared" si="23"/>
        <v/>
      </c>
      <c r="E111" s="6" t="str">
        <f t="shared" si="24"/>
        <v/>
      </c>
      <c r="F111" s="6" t="str">
        <f t="shared" si="25"/>
        <v/>
      </c>
      <c r="G111" s="6" t="str">
        <f t="shared" si="26"/>
        <v/>
      </c>
      <c r="H111" s="10" t="str">
        <f t="shared" si="27"/>
        <v/>
      </c>
      <c r="I111" s="6" t="str">
        <f t="shared" si="28"/>
        <v/>
      </c>
      <c r="J111" s="3" t="str">
        <f>IFERROR(MATCH(ROWS(J$8:J111),$S$8:$S$257,0),"")</f>
        <v/>
      </c>
      <c r="K111" s="3" t="str">
        <f t="shared" si="29"/>
        <v/>
      </c>
      <c r="L111" s="3" t="str">
        <f t="shared" si="30"/>
        <v/>
      </c>
      <c r="M111" s="3" t="str">
        <f t="shared" si="31"/>
        <v/>
      </c>
      <c r="N111" s="3" t="str">
        <f t="shared" si="32"/>
        <v/>
      </c>
      <c r="O111" s="3">
        <f t="shared" si="33"/>
        <v>1</v>
      </c>
      <c r="P111" s="3">
        <f t="shared" si="34"/>
        <v>0</v>
      </c>
      <c r="Q111" s="3">
        <f t="shared" si="35"/>
        <v>0</v>
      </c>
      <c r="R111" s="3" t="str">
        <f t="shared" si="36"/>
        <v/>
      </c>
      <c r="S111" s="3">
        <f t="shared" si="37"/>
        <v>0</v>
      </c>
      <c r="T111" s="3" t="str">
        <f t="shared" si="38"/>
        <v/>
      </c>
      <c r="U111" s="3" t="str">
        <f t="shared" si="39"/>
        <v/>
      </c>
      <c r="V111" s="3" t="str">
        <f t="shared" si="40"/>
        <v/>
      </c>
      <c r="W111" s="3" t="str">
        <f t="shared" si="41"/>
        <v/>
      </c>
      <c r="X111" s="3" t="str">
        <f>IF(L111&lt;&gt;"PLAYER","",IF(Y111="Y",INDEX(Players[Name],MATCH(M111,Players[Name],0)),IF(Y111="A",INDEX(Players[Name],MATCH(M111&amp;" ?",Players[Name],0)),M111)))</f>
        <v/>
      </c>
      <c r="Y111" s="3" t="str">
        <f>IF(L111&lt;&gt;"PLAYER","",IF(ISNUMBER(MATCH(M111,Players[Name],0)),"Y",IF(AA111=1,"A","N")))</f>
        <v/>
      </c>
      <c r="Z111" s="3" t="str">
        <f>IF(L111&lt;&gt;"PLAYER","",_xlfn.TEXTJOIN("; ",TRUE,IF(M111="","Empty name",IF(Y111="N",IF(AA111&gt;1,"Which "&amp;M111&amp;"? "&amp;AA111&amp;" players start with it (like "&amp;INDEX(Players[Name],MATCH(M111&amp;" ?",Players[Name],0))&amp;") - type the last initial",IF(ISNUMBER(FIND(" ",M111)),IF(IFERROR(IF(M111="",FALSE,OR(M111="Unknown",AND(LEN(M111)-LEN(SUBSTITUTE(M111," ",""))=1,LEN(M111)&gt;=4,MID(M111,LEN(M111)-1,1)=" ",CODE(RIGHT(M111,1))&gt;=65,CODE(RIGHT(M111,1))&lt;=90))),FALSE),"New player? Not on Players list - add it there first","Not on Players list and not First L format (like Zack B)")&amp;IF(ISNUMBER(MATCH(LEFT(M111,FIND(" ",M111)-1)&amp;" ?",Players[Name],0))," (same first name as "&amp;INDEX(Players[Name],MATCH(LEFT(M111,FIND(" ",M111)-1)&amp;" ?",Players[Name],0))&amp;")",""),"Not on Players list - type first name + last initial (like Zack B)")),"")),IF(OR(V111&lt;Pod_Min,V111&gt;Pod_Max),"Pod has "&amp;V111&amp;" players",""),IF(U111=0,IF(T111=0,"No winner (*) in pod",IF(T111&gt;1,T111&amp;" winners in pod","")),IF(U111&lt;V111,"Some = but not all players","")),IF(X111="Unknown","",IF(COUNTIFS($O$8:$O$257,O111,$Q$8:$Q$257,Q111,$X$8:$X$257,X111)&gt;1,"Name twice in pod",IF(COUNTIFS($O$8:$O$257,O111,$X$8:$X$257,X111)&gt;1,"Name in 2 pods this round","")))))</f>
        <v/>
      </c>
      <c r="AA111" s="3" t="str">
        <f>IF(L111&lt;&gt;"PLAYER","",IF(OR(M111="",ISNUMBER(FIND(" ",M111))),0,COUNTIF(Players[Name],M111&amp;" ?")))</f>
        <v/>
      </c>
    </row>
    <row r="112" spans="1:27" x14ac:dyDescent="0.45">
      <c r="A112" s="17"/>
      <c r="B112" s="6" t="str">
        <f t="shared" si="21"/>
        <v/>
      </c>
      <c r="C112" s="6" t="str">
        <f t="shared" si="22"/>
        <v/>
      </c>
      <c r="D112" s="6" t="str">
        <f t="shared" si="23"/>
        <v/>
      </c>
      <c r="E112" s="6" t="str">
        <f t="shared" si="24"/>
        <v/>
      </c>
      <c r="F112" s="6" t="str">
        <f t="shared" si="25"/>
        <v/>
      </c>
      <c r="G112" s="6" t="str">
        <f t="shared" si="26"/>
        <v/>
      </c>
      <c r="H112" s="10" t="str">
        <f t="shared" si="27"/>
        <v/>
      </c>
      <c r="I112" s="6" t="str">
        <f t="shared" si="28"/>
        <v/>
      </c>
      <c r="J112" s="3" t="str">
        <f>IFERROR(MATCH(ROWS(J$8:J112),$S$8:$S$257,0),"")</f>
        <v/>
      </c>
      <c r="K112" s="3" t="str">
        <f t="shared" si="29"/>
        <v/>
      </c>
      <c r="L112" s="3" t="str">
        <f t="shared" si="30"/>
        <v/>
      </c>
      <c r="M112" s="3" t="str">
        <f t="shared" si="31"/>
        <v/>
      </c>
      <c r="N112" s="3" t="str">
        <f t="shared" si="32"/>
        <v/>
      </c>
      <c r="O112" s="3">
        <f t="shared" si="33"/>
        <v>1</v>
      </c>
      <c r="P112" s="3">
        <f t="shared" si="34"/>
        <v>0</v>
      </c>
      <c r="Q112" s="3">
        <f t="shared" si="35"/>
        <v>0</v>
      </c>
      <c r="R112" s="3" t="str">
        <f t="shared" si="36"/>
        <v/>
      </c>
      <c r="S112" s="3">
        <f t="shared" si="37"/>
        <v>0</v>
      </c>
      <c r="T112" s="3" t="str">
        <f t="shared" si="38"/>
        <v/>
      </c>
      <c r="U112" s="3" t="str">
        <f t="shared" si="39"/>
        <v/>
      </c>
      <c r="V112" s="3" t="str">
        <f t="shared" si="40"/>
        <v/>
      </c>
      <c r="W112" s="3" t="str">
        <f t="shared" si="41"/>
        <v/>
      </c>
      <c r="X112" s="3" t="str">
        <f>IF(L112&lt;&gt;"PLAYER","",IF(Y112="Y",INDEX(Players[Name],MATCH(M112,Players[Name],0)),IF(Y112="A",INDEX(Players[Name],MATCH(M112&amp;" ?",Players[Name],0)),M112)))</f>
        <v/>
      </c>
      <c r="Y112" s="3" t="str">
        <f>IF(L112&lt;&gt;"PLAYER","",IF(ISNUMBER(MATCH(M112,Players[Name],0)),"Y",IF(AA112=1,"A","N")))</f>
        <v/>
      </c>
      <c r="Z112" s="3" t="str">
        <f>IF(L112&lt;&gt;"PLAYER","",_xlfn.TEXTJOIN("; ",TRUE,IF(M112="","Empty name",IF(Y112="N",IF(AA112&gt;1,"Which "&amp;M112&amp;"? "&amp;AA112&amp;" players start with it (like "&amp;INDEX(Players[Name],MATCH(M112&amp;" ?",Players[Name],0))&amp;") - type the last initial",IF(ISNUMBER(FIND(" ",M112)),IF(IFERROR(IF(M112="",FALSE,OR(M112="Unknown",AND(LEN(M112)-LEN(SUBSTITUTE(M112," ",""))=1,LEN(M112)&gt;=4,MID(M112,LEN(M112)-1,1)=" ",CODE(RIGHT(M112,1))&gt;=65,CODE(RIGHT(M112,1))&lt;=90))),FALSE),"New player? Not on Players list - add it there first","Not on Players list and not First L format (like Zack B)")&amp;IF(ISNUMBER(MATCH(LEFT(M112,FIND(" ",M112)-1)&amp;" ?",Players[Name],0))," (same first name as "&amp;INDEX(Players[Name],MATCH(LEFT(M112,FIND(" ",M112)-1)&amp;" ?",Players[Name],0))&amp;")",""),"Not on Players list - type first name + last initial (like Zack B)")),"")),IF(OR(V112&lt;Pod_Min,V112&gt;Pod_Max),"Pod has "&amp;V112&amp;" players",""),IF(U112=0,IF(T112=0,"No winner (*) in pod",IF(T112&gt;1,T112&amp;" winners in pod","")),IF(U112&lt;V112,"Some = but not all players","")),IF(X112="Unknown","",IF(COUNTIFS($O$8:$O$257,O112,$Q$8:$Q$257,Q112,$X$8:$X$257,X112)&gt;1,"Name twice in pod",IF(COUNTIFS($O$8:$O$257,O112,$X$8:$X$257,X112)&gt;1,"Name in 2 pods this round","")))))</f>
        <v/>
      </c>
      <c r="AA112" s="3" t="str">
        <f>IF(L112&lt;&gt;"PLAYER","",IF(OR(M112="",ISNUMBER(FIND(" ",M112))),0,COUNTIF(Players[Name],M112&amp;" ?")))</f>
        <v/>
      </c>
    </row>
    <row r="113" spans="1:27" x14ac:dyDescent="0.45">
      <c r="A113" s="17"/>
      <c r="B113" s="6" t="str">
        <f t="shared" si="21"/>
        <v/>
      </c>
      <c r="C113" s="6" t="str">
        <f t="shared" si="22"/>
        <v/>
      </c>
      <c r="D113" s="6" t="str">
        <f t="shared" si="23"/>
        <v/>
      </c>
      <c r="E113" s="6" t="str">
        <f t="shared" si="24"/>
        <v/>
      </c>
      <c r="F113" s="6" t="str">
        <f t="shared" si="25"/>
        <v/>
      </c>
      <c r="G113" s="6" t="str">
        <f t="shared" si="26"/>
        <v/>
      </c>
      <c r="H113" s="10" t="str">
        <f t="shared" si="27"/>
        <v/>
      </c>
      <c r="I113" s="6" t="str">
        <f t="shared" si="28"/>
        <v/>
      </c>
      <c r="J113" s="3" t="str">
        <f>IFERROR(MATCH(ROWS(J$8:J113),$S$8:$S$257,0),"")</f>
        <v/>
      </c>
      <c r="K113" s="3" t="str">
        <f t="shared" si="29"/>
        <v/>
      </c>
      <c r="L113" s="3" t="str">
        <f t="shared" si="30"/>
        <v/>
      </c>
      <c r="M113" s="3" t="str">
        <f t="shared" si="31"/>
        <v/>
      </c>
      <c r="N113" s="3" t="str">
        <f t="shared" si="32"/>
        <v/>
      </c>
      <c r="O113" s="3">
        <f t="shared" si="33"/>
        <v>1</v>
      </c>
      <c r="P113" s="3">
        <f t="shared" si="34"/>
        <v>0</v>
      </c>
      <c r="Q113" s="3">
        <f t="shared" si="35"/>
        <v>0</v>
      </c>
      <c r="R113" s="3" t="str">
        <f t="shared" si="36"/>
        <v/>
      </c>
      <c r="S113" s="3">
        <f t="shared" si="37"/>
        <v>0</v>
      </c>
      <c r="T113" s="3" t="str">
        <f t="shared" si="38"/>
        <v/>
      </c>
      <c r="U113" s="3" t="str">
        <f t="shared" si="39"/>
        <v/>
      </c>
      <c r="V113" s="3" t="str">
        <f t="shared" si="40"/>
        <v/>
      </c>
      <c r="W113" s="3" t="str">
        <f t="shared" si="41"/>
        <v/>
      </c>
      <c r="X113" s="3" t="str">
        <f>IF(L113&lt;&gt;"PLAYER","",IF(Y113="Y",INDEX(Players[Name],MATCH(M113,Players[Name],0)),IF(Y113="A",INDEX(Players[Name],MATCH(M113&amp;" ?",Players[Name],0)),M113)))</f>
        <v/>
      </c>
      <c r="Y113" s="3" t="str">
        <f>IF(L113&lt;&gt;"PLAYER","",IF(ISNUMBER(MATCH(M113,Players[Name],0)),"Y",IF(AA113=1,"A","N")))</f>
        <v/>
      </c>
      <c r="Z113" s="3" t="str">
        <f>IF(L113&lt;&gt;"PLAYER","",_xlfn.TEXTJOIN("; ",TRUE,IF(M113="","Empty name",IF(Y113="N",IF(AA113&gt;1,"Which "&amp;M113&amp;"? "&amp;AA113&amp;" players start with it (like "&amp;INDEX(Players[Name],MATCH(M113&amp;" ?",Players[Name],0))&amp;") - type the last initial",IF(ISNUMBER(FIND(" ",M113)),IF(IFERROR(IF(M113="",FALSE,OR(M113="Unknown",AND(LEN(M113)-LEN(SUBSTITUTE(M113," ",""))=1,LEN(M113)&gt;=4,MID(M113,LEN(M113)-1,1)=" ",CODE(RIGHT(M113,1))&gt;=65,CODE(RIGHT(M113,1))&lt;=90))),FALSE),"New player? Not on Players list - add it there first","Not on Players list and not First L format (like Zack B)")&amp;IF(ISNUMBER(MATCH(LEFT(M113,FIND(" ",M113)-1)&amp;" ?",Players[Name],0))," (same first name as "&amp;INDEX(Players[Name],MATCH(LEFT(M113,FIND(" ",M113)-1)&amp;" ?",Players[Name],0))&amp;")",""),"Not on Players list - type first name + last initial (like Zack B)")),"")),IF(OR(V113&lt;Pod_Min,V113&gt;Pod_Max),"Pod has "&amp;V113&amp;" players",""),IF(U113=0,IF(T113=0,"No winner (*) in pod",IF(T113&gt;1,T113&amp;" winners in pod","")),IF(U113&lt;V113,"Some = but not all players","")),IF(X113="Unknown","",IF(COUNTIFS($O$8:$O$257,O113,$Q$8:$Q$257,Q113,$X$8:$X$257,X113)&gt;1,"Name twice in pod",IF(COUNTIFS($O$8:$O$257,O113,$X$8:$X$257,X113)&gt;1,"Name in 2 pods this round","")))))</f>
        <v/>
      </c>
      <c r="AA113" s="3" t="str">
        <f>IF(L113&lt;&gt;"PLAYER","",IF(OR(M113="",ISNUMBER(FIND(" ",M113))),0,COUNTIF(Players[Name],M113&amp;" ?")))</f>
        <v/>
      </c>
    </row>
    <row r="114" spans="1:27" x14ac:dyDescent="0.45">
      <c r="A114" s="17"/>
      <c r="B114" s="6" t="str">
        <f t="shared" si="21"/>
        <v/>
      </c>
      <c r="C114" s="6" t="str">
        <f t="shared" si="22"/>
        <v/>
      </c>
      <c r="D114" s="6" t="str">
        <f t="shared" si="23"/>
        <v/>
      </c>
      <c r="E114" s="6" t="str">
        <f t="shared" si="24"/>
        <v/>
      </c>
      <c r="F114" s="6" t="str">
        <f t="shared" si="25"/>
        <v/>
      </c>
      <c r="G114" s="6" t="str">
        <f t="shared" si="26"/>
        <v/>
      </c>
      <c r="H114" s="10" t="str">
        <f t="shared" si="27"/>
        <v/>
      </c>
      <c r="I114" s="6" t="str">
        <f t="shared" si="28"/>
        <v/>
      </c>
      <c r="J114" s="3" t="str">
        <f>IFERROR(MATCH(ROWS(J$8:J114),$S$8:$S$257,0),"")</f>
        <v/>
      </c>
      <c r="K114" s="3" t="str">
        <f t="shared" si="29"/>
        <v/>
      </c>
      <c r="L114" s="3" t="str">
        <f t="shared" si="30"/>
        <v/>
      </c>
      <c r="M114" s="3" t="str">
        <f t="shared" si="31"/>
        <v/>
      </c>
      <c r="N114" s="3" t="str">
        <f t="shared" si="32"/>
        <v/>
      </c>
      <c r="O114" s="3">
        <f t="shared" si="33"/>
        <v>1</v>
      </c>
      <c r="P114" s="3">
        <f t="shared" si="34"/>
        <v>0</v>
      </c>
      <c r="Q114" s="3">
        <f t="shared" si="35"/>
        <v>0</v>
      </c>
      <c r="R114" s="3" t="str">
        <f t="shared" si="36"/>
        <v/>
      </c>
      <c r="S114" s="3">
        <f t="shared" si="37"/>
        <v>0</v>
      </c>
      <c r="T114" s="3" t="str">
        <f t="shared" si="38"/>
        <v/>
      </c>
      <c r="U114" s="3" t="str">
        <f t="shared" si="39"/>
        <v/>
      </c>
      <c r="V114" s="3" t="str">
        <f t="shared" si="40"/>
        <v/>
      </c>
      <c r="W114" s="3" t="str">
        <f t="shared" si="41"/>
        <v/>
      </c>
      <c r="X114" s="3" t="str">
        <f>IF(L114&lt;&gt;"PLAYER","",IF(Y114="Y",INDEX(Players[Name],MATCH(M114,Players[Name],0)),IF(Y114="A",INDEX(Players[Name],MATCH(M114&amp;" ?",Players[Name],0)),M114)))</f>
        <v/>
      </c>
      <c r="Y114" s="3" t="str">
        <f>IF(L114&lt;&gt;"PLAYER","",IF(ISNUMBER(MATCH(M114,Players[Name],0)),"Y",IF(AA114=1,"A","N")))</f>
        <v/>
      </c>
      <c r="Z114" s="3" t="str">
        <f>IF(L114&lt;&gt;"PLAYER","",_xlfn.TEXTJOIN("; ",TRUE,IF(M114="","Empty name",IF(Y114="N",IF(AA114&gt;1,"Which "&amp;M114&amp;"? "&amp;AA114&amp;" players start with it (like "&amp;INDEX(Players[Name],MATCH(M114&amp;" ?",Players[Name],0))&amp;") - type the last initial",IF(ISNUMBER(FIND(" ",M114)),IF(IFERROR(IF(M114="",FALSE,OR(M114="Unknown",AND(LEN(M114)-LEN(SUBSTITUTE(M114," ",""))=1,LEN(M114)&gt;=4,MID(M114,LEN(M114)-1,1)=" ",CODE(RIGHT(M114,1))&gt;=65,CODE(RIGHT(M114,1))&lt;=90))),FALSE),"New player? Not on Players list - add it there first","Not on Players list and not First L format (like Zack B)")&amp;IF(ISNUMBER(MATCH(LEFT(M114,FIND(" ",M114)-1)&amp;" ?",Players[Name],0))," (same first name as "&amp;INDEX(Players[Name],MATCH(LEFT(M114,FIND(" ",M114)-1)&amp;" ?",Players[Name],0))&amp;")",""),"Not on Players list - type first name + last initial (like Zack B)")),"")),IF(OR(V114&lt;Pod_Min,V114&gt;Pod_Max),"Pod has "&amp;V114&amp;" players",""),IF(U114=0,IF(T114=0,"No winner (*) in pod",IF(T114&gt;1,T114&amp;" winners in pod","")),IF(U114&lt;V114,"Some = but not all players","")),IF(X114="Unknown","",IF(COUNTIFS($O$8:$O$257,O114,$Q$8:$Q$257,Q114,$X$8:$X$257,X114)&gt;1,"Name twice in pod",IF(COUNTIFS($O$8:$O$257,O114,$X$8:$X$257,X114)&gt;1,"Name in 2 pods this round","")))))</f>
        <v/>
      </c>
      <c r="AA114" s="3" t="str">
        <f>IF(L114&lt;&gt;"PLAYER","",IF(OR(M114="",ISNUMBER(FIND(" ",M114))),0,COUNTIF(Players[Name],M114&amp;" ?")))</f>
        <v/>
      </c>
    </row>
    <row r="115" spans="1:27" x14ac:dyDescent="0.45">
      <c r="A115" s="17"/>
      <c r="B115" s="6" t="str">
        <f t="shared" si="21"/>
        <v/>
      </c>
      <c r="C115" s="6" t="str">
        <f t="shared" si="22"/>
        <v/>
      </c>
      <c r="D115" s="6" t="str">
        <f t="shared" si="23"/>
        <v/>
      </c>
      <c r="E115" s="6" t="str">
        <f t="shared" si="24"/>
        <v/>
      </c>
      <c r="F115" s="6" t="str">
        <f t="shared" si="25"/>
        <v/>
      </c>
      <c r="G115" s="6" t="str">
        <f t="shared" si="26"/>
        <v/>
      </c>
      <c r="H115" s="10" t="str">
        <f t="shared" si="27"/>
        <v/>
      </c>
      <c r="I115" s="6" t="str">
        <f t="shared" si="28"/>
        <v/>
      </c>
      <c r="J115" s="3" t="str">
        <f>IFERROR(MATCH(ROWS(J$8:J115),$S$8:$S$257,0),"")</f>
        <v/>
      </c>
      <c r="K115" s="3" t="str">
        <f t="shared" si="29"/>
        <v/>
      </c>
      <c r="L115" s="3" t="str">
        <f t="shared" si="30"/>
        <v/>
      </c>
      <c r="M115" s="3" t="str">
        <f t="shared" si="31"/>
        <v/>
      </c>
      <c r="N115" s="3" t="str">
        <f t="shared" si="32"/>
        <v/>
      </c>
      <c r="O115" s="3">
        <f t="shared" si="33"/>
        <v>1</v>
      </c>
      <c r="P115" s="3">
        <f t="shared" si="34"/>
        <v>0</v>
      </c>
      <c r="Q115" s="3">
        <f t="shared" si="35"/>
        <v>0</v>
      </c>
      <c r="R115" s="3" t="str">
        <f t="shared" si="36"/>
        <v/>
      </c>
      <c r="S115" s="3">
        <f t="shared" si="37"/>
        <v>0</v>
      </c>
      <c r="T115" s="3" t="str">
        <f t="shared" si="38"/>
        <v/>
      </c>
      <c r="U115" s="3" t="str">
        <f t="shared" si="39"/>
        <v/>
      </c>
      <c r="V115" s="3" t="str">
        <f t="shared" si="40"/>
        <v/>
      </c>
      <c r="W115" s="3" t="str">
        <f t="shared" si="41"/>
        <v/>
      </c>
      <c r="X115" s="3" t="str">
        <f>IF(L115&lt;&gt;"PLAYER","",IF(Y115="Y",INDEX(Players[Name],MATCH(M115,Players[Name],0)),IF(Y115="A",INDEX(Players[Name],MATCH(M115&amp;" ?",Players[Name],0)),M115)))</f>
        <v/>
      </c>
      <c r="Y115" s="3" t="str">
        <f>IF(L115&lt;&gt;"PLAYER","",IF(ISNUMBER(MATCH(M115,Players[Name],0)),"Y",IF(AA115=1,"A","N")))</f>
        <v/>
      </c>
      <c r="Z115" s="3" t="str">
        <f>IF(L115&lt;&gt;"PLAYER","",_xlfn.TEXTJOIN("; ",TRUE,IF(M115="","Empty name",IF(Y115="N",IF(AA115&gt;1,"Which "&amp;M115&amp;"? "&amp;AA115&amp;" players start with it (like "&amp;INDEX(Players[Name],MATCH(M115&amp;" ?",Players[Name],0))&amp;") - type the last initial",IF(ISNUMBER(FIND(" ",M115)),IF(IFERROR(IF(M115="",FALSE,OR(M115="Unknown",AND(LEN(M115)-LEN(SUBSTITUTE(M115," ",""))=1,LEN(M115)&gt;=4,MID(M115,LEN(M115)-1,1)=" ",CODE(RIGHT(M115,1))&gt;=65,CODE(RIGHT(M115,1))&lt;=90))),FALSE),"New player? Not on Players list - add it there first","Not on Players list and not First L format (like Zack B)")&amp;IF(ISNUMBER(MATCH(LEFT(M115,FIND(" ",M115)-1)&amp;" ?",Players[Name],0))," (same first name as "&amp;INDEX(Players[Name],MATCH(LEFT(M115,FIND(" ",M115)-1)&amp;" ?",Players[Name],0))&amp;")",""),"Not on Players list - type first name + last initial (like Zack B)")),"")),IF(OR(V115&lt;Pod_Min,V115&gt;Pod_Max),"Pod has "&amp;V115&amp;" players",""),IF(U115=0,IF(T115=0,"No winner (*) in pod",IF(T115&gt;1,T115&amp;" winners in pod","")),IF(U115&lt;V115,"Some = but not all players","")),IF(X115="Unknown","",IF(COUNTIFS($O$8:$O$257,O115,$Q$8:$Q$257,Q115,$X$8:$X$257,X115)&gt;1,"Name twice in pod",IF(COUNTIFS($O$8:$O$257,O115,$X$8:$X$257,X115)&gt;1,"Name in 2 pods this round","")))))</f>
        <v/>
      </c>
      <c r="AA115" s="3" t="str">
        <f>IF(L115&lt;&gt;"PLAYER","",IF(OR(M115="",ISNUMBER(FIND(" ",M115))),0,COUNTIF(Players[Name],M115&amp;" ?")))</f>
        <v/>
      </c>
    </row>
    <row r="116" spans="1:27" x14ac:dyDescent="0.45">
      <c r="A116" s="17"/>
      <c r="B116" s="6" t="str">
        <f t="shared" si="21"/>
        <v/>
      </c>
      <c r="C116" s="6" t="str">
        <f t="shared" si="22"/>
        <v/>
      </c>
      <c r="D116" s="6" t="str">
        <f t="shared" si="23"/>
        <v/>
      </c>
      <c r="E116" s="6" t="str">
        <f t="shared" si="24"/>
        <v/>
      </c>
      <c r="F116" s="6" t="str">
        <f t="shared" si="25"/>
        <v/>
      </c>
      <c r="G116" s="6" t="str">
        <f t="shared" si="26"/>
        <v/>
      </c>
      <c r="H116" s="10" t="str">
        <f t="shared" si="27"/>
        <v/>
      </c>
      <c r="I116" s="6" t="str">
        <f t="shared" si="28"/>
        <v/>
      </c>
      <c r="J116" s="3" t="str">
        <f>IFERROR(MATCH(ROWS(J$8:J116),$S$8:$S$257,0),"")</f>
        <v/>
      </c>
      <c r="K116" s="3" t="str">
        <f t="shared" si="29"/>
        <v/>
      </c>
      <c r="L116" s="3" t="str">
        <f t="shared" si="30"/>
        <v/>
      </c>
      <c r="M116" s="3" t="str">
        <f t="shared" si="31"/>
        <v/>
      </c>
      <c r="N116" s="3" t="str">
        <f t="shared" si="32"/>
        <v/>
      </c>
      <c r="O116" s="3">
        <f t="shared" si="33"/>
        <v>1</v>
      </c>
      <c r="P116" s="3">
        <f t="shared" si="34"/>
        <v>0</v>
      </c>
      <c r="Q116" s="3">
        <f t="shared" si="35"/>
        <v>0</v>
      </c>
      <c r="R116" s="3" t="str">
        <f t="shared" si="36"/>
        <v/>
      </c>
      <c r="S116" s="3">
        <f t="shared" si="37"/>
        <v>0</v>
      </c>
      <c r="T116" s="3" t="str">
        <f t="shared" si="38"/>
        <v/>
      </c>
      <c r="U116" s="3" t="str">
        <f t="shared" si="39"/>
        <v/>
      </c>
      <c r="V116" s="3" t="str">
        <f t="shared" si="40"/>
        <v/>
      </c>
      <c r="W116" s="3" t="str">
        <f t="shared" si="41"/>
        <v/>
      </c>
      <c r="X116" s="3" t="str">
        <f>IF(L116&lt;&gt;"PLAYER","",IF(Y116="Y",INDEX(Players[Name],MATCH(M116,Players[Name],0)),IF(Y116="A",INDEX(Players[Name],MATCH(M116&amp;" ?",Players[Name],0)),M116)))</f>
        <v/>
      </c>
      <c r="Y116" s="3" t="str">
        <f>IF(L116&lt;&gt;"PLAYER","",IF(ISNUMBER(MATCH(M116,Players[Name],0)),"Y",IF(AA116=1,"A","N")))</f>
        <v/>
      </c>
      <c r="Z116" s="3" t="str">
        <f>IF(L116&lt;&gt;"PLAYER","",_xlfn.TEXTJOIN("; ",TRUE,IF(M116="","Empty name",IF(Y116="N",IF(AA116&gt;1,"Which "&amp;M116&amp;"? "&amp;AA116&amp;" players start with it (like "&amp;INDEX(Players[Name],MATCH(M116&amp;" ?",Players[Name],0))&amp;") - type the last initial",IF(ISNUMBER(FIND(" ",M116)),IF(IFERROR(IF(M116="",FALSE,OR(M116="Unknown",AND(LEN(M116)-LEN(SUBSTITUTE(M116," ",""))=1,LEN(M116)&gt;=4,MID(M116,LEN(M116)-1,1)=" ",CODE(RIGHT(M116,1))&gt;=65,CODE(RIGHT(M116,1))&lt;=90))),FALSE),"New player? Not on Players list - add it there first","Not on Players list and not First L format (like Zack B)")&amp;IF(ISNUMBER(MATCH(LEFT(M116,FIND(" ",M116)-1)&amp;" ?",Players[Name],0))," (same first name as "&amp;INDEX(Players[Name],MATCH(LEFT(M116,FIND(" ",M116)-1)&amp;" ?",Players[Name],0))&amp;")",""),"Not on Players list - type first name + last initial (like Zack B)")),"")),IF(OR(V116&lt;Pod_Min,V116&gt;Pod_Max),"Pod has "&amp;V116&amp;" players",""),IF(U116=0,IF(T116=0,"No winner (*) in pod",IF(T116&gt;1,T116&amp;" winners in pod","")),IF(U116&lt;V116,"Some = but not all players","")),IF(X116="Unknown","",IF(COUNTIFS($O$8:$O$257,O116,$Q$8:$Q$257,Q116,$X$8:$X$257,X116)&gt;1,"Name twice in pod",IF(COUNTIFS($O$8:$O$257,O116,$X$8:$X$257,X116)&gt;1,"Name in 2 pods this round","")))))</f>
        <v/>
      </c>
      <c r="AA116" s="3" t="str">
        <f>IF(L116&lt;&gt;"PLAYER","",IF(OR(M116="",ISNUMBER(FIND(" ",M116))),0,COUNTIF(Players[Name],M116&amp;" ?")))</f>
        <v/>
      </c>
    </row>
    <row r="117" spans="1:27" x14ac:dyDescent="0.45">
      <c r="A117" s="17"/>
      <c r="B117" s="6" t="str">
        <f t="shared" si="21"/>
        <v/>
      </c>
      <c r="C117" s="6" t="str">
        <f t="shared" si="22"/>
        <v/>
      </c>
      <c r="D117" s="6" t="str">
        <f t="shared" si="23"/>
        <v/>
      </c>
      <c r="E117" s="6" t="str">
        <f t="shared" si="24"/>
        <v/>
      </c>
      <c r="F117" s="6" t="str">
        <f t="shared" si="25"/>
        <v/>
      </c>
      <c r="G117" s="6" t="str">
        <f t="shared" si="26"/>
        <v/>
      </c>
      <c r="H117" s="10" t="str">
        <f t="shared" si="27"/>
        <v/>
      </c>
      <c r="I117" s="6" t="str">
        <f t="shared" si="28"/>
        <v/>
      </c>
      <c r="J117" s="3" t="str">
        <f>IFERROR(MATCH(ROWS(J$8:J117),$S$8:$S$257,0),"")</f>
        <v/>
      </c>
      <c r="K117" s="3" t="str">
        <f t="shared" si="29"/>
        <v/>
      </c>
      <c r="L117" s="3" t="str">
        <f t="shared" si="30"/>
        <v/>
      </c>
      <c r="M117" s="3" t="str">
        <f t="shared" si="31"/>
        <v/>
      </c>
      <c r="N117" s="3" t="str">
        <f t="shared" si="32"/>
        <v/>
      </c>
      <c r="O117" s="3">
        <f t="shared" si="33"/>
        <v>1</v>
      </c>
      <c r="P117" s="3">
        <f t="shared" si="34"/>
        <v>0</v>
      </c>
      <c r="Q117" s="3">
        <f t="shared" si="35"/>
        <v>0</v>
      </c>
      <c r="R117" s="3" t="str">
        <f t="shared" si="36"/>
        <v/>
      </c>
      <c r="S117" s="3">
        <f t="shared" si="37"/>
        <v>0</v>
      </c>
      <c r="T117" s="3" t="str">
        <f t="shared" si="38"/>
        <v/>
      </c>
      <c r="U117" s="3" t="str">
        <f t="shared" si="39"/>
        <v/>
      </c>
      <c r="V117" s="3" t="str">
        <f t="shared" si="40"/>
        <v/>
      </c>
      <c r="W117" s="3" t="str">
        <f t="shared" si="41"/>
        <v/>
      </c>
      <c r="X117" s="3" t="str">
        <f>IF(L117&lt;&gt;"PLAYER","",IF(Y117="Y",INDEX(Players[Name],MATCH(M117,Players[Name],0)),IF(Y117="A",INDEX(Players[Name],MATCH(M117&amp;" ?",Players[Name],0)),M117)))</f>
        <v/>
      </c>
      <c r="Y117" s="3" t="str">
        <f>IF(L117&lt;&gt;"PLAYER","",IF(ISNUMBER(MATCH(M117,Players[Name],0)),"Y",IF(AA117=1,"A","N")))</f>
        <v/>
      </c>
      <c r="Z117" s="3" t="str">
        <f>IF(L117&lt;&gt;"PLAYER","",_xlfn.TEXTJOIN("; ",TRUE,IF(M117="","Empty name",IF(Y117="N",IF(AA117&gt;1,"Which "&amp;M117&amp;"? "&amp;AA117&amp;" players start with it (like "&amp;INDEX(Players[Name],MATCH(M117&amp;" ?",Players[Name],0))&amp;") - type the last initial",IF(ISNUMBER(FIND(" ",M117)),IF(IFERROR(IF(M117="",FALSE,OR(M117="Unknown",AND(LEN(M117)-LEN(SUBSTITUTE(M117," ",""))=1,LEN(M117)&gt;=4,MID(M117,LEN(M117)-1,1)=" ",CODE(RIGHT(M117,1))&gt;=65,CODE(RIGHT(M117,1))&lt;=90))),FALSE),"New player? Not on Players list - add it there first","Not on Players list and not First L format (like Zack B)")&amp;IF(ISNUMBER(MATCH(LEFT(M117,FIND(" ",M117)-1)&amp;" ?",Players[Name],0))," (same first name as "&amp;INDEX(Players[Name],MATCH(LEFT(M117,FIND(" ",M117)-1)&amp;" ?",Players[Name],0))&amp;")",""),"Not on Players list - type first name + last initial (like Zack B)")),"")),IF(OR(V117&lt;Pod_Min,V117&gt;Pod_Max),"Pod has "&amp;V117&amp;" players",""),IF(U117=0,IF(T117=0,"No winner (*) in pod",IF(T117&gt;1,T117&amp;" winners in pod","")),IF(U117&lt;V117,"Some = but not all players","")),IF(X117="Unknown","",IF(COUNTIFS($O$8:$O$257,O117,$Q$8:$Q$257,Q117,$X$8:$X$257,X117)&gt;1,"Name twice in pod",IF(COUNTIFS($O$8:$O$257,O117,$X$8:$X$257,X117)&gt;1,"Name in 2 pods this round","")))))</f>
        <v/>
      </c>
      <c r="AA117" s="3" t="str">
        <f>IF(L117&lt;&gt;"PLAYER","",IF(OR(M117="",ISNUMBER(FIND(" ",M117))),0,COUNTIF(Players[Name],M117&amp;" ?")))</f>
        <v/>
      </c>
    </row>
    <row r="118" spans="1:27" x14ac:dyDescent="0.45">
      <c r="A118" s="17"/>
      <c r="B118" s="6" t="str">
        <f t="shared" si="21"/>
        <v/>
      </c>
      <c r="C118" s="6" t="str">
        <f t="shared" si="22"/>
        <v/>
      </c>
      <c r="D118" s="6" t="str">
        <f t="shared" si="23"/>
        <v/>
      </c>
      <c r="E118" s="6" t="str">
        <f t="shared" si="24"/>
        <v/>
      </c>
      <c r="F118" s="6" t="str">
        <f t="shared" si="25"/>
        <v/>
      </c>
      <c r="G118" s="6" t="str">
        <f t="shared" si="26"/>
        <v/>
      </c>
      <c r="H118" s="10" t="str">
        <f t="shared" si="27"/>
        <v/>
      </c>
      <c r="I118" s="6" t="str">
        <f t="shared" si="28"/>
        <v/>
      </c>
      <c r="J118" s="3" t="str">
        <f>IFERROR(MATCH(ROWS(J$8:J118),$S$8:$S$257,0),"")</f>
        <v/>
      </c>
      <c r="K118" s="3" t="str">
        <f t="shared" si="29"/>
        <v/>
      </c>
      <c r="L118" s="3" t="str">
        <f t="shared" si="30"/>
        <v/>
      </c>
      <c r="M118" s="3" t="str">
        <f t="shared" si="31"/>
        <v/>
      </c>
      <c r="N118" s="3" t="str">
        <f t="shared" si="32"/>
        <v/>
      </c>
      <c r="O118" s="3">
        <f t="shared" si="33"/>
        <v>1</v>
      </c>
      <c r="P118" s="3">
        <f t="shared" si="34"/>
        <v>0</v>
      </c>
      <c r="Q118" s="3">
        <f t="shared" si="35"/>
        <v>0</v>
      </c>
      <c r="R118" s="3" t="str">
        <f t="shared" si="36"/>
        <v/>
      </c>
      <c r="S118" s="3">
        <f t="shared" si="37"/>
        <v>0</v>
      </c>
      <c r="T118" s="3" t="str">
        <f t="shared" si="38"/>
        <v/>
      </c>
      <c r="U118" s="3" t="str">
        <f t="shared" si="39"/>
        <v/>
      </c>
      <c r="V118" s="3" t="str">
        <f t="shared" si="40"/>
        <v/>
      </c>
      <c r="W118" s="3" t="str">
        <f t="shared" si="41"/>
        <v/>
      </c>
      <c r="X118" s="3" t="str">
        <f>IF(L118&lt;&gt;"PLAYER","",IF(Y118="Y",INDEX(Players[Name],MATCH(M118,Players[Name],0)),IF(Y118="A",INDEX(Players[Name],MATCH(M118&amp;" ?",Players[Name],0)),M118)))</f>
        <v/>
      </c>
      <c r="Y118" s="3" t="str">
        <f>IF(L118&lt;&gt;"PLAYER","",IF(ISNUMBER(MATCH(M118,Players[Name],0)),"Y",IF(AA118=1,"A","N")))</f>
        <v/>
      </c>
      <c r="Z118" s="3" t="str">
        <f>IF(L118&lt;&gt;"PLAYER","",_xlfn.TEXTJOIN("; ",TRUE,IF(M118="","Empty name",IF(Y118="N",IF(AA118&gt;1,"Which "&amp;M118&amp;"? "&amp;AA118&amp;" players start with it (like "&amp;INDEX(Players[Name],MATCH(M118&amp;" ?",Players[Name],0))&amp;") - type the last initial",IF(ISNUMBER(FIND(" ",M118)),IF(IFERROR(IF(M118="",FALSE,OR(M118="Unknown",AND(LEN(M118)-LEN(SUBSTITUTE(M118," ",""))=1,LEN(M118)&gt;=4,MID(M118,LEN(M118)-1,1)=" ",CODE(RIGHT(M118,1))&gt;=65,CODE(RIGHT(M118,1))&lt;=90))),FALSE),"New player? Not on Players list - add it there first","Not on Players list and not First L format (like Zack B)")&amp;IF(ISNUMBER(MATCH(LEFT(M118,FIND(" ",M118)-1)&amp;" ?",Players[Name],0))," (same first name as "&amp;INDEX(Players[Name],MATCH(LEFT(M118,FIND(" ",M118)-1)&amp;" ?",Players[Name],0))&amp;")",""),"Not on Players list - type first name + last initial (like Zack B)")),"")),IF(OR(V118&lt;Pod_Min,V118&gt;Pod_Max),"Pod has "&amp;V118&amp;" players",""),IF(U118=0,IF(T118=0,"No winner (*) in pod",IF(T118&gt;1,T118&amp;" winners in pod","")),IF(U118&lt;V118,"Some = but not all players","")),IF(X118="Unknown","",IF(COUNTIFS($O$8:$O$257,O118,$Q$8:$Q$257,Q118,$X$8:$X$257,X118)&gt;1,"Name twice in pod",IF(COUNTIFS($O$8:$O$257,O118,$X$8:$X$257,X118)&gt;1,"Name in 2 pods this round","")))))</f>
        <v/>
      </c>
      <c r="AA118" s="3" t="str">
        <f>IF(L118&lt;&gt;"PLAYER","",IF(OR(M118="",ISNUMBER(FIND(" ",M118))),0,COUNTIF(Players[Name],M118&amp;" ?")))</f>
        <v/>
      </c>
    </row>
    <row r="119" spans="1:27" x14ac:dyDescent="0.45">
      <c r="A119" s="17"/>
      <c r="B119" s="6" t="str">
        <f t="shared" si="21"/>
        <v/>
      </c>
      <c r="C119" s="6" t="str">
        <f t="shared" si="22"/>
        <v/>
      </c>
      <c r="D119" s="6" t="str">
        <f t="shared" si="23"/>
        <v/>
      </c>
      <c r="E119" s="6" t="str">
        <f t="shared" si="24"/>
        <v/>
      </c>
      <c r="F119" s="6" t="str">
        <f t="shared" si="25"/>
        <v/>
      </c>
      <c r="G119" s="6" t="str">
        <f t="shared" si="26"/>
        <v/>
      </c>
      <c r="H119" s="10" t="str">
        <f t="shared" si="27"/>
        <v/>
      </c>
      <c r="I119" s="6" t="str">
        <f t="shared" si="28"/>
        <v/>
      </c>
      <c r="J119" s="3" t="str">
        <f>IFERROR(MATCH(ROWS(J$8:J119),$S$8:$S$257,0),"")</f>
        <v/>
      </c>
      <c r="K119" s="3" t="str">
        <f t="shared" si="29"/>
        <v/>
      </c>
      <c r="L119" s="3" t="str">
        <f t="shared" si="30"/>
        <v/>
      </c>
      <c r="M119" s="3" t="str">
        <f t="shared" si="31"/>
        <v/>
      </c>
      <c r="N119" s="3" t="str">
        <f t="shared" si="32"/>
        <v/>
      </c>
      <c r="O119" s="3">
        <f t="shared" si="33"/>
        <v>1</v>
      </c>
      <c r="P119" s="3">
        <f t="shared" si="34"/>
        <v>0</v>
      </c>
      <c r="Q119" s="3">
        <f t="shared" si="35"/>
        <v>0</v>
      </c>
      <c r="R119" s="3" t="str">
        <f t="shared" si="36"/>
        <v/>
      </c>
      <c r="S119" s="3">
        <f t="shared" si="37"/>
        <v>0</v>
      </c>
      <c r="T119" s="3" t="str">
        <f t="shared" si="38"/>
        <v/>
      </c>
      <c r="U119" s="3" t="str">
        <f t="shared" si="39"/>
        <v/>
      </c>
      <c r="V119" s="3" t="str">
        <f t="shared" si="40"/>
        <v/>
      </c>
      <c r="W119" s="3" t="str">
        <f t="shared" si="41"/>
        <v/>
      </c>
      <c r="X119" s="3" t="str">
        <f>IF(L119&lt;&gt;"PLAYER","",IF(Y119="Y",INDEX(Players[Name],MATCH(M119,Players[Name],0)),IF(Y119="A",INDEX(Players[Name],MATCH(M119&amp;" ?",Players[Name],0)),M119)))</f>
        <v/>
      </c>
      <c r="Y119" s="3" t="str">
        <f>IF(L119&lt;&gt;"PLAYER","",IF(ISNUMBER(MATCH(M119,Players[Name],0)),"Y",IF(AA119=1,"A","N")))</f>
        <v/>
      </c>
      <c r="Z119" s="3" t="str">
        <f>IF(L119&lt;&gt;"PLAYER","",_xlfn.TEXTJOIN("; ",TRUE,IF(M119="","Empty name",IF(Y119="N",IF(AA119&gt;1,"Which "&amp;M119&amp;"? "&amp;AA119&amp;" players start with it (like "&amp;INDEX(Players[Name],MATCH(M119&amp;" ?",Players[Name],0))&amp;") - type the last initial",IF(ISNUMBER(FIND(" ",M119)),IF(IFERROR(IF(M119="",FALSE,OR(M119="Unknown",AND(LEN(M119)-LEN(SUBSTITUTE(M119," ",""))=1,LEN(M119)&gt;=4,MID(M119,LEN(M119)-1,1)=" ",CODE(RIGHT(M119,1))&gt;=65,CODE(RIGHT(M119,1))&lt;=90))),FALSE),"New player? Not on Players list - add it there first","Not on Players list and not First L format (like Zack B)")&amp;IF(ISNUMBER(MATCH(LEFT(M119,FIND(" ",M119)-1)&amp;" ?",Players[Name],0))," (same first name as "&amp;INDEX(Players[Name],MATCH(LEFT(M119,FIND(" ",M119)-1)&amp;" ?",Players[Name],0))&amp;")",""),"Not on Players list - type first name + last initial (like Zack B)")),"")),IF(OR(V119&lt;Pod_Min,V119&gt;Pod_Max),"Pod has "&amp;V119&amp;" players",""),IF(U119=0,IF(T119=0,"No winner (*) in pod",IF(T119&gt;1,T119&amp;" winners in pod","")),IF(U119&lt;V119,"Some = but not all players","")),IF(X119="Unknown","",IF(COUNTIFS($O$8:$O$257,O119,$Q$8:$Q$257,Q119,$X$8:$X$257,X119)&gt;1,"Name twice in pod",IF(COUNTIFS($O$8:$O$257,O119,$X$8:$X$257,X119)&gt;1,"Name in 2 pods this round","")))))</f>
        <v/>
      </c>
      <c r="AA119" s="3" t="str">
        <f>IF(L119&lt;&gt;"PLAYER","",IF(OR(M119="",ISNUMBER(FIND(" ",M119))),0,COUNTIF(Players[Name],M119&amp;" ?")))</f>
        <v/>
      </c>
    </row>
    <row r="120" spans="1:27" x14ac:dyDescent="0.45">
      <c r="A120" s="17"/>
      <c r="B120" s="6" t="str">
        <f t="shared" si="21"/>
        <v/>
      </c>
      <c r="C120" s="6" t="str">
        <f t="shared" si="22"/>
        <v/>
      </c>
      <c r="D120" s="6" t="str">
        <f t="shared" si="23"/>
        <v/>
      </c>
      <c r="E120" s="6" t="str">
        <f t="shared" si="24"/>
        <v/>
      </c>
      <c r="F120" s="6" t="str">
        <f t="shared" si="25"/>
        <v/>
      </c>
      <c r="G120" s="6" t="str">
        <f t="shared" si="26"/>
        <v/>
      </c>
      <c r="H120" s="10" t="str">
        <f t="shared" si="27"/>
        <v/>
      </c>
      <c r="I120" s="6" t="str">
        <f t="shared" si="28"/>
        <v/>
      </c>
      <c r="J120" s="3" t="str">
        <f>IFERROR(MATCH(ROWS(J$8:J120),$S$8:$S$257,0),"")</f>
        <v/>
      </c>
      <c r="K120" s="3" t="str">
        <f t="shared" si="29"/>
        <v/>
      </c>
      <c r="L120" s="3" t="str">
        <f t="shared" si="30"/>
        <v/>
      </c>
      <c r="M120" s="3" t="str">
        <f t="shared" si="31"/>
        <v/>
      </c>
      <c r="N120" s="3" t="str">
        <f t="shared" si="32"/>
        <v/>
      </c>
      <c r="O120" s="3">
        <f t="shared" si="33"/>
        <v>1</v>
      </c>
      <c r="P120" s="3">
        <f t="shared" si="34"/>
        <v>0</v>
      </c>
      <c r="Q120" s="3">
        <f t="shared" si="35"/>
        <v>0</v>
      </c>
      <c r="R120" s="3" t="str">
        <f t="shared" si="36"/>
        <v/>
      </c>
      <c r="S120" s="3">
        <f t="shared" si="37"/>
        <v>0</v>
      </c>
      <c r="T120" s="3" t="str">
        <f t="shared" si="38"/>
        <v/>
      </c>
      <c r="U120" s="3" t="str">
        <f t="shared" si="39"/>
        <v/>
      </c>
      <c r="V120" s="3" t="str">
        <f t="shared" si="40"/>
        <v/>
      </c>
      <c r="W120" s="3" t="str">
        <f t="shared" si="41"/>
        <v/>
      </c>
      <c r="X120" s="3" t="str">
        <f>IF(L120&lt;&gt;"PLAYER","",IF(Y120="Y",INDEX(Players[Name],MATCH(M120,Players[Name],0)),IF(Y120="A",INDEX(Players[Name],MATCH(M120&amp;" ?",Players[Name],0)),M120)))</f>
        <v/>
      </c>
      <c r="Y120" s="3" t="str">
        <f>IF(L120&lt;&gt;"PLAYER","",IF(ISNUMBER(MATCH(M120,Players[Name],0)),"Y",IF(AA120=1,"A","N")))</f>
        <v/>
      </c>
      <c r="Z120" s="3" t="str">
        <f>IF(L120&lt;&gt;"PLAYER","",_xlfn.TEXTJOIN("; ",TRUE,IF(M120="","Empty name",IF(Y120="N",IF(AA120&gt;1,"Which "&amp;M120&amp;"? "&amp;AA120&amp;" players start with it (like "&amp;INDEX(Players[Name],MATCH(M120&amp;" ?",Players[Name],0))&amp;") - type the last initial",IF(ISNUMBER(FIND(" ",M120)),IF(IFERROR(IF(M120="",FALSE,OR(M120="Unknown",AND(LEN(M120)-LEN(SUBSTITUTE(M120," ",""))=1,LEN(M120)&gt;=4,MID(M120,LEN(M120)-1,1)=" ",CODE(RIGHT(M120,1))&gt;=65,CODE(RIGHT(M120,1))&lt;=90))),FALSE),"New player? Not on Players list - add it there first","Not on Players list and not First L format (like Zack B)")&amp;IF(ISNUMBER(MATCH(LEFT(M120,FIND(" ",M120)-1)&amp;" ?",Players[Name],0))," (same first name as "&amp;INDEX(Players[Name],MATCH(LEFT(M120,FIND(" ",M120)-1)&amp;" ?",Players[Name],0))&amp;")",""),"Not on Players list - type first name + last initial (like Zack B)")),"")),IF(OR(V120&lt;Pod_Min,V120&gt;Pod_Max),"Pod has "&amp;V120&amp;" players",""),IF(U120=0,IF(T120=0,"No winner (*) in pod",IF(T120&gt;1,T120&amp;" winners in pod","")),IF(U120&lt;V120,"Some = but not all players","")),IF(X120="Unknown","",IF(COUNTIFS($O$8:$O$257,O120,$Q$8:$Q$257,Q120,$X$8:$X$257,X120)&gt;1,"Name twice in pod",IF(COUNTIFS($O$8:$O$257,O120,$X$8:$X$257,X120)&gt;1,"Name in 2 pods this round","")))))</f>
        <v/>
      </c>
      <c r="AA120" s="3" t="str">
        <f>IF(L120&lt;&gt;"PLAYER","",IF(OR(M120="",ISNUMBER(FIND(" ",M120))),0,COUNTIF(Players[Name],M120&amp;" ?")))</f>
        <v/>
      </c>
    </row>
    <row r="121" spans="1:27" x14ac:dyDescent="0.45">
      <c r="A121" s="17"/>
      <c r="B121" s="6" t="str">
        <f t="shared" si="21"/>
        <v/>
      </c>
      <c r="C121" s="6" t="str">
        <f t="shared" si="22"/>
        <v/>
      </c>
      <c r="D121" s="6" t="str">
        <f t="shared" si="23"/>
        <v/>
      </c>
      <c r="E121" s="6" t="str">
        <f t="shared" si="24"/>
        <v/>
      </c>
      <c r="F121" s="6" t="str">
        <f t="shared" si="25"/>
        <v/>
      </c>
      <c r="G121" s="6" t="str">
        <f t="shared" si="26"/>
        <v/>
      </c>
      <c r="H121" s="10" t="str">
        <f t="shared" si="27"/>
        <v/>
      </c>
      <c r="I121" s="6" t="str">
        <f t="shared" si="28"/>
        <v/>
      </c>
      <c r="J121" s="3" t="str">
        <f>IFERROR(MATCH(ROWS(J$8:J121),$S$8:$S$257,0),"")</f>
        <v/>
      </c>
      <c r="K121" s="3" t="str">
        <f t="shared" si="29"/>
        <v/>
      </c>
      <c r="L121" s="3" t="str">
        <f t="shared" si="30"/>
        <v/>
      </c>
      <c r="M121" s="3" t="str">
        <f t="shared" si="31"/>
        <v/>
      </c>
      <c r="N121" s="3" t="str">
        <f t="shared" si="32"/>
        <v/>
      </c>
      <c r="O121" s="3">
        <f t="shared" si="33"/>
        <v>1</v>
      </c>
      <c r="P121" s="3">
        <f t="shared" si="34"/>
        <v>0</v>
      </c>
      <c r="Q121" s="3">
        <f t="shared" si="35"/>
        <v>0</v>
      </c>
      <c r="R121" s="3" t="str">
        <f t="shared" si="36"/>
        <v/>
      </c>
      <c r="S121" s="3">
        <f t="shared" si="37"/>
        <v>0</v>
      </c>
      <c r="T121" s="3" t="str">
        <f t="shared" si="38"/>
        <v/>
      </c>
      <c r="U121" s="3" t="str">
        <f t="shared" si="39"/>
        <v/>
      </c>
      <c r="V121" s="3" t="str">
        <f t="shared" si="40"/>
        <v/>
      </c>
      <c r="W121" s="3" t="str">
        <f t="shared" si="41"/>
        <v/>
      </c>
      <c r="X121" s="3" t="str">
        <f>IF(L121&lt;&gt;"PLAYER","",IF(Y121="Y",INDEX(Players[Name],MATCH(M121,Players[Name],0)),IF(Y121="A",INDEX(Players[Name],MATCH(M121&amp;" ?",Players[Name],0)),M121)))</f>
        <v/>
      </c>
      <c r="Y121" s="3" t="str">
        <f>IF(L121&lt;&gt;"PLAYER","",IF(ISNUMBER(MATCH(M121,Players[Name],0)),"Y",IF(AA121=1,"A","N")))</f>
        <v/>
      </c>
      <c r="Z121" s="3" t="str">
        <f>IF(L121&lt;&gt;"PLAYER","",_xlfn.TEXTJOIN("; ",TRUE,IF(M121="","Empty name",IF(Y121="N",IF(AA121&gt;1,"Which "&amp;M121&amp;"? "&amp;AA121&amp;" players start with it (like "&amp;INDEX(Players[Name],MATCH(M121&amp;" ?",Players[Name],0))&amp;") - type the last initial",IF(ISNUMBER(FIND(" ",M121)),IF(IFERROR(IF(M121="",FALSE,OR(M121="Unknown",AND(LEN(M121)-LEN(SUBSTITUTE(M121," ",""))=1,LEN(M121)&gt;=4,MID(M121,LEN(M121)-1,1)=" ",CODE(RIGHT(M121,1))&gt;=65,CODE(RIGHT(M121,1))&lt;=90))),FALSE),"New player? Not on Players list - add it there first","Not on Players list and not First L format (like Zack B)")&amp;IF(ISNUMBER(MATCH(LEFT(M121,FIND(" ",M121)-1)&amp;" ?",Players[Name],0))," (same first name as "&amp;INDEX(Players[Name],MATCH(LEFT(M121,FIND(" ",M121)-1)&amp;" ?",Players[Name],0))&amp;")",""),"Not on Players list - type first name + last initial (like Zack B)")),"")),IF(OR(V121&lt;Pod_Min,V121&gt;Pod_Max),"Pod has "&amp;V121&amp;" players",""),IF(U121=0,IF(T121=0,"No winner (*) in pod",IF(T121&gt;1,T121&amp;" winners in pod","")),IF(U121&lt;V121,"Some = but not all players","")),IF(X121="Unknown","",IF(COUNTIFS($O$8:$O$257,O121,$Q$8:$Q$257,Q121,$X$8:$X$257,X121)&gt;1,"Name twice in pod",IF(COUNTIFS($O$8:$O$257,O121,$X$8:$X$257,X121)&gt;1,"Name in 2 pods this round","")))))</f>
        <v/>
      </c>
      <c r="AA121" s="3" t="str">
        <f>IF(L121&lt;&gt;"PLAYER","",IF(OR(M121="",ISNUMBER(FIND(" ",M121))),0,COUNTIF(Players[Name],M121&amp;" ?")))</f>
        <v/>
      </c>
    </row>
    <row r="122" spans="1:27" x14ac:dyDescent="0.45">
      <c r="A122" s="17"/>
      <c r="B122" s="6" t="str">
        <f t="shared" si="21"/>
        <v/>
      </c>
      <c r="C122" s="6" t="str">
        <f t="shared" si="22"/>
        <v/>
      </c>
      <c r="D122" s="6" t="str">
        <f t="shared" si="23"/>
        <v/>
      </c>
      <c r="E122" s="6" t="str">
        <f t="shared" si="24"/>
        <v/>
      </c>
      <c r="F122" s="6" t="str">
        <f t="shared" si="25"/>
        <v/>
      </c>
      <c r="G122" s="6" t="str">
        <f t="shared" si="26"/>
        <v/>
      </c>
      <c r="H122" s="10" t="str">
        <f t="shared" si="27"/>
        <v/>
      </c>
      <c r="I122" s="6" t="str">
        <f t="shared" si="28"/>
        <v/>
      </c>
      <c r="J122" s="3" t="str">
        <f>IFERROR(MATCH(ROWS(J$8:J122),$S$8:$S$257,0),"")</f>
        <v/>
      </c>
      <c r="K122" s="3" t="str">
        <f t="shared" si="29"/>
        <v/>
      </c>
      <c r="L122" s="3" t="str">
        <f t="shared" si="30"/>
        <v/>
      </c>
      <c r="M122" s="3" t="str">
        <f t="shared" si="31"/>
        <v/>
      </c>
      <c r="N122" s="3" t="str">
        <f t="shared" si="32"/>
        <v/>
      </c>
      <c r="O122" s="3">
        <f t="shared" si="33"/>
        <v>1</v>
      </c>
      <c r="P122" s="3">
        <f t="shared" si="34"/>
        <v>0</v>
      </c>
      <c r="Q122" s="3">
        <f t="shared" si="35"/>
        <v>0</v>
      </c>
      <c r="R122" s="3" t="str">
        <f t="shared" si="36"/>
        <v/>
      </c>
      <c r="S122" s="3">
        <f t="shared" si="37"/>
        <v>0</v>
      </c>
      <c r="T122" s="3" t="str">
        <f t="shared" si="38"/>
        <v/>
      </c>
      <c r="U122" s="3" t="str">
        <f t="shared" si="39"/>
        <v/>
      </c>
      <c r="V122" s="3" t="str">
        <f t="shared" si="40"/>
        <v/>
      </c>
      <c r="W122" s="3" t="str">
        <f t="shared" si="41"/>
        <v/>
      </c>
      <c r="X122" s="3" t="str">
        <f>IF(L122&lt;&gt;"PLAYER","",IF(Y122="Y",INDEX(Players[Name],MATCH(M122,Players[Name],0)),IF(Y122="A",INDEX(Players[Name],MATCH(M122&amp;" ?",Players[Name],0)),M122)))</f>
        <v/>
      </c>
      <c r="Y122" s="3" t="str">
        <f>IF(L122&lt;&gt;"PLAYER","",IF(ISNUMBER(MATCH(M122,Players[Name],0)),"Y",IF(AA122=1,"A","N")))</f>
        <v/>
      </c>
      <c r="Z122" s="3" t="str">
        <f>IF(L122&lt;&gt;"PLAYER","",_xlfn.TEXTJOIN("; ",TRUE,IF(M122="","Empty name",IF(Y122="N",IF(AA122&gt;1,"Which "&amp;M122&amp;"? "&amp;AA122&amp;" players start with it (like "&amp;INDEX(Players[Name],MATCH(M122&amp;" ?",Players[Name],0))&amp;") - type the last initial",IF(ISNUMBER(FIND(" ",M122)),IF(IFERROR(IF(M122="",FALSE,OR(M122="Unknown",AND(LEN(M122)-LEN(SUBSTITUTE(M122," ",""))=1,LEN(M122)&gt;=4,MID(M122,LEN(M122)-1,1)=" ",CODE(RIGHT(M122,1))&gt;=65,CODE(RIGHT(M122,1))&lt;=90))),FALSE),"New player? Not on Players list - add it there first","Not on Players list and not First L format (like Zack B)")&amp;IF(ISNUMBER(MATCH(LEFT(M122,FIND(" ",M122)-1)&amp;" ?",Players[Name],0))," (same first name as "&amp;INDEX(Players[Name],MATCH(LEFT(M122,FIND(" ",M122)-1)&amp;" ?",Players[Name],0))&amp;")",""),"Not on Players list - type first name + last initial (like Zack B)")),"")),IF(OR(V122&lt;Pod_Min,V122&gt;Pod_Max),"Pod has "&amp;V122&amp;" players",""),IF(U122=0,IF(T122=0,"No winner (*) in pod",IF(T122&gt;1,T122&amp;" winners in pod","")),IF(U122&lt;V122,"Some = but not all players","")),IF(X122="Unknown","",IF(COUNTIFS($O$8:$O$257,O122,$Q$8:$Q$257,Q122,$X$8:$X$257,X122)&gt;1,"Name twice in pod",IF(COUNTIFS($O$8:$O$257,O122,$X$8:$X$257,X122)&gt;1,"Name in 2 pods this round","")))))</f>
        <v/>
      </c>
      <c r="AA122" s="3" t="str">
        <f>IF(L122&lt;&gt;"PLAYER","",IF(OR(M122="",ISNUMBER(FIND(" ",M122))),0,COUNTIF(Players[Name],M122&amp;" ?")))</f>
        <v/>
      </c>
    </row>
    <row r="123" spans="1:27" x14ac:dyDescent="0.45">
      <c r="A123" s="17"/>
      <c r="B123" s="6" t="str">
        <f t="shared" si="21"/>
        <v/>
      </c>
      <c r="C123" s="6" t="str">
        <f t="shared" si="22"/>
        <v/>
      </c>
      <c r="D123" s="6" t="str">
        <f t="shared" si="23"/>
        <v/>
      </c>
      <c r="E123" s="6" t="str">
        <f t="shared" si="24"/>
        <v/>
      </c>
      <c r="F123" s="6" t="str">
        <f t="shared" si="25"/>
        <v/>
      </c>
      <c r="G123" s="6" t="str">
        <f t="shared" si="26"/>
        <v/>
      </c>
      <c r="H123" s="10" t="str">
        <f t="shared" si="27"/>
        <v/>
      </c>
      <c r="I123" s="6" t="str">
        <f t="shared" si="28"/>
        <v/>
      </c>
      <c r="J123" s="3" t="str">
        <f>IFERROR(MATCH(ROWS(J$8:J123),$S$8:$S$257,0),"")</f>
        <v/>
      </c>
      <c r="K123" s="3" t="str">
        <f t="shared" si="29"/>
        <v/>
      </c>
      <c r="L123" s="3" t="str">
        <f t="shared" si="30"/>
        <v/>
      </c>
      <c r="M123" s="3" t="str">
        <f t="shared" si="31"/>
        <v/>
      </c>
      <c r="N123" s="3" t="str">
        <f t="shared" si="32"/>
        <v/>
      </c>
      <c r="O123" s="3">
        <f t="shared" si="33"/>
        <v>1</v>
      </c>
      <c r="P123" s="3">
        <f t="shared" si="34"/>
        <v>0</v>
      </c>
      <c r="Q123" s="3">
        <f t="shared" si="35"/>
        <v>0</v>
      </c>
      <c r="R123" s="3" t="str">
        <f t="shared" si="36"/>
        <v/>
      </c>
      <c r="S123" s="3">
        <f t="shared" si="37"/>
        <v>0</v>
      </c>
      <c r="T123" s="3" t="str">
        <f t="shared" si="38"/>
        <v/>
      </c>
      <c r="U123" s="3" t="str">
        <f t="shared" si="39"/>
        <v/>
      </c>
      <c r="V123" s="3" t="str">
        <f t="shared" si="40"/>
        <v/>
      </c>
      <c r="W123" s="3" t="str">
        <f t="shared" si="41"/>
        <v/>
      </c>
      <c r="X123" s="3" t="str">
        <f>IF(L123&lt;&gt;"PLAYER","",IF(Y123="Y",INDEX(Players[Name],MATCH(M123,Players[Name],0)),IF(Y123="A",INDEX(Players[Name],MATCH(M123&amp;" ?",Players[Name],0)),M123)))</f>
        <v/>
      </c>
      <c r="Y123" s="3" t="str">
        <f>IF(L123&lt;&gt;"PLAYER","",IF(ISNUMBER(MATCH(M123,Players[Name],0)),"Y",IF(AA123=1,"A","N")))</f>
        <v/>
      </c>
      <c r="Z123" s="3" t="str">
        <f>IF(L123&lt;&gt;"PLAYER","",_xlfn.TEXTJOIN("; ",TRUE,IF(M123="","Empty name",IF(Y123="N",IF(AA123&gt;1,"Which "&amp;M123&amp;"? "&amp;AA123&amp;" players start with it (like "&amp;INDEX(Players[Name],MATCH(M123&amp;" ?",Players[Name],0))&amp;") - type the last initial",IF(ISNUMBER(FIND(" ",M123)),IF(IFERROR(IF(M123="",FALSE,OR(M123="Unknown",AND(LEN(M123)-LEN(SUBSTITUTE(M123," ",""))=1,LEN(M123)&gt;=4,MID(M123,LEN(M123)-1,1)=" ",CODE(RIGHT(M123,1))&gt;=65,CODE(RIGHT(M123,1))&lt;=90))),FALSE),"New player? Not on Players list - add it there first","Not on Players list and not First L format (like Zack B)")&amp;IF(ISNUMBER(MATCH(LEFT(M123,FIND(" ",M123)-1)&amp;" ?",Players[Name],0))," (same first name as "&amp;INDEX(Players[Name],MATCH(LEFT(M123,FIND(" ",M123)-1)&amp;" ?",Players[Name],0))&amp;")",""),"Not on Players list - type first name + last initial (like Zack B)")),"")),IF(OR(V123&lt;Pod_Min,V123&gt;Pod_Max),"Pod has "&amp;V123&amp;" players",""),IF(U123=0,IF(T123=0,"No winner (*) in pod",IF(T123&gt;1,T123&amp;" winners in pod","")),IF(U123&lt;V123,"Some = but not all players","")),IF(X123="Unknown","",IF(COUNTIFS($O$8:$O$257,O123,$Q$8:$Q$257,Q123,$X$8:$X$257,X123)&gt;1,"Name twice in pod",IF(COUNTIFS($O$8:$O$257,O123,$X$8:$X$257,X123)&gt;1,"Name in 2 pods this round","")))))</f>
        <v/>
      </c>
      <c r="AA123" s="3" t="str">
        <f>IF(L123&lt;&gt;"PLAYER","",IF(OR(M123="",ISNUMBER(FIND(" ",M123))),0,COUNTIF(Players[Name],M123&amp;" ?")))</f>
        <v/>
      </c>
    </row>
    <row r="124" spans="1:27" x14ac:dyDescent="0.45">
      <c r="A124" s="17"/>
      <c r="B124" s="6" t="str">
        <f t="shared" si="21"/>
        <v/>
      </c>
      <c r="C124" s="6" t="str">
        <f t="shared" si="22"/>
        <v/>
      </c>
      <c r="D124" s="6" t="str">
        <f t="shared" si="23"/>
        <v/>
      </c>
      <c r="E124" s="6" t="str">
        <f t="shared" si="24"/>
        <v/>
      </c>
      <c r="F124" s="6" t="str">
        <f t="shared" si="25"/>
        <v/>
      </c>
      <c r="G124" s="6" t="str">
        <f t="shared" si="26"/>
        <v/>
      </c>
      <c r="H124" s="10" t="str">
        <f t="shared" si="27"/>
        <v/>
      </c>
      <c r="I124" s="6" t="str">
        <f t="shared" si="28"/>
        <v/>
      </c>
      <c r="J124" s="3" t="str">
        <f>IFERROR(MATCH(ROWS(J$8:J124),$S$8:$S$257,0),"")</f>
        <v/>
      </c>
      <c r="K124" s="3" t="str">
        <f t="shared" si="29"/>
        <v/>
      </c>
      <c r="L124" s="3" t="str">
        <f t="shared" si="30"/>
        <v/>
      </c>
      <c r="M124" s="3" t="str">
        <f t="shared" si="31"/>
        <v/>
      </c>
      <c r="N124" s="3" t="str">
        <f t="shared" si="32"/>
        <v/>
      </c>
      <c r="O124" s="3">
        <f t="shared" si="33"/>
        <v>1</v>
      </c>
      <c r="P124" s="3">
        <f t="shared" si="34"/>
        <v>0</v>
      </c>
      <c r="Q124" s="3">
        <f t="shared" si="35"/>
        <v>0</v>
      </c>
      <c r="R124" s="3" t="str">
        <f t="shared" si="36"/>
        <v/>
      </c>
      <c r="S124" s="3">
        <f t="shared" si="37"/>
        <v>0</v>
      </c>
      <c r="T124" s="3" t="str">
        <f t="shared" si="38"/>
        <v/>
      </c>
      <c r="U124" s="3" t="str">
        <f t="shared" si="39"/>
        <v/>
      </c>
      <c r="V124" s="3" t="str">
        <f t="shared" si="40"/>
        <v/>
      </c>
      <c r="W124" s="3" t="str">
        <f t="shared" si="41"/>
        <v/>
      </c>
      <c r="X124" s="3" t="str">
        <f>IF(L124&lt;&gt;"PLAYER","",IF(Y124="Y",INDEX(Players[Name],MATCH(M124,Players[Name],0)),IF(Y124="A",INDEX(Players[Name],MATCH(M124&amp;" ?",Players[Name],0)),M124)))</f>
        <v/>
      </c>
      <c r="Y124" s="3" t="str">
        <f>IF(L124&lt;&gt;"PLAYER","",IF(ISNUMBER(MATCH(M124,Players[Name],0)),"Y",IF(AA124=1,"A","N")))</f>
        <v/>
      </c>
      <c r="Z124" s="3" t="str">
        <f>IF(L124&lt;&gt;"PLAYER","",_xlfn.TEXTJOIN("; ",TRUE,IF(M124="","Empty name",IF(Y124="N",IF(AA124&gt;1,"Which "&amp;M124&amp;"? "&amp;AA124&amp;" players start with it (like "&amp;INDEX(Players[Name],MATCH(M124&amp;" ?",Players[Name],0))&amp;") - type the last initial",IF(ISNUMBER(FIND(" ",M124)),IF(IFERROR(IF(M124="",FALSE,OR(M124="Unknown",AND(LEN(M124)-LEN(SUBSTITUTE(M124," ",""))=1,LEN(M124)&gt;=4,MID(M124,LEN(M124)-1,1)=" ",CODE(RIGHT(M124,1))&gt;=65,CODE(RIGHT(M124,1))&lt;=90))),FALSE),"New player? Not on Players list - add it there first","Not on Players list and not First L format (like Zack B)")&amp;IF(ISNUMBER(MATCH(LEFT(M124,FIND(" ",M124)-1)&amp;" ?",Players[Name],0))," (same first name as "&amp;INDEX(Players[Name],MATCH(LEFT(M124,FIND(" ",M124)-1)&amp;" ?",Players[Name],0))&amp;")",""),"Not on Players list - type first name + last initial (like Zack B)")),"")),IF(OR(V124&lt;Pod_Min,V124&gt;Pod_Max),"Pod has "&amp;V124&amp;" players",""),IF(U124=0,IF(T124=0,"No winner (*) in pod",IF(T124&gt;1,T124&amp;" winners in pod","")),IF(U124&lt;V124,"Some = but not all players","")),IF(X124="Unknown","",IF(COUNTIFS($O$8:$O$257,O124,$Q$8:$Q$257,Q124,$X$8:$X$257,X124)&gt;1,"Name twice in pod",IF(COUNTIFS($O$8:$O$257,O124,$X$8:$X$257,X124)&gt;1,"Name in 2 pods this round","")))))</f>
        <v/>
      </c>
      <c r="AA124" s="3" t="str">
        <f>IF(L124&lt;&gt;"PLAYER","",IF(OR(M124="",ISNUMBER(FIND(" ",M124))),0,COUNTIF(Players[Name],M124&amp;" ?")))</f>
        <v/>
      </c>
    </row>
    <row r="125" spans="1:27" x14ac:dyDescent="0.45">
      <c r="A125" s="17"/>
      <c r="B125" s="6" t="str">
        <f t="shared" si="21"/>
        <v/>
      </c>
      <c r="C125" s="6" t="str">
        <f t="shared" si="22"/>
        <v/>
      </c>
      <c r="D125" s="6" t="str">
        <f t="shared" si="23"/>
        <v/>
      </c>
      <c r="E125" s="6" t="str">
        <f t="shared" si="24"/>
        <v/>
      </c>
      <c r="F125" s="6" t="str">
        <f t="shared" si="25"/>
        <v/>
      </c>
      <c r="G125" s="6" t="str">
        <f t="shared" si="26"/>
        <v/>
      </c>
      <c r="H125" s="10" t="str">
        <f t="shared" si="27"/>
        <v/>
      </c>
      <c r="I125" s="6" t="str">
        <f t="shared" si="28"/>
        <v/>
      </c>
      <c r="J125" s="3" t="str">
        <f>IFERROR(MATCH(ROWS(J$8:J125),$S$8:$S$257,0),"")</f>
        <v/>
      </c>
      <c r="K125" s="3" t="str">
        <f t="shared" si="29"/>
        <v/>
      </c>
      <c r="L125" s="3" t="str">
        <f t="shared" si="30"/>
        <v/>
      </c>
      <c r="M125" s="3" t="str">
        <f t="shared" si="31"/>
        <v/>
      </c>
      <c r="N125" s="3" t="str">
        <f t="shared" si="32"/>
        <v/>
      </c>
      <c r="O125" s="3">
        <f t="shared" si="33"/>
        <v>1</v>
      </c>
      <c r="P125" s="3">
        <f t="shared" si="34"/>
        <v>0</v>
      </c>
      <c r="Q125" s="3">
        <f t="shared" si="35"/>
        <v>0</v>
      </c>
      <c r="R125" s="3" t="str">
        <f t="shared" si="36"/>
        <v/>
      </c>
      <c r="S125" s="3">
        <f t="shared" si="37"/>
        <v>0</v>
      </c>
      <c r="T125" s="3" t="str">
        <f t="shared" si="38"/>
        <v/>
      </c>
      <c r="U125" s="3" t="str">
        <f t="shared" si="39"/>
        <v/>
      </c>
      <c r="V125" s="3" t="str">
        <f t="shared" si="40"/>
        <v/>
      </c>
      <c r="W125" s="3" t="str">
        <f t="shared" si="41"/>
        <v/>
      </c>
      <c r="X125" s="3" t="str">
        <f>IF(L125&lt;&gt;"PLAYER","",IF(Y125="Y",INDEX(Players[Name],MATCH(M125,Players[Name],0)),IF(Y125="A",INDEX(Players[Name],MATCH(M125&amp;" ?",Players[Name],0)),M125)))</f>
        <v/>
      </c>
      <c r="Y125" s="3" t="str">
        <f>IF(L125&lt;&gt;"PLAYER","",IF(ISNUMBER(MATCH(M125,Players[Name],0)),"Y",IF(AA125=1,"A","N")))</f>
        <v/>
      </c>
      <c r="Z125" s="3" t="str">
        <f>IF(L125&lt;&gt;"PLAYER","",_xlfn.TEXTJOIN("; ",TRUE,IF(M125="","Empty name",IF(Y125="N",IF(AA125&gt;1,"Which "&amp;M125&amp;"? "&amp;AA125&amp;" players start with it (like "&amp;INDEX(Players[Name],MATCH(M125&amp;" ?",Players[Name],0))&amp;") - type the last initial",IF(ISNUMBER(FIND(" ",M125)),IF(IFERROR(IF(M125="",FALSE,OR(M125="Unknown",AND(LEN(M125)-LEN(SUBSTITUTE(M125," ",""))=1,LEN(M125)&gt;=4,MID(M125,LEN(M125)-1,1)=" ",CODE(RIGHT(M125,1))&gt;=65,CODE(RIGHT(M125,1))&lt;=90))),FALSE),"New player? Not on Players list - add it there first","Not on Players list and not First L format (like Zack B)")&amp;IF(ISNUMBER(MATCH(LEFT(M125,FIND(" ",M125)-1)&amp;" ?",Players[Name],0))," (same first name as "&amp;INDEX(Players[Name],MATCH(LEFT(M125,FIND(" ",M125)-1)&amp;" ?",Players[Name],0))&amp;")",""),"Not on Players list - type first name + last initial (like Zack B)")),"")),IF(OR(V125&lt;Pod_Min,V125&gt;Pod_Max),"Pod has "&amp;V125&amp;" players",""),IF(U125=0,IF(T125=0,"No winner (*) in pod",IF(T125&gt;1,T125&amp;" winners in pod","")),IF(U125&lt;V125,"Some = but not all players","")),IF(X125="Unknown","",IF(COUNTIFS($O$8:$O$257,O125,$Q$8:$Q$257,Q125,$X$8:$X$257,X125)&gt;1,"Name twice in pod",IF(COUNTIFS($O$8:$O$257,O125,$X$8:$X$257,X125)&gt;1,"Name in 2 pods this round","")))))</f>
        <v/>
      </c>
      <c r="AA125" s="3" t="str">
        <f>IF(L125&lt;&gt;"PLAYER","",IF(OR(M125="",ISNUMBER(FIND(" ",M125))),0,COUNTIF(Players[Name],M125&amp;" ?")))</f>
        <v/>
      </c>
    </row>
    <row r="126" spans="1:27" x14ac:dyDescent="0.45">
      <c r="A126" s="17"/>
      <c r="B126" s="6" t="str">
        <f t="shared" si="21"/>
        <v/>
      </c>
      <c r="C126" s="6" t="str">
        <f t="shared" si="22"/>
        <v/>
      </c>
      <c r="D126" s="6" t="str">
        <f t="shared" si="23"/>
        <v/>
      </c>
      <c r="E126" s="6" t="str">
        <f t="shared" si="24"/>
        <v/>
      </c>
      <c r="F126" s="6" t="str">
        <f t="shared" si="25"/>
        <v/>
      </c>
      <c r="G126" s="6" t="str">
        <f t="shared" si="26"/>
        <v/>
      </c>
      <c r="H126" s="10" t="str">
        <f t="shared" si="27"/>
        <v/>
      </c>
      <c r="I126" s="6" t="str">
        <f t="shared" si="28"/>
        <v/>
      </c>
      <c r="J126" s="3" t="str">
        <f>IFERROR(MATCH(ROWS(J$8:J126),$S$8:$S$257,0),"")</f>
        <v/>
      </c>
      <c r="K126" s="3" t="str">
        <f t="shared" si="29"/>
        <v/>
      </c>
      <c r="L126" s="3" t="str">
        <f t="shared" si="30"/>
        <v/>
      </c>
      <c r="M126" s="3" t="str">
        <f t="shared" si="31"/>
        <v/>
      </c>
      <c r="N126" s="3" t="str">
        <f t="shared" si="32"/>
        <v/>
      </c>
      <c r="O126" s="3">
        <f t="shared" si="33"/>
        <v>1</v>
      </c>
      <c r="P126" s="3">
        <f t="shared" si="34"/>
        <v>0</v>
      </c>
      <c r="Q126" s="3">
        <f t="shared" si="35"/>
        <v>0</v>
      </c>
      <c r="R126" s="3" t="str">
        <f t="shared" si="36"/>
        <v/>
      </c>
      <c r="S126" s="3">
        <f t="shared" si="37"/>
        <v>0</v>
      </c>
      <c r="T126" s="3" t="str">
        <f t="shared" si="38"/>
        <v/>
      </c>
      <c r="U126" s="3" t="str">
        <f t="shared" si="39"/>
        <v/>
      </c>
      <c r="V126" s="3" t="str">
        <f t="shared" si="40"/>
        <v/>
      </c>
      <c r="W126" s="3" t="str">
        <f t="shared" si="41"/>
        <v/>
      </c>
      <c r="X126" s="3" t="str">
        <f>IF(L126&lt;&gt;"PLAYER","",IF(Y126="Y",INDEX(Players[Name],MATCH(M126,Players[Name],0)),IF(Y126="A",INDEX(Players[Name],MATCH(M126&amp;" ?",Players[Name],0)),M126)))</f>
        <v/>
      </c>
      <c r="Y126" s="3" t="str">
        <f>IF(L126&lt;&gt;"PLAYER","",IF(ISNUMBER(MATCH(M126,Players[Name],0)),"Y",IF(AA126=1,"A","N")))</f>
        <v/>
      </c>
      <c r="Z126" s="3" t="str">
        <f>IF(L126&lt;&gt;"PLAYER","",_xlfn.TEXTJOIN("; ",TRUE,IF(M126="","Empty name",IF(Y126="N",IF(AA126&gt;1,"Which "&amp;M126&amp;"? "&amp;AA126&amp;" players start with it (like "&amp;INDEX(Players[Name],MATCH(M126&amp;" ?",Players[Name],0))&amp;") - type the last initial",IF(ISNUMBER(FIND(" ",M126)),IF(IFERROR(IF(M126="",FALSE,OR(M126="Unknown",AND(LEN(M126)-LEN(SUBSTITUTE(M126," ",""))=1,LEN(M126)&gt;=4,MID(M126,LEN(M126)-1,1)=" ",CODE(RIGHT(M126,1))&gt;=65,CODE(RIGHT(M126,1))&lt;=90))),FALSE),"New player? Not on Players list - add it there first","Not on Players list and not First L format (like Zack B)")&amp;IF(ISNUMBER(MATCH(LEFT(M126,FIND(" ",M126)-1)&amp;" ?",Players[Name],0))," (same first name as "&amp;INDEX(Players[Name],MATCH(LEFT(M126,FIND(" ",M126)-1)&amp;" ?",Players[Name],0))&amp;")",""),"Not on Players list - type first name + last initial (like Zack B)")),"")),IF(OR(V126&lt;Pod_Min,V126&gt;Pod_Max),"Pod has "&amp;V126&amp;" players",""),IF(U126=0,IF(T126=0,"No winner (*) in pod",IF(T126&gt;1,T126&amp;" winners in pod","")),IF(U126&lt;V126,"Some = but not all players","")),IF(X126="Unknown","",IF(COUNTIFS($O$8:$O$257,O126,$Q$8:$Q$257,Q126,$X$8:$X$257,X126)&gt;1,"Name twice in pod",IF(COUNTIFS($O$8:$O$257,O126,$X$8:$X$257,X126)&gt;1,"Name in 2 pods this round","")))))</f>
        <v/>
      </c>
      <c r="AA126" s="3" t="str">
        <f>IF(L126&lt;&gt;"PLAYER","",IF(OR(M126="",ISNUMBER(FIND(" ",M126))),0,COUNTIF(Players[Name],M126&amp;" ?")))</f>
        <v/>
      </c>
    </row>
    <row r="127" spans="1:27" x14ac:dyDescent="0.45">
      <c r="A127" s="17"/>
      <c r="B127" s="6" t="str">
        <f t="shared" si="21"/>
        <v/>
      </c>
      <c r="C127" s="6" t="str">
        <f t="shared" si="22"/>
        <v/>
      </c>
      <c r="D127" s="6" t="str">
        <f t="shared" si="23"/>
        <v/>
      </c>
      <c r="E127" s="6" t="str">
        <f t="shared" si="24"/>
        <v/>
      </c>
      <c r="F127" s="6" t="str">
        <f t="shared" si="25"/>
        <v/>
      </c>
      <c r="G127" s="6" t="str">
        <f t="shared" si="26"/>
        <v/>
      </c>
      <c r="H127" s="10" t="str">
        <f t="shared" si="27"/>
        <v/>
      </c>
      <c r="I127" s="6" t="str">
        <f t="shared" si="28"/>
        <v/>
      </c>
      <c r="J127" s="3" t="str">
        <f>IFERROR(MATCH(ROWS(J$8:J127),$S$8:$S$257,0),"")</f>
        <v/>
      </c>
      <c r="K127" s="3" t="str">
        <f t="shared" si="29"/>
        <v/>
      </c>
      <c r="L127" s="3" t="str">
        <f t="shared" si="30"/>
        <v/>
      </c>
      <c r="M127" s="3" t="str">
        <f t="shared" si="31"/>
        <v/>
      </c>
      <c r="N127" s="3" t="str">
        <f t="shared" si="32"/>
        <v/>
      </c>
      <c r="O127" s="3">
        <f t="shared" si="33"/>
        <v>1</v>
      </c>
      <c r="P127" s="3">
        <f t="shared" si="34"/>
        <v>0</v>
      </c>
      <c r="Q127" s="3">
        <f t="shared" si="35"/>
        <v>0</v>
      </c>
      <c r="R127" s="3" t="str">
        <f t="shared" si="36"/>
        <v/>
      </c>
      <c r="S127" s="3">
        <f t="shared" si="37"/>
        <v>0</v>
      </c>
      <c r="T127" s="3" t="str">
        <f t="shared" si="38"/>
        <v/>
      </c>
      <c r="U127" s="3" t="str">
        <f t="shared" si="39"/>
        <v/>
      </c>
      <c r="V127" s="3" t="str">
        <f t="shared" si="40"/>
        <v/>
      </c>
      <c r="W127" s="3" t="str">
        <f t="shared" si="41"/>
        <v/>
      </c>
      <c r="X127" s="3" t="str">
        <f>IF(L127&lt;&gt;"PLAYER","",IF(Y127="Y",INDEX(Players[Name],MATCH(M127,Players[Name],0)),IF(Y127="A",INDEX(Players[Name],MATCH(M127&amp;" ?",Players[Name],0)),M127)))</f>
        <v/>
      </c>
      <c r="Y127" s="3" t="str">
        <f>IF(L127&lt;&gt;"PLAYER","",IF(ISNUMBER(MATCH(M127,Players[Name],0)),"Y",IF(AA127=1,"A","N")))</f>
        <v/>
      </c>
      <c r="Z127" s="3" t="str">
        <f>IF(L127&lt;&gt;"PLAYER","",_xlfn.TEXTJOIN("; ",TRUE,IF(M127="","Empty name",IF(Y127="N",IF(AA127&gt;1,"Which "&amp;M127&amp;"? "&amp;AA127&amp;" players start with it (like "&amp;INDEX(Players[Name],MATCH(M127&amp;" ?",Players[Name],0))&amp;") - type the last initial",IF(ISNUMBER(FIND(" ",M127)),IF(IFERROR(IF(M127="",FALSE,OR(M127="Unknown",AND(LEN(M127)-LEN(SUBSTITUTE(M127," ",""))=1,LEN(M127)&gt;=4,MID(M127,LEN(M127)-1,1)=" ",CODE(RIGHT(M127,1))&gt;=65,CODE(RIGHT(M127,1))&lt;=90))),FALSE),"New player? Not on Players list - add it there first","Not on Players list and not First L format (like Zack B)")&amp;IF(ISNUMBER(MATCH(LEFT(M127,FIND(" ",M127)-1)&amp;" ?",Players[Name],0))," (same first name as "&amp;INDEX(Players[Name],MATCH(LEFT(M127,FIND(" ",M127)-1)&amp;" ?",Players[Name],0))&amp;")",""),"Not on Players list - type first name + last initial (like Zack B)")),"")),IF(OR(V127&lt;Pod_Min,V127&gt;Pod_Max),"Pod has "&amp;V127&amp;" players",""),IF(U127=0,IF(T127=0,"No winner (*) in pod",IF(T127&gt;1,T127&amp;" winners in pod","")),IF(U127&lt;V127,"Some = but not all players","")),IF(X127="Unknown","",IF(COUNTIFS($O$8:$O$257,O127,$Q$8:$Q$257,Q127,$X$8:$X$257,X127)&gt;1,"Name twice in pod",IF(COUNTIFS($O$8:$O$257,O127,$X$8:$X$257,X127)&gt;1,"Name in 2 pods this round","")))))</f>
        <v/>
      </c>
      <c r="AA127" s="3" t="str">
        <f>IF(L127&lt;&gt;"PLAYER","",IF(OR(M127="",ISNUMBER(FIND(" ",M127))),0,COUNTIF(Players[Name],M127&amp;" ?")))</f>
        <v/>
      </c>
    </row>
    <row r="128" spans="1:27" x14ac:dyDescent="0.45">
      <c r="A128" s="17"/>
      <c r="B128" s="6" t="str">
        <f t="shared" si="21"/>
        <v/>
      </c>
      <c r="C128" s="6" t="str">
        <f t="shared" si="22"/>
        <v/>
      </c>
      <c r="D128" s="6" t="str">
        <f t="shared" si="23"/>
        <v/>
      </c>
      <c r="E128" s="6" t="str">
        <f t="shared" si="24"/>
        <v/>
      </c>
      <c r="F128" s="6" t="str">
        <f t="shared" si="25"/>
        <v/>
      </c>
      <c r="G128" s="6" t="str">
        <f t="shared" si="26"/>
        <v/>
      </c>
      <c r="H128" s="10" t="str">
        <f t="shared" si="27"/>
        <v/>
      </c>
      <c r="I128" s="6" t="str">
        <f t="shared" si="28"/>
        <v/>
      </c>
      <c r="J128" s="3" t="str">
        <f>IFERROR(MATCH(ROWS(J$8:J128),$S$8:$S$257,0),"")</f>
        <v/>
      </c>
      <c r="K128" s="3" t="str">
        <f t="shared" si="29"/>
        <v/>
      </c>
      <c r="L128" s="3" t="str">
        <f t="shared" si="30"/>
        <v/>
      </c>
      <c r="M128" s="3" t="str">
        <f t="shared" si="31"/>
        <v/>
      </c>
      <c r="N128" s="3" t="str">
        <f t="shared" si="32"/>
        <v/>
      </c>
      <c r="O128" s="3">
        <f t="shared" si="33"/>
        <v>1</v>
      </c>
      <c r="P128" s="3">
        <f t="shared" si="34"/>
        <v>0</v>
      </c>
      <c r="Q128" s="3">
        <f t="shared" si="35"/>
        <v>0</v>
      </c>
      <c r="R128" s="3" t="str">
        <f t="shared" si="36"/>
        <v/>
      </c>
      <c r="S128" s="3">
        <f t="shared" si="37"/>
        <v>0</v>
      </c>
      <c r="T128" s="3" t="str">
        <f t="shared" si="38"/>
        <v/>
      </c>
      <c r="U128" s="3" t="str">
        <f t="shared" si="39"/>
        <v/>
      </c>
      <c r="V128" s="3" t="str">
        <f t="shared" si="40"/>
        <v/>
      </c>
      <c r="W128" s="3" t="str">
        <f t="shared" si="41"/>
        <v/>
      </c>
      <c r="X128" s="3" t="str">
        <f>IF(L128&lt;&gt;"PLAYER","",IF(Y128="Y",INDEX(Players[Name],MATCH(M128,Players[Name],0)),IF(Y128="A",INDEX(Players[Name],MATCH(M128&amp;" ?",Players[Name],0)),M128)))</f>
        <v/>
      </c>
      <c r="Y128" s="3" t="str">
        <f>IF(L128&lt;&gt;"PLAYER","",IF(ISNUMBER(MATCH(M128,Players[Name],0)),"Y",IF(AA128=1,"A","N")))</f>
        <v/>
      </c>
      <c r="Z128" s="3" t="str">
        <f>IF(L128&lt;&gt;"PLAYER","",_xlfn.TEXTJOIN("; ",TRUE,IF(M128="","Empty name",IF(Y128="N",IF(AA128&gt;1,"Which "&amp;M128&amp;"? "&amp;AA128&amp;" players start with it (like "&amp;INDEX(Players[Name],MATCH(M128&amp;" ?",Players[Name],0))&amp;") - type the last initial",IF(ISNUMBER(FIND(" ",M128)),IF(IFERROR(IF(M128="",FALSE,OR(M128="Unknown",AND(LEN(M128)-LEN(SUBSTITUTE(M128," ",""))=1,LEN(M128)&gt;=4,MID(M128,LEN(M128)-1,1)=" ",CODE(RIGHT(M128,1))&gt;=65,CODE(RIGHT(M128,1))&lt;=90))),FALSE),"New player? Not on Players list - add it there first","Not on Players list and not First L format (like Zack B)")&amp;IF(ISNUMBER(MATCH(LEFT(M128,FIND(" ",M128)-1)&amp;" ?",Players[Name],0))," (same first name as "&amp;INDEX(Players[Name],MATCH(LEFT(M128,FIND(" ",M128)-1)&amp;" ?",Players[Name],0))&amp;")",""),"Not on Players list - type first name + last initial (like Zack B)")),"")),IF(OR(V128&lt;Pod_Min,V128&gt;Pod_Max),"Pod has "&amp;V128&amp;" players",""),IF(U128=0,IF(T128=0,"No winner (*) in pod",IF(T128&gt;1,T128&amp;" winners in pod","")),IF(U128&lt;V128,"Some = but not all players","")),IF(X128="Unknown","",IF(COUNTIFS($O$8:$O$257,O128,$Q$8:$Q$257,Q128,$X$8:$X$257,X128)&gt;1,"Name twice in pod",IF(COUNTIFS($O$8:$O$257,O128,$X$8:$X$257,X128)&gt;1,"Name in 2 pods this round","")))))</f>
        <v/>
      </c>
      <c r="AA128" s="3" t="str">
        <f>IF(L128&lt;&gt;"PLAYER","",IF(OR(M128="",ISNUMBER(FIND(" ",M128))),0,COUNTIF(Players[Name],M128&amp;" ?")))</f>
        <v/>
      </c>
    </row>
    <row r="129" spans="1:27" x14ac:dyDescent="0.45">
      <c r="A129" s="17"/>
      <c r="B129" s="6" t="str">
        <f t="shared" si="21"/>
        <v/>
      </c>
      <c r="C129" s="6" t="str">
        <f t="shared" si="22"/>
        <v/>
      </c>
      <c r="D129" s="6" t="str">
        <f t="shared" si="23"/>
        <v/>
      </c>
      <c r="E129" s="6" t="str">
        <f t="shared" si="24"/>
        <v/>
      </c>
      <c r="F129" s="6" t="str">
        <f t="shared" si="25"/>
        <v/>
      </c>
      <c r="G129" s="6" t="str">
        <f t="shared" si="26"/>
        <v/>
      </c>
      <c r="H129" s="10" t="str">
        <f t="shared" si="27"/>
        <v/>
      </c>
      <c r="I129" s="6" t="str">
        <f t="shared" si="28"/>
        <v/>
      </c>
      <c r="J129" s="3" t="str">
        <f>IFERROR(MATCH(ROWS(J$8:J129),$S$8:$S$257,0),"")</f>
        <v/>
      </c>
      <c r="K129" s="3" t="str">
        <f t="shared" si="29"/>
        <v/>
      </c>
      <c r="L129" s="3" t="str">
        <f t="shared" si="30"/>
        <v/>
      </c>
      <c r="M129" s="3" t="str">
        <f t="shared" si="31"/>
        <v/>
      </c>
      <c r="N129" s="3" t="str">
        <f t="shared" si="32"/>
        <v/>
      </c>
      <c r="O129" s="3">
        <f t="shared" si="33"/>
        <v>1</v>
      </c>
      <c r="P129" s="3">
        <f t="shared" si="34"/>
        <v>0</v>
      </c>
      <c r="Q129" s="3">
        <f t="shared" si="35"/>
        <v>0</v>
      </c>
      <c r="R129" s="3" t="str">
        <f t="shared" si="36"/>
        <v/>
      </c>
      <c r="S129" s="3">
        <f t="shared" si="37"/>
        <v>0</v>
      </c>
      <c r="T129" s="3" t="str">
        <f t="shared" si="38"/>
        <v/>
      </c>
      <c r="U129" s="3" t="str">
        <f t="shared" si="39"/>
        <v/>
      </c>
      <c r="V129" s="3" t="str">
        <f t="shared" si="40"/>
        <v/>
      </c>
      <c r="W129" s="3" t="str">
        <f t="shared" si="41"/>
        <v/>
      </c>
      <c r="X129" s="3" t="str">
        <f>IF(L129&lt;&gt;"PLAYER","",IF(Y129="Y",INDEX(Players[Name],MATCH(M129,Players[Name],0)),IF(Y129="A",INDEX(Players[Name],MATCH(M129&amp;" ?",Players[Name],0)),M129)))</f>
        <v/>
      </c>
      <c r="Y129" s="3" t="str">
        <f>IF(L129&lt;&gt;"PLAYER","",IF(ISNUMBER(MATCH(M129,Players[Name],0)),"Y",IF(AA129=1,"A","N")))</f>
        <v/>
      </c>
      <c r="Z129" s="3" t="str">
        <f>IF(L129&lt;&gt;"PLAYER","",_xlfn.TEXTJOIN("; ",TRUE,IF(M129="","Empty name",IF(Y129="N",IF(AA129&gt;1,"Which "&amp;M129&amp;"? "&amp;AA129&amp;" players start with it (like "&amp;INDEX(Players[Name],MATCH(M129&amp;" ?",Players[Name],0))&amp;") - type the last initial",IF(ISNUMBER(FIND(" ",M129)),IF(IFERROR(IF(M129="",FALSE,OR(M129="Unknown",AND(LEN(M129)-LEN(SUBSTITUTE(M129," ",""))=1,LEN(M129)&gt;=4,MID(M129,LEN(M129)-1,1)=" ",CODE(RIGHT(M129,1))&gt;=65,CODE(RIGHT(M129,1))&lt;=90))),FALSE),"New player? Not on Players list - add it there first","Not on Players list and not First L format (like Zack B)")&amp;IF(ISNUMBER(MATCH(LEFT(M129,FIND(" ",M129)-1)&amp;" ?",Players[Name],0))," (same first name as "&amp;INDEX(Players[Name],MATCH(LEFT(M129,FIND(" ",M129)-1)&amp;" ?",Players[Name],0))&amp;")",""),"Not on Players list - type first name + last initial (like Zack B)")),"")),IF(OR(V129&lt;Pod_Min,V129&gt;Pod_Max),"Pod has "&amp;V129&amp;" players",""),IF(U129=0,IF(T129=0,"No winner (*) in pod",IF(T129&gt;1,T129&amp;" winners in pod","")),IF(U129&lt;V129,"Some = but not all players","")),IF(X129="Unknown","",IF(COUNTIFS($O$8:$O$257,O129,$Q$8:$Q$257,Q129,$X$8:$X$257,X129)&gt;1,"Name twice in pod",IF(COUNTIFS($O$8:$O$257,O129,$X$8:$X$257,X129)&gt;1,"Name in 2 pods this round","")))))</f>
        <v/>
      </c>
      <c r="AA129" s="3" t="str">
        <f>IF(L129&lt;&gt;"PLAYER","",IF(OR(M129="",ISNUMBER(FIND(" ",M129))),0,COUNTIF(Players[Name],M129&amp;" ?")))</f>
        <v/>
      </c>
    </row>
    <row r="130" spans="1:27" x14ac:dyDescent="0.45">
      <c r="A130" s="17"/>
      <c r="B130" s="6" t="str">
        <f t="shared" si="21"/>
        <v/>
      </c>
      <c r="C130" s="6" t="str">
        <f t="shared" si="22"/>
        <v/>
      </c>
      <c r="D130" s="6" t="str">
        <f t="shared" si="23"/>
        <v/>
      </c>
      <c r="E130" s="6" t="str">
        <f t="shared" si="24"/>
        <v/>
      </c>
      <c r="F130" s="6" t="str">
        <f t="shared" si="25"/>
        <v/>
      </c>
      <c r="G130" s="6" t="str">
        <f t="shared" si="26"/>
        <v/>
      </c>
      <c r="H130" s="10" t="str">
        <f t="shared" si="27"/>
        <v/>
      </c>
      <c r="I130" s="6" t="str">
        <f t="shared" si="28"/>
        <v/>
      </c>
      <c r="J130" s="3" t="str">
        <f>IFERROR(MATCH(ROWS(J$8:J130),$S$8:$S$257,0),"")</f>
        <v/>
      </c>
      <c r="K130" s="3" t="str">
        <f t="shared" si="29"/>
        <v/>
      </c>
      <c r="L130" s="3" t="str">
        <f t="shared" si="30"/>
        <v/>
      </c>
      <c r="M130" s="3" t="str">
        <f t="shared" si="31"/>
        <v/>
      </c>
      <c r="N130" s="3" t="str">
        <f t="shared" si="32"/>
        <v/>
      </c>
      <c r="O130" s="3">
        <f t="shared" si="33"/>
        <v>1</v>
      </c>
      <c r="P130" s="3">
        <f t="shared" si="34"/>
        <v>0</v>
      </c>
      <c r="Q130" s="3">
        <f t="shared" si="35"/>
        <v>0</v>
      </c>
      <c r="R130" s="3" t="str">
        <f t="shared" si="36"/>
        <v/>
      </c>
      <c r="S130" s="3">
        <f t="shared" si="37"/>
        <v>0</v>
      </c>
      <c r="T130" s="3" t="str">
        <f t="shared" si="38"/>
        <v/>
      </c>
      <c r="U130" s="3" t="str">
        <f t="shared" si="39"/>
        <v/>
      </c>
      <c r="V130" s="3" t="str">
        <f t="shared" si="40"/>
        <v/>
      </c>
      <c r="W130" s="3" t="str">
        <f t="shared" si="41"/>
        <v/>
      </c>
      <c r="X130" s="3" t="str">
        <f>IF(L130&lt;&gt;"PLAYER","",IF(Y130="Y",INDEX(Players[Name],MATCH(M130,Players[Name],0)),IF(Y130="A",INDEX(Players[Name],MATCH(M130&amp;" ?",Players[Name],0)),M130)))</f>
        <v/>
      </c>
      <c r="Y130" s="3" t="str">
        <f>IF(L130&lt;&gt;"PLAYER","",IF(ISNUMBER(MATCH(M130,Players[Name],0)),"Y",IF(AA130=1,"A","N")))</f>
        <v/>
      </c>
      <c r="Z130" s="3" t="str">
        <f>IF(L130&lt;&gt;"PLAYER","",_xlfn.TEXTJOIN("; ",TRUE,IF(M130="","Empty name",IF(Y130="N",IF(AA130&gt;1,"Which "&amp;M130&amp;"? "&amp;AA130&amp;" players start with it (like "&amp;INDEX(Players[Name],MATCH(M130&amp;" ?",Players[Name],0))&amp;") - type the last initial",IF(ISNUMBER(FIND(" ",M130)),IF(IFERROR(IF(M130="",FALSE,OR(M130="Unknown",AND(LEN(M130)-LEN(SUBSTITUTE(M130," ",""))=1,LEN(M130)&gt;=4,MID(M130,LEN(M130)-1,1)=" ",CODE(RIGHT(M130,1))&gt;=65,CODE(RIGHT(M130,1))&lt;=90))),FALSE),"New player? Not on Players list - add it there first","Not on Players list and not First L format (like Zack B)")&amp;IF(ISNUMBER(MATCH(LEFT(M130,FIND(" ",M130)-1)&amp;" ?",Players[Name],0))," (same first name as "&amp;INDEX(Players[Name],MATCH(LEFT(M130,FIND(" ",M130)-1)&amp;" ?",Players[Name],0))&amp;")",""),"Not on Players list - type first name + last initial (like Zack B)")),"")),IF(OR(V130&lt;Pod_Min,V130&gt;Pod_Max),"Pod has "&amp;V130&amp;" players",""),IF(U130=0,IF(T130=0,"No winner (*) in pod",IF(T130&gt;1,T130&amp;" winners in pod","")),IF(U130&lt;V130,"Some = but not all players","")),IF(X130="Unknown","",IF(COUNTIFS($O$8:$O$257,O130,$Q$8:$Q$257,Q130,$X$8:$X$257,X130)&gt;1,"Name twice in pod",IF(COUNTIFS($O$8:$O$257,O130,$X$8:$X$257,X130)&gt;1,"Name in 2 pods this round","")))))</f>
        <v/>
      </c>
      <c r="AA130" s="3" t="str">
        <f>IF(L130&lt;&gt;"PLAYER","",IF(OR(M130="",ISNUMBER(FIND(" ",M130))),0,COUNTIF(Players[Name],M130&amp;" ?")))</f>
        <v/>
      </c>
    </row>
    <row r="131" spans="1:27" x14ac:dyDescent="0.45">
      <c r="A131" s="17"/>
      <c r="B131" s="6" t="str">
        <f t="shared" si="21"/>
        <v/>
      </c>
      <c r="C131" s="6" t="str">
        <f t="shared" si="22"/>
        <v/>
      </c>
      <c r="D131" s="6" t="str">
        <f t="shared" si="23"/>
        <v/>
      </c>
      <c r="E131" s="6" t="str">
        <f t="shared" si="24"/>
        <v/>
      </c>
      <c r="F131" s="6" t="str">
        <f t="shared" si="25"/>
        <v/>
      </c>
      <c r="G131" s="6" t="str">
        <f t="shared" si="26"/>
        <v/>
      </c>
      <c r="H131" s="10" t="str">
        <f t="shared" si="27"/>
        <v/>
      </c>
      <c r="I131" s="6" t="str">
        <f t="shared" si="28"/>
        <v/>
      </c>
      <c r="J131" s="3" t="str">
        <f>IFERROR(MATCH(ROWS(J$8:J131),$S$8:$S$257,0),"")</f>
        <v/>
      </c>
      <c r="K131" s="3" t="str">
        <f t="shared" si="29"/>
        <v/>
      </c>
      <c r="L131" s="3" t="str">
        <f t="shared" si="30"/>
        <v/>
      </c>
      <c r="M131" s="3" t="str">
        <f t="shared" si="31"/>
        <v/>
      </c>
      <c r="N131" s="3" t="str">
        <f t="shared" si="32"/>
        <v/>
      </c>
      <c r="O131" s="3">
        <f t="shared" si="33"/>
        <v>1</v>
      </c>
      <c r="P131" s="3">
        <f t="shared" si="34"/>
        <v>0</v>
      </c>
      <c r="Q131" s="3">
        <f t="shared" si="35"/>
        <v>0</v>
      </c>
      <c r="R131" s="3" t="str">
        <f t="shared" si="36"/>
        <v/>
      </c>
      <c r="S131" s="3">
        <f t="shared" si="37"/>
        <v>0</v>
      </c>
      <c r="T131" s="3" t="str">
        <f t="shared" si="38"/>
        <v/>
      </c>
      <c r="U131" s="3" t="str">
        <f t="shared" si="39"/>
        <v/>
      </c>
      <c r="V131" s="3" t="str">
        <f t="shared" si="40"/>
        <v/>
      </c>
      <c r="W131" s="3" t="str">
        <f t="shared" si="41"/>
        <v/>
      </c>
      <c r="X131" s="3" t="str">
        <f>IF(L131&lt;&gt;"PLAYER","",IF(Y131="Y",INDEX(Players[Name],MATCH(M131,Players[Name],0)),IF(Y131="A",INDEX(Players[Name],MATCH(M131&amp;" ?",Players[Name],0)),M131)))</f>
        <v/>
      </c>
      <c r="Y131" s="3" t="str">
        <f>IF(L131&lt;&gt;"PLAYER","",IF(ISNUMBER(MATCH(M131,Players[Name],0)),"Y",IF(AA131=1,"A","N")))</f>
        <v/>
      </c>
      <c r="Z131" s="3" t="str">
        <f>IF(L131&lt;&gt;"PLAYER","",_xlfn.TEXTJOIN("; ",TRUE,IF(M131="","Empty name",IF(Y131="N",IF(AA131&gt;1,"Which "&amp;M131&amp;"? "&amp;AA131&amp;" players start with it (like "&amp;INDEX(Players[Name],MATCH(M131&amp;" ?",Players[Name],0))&amp;") - type the last initial",IF(ISNUMBER(FIND(" ",M131)),IF(IFERROR(IF(M131="",FALSE,OR(M131="Unknown",AND(LEN(M131)-LEN(SUBSTITUTE(M131," ",""))=1,LEN(M131)&gt;=4,MID(M131,LEN(M131)-1,1)=" ",CODE(RIGHT(M131,1))&gt;=65,CODE(RIGHT(M131,1))&lt;=90))),FALSE),"New player? Not on Players list - add it there first","Not on Players list and not First L format (like Zack B)")&amp;IF(ISNUMBER(MATCH(LEFT(M131,FIND(" ",M131)-1)&amp;" ?",Players[Name],0))," (same first name as "&amp;INDEX(Players[Name],MATCH(LEFT(M131,FIND(" ",M131)-1)&amp;" ?",Players[Name],0))&amp;")",""),"Not on Players list - type first name + last initial (like Zack B)")),"")),IF(OR(V131&lt;Pod_Min,V131&gt;Pod_Max),"Pod has "&amp;V131&amp;" players",""),IF(U131=0,IF(T131=0,"No winner (*) in pod",IF(T131&gt;1,T131&amp;" winners in pod","")),IF(U131&lt;V131,"Some = but not all players","")),IF(X131="Unknown","",IF(COUNTIFS($O$8:$O$257,O131,$Q$8:$Q$257,Q131,$X$8:$X$257,X131)&gt;1,"Name twice in pod",IF(COUNTIFS($O$8:$O$257,O131,$X$8:$X$257,X131)&gt;1,"Name in 2 pods this round","")))))</f>
        <v/>
      </c>
      <c r="AA131" s="3" t="str">
        <f>IF(L131&lt;&gt;"PLAYER","",IF(OR(M131="",ISNUMBER(FIND(" ",M131))),0,COUNTIF(Players[Name],M131&amp;" ?")))</f>
        <v/>
      </c>
    </row>
    <row r="132" spans="1:27" x14ac:dyDescent="0.45">
      <c r="A132" s="17"/>
      <c r="B132" s="6" t="str">
        <f t="shared" si="21"/>
        <v/>
      </c>
      <c r="C132" s="6" t="str">
        <f t="shared" si="22"/>
        <v/>
      </c>
      <c r="D132" s="6" t="str">
        <f t="shared" si="23"/>
        <v/>
      </c>
      <c r="E132" s="6" t="str">
        <f t="shared" si="24"/>
        <v/>
      </c>
      <c r="F132" s="6" t="str">
        <f t="shared" si="25"/>
        <v/>
      </c>
      <c r="G132" s="6" t="str">
        <f t="shared" si="26"/>
        <v/>
      </c>
      <c r="H132" s="10" t="str">
        <f t="shared" si="27"/>
        <v/>
      </c>
      <c r="I132" s="6" t="str">
        <f t="shared" si="28"/>
        <v/>
      </c>
      <c r="J132" s="3" t="str">
        <f>IFERROR(MATCH(ROWS(J$8:J132),$S$8:$S$257,0),"")</f>
        <v/>
      </c>
      <c r="K132" s="3" t="str">
        <f t="shared" si="29"/>
        <v/>
      </c>
      <c r="L132" s="3" t="str">
        <f t="shared" si="30"/>
        <v/>
      </c>
      <c r="M132" s="3" t="str">
        <f t="shared" si="31"/>
        <v/>
      </c>
      <c r="N132" s="3" t="str">
        <f t="shared" si="32"/>
        <v/>
      </c>
      <c r="O132" s="3">
        <f t="shared" si="33"/>
        <v>1</v>
      </c>
      <c r="P132" s="3">
        <f t="shared" si="34"/>
        <v>0</v>
      </c>
      <c r="Q132" s="3">
        <f t="shared" si="35"/>
        <v>0</v>
      </c>
      <c r="R132" s="3" t="str">
        <f t="shared" si="36"/>
        <v/>
      </c>
      <c r="S132" s="3">
        <f t="shared" si="37"/>
        <v>0</v>
      </c>
      <c r="T132" s="3" t="str">
        <f t="shared" si="38"/>
        <v/>
      </c>
      <c r="U132" s="3" t="str">
        <f t="shared" si="39"/>
        <v/>
      </c>
      <c r="V132" s="3" t="str">
        <f t="shared" si="40"/>
        <v/>
      </c>
      <c r="W132" s="3" t="str">
        <f t="shared" si="41"/>
        <v/>
      </c>
      <c r="X132" s="3" t="str">
        <f>IF(L132&lt;&gt;"PLAYER","",IF(Y132="Y",INDEX(Players[Name],MATCH(M132,Players[Name],0)),IF(Y132="A",INDEX(Players[Name],MATCH(M132&amp;" ?",Players[Name],0)),M132)))</f>
        <v/>
      </c>
      <c r="Y132" s="3" t="str">
        <f>IF(L132&lt;&gt;"PLAYER","",IF(ISNUMBER(MATCH(M132,Players[Name],0)),"Y",IF(AA132=1,"A","N")))</f>
        <v/>
      </c>
      <c r="Z132" s="3" t="str">
        <f>IF(L132&lt;&gt;"PLAYER","",_xlfn.TEXTJOIN("; ",TRUE,IF(M132="","Empty name",IF(Y132="N",IF(AA132&gt;1,"Which "&amp;M132&amp;"? "&amp;AA132&amp;" players start with it (like "&amp;INDEX(Players[Name],MATCH(M132&amp;" ?",Players[Name],0))&amp;") - type the last initial",IF(ISNUMBER(FIND(" ",M132)),IF(IFERROR(IF(M132="",FALSE,OR(M132="Unknown",AND(LEN(M132)-LEN(SUBSTITUTE(M132," ",""))=1,LEN(M132)&gt;=4,MID(M132,LEN(M132)-1,1)=" ",CODE(RIGHT(M132,1))&gt;=65,CODE(RIGHT(M132,1))&lt;=90))),FALSE),"New player? Not on Players list - add it there first","Not on Players list and not First L format (like Zack B)")&amp;IF(ISNUMBER(MATCH(LEFT(M132,FIND(" ",M132)-1)&amp;" ?",Players[Name],0))," (same first name as "&amp;INDEX(Players[Name],MATCH(LEFT(M132,FIND(" ",M132)-1)&amp;" ?",Players[Name],0))&amp;")",""),"Not on Players list - type first name + last initial (like Zack B)")),"")),IF(OR(V132&lt;Pod_Min,V132&gt;Pod_Max),"Pod has "&amp;V132&amp;" players",""),IF(U132=0,IF(T132=0,"No winner (*) in pod",IF(T132&gt;1,T132&amp;" winners in pod","")),IF(U132&lt;V132,"Some = but not all players","")),IF(X132="Unknown","",IF(COUNTIFS($O$8:$O$257,O132,$Q$8:$Q$257,Q132,$X$8:$X$257,X132)&gt;1,"Name twice in pod",IF(COUNTIFS($O$8:$O$257,O132,$X$8:$X$257,X132)&gt;1,"Name in 2 pods this round","")))))</f>
        <v/>
      </c>
      <c r="AA132" s="3" t="str">
        <f>IF(L132&lt;&gt;"PLAYER","",IF(OR(M132="",ISNUMBER(FIND(" ",M132))),0,COUNTIF(Players[Name],M132&amp;" ?")))</f>
        <v/>
      </c>
    </row>
    <row r="133" spans="1:27" x14ac:dyDescent="0.45">
      <c r="A133" s="17"/>
      <c r="B133" s="6" t="str">
        <f t="shared" si="21"/>
        <v/>
      </c>
      <c r="C133" s="6" t="str">
        <f t="shared" si="22"/>
        <v/>
      </c>
      <c r="D133" s="6" t="str">
        <f t="shared" si="23"/>
        <v/>
      </c>
      <c r="E133" s="6" t="str">
        <f t="shared" si="24"/>
        <v/>
      </c>
      <c r="F133" s="6" t="str">
        <f t="shared" si="25"/>
        <v/>
      </c>
      <c r="G133" s="6" t="str">
        <f t="shared" si="26"/>
        <v/>
      </c>
      <c r="H133" s="10" t="str">
        <f t="shared" si="27"/>
        <v/>
      </c>
      <c r="I133" s="6" t="str">
        <f t="shared" si="28"/>
        <v/>
      </c>
      <c r="J133" s="3" t="str">
        <f>IFERROR(MATCH(ROWS(J$8:J133),$S$8:$S$257,0),"")</f>
        <v/>
      </c>
      <c r="K133" s="3" t="str">
        <f t="shared" si="29"/>
        <v/>
      </c>
      <c r="L133" s="3" t="str">
        <f t="shared" si="30"/>
        <v/>
      </c>
      <c r="M133" s="3" t="str">
        <f t="shared" si="31"/>
        <v/>
      </c>
      <c r="N133" s="3" t="str">
        <f t="shared" si="32"/>
        <v/>
      </c>
      <c r="O133" s="3">
        <f t="shared" si="33"/>
        <v>1</v>
      </c>
      <c r="P133" s="3">
        <f t="shared" si="34"/>
        <v>0</v>
      </c>
      <c r="Q133" s="3">
        <f t="shared" si="35"/>
        <v>0</v>
      </c>
      <c r="R133" s="3" t="str">
        <f t="shared" si="36"/>
        <v/>
      </c>
      <c r="S133" s="3">
        <f t="shared" si="37"/>
        <v>0</v>
      </c>
      <c r="T133" s="3" t="str">
        <f t="shared" si="38"/>
        <v/>
      </c>
      <c r="U133" s="3" t="str">
        <f t="shared" si="39"/>
        <v/>
      </c>
      <c r="V133" s="3" t="str">
        <f t="shared" si="40"/>
        <v/>
      </c>
      <c r="W133" s="3" t="str">
        <f t="shared" si="41"/>
        <v/>
      </c>
      <c r="X133" s="3" t="str">
        <f>IF(L133&lt;&gt;"PLAYER","",IF(Y133="Y",INDEX(Players[Name],MATCH(M133,Players[Name],0)),IF(Y133="A",INDEX(Players[Name],MATCH(M133&amp;" ?",Players[Name],0)),M133)))</f>
        <v/>
      </c>
      <c r="Y133" s="3" t="str">
        <f>IF(L133&lt;&gt;"PLAYER","",IF(ISNUMBER(MATCH(M133,Players[Name],0)),"Y",IF(AA133=1,"A","N")))</f>
        <v/>
      </c>
      <c r="Z133" s="3" t="str">
        <f>IF(L133&lt;&gt;"PLAYER","",_xlfn.TEXTJOIN("; ",TRUE,IF(M133="","Empty name",IF(Y133="N",IF(AA133&gt;1,"Which "&amp;M133&amp;"? "&amp;AA133&amp;" players start with it (like "&amp;INDEX(Players[Name],MATCH(M133&amp;" ?",Players[Name],0))&amp;") - type the last initial",IF(ISNUMBER(FIND(" ",M133)),IF(IFERROR(IF(M133="",FALSE,OR(M133="Unknown",AND(LEN(M133)-LEN(SUBSTITUTE(M133," ",""))=1,LEN(M133)&gt;=4,MID(M133,LEN(M133)-1,1)=" ",CODE(RIGHT(M133,1))&gt;=65,CODE(RIGHT(M133,1))&lt;=90))),FALSE),"New player? Not on Players list - add it there first","Not on Players list and not First L format (like Zack B)")&amp;IF(ISNUMBER(MATCH(LEFT(M133,FIND(" ",M133)-1)&amp;" ?",Players[Name],0))," (same first name as "&amp;INDEX(Players[Name],MATCH(LEFT(M133,FIND(" ",M133)-1)&amp;" ?",Players[Name],0))&amp;")",""),"Not on Players list - type first name + last initial (like Zack B)")),"")),IF(OR(V133&lt;Pod_Min,V133&gt;Pod_Max),"Pod has "&amp;V133&amp;" players",""),IF(U133=0,IF(T133=0,"No winner (*) in pod",IF(T133&gt;1,T133&amp;" winners in pod","")),IF(U133&lt;V133,"Some = but not all players","")),IF(X133="Unknown","",IF(COUNTIFS($O$8:$O$257,O133,$Q$8:$Q$257,Q133,$X$8:$X$257,X133)&gt;1,"Name twice in pod",IF(COUNTIFS($O$8:$O$257,O133,$X$8:$X$257,X133)&gt;1,"Name in 2 pods this round","")))))</f>
        <v/>
      </c>
      <c r="AA133" s="3" t="str">
        <f>IF(L133&lt;&gt;"PLAYER","",IF(OR(M133="",ISNUMBER(FIND(" ",M133))),0,COUNTIF(Players[Name],M133&amp;" ?")))</f>
        <v/>
      </c>
    </row>
    <row r="134" spans="1:27" x14ac:dyDescent="0.45">
      <c r="A134" s="17"/>
      <c r="B134" s="6" t="str">
        <f t="shared" si="21"/>
        <v/>
      </c>
      <c r="C134" s="6" t="str">
        <f t="shared" si="22"/>
        <v/>
      </c>
      <c r="D134" s="6" t="str">
        <f t="shared" si="23"/>
        <v/>
      </c>
      <c r="E134" s="6" t="str">
        <f t="shared" si="24"/>
        <v/>
      </c>
      <c r="F134" s="6" t="str">
        <f t="shared" si="25"/>
        <v/>
      </c>
      <c r="G134" s="6" t="str">
        <f t="shared" si="26"/>
        <v/>
      </c>
      <c r="H134" s="10" t="str">
        <f t="shared" si="27"/>
        <v/>
      </c>
      <c r="I134" s="6" t="str">
        <f t="shared" si="28"/>
        <v/>
      </c>
      <c r="J134" s="3" t="str">
        <f>IFERROR(MATCH(ROWS(J$8:J134),$S$8:$S$257,0),"")</f>
        <v/>
      </c>
      <c r="K134" s="3" t="str">
        <f t="shared" si="29"/>
        <v/>
      </c>
      <c r="L134" s="3" t="str">
        <f t="shared" si="30"/>
        <v/>
      </c>
      <c r="M134" s="3" t="str">
        <f t="shared" si="31"/>
        <v/>
      </c>
      <c r="N134" s="3" t="str">
        <f t="shared" si="32"/>
        <v/>
      </c>
      <c r="O134" s="3">
        <f t="shared" si="33"/>
        <v>1</v>
      </c>
      <c r="P134" s="3">
        <f t="shared" si="34"/>
        <v>0</v>
      </c>
      <c r="Q134" s="3">
        <f t="shared" si="35"/>
        <v>0</v>
      </c>
      <c r="R134" s="3" t="str">
        <f t="shared" si="36"/>
        <v/>
      </c>
      <c r="S134" s="3">
        <f t="shared" si="37"/>
        <v>0</v>
      </c>
      <c r="T134" s="3" t="str">
        <f t="shared" si="38"/>
        <v/>
      </c>
      <c r="U134" s="3" t="str">
        <f t="shared" si="39"/>
        <v/>
      </c>
      <c r="V134" s="3" t="str">
        <f t="shared" si="40"/>
        <v/>
      </c>
      <c r="W134" s="3" t="str">
        <f t="shared" si="41"/>
        <v/>
      </c>
      <c r="X134" s="3" t="str">
        <f>IF(L134&lt;&gt;"PLAYER","",IF(Y134="Y",INDEX(Players[Name],MATCH(M134,Players[Name],0)),IF(Y134="A",INDEX(Players[Name],MATCH(M134&amp;" ?",Players[Name],0)),M134)))</f>
        <v/>
      </c>
      <c r="Y134" s="3" t="str">
        <f>IF(L134&lt;&gt;"PLAYER","",IF(ISNUMBER(MATCH(M134,Players[Name],0)),"Y",IF(AA134=1,"A","N")))</f>
        <v/>
      </c>
      <c r="Z134" s="3" t="str">
        <f>IF(L134&lt;&gt;"PLAYER","",_xlfn.TEXTJOIN("; ",TRUE,IF(M134="","Empty name",IF(Y134="N",IF(AA134&gt;1,"Which "&amp;M134&amp;"? "&amp;AA134&amp;" players start with it (like "&amp;INDEX(Players[Name],MATCH(M134&amp;" ?",Players[Name],0))&amp;") - type the last initial",IF(ISNUMBER(FIND(" ",M134)),IF(IFERROR(IF(M134="",FALSE,OR(M134="Unknown",AND(LEN(M134)-LEN(SUBSTITUTE(M134," ",""))=1,LEN(M134)&gt;=4,MID(M134,LEN(M134)-1,1)=" ",CODE(RIGHT(M134,1))&gt;=65,CODE(RIGHT(M134,1))&lt;=90))),FALSE),"New player? Not on Players list - add it there first","Not on Players list and not First L format (like Zack B)")&amp;IF(ISNUMBER(MATCH(LEFT(M134,FIND(" ",M134)-1)&amp;" ?",Players[Name],0))," (same first name as "&amp;INDEX(Players[Name],MATCH(LEFT(M134,FIND(" ",M134)-1)&amp;" ?",Players[Name],0))&amp;")",""),"Not on Players list - type first name + last initial (like Zack B)")),"")),IF(OR(V134&lt;Pod_Min,V134&gt;Pod_Max),"Pod has "&amp;V134&amp;" players",""),IF(U134=0,IF(T134=0,"No winner (*) in pod",IF(T134&gt;1,T134&amp;" winners in pod","")),IF(U134&lt;V134,"Some = but not all players","")),IF(X134="Unknown","",IF(COUNTIFS($O$8:$O$257,O134,$Q$8:$Q$257,Q134,$X$8:$X$257,X134)&gt;1,"Name twice in pod",IF(COUNTIFS($O$8:$O$257,O134,$X$8:$X$257,X134)&gt;1,"Name in 2 pods this round","")))))</f>
        <v/>
      </c>
      <c r="AA134" s="3" t="str">
        <f>IF(L134&lt;&gt;"PLAYER","",IF(OR(M134="",ISNUMBER(FIND(" ",M134))),0,COUNTIF(Players[Name],M134&amp;" ?")))</f>
        <v/>
      </c>
    </row>
    <row r="135" spans="1:27" x14ac:dyDescent="0.45">
      <c r="A135" s="17"/>
      <c r="B135" s="6" t="str">
        <f t="shared" si="21"/>
        <v/>
      </c>
      <c r="C135" s="6" t="str">
        <f t="shared" si="22"/>
        <v/>
      </c>
      <c r="D135" s="6" t="str">
        <f t="shared" si="23"/>
        <v/>
      </c>
      <c r="E135" s="6" t="str">
        <f t="shared" si="24"/>
        <v/>
      </c>
      <c r="F135" s="6" t="str">
        <f t="shared" si="25"/>
        <v/>
      </c>
      <c r="G135" s="6" t="str">
        <f t="shared" si="26"/>
        <v/>
      </c>
      <c r="H135" s="10" t="str">
        <f t="shared" si="27"/>
        <v/>
      </c>
      <c r="I135" s="6" t="str">
        <f t="shared" si="28"/>
        <v/>
      </c>
      <c r="J135" s="3" t="str">
        <f>IFERROR(MATCH(ROWS(J$8:J135),$S$8:$S$257,0),"")</f>
        <v/>
      </c>
      <c r="K135" s="3" t="str">
        <f t="shared" si="29"/>
        <v/>
      </c>
      <c r="L135" s="3" t="str">
        <f t="shared" si="30"/>
        <v/>
      </c>
      <c r="M135" s="3" t="str">
        <f t="shared" si="31"/>
        <v/>
      </c>
      <c r="N135" s="3" t="str">
        <f t="shared" si="32"/>
        <v/>
      </c>
      <c r="O135" s="3">
        <f t="shared" si="33"/>
        <v>1</v>
      </c>
      <c r="P135" s="3">
        <f t="shared" si="34"/>
        <v>0</v>
      </c>
      <c r="Q135" s="3">
        <f t="shared" si="35"/>
        <v>0</v>
      </c>
      <c r="R135" s="3" t="str">
        <f t="shared" si="36"/>
        <v/>
      </c>
      <c r="S135" s="3">
        <f t="shared" si="37"/>
        <v>0</v>
      </c>
      <c r="T135" s="3" t="str">
        <f t="shared" si="38"/>
        <v/>
      </c>
      <c r="U135" s="3" t="str">
        <f t="shared" si="39"/>
        <v/>
      </c>
      <c r="V135" s="3" t="str">
        <f t="shared" si="40"/>
        <v/>
      </c>
      <c r="W135" s="3" t="str">
        <f t="shared" si="41"/>
        <v/>
      </c>
      <c r="X135" s="3" t="str">
        <f>IF(L135&lt;&gt;"PLAYER","",IF(Y135="Y",INDEX(Players[Name],MATCH(M135,Players[Name],0)),IF(Y135="A",INDEX(Players[Name],MATCH(M135&amp;" ?",Players[Name],0)),M135)))</f>
        <v/>
      </c>
      <c r="Y135" s="3" t="str">
        <f>IF(L135&lt;&gt;"PLAYER","",IF(ISNUMBER(MATCH(M135,Players[Name],0)),"Y",IF(AA135=1,"A","N")))</f>
        <v/>
      </c>
      <c r="Z135" s="3" t="str">
        <f>IF(L135&lt;&gt;"PLAYER","",_xlfn.TEXTJOIN("; ",TRUE,IF(M135="","Empty name",IF(Y135="N",IF(AA135&gt;1,"Which "&amp;M135&amp;"? "&amp;AA135&amp;" players start with it (like "&amp;INDEX(Players[Name],MATCH(M135&amp;" ?",Players[Name],0))&amp;") - type the last initial",IF(ISNUMBER(FIND(" ",M135)),IF(IFERROR(IF(M135="",FALSE,OR(M135="Unknown",AND(LEN(M135)-LEN(SUBSTITUTE(M135," ",""))=1,LEN(M135)&gt;=4,MID(M135,LEN(M135)-1,1)=" ",CODE(RIGHT(M135,1))&gt;=65,CODE(RIGHT(M135,1))&lt;=90))),FALSE),"New player? Not on Players list - add it there first","Not on Players list and not First L format (like Zack B)")&amp;IF(ISNUMBER(MATCH(LEFT(M135,FIND(" ",M135)-1)&amp;" ?",Players[Name],0))," (same first name as "&amp;INDEX(Players[Name],MATCH(LEFT(M135,FIND(" ",M135)-1)&amp;" ?",Players[Name],0))&amp;")",""),"Not on Players list - type first name + last initial (like Zack B)")),"")),IF(OR(V135&lt;Pod_Min,V135&gt;Pod_Max),"Pod has "&amp;V135&amp;" players",""),IF(U135=0,IF(T135=0,"No winner (*) in pod",IF(T135&gt;1,T135&amp;" winners in pod","")),IF(U135&lt;V135,"Some = but not all players","")),IF(X135="Unknown","",IF(COUNTIFS($O$8:$O$257,O135,$Q$8:$Q$257,Q135,$X$8:$X$257,X135)&gt;1,"Name twice in pod",IF(COUNTIFS($O$8:$O$257,O135,$X$8:$X$257,X135)&gt;1,"Name in 2 pods this round","")))))</f>
        <v/>
      </c>
      <c r="AA135" s="3" t="str">
        <f>IF(L135&lt;&gt;"PLAYER","",IF(OR(M135="",ISNUMBER(FIND(" ",M135))),0,COUNTIF(Players[Name],M135&amp;" ?")))</f>
        <v/>
      </c>
    </row>
    <row r="136" spans="1:27" x14ac:dyDescent="0.45">
      <c r="A136" s="17"/>
      <c r="B136" s="6" t="str">
        <f t="shared" ref="B136:B199" si="42">IF(K136="","",IF(L136="DATE","Date: "&amp;IF($C$4="","not readable",TEXT($C$4,"dddd m/d/yyyy")),IF(L136="ROUND","Round "&amp;O136,IF(Z136&lt;&gt;"","FIX: "&amp;Z136,"OK - "&amp;W136&amp;", pod "&amp;Q136&amp;", seat "&amp;R136&amp;IF(Y136="A","   ("&amp;M136&amp;" = "&amp;X136&amp;")","")))))</f>
        <v/>
      </c>
      <c r="C136" s="6" t="str">
        <f t="shared" ref="C136:C199" si="43">IF($J136="","",INDEX($X$8:$X$257,$J136))</f>
        <v/>
      </c>
      <c r="D136" s="6" t="str">
        <f t="shared" ref="D136:D199" si="44">IF($J136="","",INDEX($W$8:$W$257,$J136))</f>
        <v/>
      </c>
      <c r="E136" s="6" t="str">
        <f t="shared" ref="E136:E199" si="45">IF($J136="","",INDEX($R$8:$R$257,$J136))</f>
        <v/>
      </c>
      <c r="F136" s="6" t="str">
        <f t="shared" ref="F136:F199" si="46">IF($J136="","",INDEX($Q$8:$Q$257,$J136))</f>
        <v/>
      </c>
      <c r="G136" s="6" t="str">
        <f t="shared" ref="G136:G199" si="47">IF($J136="","",INDEX($O$8:$O$257,$J136))</f>
        <v/>
      </c>
      <c r="H136" s="10" t="str">
        <f t="shared" ref="H136:H199" si="48">IF($J136="","",$C$4)</f>
        <v/>
      </c>
      <c r="I136" s="6" t="str">
        <f t="shared" ref="I136:I199" si="49">IF($J136="","",IF(INDEX($Z$8:$Z$257,$J136)="","OK","FIX"))</f>
        <v/>
      </c>
      <c r="J136" s="3" t="str">
        <f>IFERROR(MATCH(ROWS(J$8:J136),$S$8:$S$257,0),"")</f>
        <v/>
      </c>
      <c r="K136" s="3" t="str">
        <f t="shared" ref="K136:K199" si="50">TRIM(CLEAN(SUBSTITUTE(A136,_xlfn.UNICHAR(160)," ")))</f>
        <v/>
      </c>
      <c r="L136" s="3" t="str">
        <f t="shared" ref="L136:L199" si="51">IF(K136="","",IF(ISNUMBER(FIND("/",K136)),"DATE",IF(OR(LEFT(UPPER(K136),5)="ROUND",AND(LEFT(UPPER(K136),1)="R",LEN(K136)&gt;=2,ISNUMBER(--MID(K136,2,9)))),"ROUND","PLAYER")))</f>
        <v/>
      </c>
      <c r="M136" s="3" t="str">
        <f t="shared" ref="M136:M199" si="52">IF(L136="PLAYER",TRIM(SUBSTITUTE(SUBSTITUTE(K136,"*",""),"=","")),"")</f>
        <v/>
      </c>
      <c r="N136" s="3" t="str">
        <f t="shared" ref="N136:N199" si="53">IF(L136&lt;&gt;"PLAYER","",IF(ISNUMBER(FIND("=",K136)),"DRAW",IF(ISNUMBER(FIND("*",K136)),"WIN","")))</f>
        <v/>
      </c>
      <c r="O136" s="3">
        <f t="shared" ref="O136:O199" si="54">IF(L136="ROUND",IFERROR(VALUE(SUBSTITUTE(SUBSTITUTE(UPPER(K136),"ROUND",""),"R","")),1),MAX(1,N(O135)))</f>
        <v>1</v>
      </c>
      <c r="P136" s="3">
        <f t="shared" ref="P136:P199" si="55">IF(AND(L136="PLAYER",L135&lt;&gt;"PLAYER"),1,0)</f>
        <v>0</v>
      </c>
      <c r="Q136" s="3">
        <f t="shared" ref="Q136:Q199" si="56">IF(L136="ROUND",0,N(Q135)+P136)</f>
        <v>0</v>
      </c>
      <c r="R136" s="3" t="str">
        <f t="shared" ref="R136:R199" si="57">IF(L136&lt;&gt;"PLAYER","",IF(P136=1,1,N(R135)+1))</f>
        <v/>
      </c>
      <c r="S136" s="3">
        <f t="shared" ref="S136:S199" si="58">N(S135)+IF(L136="PLAYER",1,0)</f>
        <v>0</v>
      </c>
      <c r="T136" s="3" t="str">
        <f t="shared" ref="T136:T199" si="59">IF(L136="PLAYER",COUNTIFS($O$8:$O$257,O136,$Q$8:$Q$257,Q136,$N$8:$N$257,"WIN"),"")</f>
        <v/>
      </c>
      <c r="U136" s="3" t="str">
        <f t="shared" ref="U136:U199" si="60">IF(L136="PLAYER",COUNTIFS($O$8:$O$257,O136,$Q$8:$Q$257,Q136,$N$8:$N$257,"DRAW"),"")</f>
        <v/>
      </c>
      <c r="V136" s="3" t="str">
        <f t="shared" ref="V136:V199" si="61">IF(L136="PLAYER",COUNTIFS($O$8:$O$257,O136,$Q$8:$Q$257,Q136,$L$8:$L$257,"PLAYER"),"")</f>
        <v/>
      </c>
      <c r="W136" s="3" t="str">
        <f t="shared" ref="W136:W199" si="62">IF(L136&lt;&gt;"PLAYER","",IF(U136=V136,"Draw",IF(N136="WIN","Win","Loss")))</f>
        <v/>
      </c>
      <c r="X136" s="3" t="str">
        <f>IF(L136&lt;&gt;"PLAYER","",IF(Y136="Y",INDEX(Players[Name],MATCH(M136,Players[Name],0)),IF(Y136="A",INDEX(Players[Name],MATCH(M136&amp;" ?",Players[Name],0)),M136)))</f>
        <v/>
      </c>
      <c r="Y136" s="3" t="str">
        <f>IF(L136&lt;&gt;"PLAYER","",IF(ISNUMBER(MATCH(M136,Players[Name],0)),"Y",IF(AA136=1,"A","N")))</f>
        <v/>
      </c>
      <c r="Z136" s="3" t="str">
        <f>IF(L136&lt;&gt;"PLAYER","",_xlfn.TEXTJOIN("; ",TRUE,IF(M136="","Empty name",IF(Y136="N",IF(AA136&gt;1,"Which "&amp;M136&amp;"? "&amp;AA136&amp;" players start with it (like "&amp;INDEX(Players[Name],MATCH(M136&amp;" ?",Players[Name],0))&amp;") - type the last initial",IF(ISNUMBER(FIND(" ",M136)),IF(IFERROR(IF(M136="",FALSE,OR(M136="Unknown",AND(LEN(M136)-LEN(SUBSTITUTE(M136," ",""))=1,LEN(M136)&gt;=4,MID(M136,LEN(M136)-1,1)=" ",CODE(RIGHT(M136,1))&gt;=65,CODE(RIGHT(M136,1))&lt;=90))),FALSE),"New player? Not on Players list - add it there first","Not on Players list and not First L format (like Zack B)")&amp;IF(ISNUMBER(MATCH(LEFT(M136,FIND(" ",M136)-1)&amp;" ?",Players[Name],0))," (same first name as "&amp;INDEX(Players[Name],MATCH(LEFT(M136,FIND(" ",M136)-1)&amp;" ?",Players[Name],0))&amp;")",""),"Not on Players list - type first name + last initial (like Zack B)")),"")),IF(OR(V136&lt;Pod_Min,V136&gt;Pod_Max),"Pod has "&amp;V136&amp;" players",""),IF(U136=0,IF(T136=0,"No winner (*) in pod",IF(T136&gt;1,T136&amp;" winners in pod","")),IF(U136&lt;V136,"Some = but not all players","")),IF(X136="Unknown","",IF(COUNTIFS($O$8:$O$257,O136,$Q$8:$Q$257,Q136,$X$8:$X$257,X136)&gt;1,"Name twice in pod",IF(COUNTIFS($O$8:$O$257,O136,$X$8:$X$257,X136)&gt;1,"Name in 2 pods this round","")))))</f>
        <v/>
      </c>
      <c r="AA136" s="3" t="str">
        <f>IF(L136&lt;&gt;"PLAYER","",IF(OR(M136="",ISNUMBER(FIND(" ",M136))),0,COUNTIF(Players[Name],M136&amp;" ?")))</f>
        <v/>
      </c>
    </row>
    <row r="137" spans="1:27" x14ac:dyDescent="0.45">
      <c r="A137" s="17"/>
      <c r="B137" s="6" t="str">
        <f t="shared" si="42"/>
        <v/>
      </c>
      <c r="C137" s="6" t="str">
        <f t="shared" si="43"/>
        <v/>
      </c>
      <c r="D137" s="6" t="str">
        <f t="shared" si="44"/>
        <v/>
      </c>
      <c r="E137" s="6" t="str">
        <f t="shared" si="45"/>
        <v/>
      </c>
      <c r="F137" s="6" t="str">
        <f t="shared" si="46"/>
        <v/>
      </c>
      <c r="G137" s="6" t="str">
        <f t="shared" si="47"/>
        <v/>
      </c>
      <c r="H137" s="10" t="str">
        <f t="shared" si="48"/>
        <v/>
      </c>
      <c r="I137" s="6" t="str">
        <f t="shared" si="49"/>
        <v/>
      </c>
      <c r="J137" s="3" t="str">
        <f>IFERROR(MATCH(ROWS(J$8:J137),$S$8:$S$257,0),"")</f>
        <v/>
      </c>
      <c r="K137" s="3" t="str">
        <f t="shared" si="50"/>
        <v/>
      </c>
      <c r="L137" s="3" t="str">
        <f t="shared" si="51"/>
        <v/>
      </c>
      <c r="M137" s="3" t="str">
        <f t="shared" si="52"/>
        <v/>
      </c>
      <c r="N137" s="3" t="str">
        <f t="shared" si="53"/>
        <v/>
      </c>
      <c r="O137" s="3">
        <f t="shared" si="54"/>
        <v>1</v>
      </c>
      <c r="P137" s="3">
        <f t="shared" si="55"/>
        <v>0</v>
      </c>
      <c r="Q137" s="3">
        <f t="shared" si="56"/>
        <v>0</v>
      </c>
      <c r="R137" s="3" t="str">
        <f t="shared" si="57"/>
        <v/>
      </c>
      <c r="S137" s="3">
        <f t="shared" si="58"/>
        <v>0</v>
      </c>
      <c r="T137" s="3" t="str">
        <f t="shared" si="59"/>
        <v/>
      </c>
      <c r="U137" s="3" t="str">
        <f t="shared" si="60"/>
        <v/>
      </c>
      <c r="V137" s="3" t="str">
        <f t="shared" si="61"/>
        <v/>
      </c>
      <c r="W137" s="3" t="str">
        <f t="shared" si="62"/>
        <v/>
      </c>
      <c r="X137" s="3" t="str">
        <f>IF(L137&lt;&gt;"PLAYER","",IF(Y137="Y",INDEX(Players[Name],MATCH(M137,Players[Name],0)),IF(Y137="A",INDEX(Players[Name],MATCH(M137&amp;" ?",Players[Name],0)),M137)))</f>
        <v/>
      </c>
      <c r="Y137" s="3" t="str">
        <f>IF(L137&lt;&gt;"PLAYER","",IF(ISNUMBER(MATCH(M137,Players[Name],0)),"Y",IF(AA137=1,"A","N")))</f>
        <v/>
      </c>
      <c r="Z137" s="3" t="str">
        <f>IF(L137&lt;&gt;"PLAYER","",_xlfn.TEXTJOIN("; ",TRUE,IF(M137="","Empty name",IF(Y137="N",IF(AA137&gt;1,"Which "&amp;M137&amp;"? "&amp;AA137&amp;" players start with it (like "&amp;INDEX(Players[Name],MATCH(M137&amp;" ?",Players[Name],0))&amp;") - type the last initial",IF(ISNUMBER(FIND(" ",M137)),IF(IFERROR(IF(M137="",FALSE,OR(M137="Unknown",AND(LEN(M137)-LEN(SUBSTITUTE(M137," ",""))=1,LEN(M137)&gt;=4,MID(M137,LEN(M137)-1,1)=" ",CODE(RIGHT(M137,1))&gt;=65,CODE(RIGHT(M137,1))&lt;=90))),FALSE),"New player? Not on Players list - add it there first","Not on Players list and not First L format (like Zack B)")&amp;IF(ISNUMBER(MATCH(LEFT(M137,FIND(" ",M137)-1)&amp;" ?",Players[Name],0))," (same first name as "&amp;INDEX(Players[Name],MATCH(LEFT(M137,FIND(" ",M137)-1)&amp;" ?",Players[Name],0))&amp;")",""),"Not on Players list - type first name + last initial (like Zack B)")),"")),IF(OR(V137&lt;Pod_Min,V137&gt;Pod_Max),"Pod has "&amp;V137&amp;" players",""),IF(U137=0,IF(T137=0,"No winner (*) in pod",IF(T137&gt;1,T137&amp;" winners in pod","")),IF(U137&lt;V137,"Some = but not all players","")),IF(X137="Unknown","",IF(COUNTIFS($O$8:$O$257,O137,$Q$8:$Q$257,Q137,$X$8:$X$257,X137)&gt;1,"Name twice in pod",IF(COUNTIFS($O$8:$O$257,O137,$X$8:$X$257,X137)&gt;1,"Name in 2 pods this round","")))))</f>
        <v/>
      </c>
      <c r="AA137" s="3" t="str">
        <f>IF(L137&lt;&gt;"PLAYER","",IF(OR(M137="",ISNUMBER(FIND(" ",M137))),0,COUNTIF(Players[Name],M137&amp;" ?")))</f>
        <v/>
      </c>
    </row>
    <row r="138" spans="1:27" x14ac:dyDescent="0.45">
      <c r="A138" s="17"/>
      <c r="B138" s="6" t="str">
        <f t="shared" si="42"/>
        <v/>
      </c>
      <c r="C138" s="6" t="str">
        <f t="shared" si="43"/>
        <v/>
      </c>
      <c r="D138" s="6" t="str">
        <f t="shared" si="44"/>
        <v/>
      </c>
      <c r="E138" s="6" t="str">
        <f t="shared" si="45"/>
        <v/>
      </c>
      <c r="F138" s="6" t="str">
        <f t="shared" si="46"/>
        <v/>
      </c>
      <c r="G138" s="6" t="str">
        <f t="shared" si="47"/>
        <v/>
      </c>
      <c r="H138" s="10" t="str">
        <f t="shared" si="48"/>
        <v/>
      </c>
      <c r="I138" s="6" t="str">
        <f t="shared" si="49"/>
        <v/>
      </c>
      <c r="J138" s="3" t="str">
        <f>IFERROR(MATCH(ROWS(J$8:J138),$S$8:$S$257,0),"")</f>
        <v/>
      </c>
      <c r="K138" s="3" t="str">
        <f t="shared" si="50"/>
        <v/>
      </c>
      <c r="L138" s="3" t="str">
        <f t="shared" si="51"/>
        <v/>
      </c>
      <c r="M138" s="3" t="str">
        <f t="shared" si="52"/>
        <v/>
      </c>
      <c r="N138" s="3" t="str">
        <f t="shared" si="53"/>
        <v/>
      </c>
      <c r="O138" s="3">
        <f t="shared" si="54"/>
        <v>1</v>
      </c>
      <c r="P138" s="3">
        <f t="shared" si="55"/>
        <v>0</v>
      </c>
      <c r="Q138" s="3">
        <f t="shared" si="56"/>
        <v>0</v>
      </c>
      <c r="R138" s="3" t="str">
        <f t="shared" si="57"/>
        <v/>
      </c>
      <c r="S138" s="3">
        <f t="shared" si="58"/>
        <v>0</v>
      </c>
      <c r="T138" s="3" t="str">
        <f t="shared" si="59"/>
        <v/>
      </c>
      <c r="U138" s="3" t="str">
        <f t="shared" si="60"/>
        <v/>
      </c>
      <c r="V138" s="3" t="str">
        <f t="shared" si="61"/>
        <v/>
      </c>
      <c r="W138" s="3" t="str">
        <f t="shared" si="62"/>
        <v/>
      </c>
      <c r="X138" s="3" t="str">
        <f>IF(L138&lt;&gt;"PLAYER","",IF(Y138="Y",INDEX(Players[Name],MATCH(M138,Players[Name],0)),IF(Y138="A",INDEX(Players[Name],MATCH(M138&amp;" ?",Players[Name],0)),M138)))</f>
        <v/>
      </c>
      <c r="Y138" s="3" t="str">
        <f>IF(L138&lt;&gt;"PLAYER","",IF(ISNUMBER(MATCH(M138,Players[Name],0)),"Y",IF(AA138=1,"A","N")))</f>
        <v/>
      </c>
      <c r="Z138" s="3" t="str">
        <f>IF(L138&lt;&gt;"PLAYER","",_xlfn.TEXTJOIN("; ",TRUE,IF(M138="","Empty name",IF(Y138="N",IF(AA138&gt;1,"Which "&amp;M138&amp;"? "&amp;AA138&amp;" players start with it (like "&amp;INDEX(Players[Name],MATCH(M138&amp;" ?",Players[Name],0))&amp;") - type the last initial",IF(ISNUMBER(FIND(" ",M138)),IF(IFERROR(IF(M138="",FALSE,OR(M138="Unknown",AND(LEN(M138)-LEN(SUBSTITUTE(M138," ",""))=1,LEN(M138)&gt;=4,MID(M138,LEN(M138)-1,1)=" ",CODE(RIGHT(M138,1))&gt;=65,CODE(RIGHT(M138,1))&lt;=90))),FALSE),"New player? Not on Players list - add it there first","Not on Players list and not First L format (like Zack B)")&amp;IF(ISNUMBER(MATCH(LEFT(M138,FIND(" ",M138)-1)&amp;" ?",Players[Name],0))," (same first name as "&amp;INDEX(Players[Name],MATCH(LEFT(M138,FIND(" ",M138)-1)&amp;" ?",Players[Name],0))&amp;")",""),"Not on Players list - type first name + last initial (like Zack B)")),"")),IF(OR(V138&lt;Pod_Min,V138&gt;Pod_Max),"Pod has "&amp;V138&amp;" players",""),IF(U138=0,IF(T138=0,"No winner (*) in pod",IF(T138&gt;1,T138&amp;" winners in pod","")),IF(U138&lt;V138,"Some = but not all players","")),IF(X138="Unknown","",IF(COUNTIFS($O$8:$O$257,O138,$Q$8:$Q$257,Q138,$X$8:$X$257,X138)&gt;1,"Name twice in pod",IF(COUNTIFS($O$8:$O$257,O138,$X$8:$X$257,X138)&gt;1,"Name in 2 pods this round","")))))</f>
        <v/>
      </c>
      <c r="AA138" s="3" t="str">
        <f>IF(L138&lt;&gt;"PLAYER","",IF(OR(M138="",ISNUMBER(FIND(" ",M138))),0,COUNTIF(Players[Name],M138&amp;" ?")))</f>
        <v/>
      </c>
    </row>
    <row r="139" spans="1:27" x14ac:dyDescent="0.45">
      <c r="A139" s="17"/>
      <c r="B139" s="6" t="str">
        <f t="shared" si="42"/>
        <v/>
      </c>
      <c r="C139" s="6" t="str">
        <f t="shared" si="43"/>
        <v/>
      </c>
      <c r="D139" s="6" t="str">
        <f t="shared" si="44"/>
        <v/>
      </c>
      <c r="E139" s="6" t="str">
        <f t="shared" si="45"/>
        <v/>
      </c>
      <c r="F139" s="6" t="str">
        <f t="shared" si="46"/>
        <v/>
      </c>
      <c r="G139" s="6" t="str">
        <f t="shared" si="47"/>
        <v/>
      </c>
      <c r="H139" s="10" t="str">
        <f t="shared" si="48"/>
        <v/>
      </c>
      <c r="I139" s="6" t="str">
        <f t="shared" si="49"/>
        <v/>
      </c>
      <c r="J139" s="3" t="str">
        <f>IFERROR(MATCH(ROWS(J$8:J139),$S$8:$S$257,0),"")</f>
        <v/>
      </c>
      <c r="K139" s="3" t="str">
        <f t="shared" si="50"/>
        <v/>
      </c>
      <c r="L139" s="3" t="str">
        <f t="shared" si="51"/>
        <v/>
      </c>
      <c r="M139" s="3" t="str">
        <f t="shared" si="52"/>
        <v/>
      </c>
      <c r="N139" s="3" t="str">
        <f t="shared" si="53"/>
        <v/>
      </c>
      <c r="O139" s="3">
        <f t="shared" si="54"/>
        <v>1</v>
      </c>
      <c r="P139" s="3">
        <f t="shared" si="55"/>
        <v>0</v>
      </c>
      <c r="Q139" s="3">
        <f t="shared" si="56"/>
        <v>0</v>
      </c>
      <c r="R139" s="3" t="str">
        <f t="shared" si="57"/>
        <v/>
      </c>
      <c r="S139" s="3">
        <f t="shared" si="58"/>
        <v>0</v>
      </c>
      <c r="T139" s="3" t="str">
        <f t="shared" si="59"/>
        <v/>
      </c>
      <c r="U139" s="3" t="str">
        <f t="shared" si="60"/>
        <v/>
      </c>
      <c r="V139" s="3" t="str">
        <f t="shared" si="61"/>
        <v/>
      </c>
      <c r="W139" s="3" t="str">
        <f t="shared" si="62"/>
        <v/>
      </c>
      <c r="X139" s="3" t="str">
        <f>IF(L139&lt;&gt;"PLAYER","",IF(Y139="Y",INDEX(Players[Name],MATCH(M139,Players[Name],0)),IF(Y139="A",INDEX(Players[Name],MATCH(M139&amp;" ?",Players[Name],0)),M139)))</f>
        <v/>
      </c>
      <c r="Y139" s="3" t="str">
        <f>IF(L139&lt;&gt;"PLAYER","",IF(ISNUMBER(MATCH(M139,Players[Name],0)),"Y",IF(AA139=1,"A","N")))</f>
        <v/>
      </c>
      <c r="Z139" s="3" t="str">
        <f>IF(L139&lt;&gt;"PLAYER","",_xlfn.TEXTJOIN("; ",TRUE,IF(M139="","Empty name",IF(Y139="N",IF(AA139&gt;1,"Which "&amp;M139&amp;"? "&amp;AA139&amp;" players start with it (like "&amp;INDEX(Players[Name],MATCH(M139&amp;" ?",Players[Name],0))&amp;") - type the last initial",IF(ISNUMBER(FIND(" ",M139)),IF(IFERROR(IF(M139="",FALSE,OR(M139="Unknown",AND(LEN(M139)-LEN(SUBSTITUTE(M139," ",""))=1,LEN(M139)&gt;=4,MID(M139,LEN(M139)-1,1)=" ",CODE(RIGHT(M139,1))&gt;=65,CODE(RIGHT(M139,1))&lt;=90))),FALSE),"New player? Not on Players list - add it there first","Not on Players list and not First L format (like Zack B)")&amp;IF(ISNUMBER(MATCH(LEFT(M139,FIND(" ",M139)-1)&amp;" ?",Players[Name],0))," (same first name as "&amp;INDEX(Players[Name],MATCH(LEFT(M139,FIND(" ",M139)-1)&amp;" ?",Players[Name],0))&amp;")",""),"Not on Players list - type first name + last initial (like Zack B)")),"")),IF(OR(V139&lt;Pod_Min,V139&gt;Pod_Max),"Pod has "&amp;V139&amp;" players",""),IF(U139=0,IF(T139=0,"No winner (*) in pod",IF(T139&gt;1,T139&amp;" winners in pod","")),IF(U139&lt;V139,"Some = but not all players","")),IF(X139="Unknown","",IF(COUNTIFS($O$8:$O$257,O139,$Q$8:$Q$257,Q139,$X$8:$X$257,X139)&gt;1,"Name twice in pod",IF(COUNTIFS($O$8:$O$257,O139,$X$8:$X$257,X139)&gt;1,"Name in 2 pods this round","")))))</f>
        <v/>
      </c>
      <c r="AA139" s="3" t="str">
        <f>IF(L139&lt;&gt;"PLAYER","",IF(OR(M139="",ISNUMBER(FIND(" ",M139))),0,COUNTIF(Players[Name],M139&amp;" ?")))</f>
        <v/>
      </c>
    </row>
    <row r="140" spans="1:27" x14ac:dyDescent="0.45">
      <c r="A140" s="17"/>
      <c r="B140" s="6" t="str">
        <f t="shared" si="42"/>
        <v/>
      </c>
      <c r="C140" s="6" t="str">
        <f t="shared" si="43"/>
        <v/>
      </c>
      <c r="D140" s="6" t="str">
        <f t="shared" si="44"/>
        <v/>
      </c>
      <c r="E140" s="6" t="str">
        <f t="shared" si="45"/>
        <v/>
      </c>
      <c r="F140" s="6" t="str">
        <f t="shared" si="46"/>
        <v/>
      </c>
      <c r="G140" s="6" t="str">
        <f t="shared" si="47"/>
        <v/>
      </c>
      <c r="H140" s="10" t="str">
        <f t="shared" si="48"/>
        <v/>
      </c>
      <c r="I140" s="6" t="str">
        <f t="shared" si="49"/>
        <v/>
      </c>
      <c r="J140" s="3" t="str">
        <f>IFERROR(MATCH(ROWS(J$8:J140),$S$8:$S$257,0),"")</f>
        <v/>
      </c>
      <c r="K140" s="3" t="str">
        <f t="shared" si="50"/>
        <v/>
      </c>
      <c r="L140" s="3" t="str">
        <f t="shared" si="51"/>
        <v/>
      </c>
      <c r="M140" s="3" t="str">
        <f t="shared" si="52"/>
        <v/>
      </c>
      <c r="N140" s="3" t="str">
        <f t="shared" si="53"/>
        <v/>
      </c>
      <c r="O140" s="3">
        <f t="shared" si="54"/>
        <v>1</v>
      </c>
      <c r="P140" s="3">
        <f t="shared" si="55"/>
        <v>0</v>
      </c>
      <c r="Q140" s="3">
        <f t="shared" si="56"/>
        <v>0</v>
      </c>
      <c r="R140" s="3" t="str">
        <f t="shared" si="57"/>
        <v/>
      </c>
      <c r="S140" s="3">
        <f t="shared" si="58"/>
        <v>0</v>
      </c>
      <c r="T140" s="3" t="str">
        <f t="shared" si="59"/>
        <v/>
      </c>
      <c r="U140" s="3" t="str">
        <f t="shared" si="60"/>
        <v/>
      </c>
      <c r="V140" s="3" t="str">
        <f t="shared" si="61"/>
        <v/>
      </c>
      <c r="W140" s="3" t="str">
        <f t="shared" si="62"/>
        <v/>
      </c>
      <c r="X140" s="3" t="str">
        <f>IF(L140&lt;&gt;"PLAYER","",IF(Y140="Y",INDEX(Players[Name],MATCH(M140,Players[Name],0)),IF(Y140="A",INDEX(Players[Name],MATCH(M140&amp;" ?",Players[Name],0)),M140)))</f>
        <v/>
      </c>
      <c r="Y140" s="3" t="str">
        <f>IF(L140&lt;&gt;"PLAYER","",IF(ISNUMBER(MATCH(M140,Players[Name],0)),"Y",IF(AA140=1,"A","N")))</f>
        <v/>
      </c>
      <c r="Z140" s="3" t="str">
        <f>IF(L140&lt;&gt;"PLAYER","",_xlfn.TEXTJOIN("; ",TRUE,IF(M140="","Empty name",IF(Y140="N",IF(AA140&gt;1,"Which "&amp;M140&amp;"? "&amp;AA140&amp;" players start with it (like "&amp;INDEX(Players[Name],MATCH(M140&amp;" ?",Players[Name],0))&amp;") - type the last initial",IF(ISNUMBER(FIND(" ",M140)),IF(IFERROR(IF(M140="",FALSE,OR(M140="Unknown",AND(LEN(M140)-LEN(SUBSTITUTE(M140," ",""))=1,LEN(M140)&gt;=4,MID(M140,LEN(M140)-1,1)=" ",CODE(RIGHT(M140,1))&gt;=65,CODE(RIGHT(M140,1))&lt;=90))),FALSE),"New player? Not on Players list - add it there first","Not on Players list and not First L format (like Zack B)")&amp;IF(ISNUMBER(MATCH(LEFT(M140,FIND(" ",M140)-1)&amp;" ?",Players[Name],0))," (same first name as "&amp;INDEX(Players[Name],MATCH(LEFT(M140,FIND(" ",M140)-1)&amp;" ?",Players[Name],0))&amp;")",""),"Not on Players list - type first name + last initial (like Zack B)")),"")),IF(OR(V140&lt;Pod_Min,V140&gt;Pod_Max),"Pod has "&amp;V140&amp;" players",""),IF(U140=0,IF(T140=0,"No winner (*) in pod",IF(T140&gt;1,T140&amp;" winners in pod","")),IF(U140&lt;V140,"Some = but not all players","")),IF(X140="Unknown","",IF(COUNTIFS($O$8:$O$257,O140,$Q$8:$Q$257,Q140,$X$8:$X$257,X140)&gt;1,"Name twice in pod",IF(COUNTIFS($O$8:$O$257,O140,$X$8:$X$257,X140)&gt;1,"Name in 2 pods this round","")))))</f>
        <v/>
      </c>
      <c r="AA140" s="3" t="str">
        <f>IF(L140&lt;&gt;"PLAYER","",IF(OR(M140="",ISNUMBER(FIND(" ",M140))),0,COUNTIF(Players[Name],M140&amp;" ?")))</f>
        <v/>
      </c>
    </row>
    <row r="141" spans="1:27" x14ac:dyDescent="0.45">
      <c r="A141" s="17"/>
      <c r="B141" s="6" t="str">
        <f t="shared" si="42"/>
        <v/>
      </c>
      <c r="C141" s="6" t="str">
        <f t="shared" si="43"/>
        <v/>
      </c>
      <c r="D141" s="6" t="str">
        <f t="shared" si="44"/>
        <v/>
      </c>
      <c r="E141" s="6" t="str">
        <f t="shared" si="45"/>
        <v/>
      </c>
      <c r="F141" s="6" t="str">
        <f t="shared" si="46"/>
        <v/>
      </c>
      <c r="G141" s="6" t="str">
        <f t="shared" si="47"/>
        <v/>
      </c>
      <c r="H141" s="10" t="str">
        <f t="shared" si="48"/>
        <v/>
      </c>
      <c r="I141" s="6" t="str">
        <f t="shared" si="49"/>
        <v/>
      </c>
      <c r="J141" s="3" t="str">
        <f>IFERROR(MATCH(ROWS(J$8:J141),$S$8:$S$257,0),"")</f>
        <v/>
      </c>
      <c r="K141" s="3" t="str">
        <f t="shared" si="50"/>
        <v/>
      </c>
      <c r="L141" s="3" t="str">
        <f t="shared" si="51"/>
        <v/>
      </c>
      <c r="M141" s="3" t="str">
        <f t="shared" si="52"/>
        <v/>
      </c>
      <c r="N141" s="3" t="str">
        <f t="shared" si="53"/>
        <v/>
      </c>
      <c r="O141" s="3">
        <f t="shared" si="54"/>
        <v>1</v>
      </c>
      <c r="P141" s="3">
        <f t="shared" si="55"/>
        <v>0</v>
      </c>
      <c r="Q141" s="3">
        <f t="shared" si="56"/>
        <v>0</v>
      </c>
      <c r="R141" s="3" t="str">
        <f t="shared" si="57"/>
        <v/>
      </c>
      <c r="S141" s="3">
        <f t="shared" si="58"/>
        <v>0</v>
      </c>
      <c r="T141" s="3" t="str">
        <f t="shared" si="59"/>
        <v/>
      </c>
      <c r="U141" s="3" t="str">
        <f t="shared" si="60"/>
        <v/>
      </c>
      <c r="V141" s="3" t="str">
        <f t="shared" si="61"/>
        <v/>
      </c>
      <c r="W141" s="3" t="str">
        <f t="shared" si="62"/>
        <v/>
      </c>
      <c r="X141" s="3" t="str">
        <f>IF(L141&lt;&gt;"PLAYER","",IF(Y141="Y",INDEX(Players[Name],MATCH(M141,Players[Name],0)),IF(Y141="A",INDEX(Players[Name],MATCH(M141&amp;" ?",Players[Name],0)),M141)))</f>
        <v/>
      </c>
      <c r="Y141" s="3" t="str">
        <f>IF(L141&lt;&gt;"PLAYER","",IF(ISNUMBER(MATCH(M141,Players[Name],0)),"Y",IF(AA141=1,"A","N")))</f>
        <v/>
      </c>
      <c r="Z141" s="3" t="str">
        <f>IF(L141&lt;&gt;"PLAYER","",_xlfn.TEXTJOIN("; ",TRUE,IF(M141="","Empty name",IF(Y141="N",IF(AA141&gt;1,"Which "&amp;M141&amp;"? "&amp;AA141&amp;" players start with it (like "&amp;INDEX(Players[Name],MATCH(M141&amp;" ?",Players[Name],0))&amp;") - type the last initial",IF(ISNUMBER(FIND(" ",M141)),IF(IFERROR(IF(M141="",FALSE,OR(M141="Unknown",AND(LEN(M141)-LEN(SUBSTITUTE(M141," ",""))=1,LEN(M141)&gt;=4,MID(M141,LEN(M141)-1,1)=" ",CODE(RIGHT(M141,1))&gt;=65,CODE(RIGHT(M141,1))&lt;=90))),FALSE),"New player? Not on Players list - add it there first","Not on Players list and not First L format (like Zack B)")&amp;IF(ISNUMBER(MATCH(LEFT(M141,FIND(" ",M141)-1)&amp;" ?",Players[Name],0))," (same first name as "&amp;INDEX(Players[Name],MATCH(LEFT(M141,FIND(" ",M141)-1)&amp;" ?",Players[Name],0))&amp;")",""),"Not on Players list - type first name + last initial (like Zack B)")),"")),IF(OR(V141&lt;Pod_Min,V141&gt;Pod_Max),"Pod has "&amp;V141&amp;" players",""),IF(U141=0,IF(T141=0,"No winner (*) in pod",IF(T141&gt;1,T141&amp;" winners in pod","")),IF(U141&lt;V141,"Some = but not all players","")),IF(X141="Unknown","",IF(COUNTIFS($O$8:$O$257,O141,$Q$8:$Q$257,Q141,$X$8:$X$257,X141)&gt;1,"Name twice in pod",IF(COUNTIFS($O$8:$O$257,O141,$X$8:$X$257,X141)&gt;1,"Name in 2 pods this round","")))))</f>
        <v/>
      </c>
      <c r="AA141" s="3" t="str">
        <f>IF(L141&lt;&gt;"PLAYER","",IF(OR(M141="",ISNUMBER(FIND(" ",M141))),0,COUNTIF(Players[Name],M141&amp;" ?")))</f>
        <v/>
      </c>
    </row>
    <row r="142" spans="1:27" x14ac:dyDescent="0.45">
      <c r="A142" s="17"/>
      <c r="B142" s="6" t="str">
        <f t="shared" si="42"/>
        <v/>
      </c>
      <c r="C142" s="6" t="str">
        <f t="shared" si="43"/>
        <v/>
      </c>
      <c r="D142" s="6" t="str">
        <f t="shared" si="44"/>
        <v/>
      </c>
      <c r="E142" s="6" t="str">
        <f t="shared" si="45"/>
        <v/>
      </c>
      <c r="F142" s="6" t="str">
        <f t="shared" si="46"/>
        <v/>
      </c>
      <c r="G142" s="6" t="str">
        <f t="shared" si="47"/>
        <v/>
      </c>
      <c r="H142" s="10" t="str">
        <f t="shared" si="48"/>
        <v/>
      </c>
      <c r="I142" s="6" t="str">
        <f t="shared" si="49"/>
        <v/>
      </c>
      <c r="J142" s="3" t="str">
        <f>IFERROR(MATCH(ROWS(J$8:J142),$S$8:$S$257,0),"")</f>
        <v/>
      </c>
      <c r="K142" s="3" t="str">
        <f t="shared" si="50"/>
        <v/>
      </c>
      <c r="L142" s="3" t="str">
        <f t="shared" si="51"/>
        <v/>
      </c>
      <c r="M142" s="3" t="str">
        <f t="shared" si="52"/>
        <v/>
      </c>
      <c r="N142" s="3" t="str">
        <f t="shared" si="53"/>
        <v/>
      </c>
      <c r="O142" s="3">
        <f t="shared" si="54"/>
        <v>1</v>
      </c>
      <c r="P142" s="3">
        <f t="shared" si="55"/>
        <v>0</v>
      </c>
      <c r="Q142" s="3">
        <f t="shared" si="56"/>
        <v>0</v>
      </c>
      <c r="R142" s="3" t="str">
        <f t="shared" si="57"/>
        <v/>
      </c>
      <c r="S142" s="3">
        <f t="shared" si="58"/>
        <v>0</v>
      </c>
      <c r="T142" s="3" t="str">
        <f t="shared" si="59"/>
        <v/>
      </c>
      <c r="U142" s="3" t="str">
        <f t="shared" si="60"/>
        <v/>
      </c>
      <c r="V142" s="3" t="str">
        <f t="shared" si="61"/>
        <v/>
      </c>
      <c r="W142" s="3" t="str">
        <f t="shared" si="62"/>
        <v/>
      </c>
      <c r="X142" s="3" t="str">
        <f>IF(L142&lt;&gt;"PLAYER","",IF(Y142="Y",INDEX(Players[Name],MATCH(M142,Players[Name],0)),IF(Y142="A",INDEX(Players[Name],MATCH(M142&amp;" ?",Players[Name],0)),M142)))</f>
        <v/>
      </c>
      <c r="Y142" s="3" t="str">
        <f>IF(L142&lt;&gt;"PLAYER","",IF(ISNUMBER(MATCH(M142,Players[Name],0)),"Y",IF(AA142=1,"A","N")))</f>
        <v/>
      </c>
      <c r="Z142" s="3" t="str">
        <f>IF(L142&lt;&gt;"PLAYER","",_xlfn.TEXTJOIN("; ",TRUE,IF(M142="","Empty name",IF(Y142="N",IF(AA142&gt;1,"Which "&amp;M142&amp;"? "&amp;AA142&amp;" players start with it (like "&amp;INDEX(Players[Name],MATCH(M142&amp;" ?",Players[Name],0))&amp;") - type the last initial",IF(ISNUMBER(FIND(" ",M142)),IF(IFERROR(IF(M142="",FALSE,OR(M142="Unknown",AND(LEN(M142)-LEN(SUBSTITUTE(M142," ",""))=1,LEN(M142)&gt;=4,MID(M142,LEN(M142)-1,1)=" ",CODE(RIGHT(M142,1))&gt;=65,CODE(RIGHT(M142,1))&lt;=90))),FALSE),"New player? Not on Players list - add it there first","Not on Players list and not First L format (like Zack B)")&amp;IF(ISNUMBER(MATCH(LEFT(M142,FIND(" ",M142)-1)&amp;" ?",Players[Name],0))," (same first name as "&amp;INDEX(Players[Name],MATCH(LEFT(M142,FIND(" ",M142)-1)&amp;" ?",Players[Name],0))&amp;")",""),"Not on Players list - type first name + last initial (like Zack B)")),"")),IF(OR(V142&lt;Pod_Min,V142&gt;Pod_Max),"Pod has "&amp;V142&amp;" players",""),IF(U142=0,IF(T142=0,"No winner (*) in pod",IF(T142&gt;1,T142&amp;" winners in pod","")),IF(U142&lt;V142,"Some = but not all players","")),IF(X142="Unknown","",IF(COUNTIFS($O$8:$O$257,O142,$Q$8:$Q$257,Q142,$X$8:$X$257,X142)&gt;1,"Name twice in pod",IF(COUNTIFS($O$8:$O$257,O142,$X$8:$X$257,X142)&gt;1,"Name in 2 pods this round","")))))</f>
        <v/>
      </c>
      <c r="AA142" s="3" t="str">
        <f>IF(L142&lt;&gt;"PLAYER","",IF(OR(M142="",ISNUMBER(FIND(" ",M142))),0,COUNTIF(Players[Name],M142&amp;" ?")))</f>
        <v/>
      </c>
    </row>
    <row r="143" spans="1:27" x14ac:dyDescent="0.45">
      <c r="A143" s="17"/>
      <c r="B143" s="6" t="str">
        <f t="shared" si="42"/>
        <v/>
      </c>
      <c r="C143" s="6" t="str">
        <f t="shared" si="43"/>
        <v/>
      </c>
      <c r="D143" s="6" t="str">
        <f t="shared" si="44"/>
        <v/>
      </c>
      <c r="E143" s="6" t="str">
        <f t="shared" si="45"/>
        <v/>
      </c>
      <c r="F143" s="6" t="str">
        <f t="shared" si="46"/>
        <v/>
      </c>
      <c r="G143" s="6" t="str">
        <f t="shared" si="47"/>
        <v/>
      </c>
      <c r="H143" s="10" t="str">
        <f t="shared" si="48"/>
        <v/>
      </c>
      <c r="I143" s="6" t="str">
        <f t="shared" si="49"/>
        <v/>
      </c>
      <c r="J143" s="3" t="str">
        <f>IFERROR(MATCH(ROWS(J$8:J143),$S$8:$S$257,0),"")</f>
        <v/>
      </c>
      <c r="K143" s="3" t="str">
        <f t="shared" si="50"/>
        <v/>
      </c>
      <c r="L143" s="3" t="str">
        <f t="shared" si="51"/>
        <v/>
      </c>
      <c r="M143" s="3" t="str">
        <f t="shared" si="52"/>
        <v/>
      </c>
      <c r="N143" s="3" t="str">
        <f t="shared" si="53"/>
        <v/>
      </c>
      <c r="O143" s="3">
        <f t="shared" si="54"/>
        <v>1</v>
      </c>
      <c r="P143" s="3">
        <f t="shared" si="55"/>
        <v>0</v>
      </c>
      <c r="Q143" s="3">
        <f t="shared" si="56"/>
        <v>0</v>
      </c>
      <c r="R143" s="3" t="str">
        <f t="shared" si="57"/>
        <v/>
      </c>
      <c r="S143" s="3">
        <f t="shared" si="58"/>
        <v>0</v>
      </c>
      <c r="T143" s="3" t="str">
        <f t="shared" si="59"/>
        <v/>
      </c>
      <c r="U143" s="3" t="str">
        <f t="shared" si="60"/>
        <v/>
      </c>
      <c r="V143" s="3" t="str">
        <f t="shared" si="61"/>
        <v/>
      </c>
      <c r="W143" s="3" t="str">
        <f t="shared" si="62"/>
        <v/>
      </c>
      <c r="X143" s="3" t="str">
        <f>IF(L143&lt;&gt;"PLAYER","",IF(Y143="Y",INDEX(Players[Name],MATCH(M143,Players[Name],0)),IF(Y143="A",INDEX(Players[Name],MATCH(M143&amp;" ?",Players[Name],0)),M143)))</f>
        <v/>
      </c>
      <c r="Y143" s="3" t="str">
        <f>IF(L143&lt;&gt;"PLAYER","",IF(ISNUMBER(MATCH(M143,Players[Name],0)),"Y",IF(AA143=1,"A","N")))</f>
        <v/>
      </c>
      <c r="Z143" s="3" t="str">
        <f>IF(L143&lt;&gt;"PLAYER","",_xlfn.TEXTJOIN("; ",TRUE,IF(M143="","Empty name",IF(Y143="N",IF(AA143&gt;1,"Which "&amp;M143&amp;"? "&amp;AA143&amp;" players start with it (like "&amp;INDEX(Players[Name],MATCH(M143&amp;" ?",Players[Name],0))&amp;") - type the last initial",IF(ISNUMBER(FIND(" ",M143)),IF(IFERROR(IF(M143="",FALSE,OR(M143="Unknown",AND(LEN(M143)-LEN(SUBSTITUTE(M143," ",""))=1,LEN(M143)&gt;=4,MID(M143,LEN(M143)-1,1)=" ",CODE(RIGHT(M143,1))&gt;=65,CODE(RIGHT(M143,1))&lt;=90))),FALSE),"New player? Not on Players list - add it there first","Not on Players list and not First L format (like Zack B)")&amp;IF(ISNUMBER(MATCH(LEFT(M143,FIND(" ",M143)-1)&amp;" ?",Players[Name],0))," (same first name as "&amp;INDEX(Players[Name],MATCH(LEFT(M143,FIND(" ",M143)-1)&amp;" ?",Players[Name],0))&amp;")",""),"Not on Players list - type first name + last initial (like Zack B)")),"")),IF(OR(V143&lt;Pod_Min,V143&gt;Pod_Max),"Pod has "&amp;V143&amp;" players",""),IF(U143=0,IF(T143=0,"No winner (*) in pod",IF(T143&gt;1,T143&amp;" winners in pod","")),IF(U143&lt;V143,"Some = but not all players","")),IF(X143="Unknown","",IF(COUNTIFS($O$8:$O$257,O143,$Q$8:$Q$257,Q143,$X$8:$X$257,X143)&gt;1,"Name twice in pod",IF(COUNTIFS($O$8:$O$257,O143,$X$8:$X$257,X143)&gt;1,"Name in 2 pods this round","")))))</f>
        <v/>
      </c>
      <c r="AA143" s="3" t="str">
        <f>IF(L143&lt;&gt;"PLAYER","",IF(OR(M143="",ISNUMBER(FIND(" ",M143))),0,COUNTIF(Players[Name],M143&amp;" ?")))</f>
        <v/>
      </c>
    </row>
    <row r="144" spans="1:27" x14ac:dyDescent="0.45">
      <c r="A144" s="17"/>
      <c r="B144" s="6" t="str">
        <f t="shared" si="42"/>
        <v/>
      </c>
      <c r="C144" s="6" t="str">
        <f t="shared" si="43"/>
        <v/>
      </c>
      <c r="D144" s="6" t="str">
        <f t="shared" si="44"/>
        <v/>
      </c>
      <c r="E144" s="6" t="str">
        <f t="shared" si="45"/>
        <v/>
      </c>
      <c r="F144" s="6" t="str">
        <f t="shared" si="46"/>
        <v/>
      </c>
      <c r="G144" s="6" t="str">
        <f t="shared" si="47"/>
        <v/>
      </c>
      <c r="H144" s="10" t="str">
        <f t="shared" si="48"/>
        <v/>
      </c>
      <c r="I144" s="6" t="str">
        <f t="shared" si="49"/>
        <v/>
      </c>
      <c r="J144" s="3" t="str">
        <f>IFERROR(MATCH(ROWS(J$8:J144),$S$8:$S$257,0),"")</f>
        <v/>
      </c>
      <c r="K144" s="3" t="str">
        <f t="shared" si="50"/>
        <v/>
      </c>
      <c r="L144" s="3" t="str">
        <f t="shared" si="51"/>
        <v/>
      </c>
      <c r="M144" s="3" t="str">
        <f t="shared" si="52"/>
        <v/>
      </c>
      <c r="N144" s="3" t="str">
        <f t="shared" si="53"/>
        <v/>
      </c>
      <c r="O144" s="3">
        <f t="shared" si="54"/>
        <v>1</v>
      </c>
      <c r="P144" s="3">
        <f t="shared" si="55"/>
        <v>0</v>
      </c>
      <c r="Q144" s="3">
        <f t="shared" si="56"/>
        <v>0</v>
      </c>
      <c r="R144" s="3" t="str">
        <f t="shared" si="57"/>
        <v/>
      </c>
      <c r="S144" s="3">
        <f t="shared" si="58"/>
        <v>0</v>
      </c>
      <c r="T144" s="3" t="str">
        <f t="shared" si="59"/>
        <v/>
      </c>
      <c r="U144" s="3" t="str">
        <f t="shared" si="60"/>
        <v/>
      </c>
      <c r="V144" s="3" t="str">
        <f t="shared" si="61"/>
        <v/>
      </c>
      <c r="W144" s="3" t="str">
        <f t="shared" si="62"/>
        <v/>
      </c>
      <c r="X144" s="3" t="str">
        <f>IF(L144&lt;&gt;"PLAYER","",IF(Y144="Y",INDEX(Players[Name],MATCH(M144,Players[Name],0)),IF(Y144="A",INDEX(Players[Name],MATCH(M144&amp;" ?",Players[Name],0)),M144)))</f>
        <v/>
      </c>
      <c r="Y144" s="3" t="str">
        <f>IF(L144&lt;&gt;"PLAYER","",IF(ISNUMBER(MATCH(M144,Players[Name],0)),"Y",IF(AA144=1,"A","N")))</f>
        <v/>
      </c>
      <c r="Z144" s="3" t="str">
        <f>IF(L144&lt;&gt;"PLAYER","",_xlfn.TEXTJOIN("; ",TRUE,IF(M144="","Empty name",IF(Y144="N",IF(AA144&gt;1,"Which "&amp;M144&amp;"? "&amp;AA144&amp;" players start with it (like "&amp;INDEX(Players[Name],MATCH(M144&amp;" ?",Players[Name],0))&amp;") - type the last initial",IF(ISNUMBER(FIND(" ",M144)),IF(IFERROR(IF(M144="",FALSE,OR(M144="Unknown",AND(LEN(M144)-LEN(SUBSTITUTE(M144," ",""))=1,LEN(M144)&gt;=4,MID(M144,LEN(M144)-1,1)=" ",CODE(RIGHT(M144,1))&gt;=65,CODE(RIGHT(M144,1))&lt;=90))),FALSE),"New player? Not on Players list - add it there first","Not on Players list and not First L format (like Zack B)")&amp;IF(ISNUMBER(MATCH(LEFT(M144,FIND(" ",M144)-1)&amp;" ?",Players[Name],0))," (same first name as "&amp;INDEX(Players[Name],MATCH(LEFT(M144,FIND(" ",M144)-1)&amp;" ?",Players[Name],0))&amp;")",""),"Not on Players list - type first name + last initial (like Zack B)")),"")),IF(OR(V144&lt;Pod_Min,V144&gt;Pod_Max),"Pod has "&amp;V144&amp;" players",""),IF(U144=0,IF(T144=0,"No winner (*) in pod",IF(T144&gt;1,T144&amp;" winners in pod","")),IF(U144&lt;V144,"Some = but not all players","")),IF(X144="Unknown","",IF(COUNTIFS($O$8:$O$257,O144,$Q$8:$Q$257,Q144,$X$8:$X$257,X144)&gt;1,"Name twice in pod",IF(COUNTIFS($O$8:$O$257,O144,$X$8:$X$257,X144)&gt;1,"Name in 2 pods this round","")))))</f>
        <v/>
      </c>
      <c r="AA144" s="3" t="str">
        <f>IF(L144&lt;&gt;"PLAYER","",IF(OR(M144="",ISNUMBER(FIND(" ",M144))),0,COUNTIF(Players[Name],M144&amp;" ?")))</f>
        <v/>
      </c>
    </row>
    <row r="145" spans="1:27" x14ac:dyDescent="0.45">
      <c r="A145" s="17"/>
      <c r="B145" s="6" t="str">
        <f t="shared" si="42"/>
        <v/>
      </c>
      <c r="C145" s="6" t="str">
        <f t="shared" si="43"/>
        <v/>
      </c>
      <c r="D145" s="6" t="str">
        <f t="shared" si="44"/>
        <v/>
      </c>
      <c r="E145" s="6" t="str">
        <f t="shared" si="45"/>
        <v/>
      </c>
      <c r="F145" s="6" t="str">
        <f t="shared" si="46"/>
        <v/>
      </c>
      <c r="G145" s="6" t="str">
        <f t="shared" si="47"/>
        <v/>
      </c>
      <c r="H145" s="10" t="str">
        <f t="shared" si="48"/>
        <v/>
      </c>
      <c r="I145" s="6" t="str">
        <f t="shared" si="49"/>
        <v/>
      </c>
      <c r="J145" s="3" t="str">
        <f>IFERROR(MATCH(ROWS(J$8:J145),$S$8:$S$257,0),"")</f>
        <v/>
      </c>
      <c r="K145" s="3" t="str">
        <f t="shared" si="50"/>
        <v/>
      </c>
      <c r="L145" s="3" t="str">
        <f t="shared" si="51"/>
        <v/>
      </c>
      <c r="M145" s="3" t="str">
        <f t="shared" si="52"/>
        <v/>
      </c>
      <c r="N145" s="3" t="str">
        <f t="shared" si="53"/>
        <v/>
      </c>
      <c r="O145" s="3">
        <f t="shared" si="54"/>
        <v>1</v>
      </c>
      <c r="P145" s="3">
        <f t="shared" si="55"/>
        <v>0</v>
      </c>
      <c r="Q145" s="3">
        <f t="shared" si="56"/>
        <v>0</v>
      </c>
      <c r="R145" s="3" t="str">
        <f t="shared" si="57"/>
        <v/>
      </c>
      <c r="S145" s="3">
        <f t="shared" si="58"/>
        <v>0</v>
      </c>
      <c r="T145" s="3" t="str">
        <f t="shared" si="59"/>
        <v/>
      </c>
      <c r="U145" s="3" t="str">
        <f t="shared" si="60"/>
        <v/>
      </c>
      <c r="V145" s="3" t="str">
        <f t="shared" si="61"/>
        <v/>
      </c>
      <c r="W145" s="3" t="str">
        <f t="shared" si="62"/>
        <v/>
      </c>
      <c r="X145" s="3" t="str">
        <f>IF(L145&lt;&gt;"PLAYER","",IF(Y145="Y",INDEX(Players[Name],MATCH(M145,Players[Name],0)),IF(Y145="A",INDEX(Players[Name],MATCH(M145&amp;" ?",Players[Name],0)),M145)))</f>
        <v/>
      </c>
      <c r="Y145" s="3" t="str">
        <f>IF(L145&lt;&gt;"PLAYER","",IF(ISNUMBER(MATCH(M145,Players[Name],0)),"Y",IF(AA145=1,"A","N")))</f>
        <v/>
      </c>
      <c r="Z145" s="3" t="str">
        <f>IF(L145&lt;&gt;"PLAYER","",_xlfn.TEXTJOIN("; ",TRUE,IF(M145="","Empty name",IF(Y145="N",IF(AA145&gt;1,"Which "&amp;M145&amp;"? "&amp;AA145&amp;" players start with it (like "&amp;INDEX(Players[Name],MATCH(M145&amp;" ?",Players[Name],0))&amp;") - type the last initial",IF(ISNUMBER(FIND(" ",M145)),IF(IFERROR(IF(M145="",FALSE,OR(M145="Unknown",AND(LEN(M145)-LEN(SUBSTITUTE(M145," ",""))=1,LEN(M145)&gt;=4,MID(M145,LEN(M145)-1,1)=" ",CODE(RIGHT(M145,1))&gt;=65,CODE(RIGHT(M145,1))&lt;=90))),FALSE),"New player? Not on Players list - add it there first","Not on Players list and not First L format (like Zack B)")&amp;IF(ISNUMBER(MATCH(LEFT(M145,FIND(" ",M145)-1)&amp;" ?",Players[Name],0))," (same first name as "&amp;INDEX(Players[Name],MATCH(LEFT(M145,FIND(" ",M145)-1)&amp;" ?",Players[Name],0))&amp;")",""),"Not on Players list - type first name + last initial (like Zack B)")),"")),IF(OR(V145&lt;Pod_Min,V145&gt;Pod_Max),"Pod has "&amp;V145&amp;" players",""),IF(U145=0,IF(T145=0,"No winner (*) in pod",IF(T145&gt;1,T145&amp;" winners in pod","")),IF(U145&lt;V145,"Some = but not all players","")),IF(X145="Unknown","",IF(COUNTIFS($O$8:$O$257,O145,$Q$8:$Q$257,Q145,$X$8:$X$257,X145)&gt;1,"Name twice in pod",IF(COUNTIFS($O$8:$O$257,O145,$X$8:$X$257,X145)&gt;1,"Name in 2 pods this round","")))))</f>
        <v/>
      </c>
      <c r="AA145" s="3" t="str">
        <f>IF(L145&lt;&gt;"PLAYER","",IF(OR(M145="",ISNUMBER(FIND(" ",M145))),0,COUNTIF(Players[Name],M145&amp;" ?")))</f>
        <v/>
      </c>
    </row>
    <row r="146" spans="1:27" x14ac:dyDescent="0.45">
      <c r="A146" s="17"/>
      <c r="B146" s="6" t="str">
        <f t="shared" si="42"/>
        <v/>
      </c>
      <c r="C146" s="6" t="str">
        <f t="shared" si="43"/>
        <v/>
      </c>
      <c r="D146" s="6" t="str">
        <f t="shared" si="44"/>
        <v/>
      </c>
      <c r="E146" s="6" t="str">
        <f t="shared" si="45"/>
        <v/>
      </c>
      <c r="F146" s="6" t="str">
        <f t="shared" si="46"/>
        <v/>
      </c>
      <c r="G146" s="6" t="str">
        <f t="shared" si="47"/>
        <v/>
      </c>
      <c r="H146" s="10" t="str">
        <f t="shared" si="48"/>
        <v/>
      </c>
      <c r="I146" s="6" t="str">
        <f t="shared" si="49"/>
        <v/>
      </c>
      <c r="J146" s="3" t="str">
        <f>IFERROR(MATCH(ROWS(J$8:J146),$S$8:$S$257,0),"")</f>
        <v/>
      </c>
      <c r="K146" s="3" t="str">
        <f t="shared" si="50"/>
        <v/>
      </c>
      <c r="L146" s="3" t="str">
        <f t="shared" si="51"/>
        <v/>
      </c>
      <c r="M146" s="3" t="str">
        <f t="shared" si="52"/>
        <v/>
      </c>
      <c r="N146" s="3" t="str">
        <f t="shared" si="53"/>
        <v/>
      </c>
      <c r="O146" s="3">
        <f t="shared" si="54"/>
        <v>1</v>
      </c>
      <c r="P146" s="3">
        <f t="shared" si="55"/>
        <v>0</v>
      </c>
      <c r="Q146" s="3">
        <f t="shared" si="56"/>
        <v>0</v>
      </c>
      <c r="R146" s="3" t="str">
        <f t="shared" si="57"/>
        <v/>
      </c>
      <c r="S146" s="3">
        <f t="shared" si="58"/>
        <v>0</v>
      </c>
      <c r="T146" s="3" t="str">
        <f t="shared" si="59"/>
        <v/>
      </c>
      <c r="U146" s="3" t="str">
        <f t="shared" si="60"/>
        <v/>
      </c>
      <c r="V146" s="3" t="str">
        <f t="shared" si="61"/>
        <v/>
      </c>
      <c r="W146" s="3" t="str">
        <f t="shared" si="62"/>
        <v/>
      </c>
      <c r="X146" s="3" t="str">
        <f>IF(L146&lt;&gt;"PLAYER","",IF(Y146="Y",INDEX(Players[Name],MATCH(M146,Players[Name],0)),IF(Y146="A",INDEX(Players[Name],MATCH(M146&amp;" ?",Players[Name],0)),M146)))</f>
        <v/>
      </c>
      <c r="Y146" s="3" t="str">
        <f>IF(L146&lt;&gt;"PLAYER","",IF(ISNUMBER(MATCH(M146,Players[Name],0)),"Y",IF(AA146=1,"A","N")))</f>
        <v/>
      </c>
      <c r="Z146" s="3" t="str">
        <f>IF(L146&lt;&gt;"PLAYER","",_xlfn.TEXTJOIN("; ",TRUE,IF(M146="","Empty name",IF(Y146="N",IF(AA146&gt;1,"Which "&amp;M146&amp;"? "&amp;AA146&amp;" players start with it (like "&amp;INDEX(Players[Name],MATCH(M146&amp;" ?",Players[Name],0))&amp;") - type the last initial",IF(ISNUMBER(FIND(" ",M146)),IF(IFERROR(IF(M146="",FALSE,OR(M146="Unknown",AND(LEN(M146)-LEN(SUBSTITUTE(M146," ",""))=1,LEN(M146)&gt;=4,MID(M146,LEN(M146)-1,1)=" ",CODE(RIGHT(M146,1))&gt;=65,CODE(RIGHT(M146,1))&lt;=90))),FALSE),"New player? Not on Players list - add it there first","Not on Players list and not First L format (like Zack B)")&amp;IF(ISNUMBER(MATCH(LEFT(M146,FIND(" ",M146)-1)&amp;" ?",Players[Name],0))," (same first name as "&amp;INDEX(Players[Name],MATCH(LEFT(M146,FIND(" ",M146)-1)&amp;" ?",Players[Name],0))&amp;")",""),"Not on Players list - type first name + last initial (like Zack B)")),"")),IF(OR(V146&lt;Pod_Min,V146&gt;Pod_Max),"Pod has "&amp;V146&amp;" players",""),IF(U146=0,IF(T146=0,"No winner (*) in pod",IF(T146&gt;1,T146&amp;" winners in pod","")),IF(U146&lt;V146,"Some = but not all players","")),IF(X146="Unknown","",IF(COUNTIFS($O$8:$O$257,O146,$Q$8:$Q$257,Q146,$X$8:$X$257,X146)&gt;1,"Name twice in pod",IF(COUNTIFS($O$8:$O$257,O146,$X$8:$X$257,X146)&gt;1,"Name in 2 pods this round","")))))</f>
        <v/>
      </c>
      <c r="AA146" s="3" t="str">
        <f>IF(L146&lt;&gt;"PLAYER","",IF(OR(M146="",ISNUMBER(FIND(" ",M146))),0,COUNTIF(Players[Name],M146&amp;" ?")))</f>
        <v/>
      </c>
    </row>
    <row r="147" spans="1:27" x14ac:dyDescent="0.45">
      <c r="A147" s="17"/>
      <c r="B147" s="6" t="str">
        <f t="shared" si="42"/>
        <v/>
      </c>
      <c r="C147" s="6" t="str">
        <f t="shared" si="43"/>
        <v/>
      </c>
      <c r="D147" s="6" t="str">
        <f t="shared" si="44"/>
        <v/>
      </c>
      <c r="E147" s="6" t="str">
        <f t="shared" si="45"/>
        <v/>
      </c>
      <c r="F147" s="6" t="str">
        <f t="shared" si="46"/>
        <v/>
      </c>
      <c r="G147" s="6" t="str">
        <f t="shared" si="47"/>
        <v/>
      </c>
      <c r="H147" s="10" t="str">
        <f t="shared" si="48"/>
        <v/>
      </c>
      <c r="I147" s="6" t="str">
        <f t="shared" si="49"/>
        <v/>
      </c>
      <c r="J147" s="3" t="str">
        <f>IFERROR(MATCH(ROWS(J$8:J147),$S$8:$S$257,0),"")</f>
        <v/>
      </c>
      <c r="K147" s="3" t="str">
        <f t="shared" si="50"/>
        <v/>
      </c>
      <c r="L147" s="3" t="str">
        <f t="shared" si="51"/>
        <v/>
      </c>
      <c r="M147" s="3" t="str">
        <f t="shared" si="52"/>
        <v/>
      </c>
      <c r="N147" s="3" t="str">
        <f t="shared" si="53"/>
        <v/>
      </c>
      <c r="O147" s="3">
        <f t="shared" si="54"/>
        <v>1</v>
      </c>
      <c r="P147" s="3">
        <f t="shared" si="55"/>
        <v>0</v>
      </c>
      <c r="Q147" s="3">
        <f t="shared" si="56"/>
        <v>0</v>
      </c>
      <c r="R147" s="3" t="str">
        <f t="shared" si="57"/>
        <v/>
      </c>
      <c r="S147" s="3">
        <f t="shared" si="58"/>
        <v>0</v>
      </c>
      <c r="T147" s="3" t="str">
        <f t="shared" si="59"/>
        <v/>
      </c>
      <c r="U147" s="3" t="str">
        <f t="shared" si="60"/>
        <v/>
      </c>
      <c r="V147" s="3" t="str">
        <f t="shared" si="61"/>
        <v/>
      </c>
      <c r="W147" s="3" t="str">
        <f t="shared" si="62"/>
        <v/>
      </c>
      <c r="X147" s="3" t="str">
        <f>IF(L147&lt;&gt;"PLAYER","",IF(Y147="Y",INDEX(Players[Name],MATCH(M147,Players[Name],0)),IF(Y147="A",INDEX(Players[Name],MATCH(M147&amp;" ?",Players[Name],0)),M147)))</f>
        <v/>
      </c>
      <c r="Y147" s="3" t="str">
        <f>IF(L147&lt;&gt;"PLAYER","",IF(ISNUMBER(MATCH(M147,Players[Name],0)),"Y",IF(AA147=1,"A","N")))</f>
        <v/>
      </c>
      <c r="Z147" s="3" t="str">
        <f>IF(L147&lt;&gt;"PLAYER","",_xlfn.TEXTJOIN("; ",TRUE,IF(M147="","Empty name",IF(Y147="N",IF(AA147&gt;1,"Which "&amp;M147&amp;"? "&amp;AA147&amp;" players start with it (like "&amp;INDEX(Players[Name],MATCH(M147&amp;" ?",Players[Name],0))&amp;") - type the last initial",IF(ISNUMBER(FIND(" ",M147)),IF(IFERROR(IF(M147="",FALSE,OR(M147="Unknown",AND(LEN(M147)-LEN(SUBSTITUTE(M147," ",""))=1,LEN(M147)&gt;=4,MID(M147,LEN(M147)-1,1)=" ",CODE(RIGHT(M147,1))&gt;=65,CODE(RIGHT(M147,1))&lt;=90))),FALSE),"New player? Not on Players list - add it there first","Not on Players list and not First L format (like Zack B)")&amp;IF(ISNUMBER(MATCH(LEFT(M147,FIND(" ",M147)-1)&amp;" ?",Players[Name],0))," (same first name as "&amp;INDEX(Players[Name],MATCH(LEFT(M147,FIND(" ",M147)-1)&amp;" ?",Players[Name],0))&amp;")",""),"Not on Players list - type first name + last initial (like Zack B)")),"")),IF(OR(V147&lt;Pod_Min,V147&gt;Pod_Max),"Pod has "&amp;V147&amp;" players",""),IF(U147=0,IF(T147=0,"No winner (*) in pod",IF(T147&gt;1,T147&amp;" winners in pod","")),IF(U147&lt;V147,"Some = but not all players","")),IF(X147="Unknown","",IF(COUNTIFS($O$8:$O$257,O147,$Q$8:$Q$257,Q147,$X$8:$X$257,X147)&gt;1,"Name twice in pod",IF(COUNTIFS($O$8:$O$257,O147,$X$8:$X$257,X147)&gt;1,"Name in 2 pods this round","")))))</f>
        <v/>
      </c>
      <c r="AA147" s="3" t="str">
        <f>IF(L147&lt;&gt;"PLAYER","",IF(OR(M147="",ISNUMBER(FIND(" ",M147))),0,COUNTIF(Players[Name],M147&amp;" ?")))</f>
        <v/>
      </c>
    </row>
    <row r="148" spans="1:27" x14ac:dyDescent="0.45">
      <c r="A148" s="17"/>
      <c r="B148" s="6" t="str">
        <f t="shared" si="42"/>
        <v/>
      </c>
      <c r="C148" s="6" t="str">
        <f t="shared" si="43"/>
        <v/>
      </c>
      <c r="D148" s="6" t="str">
        <f t="shared" si="44"/>
        <v/>
      </c>
      <c r="E148" s="6" t="str">
        <f t="shared" si="45"/>
        <v/>
      </c>
      <c r="F148" s="6" t="str">
        <f t="shared" si="46"/>
        <v/>
      </c>
      <c r="G148" s="6" t="str">
        <f t="shared" si="47"/>
        <v/>
      </c>
      <c r="H148" s="10" t="str">
        <f t="shared" si="48"/>
        <v/>
      </c>
      <c r="I148" s="6" t="str">
        <f t="shared" si="49"/>
        <v/>
      </c>
      <c r="J148" s="3" t="str">
        <f>IFERROR(MATCH(ROWS(J$8:J148),$S$8:$S$257,0),"")</f>
        <v/>
      </c>
      <c r="K148" s="3" t="str">
        <f t="shared" si="50"/>
        <v/>
      </c>
      <c r="L148" s="3" t="str">
        <f t="shared" si="51"/>
        <v/>
      </c>
      <c r="M148" s="3" t="str">
        <f t="shared" si="52"/>
        <v/>
      </c>
      <c r="N148" s="3" t="str">
        <f t="shared" si="53"/>
        <v/>
      </c>
      <c r="O148" s="3">
        <f t="shared" si="54"/>
        <v>1</v>
      </c>
      <c r="P148" s="3">
        <f t="shared" si="55"/>
        <v>0</v>
      </c>
      <c r="Q148" s="3">
        <f t="shared" si="56"/>
        <v>0</v>
      </c>
      <c r="R148" s="3" t="str">
        <f t="shared" si="57"/>
        <v/>
      </c>
      <c r="S148" s="3">
        <f t="shared" si="58"/>
        <v>0</v>
      </c>
      <c r="T148" s="3" t="str">
        <f t="shared" si="59"/>
        <v/>
      </c>
      <c r="U148" s="3" t="str">
        <f t="shared" si="60"/>
        <v/>
      </c>
      <c r="V148" s="3" t="str">
        <f t="shared" si="61"/>
        <v/>
      </c>
      <c r="W148" s="3" t="str">
        <f t="shared" si="62"/>
        <v/>
      </c>
      <c r="X148" s="3" t="str">
        <f>IF(L148&lt;&gt;"PLAYER","",IF(Y148="Y",INDEX(Players[Name],MATCH(M148,Players[Name],0)),IF(Y148="A",INDEX(Players[Name],MATCH(M148&amp;" ?",Players[Name],0)),M148)))</f>
        <v/>
      </c>
      <c r="Y148" s="3" t="str">
        <f>IF(L148&lt;&gt;"PLAYER","",IF(ISNUMBER(MATCH(M148,Players[Name],0)),"Y",IF(AA148=1,"A","N")))</f>
        <v/>
      </c>
      <c r="Z148" s="3" t="str">
        <f>IF(L148&lt;&gt;"PLAYER","",_xlfn.TEXTJOIN("; ",TRUE,IF(M148="","Empty name",IF(Y148="N",IF(AA148&gt;1,"Which "&amp;M148&amp;"? "&amp;AA148&amp;" players start with it (like "&amp;INDEX(Players[Name],MATCH(M148&amp;" ?",Players[Name],0))&amp;") - type the last initial",IF(ISNUMBER(FIND(" ",M148)),IF(IFERROR(IF(M148="",FALSE,OR(M148="Unknown",AND(LEN(M148)-LEN(SUBSTITUTE(M148," ",""))=1,LEN(M148)&gt;=4,MID(M148,LEN(M148)-1,1)=" ",CODE(RIGHT(M148,1))&gt;=65,CODE(RIGHT(M148,1))&lt;=90))),FALSE),"New player? Not on Players list - add it there first","Not on Players list and not First L format (like Zack B)")&amp;IF(ISNUMBER(MATCH(LEFT(M148,FIND(" ",M148)-1)&amp;" ?",Players[Name],0))," (same first name as "&amp;INDEX(Players[Name],MATCH(LEFT(M148,FIND(" ",M148)-1)&amp;" ?",Players[Name],0))&amp;")",""),"Not on Players list - type first name + last initial (like Zack B)")),"")),IF(OR(V148&lt;Pod_Min,V148&gt;Pod_Max),"Pod has "&amp;V148&amp;" players",""),IF(U148=0,IF(T148=0,"No winner (*) in pod",IF(T148&gt;1,T148&amp;" winners in pod","")),IF(U148&lt;V148,"Some = but not all players","")),IF(X148="Unknown","",IF(COUNTIFS($O$8:$O$257,O148,$Q$8:$Q$257,Q148,$X$8:$X$257,X148)&gt;1,"Name twice in pod",IF(COUNTIFS($O$8:$O$257,O148,$X$8:$X$257,X148)&gt;1,"Name in 2 pods this round","")))))</f>
        <v/>
      </c>
      <c r="AA148" s="3" t="str">
        <f>IF(L148&lt;&gt;"PLAYER","",IF(OR(M148="",ISNUMBER(FIND(" ",M148))),0,COUNTIF(Players[Name],M148&amp;" ?")))</f>
        <v/>
      </c>
    </row>
    <row r="149" spans="1:27" x14ac:dyDescent="0.45">
      <c r="A149" s="17"/>
      <c r="B149" s="6" t="str">
        <f t="shared" si="42"/>
        <v/>
      </c>
      <c r="C149" s="6" t="str">
        <f t="shared" si="43"/>
        <v/>
      </c>
      <c r="D149" s="6" t="str">
        <f t="shared" si="44"/>
        <v/>
      </c>
      <c r="E149" s="6" t="str">
        <f t="shared" si="45"/>
        <v/>
      </c>
      <c r="F149" s="6" t="str">
        <f t="shared" si="46"/>
        <v/>
      </c>
      <c r="G149" s="6" t="str">
        <f t="shared" si="47"/>
        <v/>
      </c>
      <c r="H149" s="10" t="str">
        <f t="shared" si="48"/>
        <v/>
      </c>
      <c r="I149" s="6" t="str">
        <f t="shared" si="49"/>
        <v/>
      </c>
      <c r="J149" s="3" t="str">
        <f>IFERROR(MATCH(ROWS(J$8:J149),$S$8:$S$257,0),"")</f>
        <v/>
      </c>
      <c r="K149" s="3" t="str">
        <f t="shared" si="50"/>
        <v/>
      </c>
      <c r="L149" s="3" t="str">
        <f t="shared" si="51"/>
        <v/>
      </c>
      <c r="M149" s="3" t="str">
        <f t="shared" si="52"/>
        <v/>
      </c>
      <c r="N149" s="3" t="str">
        <f t="shared" si="53"/>
        <v/>
      </c>
      <c r="O149" s="3">
        <f t="shared" si="54"/>
        <v>1</v>
      </c>
      <c r="P149" s="3">
        <f t="shared" si="55"/>
        <v>0</v>
      </c>
      <c r="Q149" s="3">
        <f t="shared" si="56"/>
        <v>0</v>
      </c>
      <c r="R149" s="3" t="str">
        <f t="shared" si="57"/>
        <v/>
      </c>
      <c r="S149" s="3">
        <f t="shared" si="58"/>
        <v>0</v>
      </c>
      <c r="T149" s="3" t="str">
        <f t="shared" si="59"/>
        <v/>
      </c>
      <c r="U149" s="3" t="str">
        <f t="shared" si="60"/>
        <v/>
      </c>
      <c r="V149" s="3" t="str">
        <f t="shared" si="61"/>
        <v/>
      </c>
      <c r="W149" s="3" t="str">
        <f t="shared" si="62"/>
        <v/>
      </c>
      <c r="X149" s="3" t="str">
        <f>IF(L149&lt;&gt;"PLAYER","",IF(Y149="Y",INDEX(Players[Name],MATCH(M149,Players[Name],0)),IF(Y149="A",INDEX(Players[Name],MATCH(M149&amp;" ?",Players[Name],0)),M149)))</f>
        <v/>
      </c>
      <c r="Y149" s="3" t="str">
        <f>IF(L149&lt;&gt;"PLAYER","",IF(ISNUMBER(MATCH(M149,Players[Name],0)),"Y",IF(AA149=1,"A","N")))</f>
        <v/>
      </c>
      <c r="Z149" s="3" t="str">
        <f>IF(L149&lt;&gt;"PLAYER","",_xlfn.TEXTJOIN("; ",TRUE,IF(M149="","Empty name",IF(Y149="N",IF(AA149&gt;1,"Which "&amp;M149&amp;"? "&amp;AA149&amp;" players start with it (like "&amp;INDEX(Players[Name],MATCH(M149&amp;" ?",Players[Name],0))&amp;") - type the last initial",IF(ISNUMBER(FIND(" ",M149)),IF(IFERROR(IF(M149="",FALSE,OR(M149="Unknown",AND(LEN(M149)-LEN(SUBSTITUTE(M149," ",""))=1,LEN(M149)&gt;=4,MID(M149,LEN(M149)-1,1)=" ",CODE(RIGHT(M149,1))&gt;=65,CODE(RIGHT(M149,1))&lt;=90))),FALSE),"New player? Not on Players list - add it there first","Not on Players list and not First L format (like Zack B)")&amp;IF(ISNUMBER(MATCH(LEFT(M149,FIND(" ",M149)-1)&amp;" ?",Players[Name],0))," (same first name as "&amp;INDEX(Players[Name],MATCH(LEFT(M149,FIND(" ",M149)-1)&amp;" ?",Players[Name],0))&amp;")",""),"Not on Players list - type first name + last initial (like Zack B)")),"")),IF(OR(V149&lt;Pod_Min,V149&gt;Pod_Max),"Pod has "&amp;V149&amp;" players",""),IF(U149=0,IF(T149=0,"No winner (*) in pod",IF(T149&gt;1,T149&amp;" winners in pod","")),IF(U149&lt;V149,"Some = but not all players","")),IF(X149="Unknown","",IF(COUNTIFS($O$8:$O$257,O149,$Q$8:$Q$257,Q149,$X$8:$X$257,X149)&gt;1,"Name twice in pod",IF(COUNTIFS($O$8:$O$257,O149,$X$8:$X$257,X149)&gt;1,"Name in 2 pods this round","")))))</f>
        <v/>
      </c>
      <c r="AA149" s="3" t="str">
        <f>IF(L149&lt;&gt;"PLAYER","",IF(OR(M149="",ISNUMBER(FIND(" ",M149))),0,COUNTIF(Players[Name],M149&amp;" ?")))</f>
        <v/>
      </c>
    </row>
    <row r="150" spans="1:27" x14ac:dyDescent="0.45">
      <c r="A150" s="17"/>
      <c r="B150" s="6" t="str">
        <f t="shared" si="42"/>
        <v/>
      </c>
      <c r="C150" s="6" t="str">
        <f t="shared" si="43"/>
        <v/>
      </c>
      <c r="D150" s="6" t="str">
        <f t="shared" si="44"/>
        <v/>
      </c>
      <c r="E150" s="6" t="str">
        <f t="shared" si="45"/>
        <v/>
      </c>
      <c r="F150" s="6" t="str">
        <f t="shared" si="46"/>
        <v/>
      </c>
      <c r="G150" s="6" t="str">
        <f t="shared" si="47"/>
        <v/>
      </c>
      <c r="H150" s="10" t="str">
        <f t="shared" si="48"/>
        <v/>
      </c>
      <c r="I150" s="6" t="str">
        <f t="shared" si="49"/>
        <v/>
      </c>
      <c r="J150" s="3" t="str">
        <f>IFERROR(MATCH(ROWS(J$8:J150),$S$8:$S$257,0),"")</f>
        <v/>
      </c>
      <c r="K150" s="3" t="str">
        <f t="shared" si="50"/>
        <v/>
      </c>
      <c r="L150" s="3" t="str">
        <f t="shared" si="51"/>
        <v/>
      </c>
      <c r="M150" s="3" t="str">
        <f t="shared" si="52"/>
        <v/>
      </c>
      <c r="N150" s="3" t="str">
        <f t="shared" si="53"/>
        <v/>
      </c>
      <c r="O150" s="3">
        <f t="shared" si="54"/>
        <v>1</v>
      </c>
      <c r="P150" s="3">
        <f t="shared" si="55"/>
        <v>0</v>
      </c>
      <c r="Q150" s="3">
        <f t="shared" si="56"/>
        <v>0</v>
      </c>
      <c r="R150" s="3" t="str">
        <f t="shared" si="57"/>
        <v/>
      </c>
      <c r="S150" s="3">
        <f t="shared" si="58"/>
        <v>0</v>
      </c>
      <c r="T150" s="3" t="str">
        <f t="shared" si="59"/>
        <v/>
      </c>
      <c r="U150" s="3" t="str">
        <f t="shared" si="60"/>
        <v/>
      </c>
      <c r="V150" s="3" t="str">
        <f t="shared" si="61"/>
        <v/>
      </c>
      <c r="W150" s="3" t="str">
        <f t="shared" si="62"/>
        <v/>
      </c>
      <c r="X150" s="3" t="str">
        <f>IF(L150&lt;&gt;"PLAYER","",IF(Y150="Y",INDEX(Players[Name],MATCH(M150,Players[Name],0)),IF(Y150="A",INDEX(Players[Name],MATCH(M150&amp;" ?",Players[Name],0)),M150)))</f>
        <v/>
      </c>
      <c r="Y150" s="3" t="str">
        <f>IF(L150&lt;&gt;"PLAYER","",IF(ISNUMBER(MATCH(M150,Players[Name],0)),"Y",IF(AA150=1,"A","N")))</f>
        <v/>
      </c>
      <c r="Z150" s="3" t="str">
        <f>IF(L150&lt;&gt;"PLAYER","",_xlfn.TEXTJOIN("; ",TRUE,IF(M150="","Empty name",IF(Y150="N",IF(AA150&gt;1,"Which "&amp;M150&amp;"? "&amp;AA150&amp;" players start with it (like "&amp;INDEX(Players[Name],MATCH(M150&amp;" ?",Players[Name],0))&amp;") - type the last initial",IF(ISNUMBER(FIND(" ",M150)),IF(IFERROR(IF(M150="",FALSE,OR(M150="Unknown",AND(LEN(M150)-LEN(SUBSTITUTE(M150," ",""))=1,LEN(M150)&gt;=4,MID(M150,LEN(M150)-1,1)=" ",CODE(RIGHT(M150,1))&gt;=65,CODE(RIGHT(M150,1))&lt;=90))),FALSE),"New player? Not on Players list - add it there first","Not on Players list and not First L format (like Zack B)")&amp;IF(ISNUMBER(MATCH(LEFT(M150,FIND(" ",M150)-1)&amp;" ?",Players[Name],0))," (same first name as "&amp;INDEX(Players[Name],MATCH(LEFT(M150,FIND(" ",M150)-1)&amp;" ?",Players[Name],0))&amp;")",""),"Not on Players list - type first name + last initial (like Zack B)")),"")),IF(OR(V150&lt;Pod_Min,V150&gt;Pod_Max),"Pod has "&amp;V150&amp;" players",""),IF(U150=0,IF(T150=0,"No winner (*) in pod",IF(T150&gt;1,T150&amp;" winners in pod","")),IF(U150&lt;V150,"Some = but not all players","")),IF(X150="Unknown","",IF(COUNTIFS($O$8:$O$257,O150,$Q$8:$Q$257,Q150,$X$8:$X$257,X150)&gt;1,"Name twice in pod",IF(COUNTIFS($O$8:$O$257,O150,$X$8:$X$257,X150)&gt;1,"Name in 2 pods this round","")))))</f>
        <v/>
      </c>
      <c r="AA150" s="3" t="str">
        <f>IF(L150&lt;&gt;"PLAYER","",IF(OR(M150="",ISNUMBER(FIND(" ",M150))),0,COUNTIF(Players[Name],M150&amp;" ?")))</f>
        <v/>
      </c>
    </row>
    <row r="151" spans="1:27" x14ac:dyDescent="0.45">
      <c r="A151" s="17"/>
      <c r="B151" s="6" t="str">
        <f t="shared" si="42"/>
        <v/>
      </c>
      <c r="C151" s="6" t="str">
        <f t="shared" si="43"/>
        <v/>
      </c>
      <c r="D151" s="6" t="str">
        <f t="shared" si="44"/>
        <v/>
      </c>
      <c r="E151" s="6" t="str">
        <f t="shared" si="45"/>
        <v/>
      </c>
      <c r="F151" s="6" t="str">
        <f t="shared" si="46"/>
        <v/>
      </c>
      <c r="G151" s="6" t="str">
        <f t="shared" si="47"/>
        <v/>
      </c>
      <c r="H151" s="10" t="str">
        <f t="shared" si="48"/>
        <v/>
      </c>
      <c r="I151" s="6" t="str">
        <f t="shared" si="49"/>
        <v/>
      </c>
      <c r="J151" s="3" t="str">
        <f>IFERROR(MATCH(ROWS(J$8:J151),$S$8:$S$257,0),"")</f>
        <v/>
      </c>
      <c r="K151" s="3" t="str">
        <f t="shared" si="50"/>
        <v/>
      </c>
      <c r="L151" s="3" t="str">
        <f t="shared" si="51"/>
        <v/>
      </c>
      <c r="M151" s="3" t="str">
        <f t="shared" si="52"/>
        <v/>
      </c>
      <c r="N151" s="3" t="str">
        <f t="shared" si="53"/>
        <v/>
      </c>
      <c r="O151" s="3">
        <f t="shared" si="54"/>
        <v>1</v>
      </c>
      <c r="P151" s="3">
        <f t="shared" si="55"/>
        <v>0</v>
      </c>
      <c r="Q151" s="3">
        <f t="shared" si="56"/>
        <v>0</v>
      </c>
      <c r="R151" s="3" t="str">
        <f t="shared" si="57"/>
        <v/>
      </c>
      <c r="S151" s="3">
        <f t="shared" si="58"/>
        <v>0</v>
      </c>
      <c r="T151" s="3" t="str">
        <f t="shared" si="59"/>
        <v/>
      </c>
      <c r="U151" s="3" t="str">
        <f t="shared" si="60"/>
        <v/>
      </c>
      <c r="V151" s="3" t="str">
        <f t="shared" si="61"/>
        <v/>
      </c>
      <c r="W151" s="3" t="str">
        <f t="shared" si="62"/>
        <v/>
      </c>
      <c r="X151" s="3" t="str">
        <f>IF(L151&lt;&gt;"PLAYER","",IF(Y151="Y",INDEX(Players[Name],MATCH(M151,Players[Name],0)),IF(Y151="A",INDEX(Players[Name],MATCH(M151&amp;" ?",Players[Name],0)),M151)))</f>
        <v/>
      </c>
      <c r="Y151" s="3" t="str">
        <f>IF(L151&lt;&gt;"PLAYER","",IF(ISNUMBER(MATCH(M151,Players[Name],0)),"Y",IF(AA151=1,"A","N")))</f>
        <v/>
      </c>
      <c r="Z151" s="3" t="str">
        <f>IF(L151&lt;&gt;"PLAYER","",_xlfn.TEXTJOIN("; ",TRUE,IF(M151="","Empty name",IF(Y151="N",IF(AA151&gt;1,"Which "&amp;M151&amp;"? "&amp;AA151&amp;" players start with it (like "&amp;INDEX(Players[Name],MATCH(M151&amp;" ?",Players[Name],0))&amp;") - type the last initial",IF(ISNUMBER(FIND(" ",M151)),IF(IFERROR(IF(M151="",FALSE,OR(M151="Unknown",AND(LEN(M151)-LEN(SUBSTITUTE(M151," ",""))=1,LEN(M151)&gt;=4,MID(M151,LEN(M151)-1,1)=" ",CODE(RIGHT(M151,1))&gt;=65,CODE(RIGHT(M151,1))&lt;=90))),FALSE),"New player? Not on Players list - add it there first","Not on Players list and not First L format (like Zack B)")&amp;IF(ISNUMBER(MATCH(LEFT(M151,FIND(" ",M151)-1)&amp;" ?",Players[Name],0))," (same first name as "&amp;INDEX(Players[Name],MATCH(LEFT(M151,FIND(" ",M151)-1)&amp;" ?",Players[Name],0))&amp;")",""),"Not on Players list - type first name + last initial (like Zack B)")),"")),IF(OR(V151&lt;Pod_Min,V151&gt;Pod_Max),"Pod has "&amp;V151&amp;" players",""),IF(U151=0,IF(T151=0,"No winner (*) in pod",IF(T151&gt;1,T151&amp;" winners in pod","")),IF(U151&lt;V151,"Some = but not all players","")),IF(X151="Unknown","",IF(COUNTIFS($O$8:$O$257,O151,$Q$8:$Q$257,Q151,$X$8:$X$257,X151)&gt;1,"Name twice in pod",IF(COUNTIFS($O$8:$O$257,O151,$X$8:$X$257,X151)&gt;1,"Name in 2 pods this round","")))))</f>
        <v/>
      </c>
      <c r="AA151" s="3" t="str">
        <f>IF(L151&lt;&gt;"PLAYER","",IF(OR(M151="",ISNUMBER(FIND(" ",M151))),0,COUNTIF(Players[Name],M151&amp;" ?")))</f>
        <v/>
      </c>
    </row>
    <row r="152" spans="1:27" x14ac:dyDescent="0.45">
      <c r="A152" s="17"/>
      <c r="B152" s="6" t="str">
        <f t="shared" si="42"/>
        <v/>
      </c>
      <c r="C152" s="6" t="str">
        <f t="shared" si="43"/>
        <v/>
      </c>
      <c r="D152" s="6" t="str">
        <f t="shared" si="44"/>
        <v/>
      </c>
      <c r="E152" s="6" t="str">
        <f t="shared" si="45"/>
        <v/>
      </c>
      <c r="F152" s="6" t="str">
        <f t="shared" si="46"/>
        <v/>
      </c>
      <c r="G152" s="6" t="str">
        <f t="shared" si="47"/>
        <v/>
      </c>
      <c r="H152" s="10" t="str">
        <f t="shared" si="48"/>
        <v/>
      </c>
      <c r="I152" s="6" t="str">
        <f t="shared" si="49"/>
        <v/>
      </c>
      <c r="J152" s="3" t="str">
        <f>IFERROR(MATCH(ROWS(J$8:J152),$S$8:$S$257,0),"")</f>
        <v/>
      </c>
      <c r="K152" s="3" t="str">
        <f t="shared" si="50"/>
        <v/>
      </c>
      <c r="L152" s="3" t="str">
        <f t="shared" si="51"/>
        <v/>
      </c>
      <c r="M152" s="3" t="str">
        <f t="shared" si="52"/>
        <v/>
      </c>
      <c r="N152" s="3" t="str">
        <f t="shared" si="53"/>
        <v/>
      </c>
      <c r="O152" s="3">
        <f t="shared" si="54"/>
        <v>1</v>
      </c>
      <c r="P152" s="3">
        <f t="shared" si="55"/>
        <v>0</v>
      </c>
      <c r="Q152" s="3">
        <f t="shared" si="56"/>
        <v>0</v>
      </c>
      <c r="R152" s="3" t="str">
        <f t="shared" si="57"/>
        <v/>
      </c>
      <c r="S152" s="3">
        <f t="shared" si="58"/>
        <v>0</v>
      </c>
      <c r="T152" s="3" t="str">
        <f t="shared" si="59"/>
        <v/>
      </c>
      <c r="U152" s="3" t="str">
        <f t="shared" si="60"/>
        <v/>
      </c>
      <c r="V152" s="3" t="str">
        <f t="shared" si="61"/>
        <v/>
      </c>
      <c r="W152" s="3" t="str">
        <f t="shared" si="62"/>
        <v/>
      </c>
      <c r="X152" s="3" t="str">
        <f>IF(L152&lt;&gt;"PLAYER","",IF(Y152="Y",INDEX(Players[Name],MATCH(M152,Players[Name],0)),IF(Y152="A",INDEX(Players[Name],MATCH(M152&amp;" ?",Players[Name],0)),M152)))</f>
        <v/>
      </c>
      <c r="Y152" s="3" t="str">
        <f>IF(L152&lt;&gt;"PLAYER","",IF(ISNUMBER(MATCH(M152,Players[Name],0)),"Y",IF(AA152=1,"A","N")))</f>
        <v/>
      </c>
      <c r="Z152" s="3" t="str">
        <f>IF(L152&lt;&gt;"PLAYER","",_xlfn.TEXTJOIN("; ",TRUE,IF(M152="","Empty name",IF(Y152="N",IF(AA152&gt;1,"Which "&amp;M152&amp;"? "&amp;AA152&amp;" players start with it (like "&amp;INDEX(Players[Name],MATCH(M152&amp;" ?",Players[Name],0))&amp;") - type the last initial",IF(ISNUMBER(FIND(" ",M152)),IF(IFERROR(IF(M152="",FALSE,OR(M152="Unknown",AND(LEN(M152)-LEN(SUBSTITUTE(M152," ",""))=1,LEN(M152)&gt;=4,MID(M152,LEN(M152)-1,1)=" ",CODE(RIGHT(M152,1))&gt;=65,CODE(RIGHT(M152,1))&lt;=90))),FALSE),"New player? Not on Players list - add it there first","Not on Players list and not First L format (like Zack B)")&amp;IF(ISNUMBER(MATCH(LEFT(M152,FIND(" ",M152)-1)&amp;" ?",Players[Name],0))," (same first name as "&amp;INDEX(Players[Name],MATCH(LEFT(M152,FIND(" ",M152)-1)&amp;" ?",Players[Name],0))&amp;")",""),"Not on Players list - type first name + last initial (like Zack B)")),"")),IF(OR(V152&lt;Pod_Min,V152&gt;Pod_Max),"Pod has "&amp;V152&amp;" players",""),IF(U152=0,IF(T152=0,"No winner (*) in pod",IF(T152&gt;1,T152&amp;" winners in pod","")),IF(U152&lt;V152,"Some = but not all players","")),IF(X152="Unknown","",IF(COUNTIFS($O$8:$O$257,O152,$Q$8:$Q$257,Q152,$X$8:$X$257,X152)&gt;1,"Name twice in pod",IF(COUNTIFS($O$8:$O$257,O152,$X$8:$X$257,X152)&gt;1,"Name in 2 pods this round","")))))</f>
        <v/>
      </c>
      <c r="AA152" s="3" t="str">
        <f>IF(L152&lt;&gt;"PLAYER","",IF(OR(M152="",ISNUMBER(FIND(" ",M152))),0,COUNTIF(Players[Name],M152&amp;" ?")))</f>
        <v/>
      </c>
    </row>
    <row r="153" spans="1:27" x14ac:dyDescent="0.45">
      <c r="A153" s="17"/>
      <c r="B153" s="6" t="str">
        <f t="shared" si="42"/>
        <v/>
      </c>
      <c r="C153" s="6" t="str">
        <f t="shared" si="43"/>
        <v/>
      </c>
      <c r="D153" s="6" t="str">
        <f t="shared" si="44"/>
        <v/>
      </c>
      <c r="E153" s="6" t="str">
        <f t="shared" si="45"/>
        <v/>
      </c>
      <c r="F153" s="6" t="str">
        <f t="shared" si="46"/>
        <v/>
      </c>
      <c r="G153" s="6" t="str">
        <f t="shared" si="47"/>
        <v/>
      </c>
      <c r="H153" s="10" t="str">
        <f t="shared" si="48"/>
        <v/>
      </c>
      <c r="I153" s="6" t="str">
        <f t="shared" si="49"/>
        <v/>
      </c>
      <c r="J153" s="3" t="str">
        <f>IFERROR(MATCH(ROWS(J$8:J153),$S$8:$S$257,0),"")</f>
        <v/>
      </c>
      <c r="K153" s="3" t="str">
        <f t="shared" si="50"/>
        <v/>
      </c>
      <c r="L153" s="3" t="str">
        <f t="shared" si="51"/>
        <v/>
      </c>
      <c r="M153" s="3" t="str">
        <f t="shared" si="52"/>
        <v/>
      </c>
      <c r="N153" s="3" t="str">
        <f t="shared" si="53"/>
        <v/>
      </c>
      <c r="O153" s="3">
        <f t="shared" si="54"/>
        <v>1</v>
      </c>
      <c r="P153" s="3">
        <f t="shared" si="55"/>
        <v>0</v>
      </c>
      <c r="Q153" s="3">
        <f t="shared" si="56"/>
        <v>0</v>
      </c>
      <c r="R153" s="3" t="str">
        <f t="shared" si="57"/>
        <v/>
      </c>
      <c r="S153" s="3">
        <f t="shared" si="58"/>
        <v>0</v>
      </c>
      <c r="T153" s="3" t="str">
        <f t="shared" si="59"/>
        <v/>
      </c>
      <c r="U153" s="3" t="str">
        <f t="shared" si="60"/>
        <v/>
      </c>
      <c r="V153" s="3" t="str">
        <f t="shared" si="61"/>
        <v/>
      </c>
      <c r="W153" s="3" t="str">
        <f t="shared" si="62"/>
        <v/>
      </c>
      <c r="X153" s="3" t="str">
        <f>IF(L153&lt;&gt;"PLAYER","",IF(Y153="Y",INDEX(Players[Name],MATCH(M153,Players[Name],0)),IF(Y153="A",INDEX(Players[Name],MATCH(M153&amp;" ?",Players[Name],0)),M153)))</f>
        <v/>
      </c>
      <c r="Y153" s="3" t="str">
        <f>IF(L153&lt;&gt;"PLAYER","",IF(ISNUMBER(MATCH(M153,Players[Name],0)),"Y",IF(AA153=1,"A","N")))</f>
        <v/>
      </c>
      <c r="Z153" s="3" t="str">
        <f>IF(L153&lt;&gt;"PLAYER","",_xlfn.TEXTJOIN("; ",TRUE,IF(M153="","Empty name",IF(Y153="N",IF(AA153&gt;1,"Which "&amp;M153&amp;"? "&amp;AA153&amp;" players start with it (like "&amp;INDEX(Players[Name],MATCH(M153&amp;" ?",Players[Name],0))&amp;") - type the last initial",IF(ISNUMBER(FIND(" ",M153)),IF(IFERROR(IF(M153="",FALSE,OR(M153="Unknown",AND(LEN(M153)-LEN(SUBSTITUTE(M153," ",""))=1,LEN(M153)&gt;=4,MID(M153,LEN(M153)-1,1)=" ",CODE(RIGHT(M153,1))&gt;=65,CODE(RIGHT(M153,1))&lt;=90))),FALSE),"New player? Not on Players list - add it there first","Not on Players list and not First L format (like Zack B)")&amp;IF(ISNUMBER(MATCH(LEFT(M153,FIND(" ",M153)-1)&amp;" ?",Players[Name],0))," (same first name as "&amp;INDEX(Players[Name],MATCH(LEFT(M153,FIND(" ",M153)-1)&amp;" ?",Players[Name],0))&amp;")",""),"Not on Players list - type first name + last initial (like Zack B)")),"")),IF(OR(V153&lt;Pod_Min,V153&gt;Pod_Max),"Pod has "&amp;V153&amp;" players",""),IF(U153=0,IF(T153=0,"No winner (*) in pod",IF(T153&gt;1,T153&amp;" winners in pod","")),IF(U153&lt;V153,"Some = but not all players","")),IF(X153="Unknown","",IF(COUNTIFS($O$8:$O$257,O153,$Q$8:$Q$257,Q153,$X$8:$X$257,X153)&gt;1,"Name twice in pod",IF(COUNTIFS($O$8:$O$257,O153,$X$8:$X$257,X153)&gt;1,"Name in 2 pods this round","")))))</f>
        <v/>
      </c>
      <c r="AA153" s="3" t="str">
        <f>IF(L153&lt;&gt;"PLAYER","",IF(OR(M153="",ISNUMBER(FIND(" ",M153))),0,COUNTIF(Players[Name],M153&amp;" ?")))</f>
        <v/>
      </c>
    </row>
    <row r="154" spans="1:27" x14ac:dyDescent="0.45">
      <c r="A154" s="17"/>
      <c r="B154" s="6" t="str">
        <f t="shared" si="42"/>
        <v/>
      </c>
      <c r="C154" s="6" t="str">
        <f t="shared" si="43"/>
        <v/>
      </c>
      <c r="D154" s="6" t="str">
        <f t="shared" si="44"/>
        <v/>
      </c>
      <c r="E154" s="6" t="str">
        <f t="shared" si="45"/>
        <v/>
      </c>
      <c r="F154" s="6" t="str">
        <f t="shared" si="46"/>
        <v/>
      </c>
      <c r="G154" s="6" t="str">
        <f t="shared" si="47"/>
        <v/>
      </c>
      <c r="H154" s="10" t="str">
        <f t="shared" si="48"/>
        <v/>
      </c>
      <c r="I154" s="6" t="str">
        <f t="shared" si="49"/>
        <v/>
      </c>
      <c r="J154" s="3" t="str">
        <f>IFERROR(MATCH(ROWS(J$8:J154),$S$8:$S$257,0),"")</f>
        <v/>
      </c>
      <c r="K154" s="3" t="str">
        <f t="shared" si="50"/>
        <v/>
      </c>
      <c r="L154" s="3" t="str">
        <f t="shared" si="51"/>
        <v/>
      </c>
      <c r="M154" s="3" t="str">
        <f t="shared" si="52"/>
        <v/>
      </c>
      <c r="N154" s="3" t="str">
        <f t="shared" si="53"/>
        <v/>
      </c>
      <c r="O154" s="3">
        <f t="shared" si="54"/>
        <v>1</v>
      </c>
      <c r="P154" s="3">
        <f t="shared" si="55"/>
        <v>0</v>
      </c>
      <c r="Q154" s="3">
        <f t="shared" si="56"/>
        <v>0</v>
      </c>
      <c r="R154" s="3" t="str">
        <f t="shared" si="57"/>
        <v/>
      </c>
      <c r="S154" s="3">
        <f t="shared" si="58"/>
        <v>0</v>
      </c>
      <c r="T154" s="3" t="str">
        <f t="shared" si="59"/>
        <v/>
      </c>
      <c r="U154" s="3" t="str">
        <f t="shared" si="60"/>
        <v/>
      </c>
      <c r="V154" s="3" t="str">
        <f t="shared" si="61"/>
        <v/>
      </c>
      <c r="W154" s="3" t="str">
        <f t="shared" si="62"/>
        <v/>
      </c>
      <c r="X154" s="3" t="str">
        <f>IF(L154&lt;&gt;"PLAYER","",IF(Y154="Y",INDEX(Players[Name],MATCH(M154,Players[Name],0)),IF(Y154="A",INDEX(Players[Name],MATCH(M154&amp;" ?",Players[Name],0)),M154)))</f>
        <v/>
      </c>
      <c r="Y154" s="3" t="str">
        <f>IF(L154&lt;&gt;"PLAYER","",IF(ISNUMBER(MATCH(M154,Players[Name],0)),"Y",IF(AA154=1,"A","N")))</f>
        <v/>
      </c>
      <c r="Z154" s="3" t="str">
        <f>IF(L154&lt;&gt;"PLAYER","",_xlfn.TEXTJOIN("; ",TRUE,IF(M154="","Empty name",IF(Y154="N",IF(AA154&gt;1,"Which "&amp;M154&amp;"? "&amp;AA154&amp;" players start with it (like "&amp;INDEX(Players[Name],MATCH(M154&amp;" ?",Players[Name],0))&amp;") - type the last initial",IF(ISNUMBER(FIND(" ",M154)),IF(IFERROR(IF(M154="",FALSE,OR(M154="Unknown",AND(LEN(M154)-LEN(SUBSTITUTE(M154," ",""))=1,LEN(M154)&gt;=4,MID(M154,LEN(M154)-1,1)=" ",CODE(RIGHT(M154,1))&gt;=65,CODE(RIGHT(M154,1))&lt;=90))),FALSE),"New player? Not on Players list - add it there first","Not on Players list and not First L format (like Zack B)")&amp;IF(ISNUMBER(MATCH(LEFT(M154,FIND(" ",M154)-1)&amp;" ?",Players[Name],0))," (same first name as "&amp;INDEX(Players[Name],MATCH(LEFT(M154,FIND(" ",M154)-1)&amp;" ?",Players[Name],0))&amp;")",""),"Not on Players list - type first name + last initial (like Zack B)")),"")),IF(OR(V154&lt;Pod_Min,V154&gt;Pod_Max),"Pod has "&amp;V154&amp;" players",""),IF(U154=0,IF(T154=0,"No winner (*) in pod",IF(T154&gt;1,T154&amp;" winners in pod","")),IF(U154&lt;V154,"Some = but not all players","")),IF(X154="Unknown","",IF(COUNTIFS($O$8:$O$257,O154,$Q$8:$Q$257,Q154,$X$8:$X$257,X154)&gt;1,"Name twice in pod",IF(COUNTIFS($O$8:$O$257,O154,$X$8:$X$257,X154)&gt;1,"Name in 2 pods this round","")))))</f>
        <v/>
      </c>
      <c r="AA154" s="3" t="str">
        <f>IF(L154&lt;&gt;"PLAYER","",IF(OR(M154="",ISNUMBER(FIND(" ",M154))),0,COUNTIF(Players[Name],M154&amp;" ?")))</f>
        <v/>
      </c>
    </row>
    <row r="155" spans="1:27" x14ac:dyDescent="0.45">
      <c r="A155" s="17"/>
      <c r="B155" s="6" t="str">
        <f t="shared" si="42"/>
        <v/>
      </c>
      <c r="C155" s="6" t="str">
        <f t="shared" si="43"/>
        <v/>
      </c>
      <c r="D155" s="6" t="str">
        <f t="shared" si="44"/>
        <v/>
      </c>
      <c r="E155" s="6" t="str">
        <f t="shared" si="45"/>
        <v/>
      </c>
      <c r="F155" s="6" t="str">
        <f t="shared" si="46"/>
        <v/>
      </c>
      <c r="G155" s="6" t="str">
        <f t="shared" si="47"/>
        <v/>
      </c>
      <c r="H155" s="10" t="str">
        <f t="shared" si="48"/>
        <v/>
      </c>
      <c r="I155" s="6" t="str">
        <f t="shared" si="49"/>
        <v/>
      </c>
      <c r="J155" s="3" t="str">
        <f>IFERROR(MATCH(ROWS(J$8:J155),$S$8:$S$257,0),"")</f>
        <v/>
      </c>
      <c r="K155" s="3" t="str">
        <f t="shared" si="50"/>
        <v/>
      </c>
      <c r="L155" s="3" t="str">
        <f t="shared" si="51"/>
        <v/>
      </c>
      <c r="M155" s="3" t="str">
        <f t="shared" si="52"/>
        <v/>
      </c>
      <c r="N155" s="3" t="str">
        <f t="shared" si="53"/>
        <v/>
      </c>
      <c r="O155" s="3">
        <f t="shared" si="54"/>
        <v>1</v>
      </c>
      <c r="P155" s="3">
        <f t="shared" si="55"/>
        <v>0</v>
      </c>
      <c r="Q155" s="3">
        <f t="shared" si="56"/>
        <v>0</v>
      </c>
      <c r="R155" s="3" t="str">
        <f t="shared" si="57"/>
        <v/>
      </c>
      <c r="S155" s="3">
        <f t="shared" si="58"/>
        <v>0</v>
      </c>
      <c r="T155" s="3" t="str">
        <f t="shared" si="59"/>
        <v/>
      </c>
      <c r="U155" s="3" t="str">
        <f t="shared" si="60"/>
        <v/>
      </c>
      <c r="V155" s="3" t="str">
        <f t="shared" si="61"/>
        <v/>
      </c>
      <c r="W155" s="3" t="str">
        <f t="shared" si="62"/>
        <v/>
      </c>
      <c r="X155" s="3" t="str">
        <f>IF(L155&lt;&gt;"PLAYER","",IF(Y155="Y",INDEX(Players[Name],MATCH(M155,Players[Name],0)),IF(Y155="A",INDEX(Players[Name],MATCH(M155&amp;" ?",Players[Name],0)),M155)))</f>
        <v/>
      </c>
      <c r="Y155" s="3" t="str">
        <f>IF(L155&lt;&gt;"PLAYER","",IF(ISNUMBER(MATCH(M155,Players[Name],0)),"Y",IF(AA155=1,"A","N")))</f>
        <v/>
      </c>
      <c r="Z155" s="3" t="str">
        <f>IF(L155&lt;&gt;"PLAYER","",_xlfn.TEXTJOIN("; ",TRUE,IF(M155="","Empty name",IF(Y155="N",IF(AA155&gt;1,"Which "&amp;M155&amp;"? "&amp;AA155&amp;" players start with it (like "&amp;INDEX(Players[Name],MATCH(M155&amp;" ?",Players[Name],0))&amp;") - type the last initial",IF(ISNUMBER(FIND(" ",M155)),IF(IFERROR(IF(M155="",FALSE,OR(M155="Unknown",AND(LEN(M155)-LEN(SUBSTITUTE(M155," ",""))=1,LEN(M155)&gt;=4,MID(M155,LEN(M155)-1,1)=" ",CODE(RIGHT(M155,1))&gt;=65,CODE(RIGHT(M155,1))&lt;=90))),FALSE),"New player? Not on Players list - add it there first","Not on Players list and not First L format (like Zack B)")&amp;IF(ISNUMBER(MATCH(LEFT(M155,FIND(" ",M155)-1)&amp;" ?",Players[Name],0))," (same first name as "&amp;INDEX(Players[Name],MATCH(LEFT(M155,FIND(" ",M155)-1)&amp;" ?",Players[Name],0))&amp;")",""),"Not on Players list - type first name + last initial (like Zack B)")),"")),IF(OR(V155&lt;Pod_Min,V155&gt;Pod_Max),"Pod has "&amp;V155&amp;" players",""),IF(U155=0,IF(T155=0,"No winner (*) in pod",IF(T155&gt;1,T155&amp;" winners in pod","")),IF(U155&lt;V155,"Some = but not all players","")),IF(X155="Unknown","",IF(COUNTIFS($O$8:$O$257,O155,$Q$8:$Q$257,Q155,$X$8:$X$257,X155)&gt;1,"Name twice in pod",IF(COUNTIFS($O$8:$O$257,O155,$X$8:$X$257,X155)&gt;1,"Name in 2 pods this round","")))))</f>
        <v/>
      </c>
      <c r="AA155" s="3" t="str">
        <f>IF(L155&lt;&gt;"PLAYER","",IF(OR(M155="",ISNUMBER(FIND(" ",M155))),0,COUNTIF(Players[Name],M155&amp;" ?")))</f>
        <v/>
      </c>
    </row>
    <row r="156" spans="1:27" x14ac:dyDescent="0.45">
      <c r="A156" s="17"/>
      <c r="B156" s="6" t="str">
        <f t="shared" si="42"/>
        <v/>
      </c>
      <c r="C156" s="6" t="str">
        <f t="shared" si="43"/>
        <v/>
      </c>
      <c r="D156" s="6" t="str">
        <f t="shared" si="44"/>
        <v/>
      </c>
      <c r="E156" s="6" t="str">
        <f t="shared" si="45"/>
        <v/>
      </c>
      <c r="F156" s="6" t="str">
        <f t="shared" si="46"/>
        <v/>
      </c>
      <c r="G156" s="6" t="str">
        <f t="shared" si="47"/>
        <v/>
      </c>
      <c r="H156" s="10" t="str">
        <f t="shared" si="48"/>
        <v/>
      </c>
      <c r="I156" s="6" t="str">
        <f t="shared" si="49"/>
        <v/>
      </c>
      <c r="J156" s="3" t="str">
        <f>IFERROR(MATCH(ROWS(J$8:J156),$S$8:$S$257,0),"")</f>
        <v/>
      </c>
      <c r="K156" s="3" t="str">
        <f t="shared" si="50"/>
        <v/>
      </c>
      <c r="L156" s="3" t="str">
        <f t="shared" si="51"/>
        <v/>
      </c>
      <c r="M156" s="3" t="str">
        <f t="shared" si="52"/>
        <v/>
      </c>
      <c r="N156" s="3" t="str">
        <f t="shared" si="53"/>
        <v/>
      </c>
      <c r="O156" s="3">
        <f t="shared" si="54"/>
        <v>1</v>
      </c>
      <c r="P156" s="3">
        <f t="shared" si="55"/>
        <v>0</v>
      </c>
      <c r="Q156" s="3">
        <f t="shared" si="56"/>
        <v>0</v>
      </c>
      <c r="R156" s="3" t="str">
        <f t="shared" si="57"/>
        <v/>
      </c>
      <c r="S156" s="3">
        <f t="shared" si="58"/>
        <v>0</v>
      </c>
      <c r="T156" s="3" t="str">
        <f t="shared" si="59"/>
        <v/>
      </c>
      <c r="U156" s="3" t="str">
        <f t="shared" si="60"/>
        <v/>
      </c>
      <c r="V156" s="3" t="str">
        <f t="shared" si="61"/>
        <v/>
      </c>
      <c r="W156" s="3" t="str">
        <f t="shared" si="62"/>
        <v/>
      </c>
      <c r="X156" s="3" t="str">
        <f>IF(L156&lt;&gt;"PLAYER","",IF(Y156="Y",INDEX(Players[Name],MATCH(M156,Players[Name],0)),IF(Y156="A",INDEX(Players[Name],MATCH(M156&amp;" ?",Players[Name],0)),M156)))</f>
        <v/>
      </c>
      <c r="Y156" s="3" t="str">
        <f>IF(L156&lt;&gt;"PLAYER","",IF(ISNUMBER(MATCH(M156,Players[Name],0)),"Y",IF(AA156=1,"A","N")))</f>
        <v/>
      </c>
      <c r="Z156" s="3" t="str">
        <f>IF(L156&lt;&gt;"PLAYER","",_xlfn.TEXTJOIN("; ",TRUE,IF(M156="","Empty name",IF(Y156="N",IF(AA156&gt;1,"Which "&amp;M156&amp;"? "&amp;AA156&amp;" players start with it (like "&amp;INDEX(Players[Name],MATCH(M156&amp;" ?",Players[Name],0))&amp;") - type the last initial",IF(ISNUMBER(FIND(" ",M156)),IF(IFERROR(IF(M156="",FALSE,OR(M156="Unknown",AND(LEN(M156)-LEN(SUBSTITUTE(M156," ",""))=1,LEN(M156)&gt;=4,MID(M156,LEN(M156)-1,1)=" ",CODE(RIGHT(M156,1))&gt;=65,CODE(RIGHT(M156,1))&lt;=90))),FALSE),"New player? Not on Players list - add it there first","Not on Players list and not First L format (like Zack B)")&amp;IF(ISNUMBER(MATCH(LEFT(M156,FIND(" ",M156)-1)&amp;" ?",Players[Name],0))," (same first name as "&amp;INDEX(Players[Name],MATCH(LEFT(M156,FIND(" ",M156)-1)&amp;" ?",Players[Name],0))&amp;")",""),"Not on Players list - type first name + last initial (like Zack B)")),"")),IF(OR(V156&lt;Pod_Min,V156&gt;Pod_Max),"Pod has "&amp;V156&amp;" players",""),IF(U156=0,IF(T156=0,"No winner (*) in pod",IF(T156&gt;1,T156&amp;" winners in pod","")),IF(U156&lt;V156,"Some = but not all players","")),IF(X156="Unknown","",IF(COUNTIFS($O$8:$O$257,O156,$Q$8:$Q$257,Q156,$X$8:$X$257,X156)&gt;1,"Name twice in pod",IF(COUNTIFS($O$8:$O$257,O156,$X$8:$X$257,X156)&gt;1,"Name in 2 pods this round","")))))</f>
        <v/>
      </c>
      <c r="AA156" s="3" t="str">
        <f>IF(L156&lt;&gt;"PLAYER","",IF(OR(M156="",ISNUMBER(FIND(" ",M156))),0,COUNTIF(Players[Name],M156&amp;" ?")))</f>
        <v/>
      </c>
    </row>
    <row r="157" spans="1:27" x14ac:dyDescent="0.45">
      <c r="A157" s="17"/>
      <c r="B157" s="6" t="str">
        <f t="shared" si="42"/>
        <v/>
      </c>
      <c r="C157" s="6" t="str">
        <f t="shared" si="43"/>
        <v/>
      </c>
      <c r="D157" s="6" t="str">
        <f t="shared" si="44"/>
        <v/>
      </c>
      <c r="E157" s="6" t="str">
        <f t="shared" si="45"/>
        <v/>
      </c>
      <c r="F157" s="6" t="str">
        <f t="shared" si="46"/>
        <v/>
      </c>
      <c r="G157" s="6" t="str">
        <f t="shared" si="47"/>
        <v/>
      </c>
      <c r="H157" s="10" t="str">
        <f t="shared" si="48"/>
        <v/>
      </c>
      <c r="I157" s="6" t="str">
        <f t="shared" si="49"/>
        <v/>
      </c>
      <c r="J157" s="3" t="str">
        <f>IFERROR(MATCH(ROWS(J$8:J157),$S$8:$S$257,0),"")</f>
        <v/>
      </c>
      <c r="K157" s="3" t="str">
        <f t="shared" si="50"/>
        <v/>
      </c>
      <c r="L157" s="3" t="str">
        <f t="shared" si="51"/>
        <v/>
      </c>
      <c r="M157" s="3" t="str">
        <f t="shared" si="52"/>
        <v/>
      </c>
      <c r="N157" s="3" t="str">
        <f t="shared" si="53"/>
        <v/>
      </c>
      <c r="O157" s="3">
        <f t="shared" si="54"/>
        <v>1</v>
      </c>
      <c r="P157" s="3">
        <f t="shared" si="55"/>
        <v>0</v>
      </c>
      <c r="Q157" s="3">
        <f t="shared" si="56"/>
        <v>0</v>
      </c>
      <c r="R157" s="3" t="str">
        <f t="shared" si="57"/>
        <v/>
      </c>
      <c r="S157" s="3">
        <f t="shared" si="58"/>
        <v>0</v>
      </c>
      <c r="T157" s="3" t="str">
        <f t="shared" si="59"/>
        <v/>
      </c>
      <c r="U157" s="3" t="str">
        <f t="shared" si="60"/>
        <v/>
      </c>
      <c r="V157" s="3" t="str">
        <f t="shared" si="61"/>
        <v/>
      </c>
      <c r="W157" s="3" t="str">
        <f t="shared" si="62"/>
        <v/>
      </c>
      <c r="X157" s="3" t="str">
        <f>IF(L157&lt;&gt;"PLAYER","",IF(Y157="Y",INDEX(Players[Name],MATCH(M157,Players[Name],0)),IF(Y157="A",INDEX(Players[Name],MATCH(M157&amp;" ?",Players[Name],0)),M157)))</f>
        <v/>
      </c>
      <c r="Y157" s="3" t="str">
        <f>IF(L157&lt;&gt;"PLAYER","",IF(ISNUMBER(MATCH(M157,Players[Name],0)),"Y",IF(AA157=1,"A","N")))</f>
        <v/>
      </c>
      <c r="Z157" s="3" t="str">
        <f>IF(L157&lt;&gt;"PLAYER","",_xlfn.TEXTJOIN("; ",TRUE,IF(M157="","Empty name",IF(Y157="N",IF(AA157&gt;1,"Which "&amp;M157&amp;"? "&amp;AA157&amp;" players start with it (like "&amp;INDEX(Players[Name],MATCH(M157&amp;" ?",Players[Name],0))&amp;") - type the last initial",IF(ISNUMBER(FIND(" ",M157)),IF(IFERROR(IF(M157="",FALSE,OR(M157="Unknown",AND(LEN(M157)-LEN(SUBSTITUTE(M157," ",""))=1,LEN(M157)&gt;=4,MID(M157,LEN(M157)-1,1)=" ",CODE(RIGHT(M157,1))&gt;=65,CODE(RIGHT(M157,1))&lt;=90))),FALSE),"New player? Not on Players list - add it there first","Not on Players list and not First L format (like Zack B)")&amp;IF(ISNUMBER(MATCH(LEFT(M157,FIND(" ",M157)-1)&amp;" ?",Players[Name],0))," (same first name as "&amp;INDEX(Players[Name],MATCH(LEFT(M157,FIND(" ",M157)-1)&amp;" ?",Players[Name],0))&amp;")",""),"Not on Players list - type first name + last initial (like Zack B)")),"")),IF(OR(V157&lt;Pod_Min,V157&gt;Pod_Max),"Pod has "&amp;V157&amp;" players",""),IF(U157=0,IF(T157=0,"No winner (*) in pod",IF(T157&gt;1,T157&amp;" winners in pod","")),IF(U157&lt;V157,"Some = but not all players","")),IF(X157="Unknown","",IF(COUNTIFS($O$8:$O$257,O157,$Q$8:$Q$257,Q157,$X$8:$X$257,X157)&gt;1,"Name twice in pod",IF(COUNTIFS($O$8:$O$257,O157,$X$8:$X$257,X157)&gt;1,"Name in 2 pods this round","")))))</f>
        <v/>
      </c>
      <c r="AA157" s="3" t="str">
        <f>IF(L157&lt;&gt;"PLAYER","",IF(OR(M157="",ISNUMBER(FIND(" ",M157))),0,COUNTIF(Players[Name],M157&amp;" ?")))</f>
        <v/>
      </c>
    </row>
    <row r="158" spans="1:27" x14ac:dyDescent="0.45">
      <c r="A158" s="17"/>
      <c r="B158" s="6" t="str">
        <f t="shared" si="42"/>
        <v/>
      </c>
      <c r="C158" s="6" t="str">
        <f t="shared" si="43"/>
        <v/>
      </c>
      <c r="D158" s="6" t="str">
        <f t="shared" si="44"/>
        <v/>
      </c>
      <c r="E158" s="6" t="str">
        <f t="shared" si="45"/>
        <v/>
      </c>
      <c r="F158" s="6" t="str">
        <f t="shared" si="46"/>
        <v/>
      </c>
      <c r="G158" s="6" t="str">
        <f t="shared" si="47"/>
        <v/>
      </c>
      <c r="H158" s="10" t="str">
        <f t="shared" si="48"/>
        <v/>
      </c>
      <c r="I158" s="6" t="str">
        <f t="shared" si="49"/>
        <v/>
      </c>
      <c r="J158" s="3" t="str">
        <f>IFERROR(MATCH(ROWS(J$8:J158),$S$8:$S$257,0),"")</f>
        <v/>
      </c>
      <c r="K158" s="3" t="str">
        <f t="shared" si="50"/>
        <v/>
      </c>
      <c r="L158" s="3" t="str">
        <f t="shared" si="51"/>
        <v/>
      </c>
      <c r="M158" s="3" t="str">
        <f t="shared" si="52"/>
        <v/>
      </c>
      <c r="N158" s="3" t="str">
        <f t="shared" si="53"/>
        <v/>
      </c>
      <c r="O158" s="3">
        <f t="shared" si="54"/>
        <v>1</v>
      </c>
      <c r="P158" s="3">
        <f t="shared" si="55"/>
        <v>0</v>
      </c>
      <c r="Q158" s="3">
        <f t="shared" si="56"/>
        <v>0</v>
      </c>
      <c r="R158" s="3" t="str">
        <f t="shared" si="57"/>
        <v/>
      </c>
      <c r="S158" s="3">
        <f t="shared" si="58"/>
        <v>0</v>
      </c>
      <c r="T158" s="3" t="str">
        <f t="shared" si="59"/>
        <v/>
      </c>
      <c r="U158" s="3" t="str">
        <f t="shared" si="60"/>
        <v/>
      </c>
      <c r="V158" s="3" t="str">
        <f t="shared" si="61"/>
        <v/>
      </c>
      <c r="W158" s="3" t="str">
        <f t="shared" si="62"/>
        <v/>
      </c>
      <c r="X158" s="3" t="str">
        <f>IF(L158&lt;&gt;"PLAYER","",IF(Y158="Y",INDEX(Players[Name],MATCH(M158,Players[Name],0)),IF(Y158="A",INDEX(Players[Name],MATCH(M158&amp;" ?",Players[Name],0)),M158)))</f>
        <v/>
      </c>
      <c r="Y158" s="3" t="str">
        <f>IF(L158&lt;&gt;"PLAYER","",IF(ISNUMBER(MATCH(M158,Players[Name],0)),"Y",IF(AA158=1,"A","N")))</f>
        <v/>
      </c>
      <c r="Z158" s="3" t="str">
        <f>IF(L158&lt;&gt;"PLAYER","",_xlfn.TEXTJOIN("; ",TRUE,IF(M158="","Empty name",IF(Y158="N",IF(AA158&gt;1,"Which "&amp;M158&amp;"? "&amp;AA158&amp;" players start with it (like "&amp;INDEX(Players[Name],MATCH(M158&amp;" ?",Players[Name],0))&amp;") - type the last initial",IF(ISNUMBER(FIND(" ",M158)),IF(IFERROR(IF(M158="",FALSE,OR(M158="Unknown",AND(LEN(M158)-LEN(SUBSTITUTE(M158," ",""))=1,LEN(M158)&gt;=4,MID(M158,LEN(M158)-1,1)=" ",CODE(RIGHT(M158,1))&gt;=65,CODE(RIGHT(M158,1))&lt;=90))),FALSE),"New player? Not on Players list - add it there first","Not on Players list and not First L format (like Zack B)")&amp;IF(ISNUMBER(MATCH(LEFT(M158,FIND(" ",M158)-1)&amp;" ?",Players[Name],0))," (same first name as "&amp;INDEX(Players[Name],MATCH(LEFT(M158,FIND(" ",M158)-1)&amp;" ?",Players[Name],0))&amp;")",""),"Not on Players list - type first name + last initial (like Zack B)")),"")),IF(OR(V158&lt;Pod_Min,V158&gt;Pod_Max),"Pod has "&amp;V158&amp;" players",""),IF(U158=0,IF(T158=0,"No winner (*) in pod",IF(T158&gt;1,T158&amp;" winners in pod","")),IF(U158&lt;V158,"Some = but not all players","")),IF(X158="Unknown","",IF(COUNTIFS($O$8:$O$257,O158,$Q$8:$Q$257,Q158,$X$8:$X$257,X158)&gt;1,"Name twice in pod",IF(COUNTIFS($O$8:$O$257,O158,$X$8:$X$257,X158)&gt;1,"Name in 2 pods this round","")))))</f>
        <v/>
      </c>
      <c r="AA158" s="3" t="str">
        <f>IF(L158&lt;&gt;"PLAYER","",IF(OR(M158="",ISNUMBER(FIND(" ",M158))),0,COUNTIF(Players[Name],M158&amp;" ?")))</f>
        <v/>
      </c>
    </row>
    <row r="159" spans="1:27" x14ac:dyDescent="0.45">
      <c r="A159" s="17"/>
      <c r="B159" s="6" t="str">
        <f t="shared" si="42"/>
        <v/>
      </c>
      <c r="C159" s="6" t="str">
        <f t="shared" si="43"/>
        <v/>
      </c>
      <c r="D159" s="6" t="str">
        <f t="shared" si="44"/>
        <v/>
      </c>
      <c r="E159" s="6" t="str">
        <f t="shared" si="45"/>
        <v/>
      </c>
      <c r="F159" s="6" t="str">
        <f t="shared" si="46"/>
        <v/>
      </c>
      <c r="G159" s="6" t="str">
        <f t="shared" si="47"/>
        <v/>
      </c>
      <c r="H159" s="10" t="str">
        <f t="shared" si="48"/>
        <v/>
      </c>
      <c r="I159" s="6" t="str">
        <f t="shared" si="49"/>
        <v/>
      </c>
      <c r="J159" s="3" t="str">
        <f>IFERROR(MATCH(ROWS(J$8:J159),$S$8:$S$257,0),"")</f>
        <v/>
      </c>
      <c r="K159" s="3" t="str">
        <f t="shared" si="50"/>
        <v/>
      </c>
      <c r="L159" s="3" t="str">
        <f t="shared" si="51"/>
        <v/>
      </c>
      <c r="M159" s="3" t="str">
        <f t="shared" si="52"/>
        <v/>
      </c>
      <c r="N159" s="3" t="str">
        <f t="shared" si="53"/>
        <v/>
      </c>
      <c r="O159" s="3">
        <f t="shared" si="54"/>
        <v>1</v>
      </c>
      <c r="P159" s="3">
        <f t="shared" si="55"/>
        <v>0</v>
      </c>
      <c r="Q159" s="3">
        <f t="shared" si="56"/>
        <v>0</v>
      </c>
      <c r="R159" s="3" t="str">
        <f t="shared" si="57"/>
        <v/>
      </c>
      <c r="S159" s="3">
        <f t="shared" si="58"/>
        <v>0</v>
      </c>
      <c r="T159" s="3" t="str">
        <f t="shared" si="59"/>
        <v/>
      </c>
      <c r="U159" s="3" t="str">
        <f t="shared" si="60"/>
        <v/>
      </c>
      <c r="V159" s="3" t="str">
        <f t="shared" si="61"/>
        <v/>
      </c>
      <c r="W159" s="3" t="str">
        <f t="shared" si="62"/>
        <v/>
      </c>
      <c r="X159" s="3" t="str">
        <f>IF(L159&lt;&gt;"PLAYER","",IF(Y159="Y",INDEX(Players[Name],MATCH(M159,Players[Name],0)),IF(Y159="A",INDEX(Players[Name],MATCH(M159&amp;" ?",Players[Name],0)),M159)))</f>
        <v/>
      </c>
      <c r="Y159" s="3" t="str">
        <f>IF(L159&lt;&gt;"PLAYER","",IF(ISNUMBER(MATCH(M159,Players[Name],0)),"Y",IF(AA159=1,"A","N")))</f>
        <v/>
      </c>
      <c r="Z159" s="3" t="str">
        <f>IF(L159&lt;&gt;"PLAYER","",_xlfn.TEXTJOIN("; ",TRUE,IF(M159="","Empty name",IF(Y159="N",IF(AA159&gt;1,"Which "&amp;M159&amp;"? "&amp;AA159&amp;" players start with it (like "&amp;INDEX(Players[Name],MATCH(M159&amp;" ?",Players[Name],0))&amp;") - type the last initial",IF(ISNUMBER(FIND(" ",M159)),IF(IFERROR(IF(M159="",FALSE,OR(M159="Unknown",AND(LEN(M159)-LEN(SUBSTITUTE(M159," ",""))=1,LEN(M159)&gt;=4,MID(M159,LEN(M159)-1,1)=" ",CODE(RIGHT(M159,1))&gt;=65,CODE(RIGHT(M159,1))&lt;=90))),FALSE),"New player? Not on Players list - add it there first","Not on Players list and not First L format (like Zack B)")&amp;IF(ISNUMBER(MATCH(LEFT(M159,FIND(" ",M159)-1)&amp;" ?",Players[Name],0))," (same first name as "&amp;INDEX(Players[Name],MATCH(LEFT(M159,FIND(" ",M159)-1)&amp;" ?",Players[Name],0))&amp;")",""),"Not on Players list - type first name + last initial (like Zack B)")),"")),IF(OR(V159&lt;Pod_Min,V159&gt;Pod_Max),"Pod has "&amp;V159&amp;" players",""),IF(U159=0,IF(T159=0,"No winner (*) in pod",IF(T159&gt;1,T159&amp;" winners in pod","")),IF(U159&lt;V159,"Some = but not all players","")),IF(X159="Unknown","",IF(COUNTIFS($O$8:$O$257,O159,$Q$8:$Q$257,Q159,$X$8:$X$257,X159)&gt;1,"Name twice in pod",IF(COUNTIFS($O$8:$O$257,O159,$X$8:$X$257,X159)&gt;1,"Name in 2 pods this round","")))))</f>
        <v/>
      </c>
      <c r="AA159" s="3" t="str">
        <f>IF(L159&lt;&gt;"PLAYER","",IF(OR(M159="",ISNUMBER(FIND(" ",M159))),0,COUNTIF(Players[Name],M159&amp;" ?")))</f>
        <v/>
      </c>
    </row>
    <row r="160" spans="1:27" x14ac:dyDescent="0.45">
      <c r="A160" s="17"/>
      <c r="B160" s="6" t="str">
        <f t="shared" si="42"/>
        <v/>
      </c>
      <c r="C160" s="6" t="str">
        <f t="shared" si="43"/>
        <v/>
      </c>
      <c r="D160" s="6" t="str">
        <f t="shared" si="44"/>
        <v/>
      </c>
      <c r="E160" s="6" t="str">
        <f t="shared" si="45"/>
        <v/>
      </c>
      <c r="F160" s="6" t="str">
        <f t="shared" si="46"/>
        <v/>
      </c>
      <c r="G160" s="6" t="str">
        <f t="shared" si="47"/>
        <v/>
      </c>
      <c r="H160" s="10" t="str">
        <f t="shared" si="48"/>
        <v/>
      </c>
      <c r="I160" s="6" t="str">
        <f t="shared" si="49"/>
        <v/>
      </c>
      <c r="J160" s="3" t="str">
        <f>IFERROR(MATCH(ROWS(J$8:J160),$S$8:$S$257,0),"")</f>
        <v/>
      </c>
      <c r="K160" s="3" t="str">
        <f t="shared" si="50"/>
        <v/>
      </c>
      <c r="L160" s="3" t="str">
        <f t="shared" si="51"/>
        <v/>
      </c>
      <c r="M160" s="3" t="str">
        <f t="shared" si="52"/>
        <v/>
      </c>
      <c r="N160" s="3" t="str">
        <f t="shared" si="53"/>
        <v/>
      </c>
      <c r="O160" s="3">
        <f t="shared" si="54"/>
        <v>1</v>
      </c>
      <c r="P160" s="3">
        <f t="shared" si="55"/>
        <v>0</v>
      </c>
      <c r="Q160" s="3">
        <f t="shared" si="56"/>
        <v>0</v>
      </c>
      <c r="R160" s="3" t="str">
        <f t="shared" si="57"/>
        <v/>
      </c>
      <c r="S160" s="3">
        <f t="shared" si="58"/>
        <v>0</v>
      </c>
      <c r="T160" s="3" t="str">
        <f t="shared" si="59"/>
        <v/>
      </c>
      <c r="U160" s="3" t="str">
        <f t="shared" si="60"/>
        <v/>
      </c>
      <c r="V160" s="3" t="str">
        <f t="shared" si="61"/>
        <v/>
      </c>
      <c r="W160" s="3" t="str">
        <f t="shared" si="62"/>
        <v/>
      </c>
      <c r="X160" s="3" t="str">
        <f>IF(L160&lt;&gt;"PLAYER","",IF(Y160="Y",INDEX(Players[Name],MATCH(M160,Players[Name],0)),IF(Y160="A",INDEX(Players[Name],MATCH(M160&amp;" ?",Players[Name],0)),M160)))</f>
        <v/>
      </c>
      <c r="Y160" s="3" t="str">
        <f>IF(L160&lt;&gt;"PLAYER","",IF(ISNUMBER(MATCH(M160,Players[Name],0)),"Y",IF(AA160=1,"A","N")))</f>
        <v/>
      </c>
      <c r="Z160" s="3" t="str">
        <f>IF(L160&lt;&gt;"PLAYER","",_xlfn.TEXTJOIN("; ",TRUE,IF(M160="","Empty name",IF(Y160="N",IF(AA160&gt;1,"Which "&amp;M160&amp;"? "&amp;AA160&amp;" players start with it (like "&amp;INDEX(Players[Name],MATCH(M160&amp;" ?",Players[Name],0))&amp;") - type the last initial",IF(ISNUMBER(FIND(" ",M160)),IF(IFERROR(IF(M160="",FALSE,OR(M160="Unknown",AND(LEN(M160)-LEN(SUBSTITUTE(M160," ",""))=1,LEN(M160)&gt;=4,MID(M160,LEN(M160)-1,1)=" ",CODE(RIGHT(M160,1))&gt;=65,CODE(RIGHT(M160,1))&lt;=90))),FALSE),"New player? Not on Players list - add it there first","Not on Players list and not First L format (like Zack B)")&amp;IF(ISNUMBER(MATCH(LEFT(M160,FIND(" ",M160)-1)&amp;" ?",Players[Name],0))," (same first name as "&amp;INDEX(Players[Name],MATCH(LEFT(M160,FIND(" ",M160)-1)&amp;" ?",Players[Name],0))&amp;")",""),"Not on Players list - type first name + last initial (like Zack B)")),"")),IF(OR(V160&lt;Pod_Min,V160&gt;Pod_Max),"Pod has "&amp;V160&amp;" players",""),IF(U160=0,IF(T160=0,"No winner (*) in pod",IF(T160&gt;1,T160&amp;" winners in pod","")),IF(U160&lt;V160,"Some = but not all players","")),IF(X160="Unknown","",IF(COUNTIFS($O$8:$O$257,O160,$Q$8:$Q$257,Q160,$X$8:$X$257,X160)&gt;1,"Name twice in pod",IF(COUNTIFS($O$8:$O$257,O160,$X$8:$X$257,X160)&gt;1,"Name in 2 pods this round","")))))</f>
        <v/>
      </c>
      <c r="AA160" s="3" t="str">
        <f>IF(L160&lt;&gt;"PLAYER","",IF(OR(M160="",ISNUMBER(FIND(" ",M160))),0,COUNTIF(Players[Name],M160&amp;" ?")))</f>
        <v/>
      </c>
    </row>
    <row r="161" spans="1:27" x14ac:dyDescent="0.45">
      <c r="A161" s="17"/>
      <c r="B161" s="6" t="str">
        <f t="shared" si="42"/>
        <v/>
      </c>
      <c r="C161" s="6" t="str">
        <f t="shared" si="43"/>
        <v/>
      </c>
      <c r="D161" s="6" t="str">
        <f t="shared" si="44"/>
        <v/>
      </c>
      <c r="E161" s="6" t="str">
        <f t="shared" si="45"/>
        <v/>
      </c>
      <c r="F161" s="6" t="str">
        <f t="shared" si="46"/>
        <v/>
      </c>
      <c r="G161" s="6" t="str">
        <f t="shared" si="47"/>
        <v/>
      </c>
      <c r="H161" s="10" t="str">
        <f t="shared" si="48"/>
        <v/>
      </c>
      <c r="I161" s="6" t="str">
        <f t="shared" si="49"/>
        <v/>
      </c>
      <c r="J161" s="3" t="str">
        <f>IFERROR(MATCH(ROWS(J$8:J161),$S$8:$S$257,0),"")</f>
        <v/>
      </c>
      <c r="K161" s="3" t="str">
        <f t="shared" si="50"/>
        <v/>
      </c>
      <c r="L161" s="3" t="str">
        <f t="shared" si="51"/>
        <v/>
      </c>
      <c r="M161" s="3" t="str">
        <f t="shared" si="52"/>
        <v/>
      </c>
      <c r="N161" s="3" t="str">
        <f t="shared" si="53"/>
        <v/>
      </c>
      <c r="O161" s="3">
        <f t="shared" si="54"/>
        <v>1</v>
      </c>
      <c r="P161" s="3">
        <f t="shared" si="55"/>
        <v>0</v>
      </c>
      <c r="Q161" s="3">
        <f t="shared" si="56"/>
        <v>0</v>
      </c>
      <c r="R161" s="3" t="str">
        <f t="shared" si="57"/>
        <v/>
      </c>
      <c r="S161" s="3">
        <f t="shared" si="58"/>
        <v>0</v>
      </c>
      <c r="T161" s="3" t="str">
        <f t="shared" si="59"/>
        <v/>
      </c>
      <c r="U161" s="3" t="str">
        <f t="shared" si="60"/>
        <v/>
      </c>
      <c r="V161" s="3" t="str">
        <f t="shared" si="61"/>
        <v/>
      </c>
      <c r="W161" s="3" t="str">
        <f t="shared" si="62"/>
        <v/>
      </c>
      <c r="X161" s="3" t="str">
        <f>IF(L161&lt;&gt;"PLAYER","",IF(Y161="Y",INDEX(Players[Name],MATCH(M161,Players[Name],0)),IF(Y161="A",INDEX(Players[Name],MATCH(M161&amp;" ?",Players[Name],0)),M161)))</f>
        <v/>
      </c>
      <c r="Y161" s="3" t="str">
        <f>IF(L161&lt;&gt;"PLAYER","",IF(ISNUMBER(MATCH(M161,Players[Name],0)),"Y",IF(AA161=1,"A","N")))</f>
        <v/>
      </c>
      <c r="Z161" s="3" t="str">
        <f>IF(L161&lt;&gt;"PLAYER","",_xlfn.TEXTJOIN("; ",TRUE,IF(M161="","Empty name",IF(Y161="N",IF(AA161&gt;1,"Which "&amp;M161&amp;"? "&amp;AA161&amp;" players start with it (like "&amp;INDEX(Players[Name],MATCH(M161&amp;" ?",Players[Name],0))&amp;") - type the last initial",IF(ISNUMBER(FIND(" ",M161)),IF(IFERROR(IF(M161="",FALSE,OR(M161="Unknown",AND(LEN(M161)-LEN(SUBSTITUTE(M161," ",""))=1,LEN(M161)&gt;=4,MID(M161,LEN(M161)-1,1)=" ",CODE(RIGHT(M161,1))&gt;=65,CODE(RIGHT(M161,1))&lt;=90))),FALSE),"New player? Not on Players list - add it there first","Not on Players list and not First L format (like Zack B)")&amp;IF(ISNUMBER(MATCH(LEFT(M161,FIND(" ",M161)-1)&amp;" ?",Players[Name],0))," (same first name as "&amp;INDEX(Players[Name],MATCH(LEFT(M161,FIND(" ",M161)-1)&amp;" ?",Players[Name],0))&amp;")",""),"Not on Players list - type first name + last initial (like Zack B)")),"")),IF(OR(V161&lt;Pod_Min,V161&gt;Pod_Max),"Pod has "&amp;V161&amp;" players",""),IF(U161=0,IF(T161=0,"No winner (*) in pod",IF(T161&gt;1,T161&amp;" winners in pod","")),IF(U161&lt;V161,"Some = but not all players","")),IF(X161="Unknown","",IF(COUNTIFS($O$8:$O$257,O161,$Q$8:$Q$257,Q161,$X$8:$X$257,X161)&gt;1,"Name twice in pod",IF(COUNTIFS($O$8:$O$257,O161,$X$8:$X$257,X161)&gt;1,"Name in 2 pods this round","")))))</f>
        <v/>
      </c>
      <c r="AA161" s="3" t="str">
        <f>IF(L161&lt;&gt;"PLAYER","",IF(OR(M161="",ISNUMBER(FIND(" ",M161))),0,COUNTIF(Players[Name],M161&amp;" ?")))</f>
        <v/>
      </c>
    </row>
    <row r="162" spans="1:27" x14ac:dyDescent="0.45">
      <c r="A162" s="17"/>
      <c r="B162" s="6" t="str">
        <f t="shared" si="42"/>
        <v/>
      </c>
      <c r="C162" s="6" t="str">
        <f t="shared" si="43"/>
        <v/>
      </c>
      <c r="D162" s="6" t="str">
        <f t="shared" si="44"/>
        <v/>
      </c>
      <c r="E162" s="6" t="str">
        <f t="shared" si="45"/>
        <v/>
      </c>
      <c r="F162" s="6" t="str">
        <f t="shared" si="46"/>
        <v/>
      </c>
      <c r="G162" s="6" t="str">
        <f t="shared" si="47"/>
        <v/>
      </c>
      <c r="H162" s="10" t="str">
        <f t="shared" si="48"/>
        <v/>
      </c>
      <c r="I162" s="6" t="str">
        <f t="shared" si="49"/>
        <v/>
      </c>
      <c r="J162" s="3" t="str">
        <f>IFERROR(MATCH(ROWS(J$8:J162),$S$8:$S$257,0),"")</f>
        <v/>
      </c>
      <c r="K162" s="3" t="str">
        <f t="shared" si="50"/>
        <v/>
      </c>
      <c r="L162" s="3" t="str">
        <f t="shared" si="51"/>
        <v/>
      </c>
      <c r="M162" s="3" t="str">
        <f t="shared" si="52"/>
        <v/>
      </c>
      <c r="N162" s="3" t="str">
        <f t="shared" si="53"/>
        <v/>
      </c>
      <c r="O162" s="3">
        <f t="shared" si="54"/>
        <v>1</v>
      </c>
      <c r="P162" s="3">
        <f t="shared" si="55"/>
        <v>0</v>
      </c>
      <c r="Q162" s="3">
        <f t="shared" si="56"/>
        <v>0</v>
      </c>
      <c r="R162" s="3" t="str">
        <f t="shared" si="57"/>
        <v/>
      </c>
      <c r="S162" s="3">
        <f t="shared" si="58"/>
        <v>0</v>
      </c>
      <c r="T162" s="3" t="str">
        <f t="shared" si="59"/>
        <v/>
      </c>
      <c r="U162" s="3" t="str">
        <f t="shared" si="60"/>
        <v/>
      </c>
      <c r="V162" s="3" t="str">
        <f t="shared" si="61"/>
        <v/>
      </c>
      <c r="W162" s="3" t="str">
        <f t="shared" si="62"/>
        <v/>
      </c>
      <c r="X162" s="3" t="str">
        <f>IF(L162&lt;&gt;"PLAYER","",IF(Y162="Y",INDEX(Players[Name],MATCH(M162,Players[Name],0)),IF(Y162="A",INDEX(Players[Name],MATCH(M162&amp;" ?",Players[Name],0)),M162)))</f>
        <v/>
      </c>
      <c r="Y162" s="3" t="str">
        <f>IF(L162&lt;&gt;"PLAYER","",IF(ISNUMBER(MATCH(M162,Players[Name],0)),"Y",IF(AA162=1,"A","N")))</f>
        <v/>
      </c>
      <c r="Z162" s="3" t="str">
        <f>IF(L162&lt;&gt;"PLAYER","",_xlfn.TEXTJOIN("; ",TRUE,IF(M162="","Empty name",IF(Y162="N",IF(AA162&gt;1,"Which "&amp;M162&amp;"? "&amp;AA162&amp;" players start with it (like "&amp;INDEX(Players[Name],MATCH(M162&amp;" ?",Players[Name],0))&amp;") - type the last initial",IF(ISNUMBER(FIND(" ",M162)),IF(IFERROR(IF(M162="",FALSE,OR(M162="Unknown",AND(LEN(M162)-LEN(SUBSTITUTE(M162," ",""))=1,LEN(M162)&gt;=4,MID(M162,LEN(M162)-1,1)=" ",CODE(RIGHT(M162,1))&gt;=65,CODE(RIGHT(M162,1))&lt;=90))),FALSE),"New player? Not on Players list - add it there first","Not on Players list and not First L format (like Zack B)")&amp;IF(ISNUMBER(MATCH(LEFT(M162,FIND(" ",M162)-1)&amp;" ?",Players[Name],0))," (same first name as "&amp;INDEX(Players[Name],MATCH(LEFT(M162,FIND(" ",M162)-1)&amp;" ?",Players[Name],0))&amp;")",""),"Not on Players list - type first name + last initial (like Zack B)")),"")),IF(OR(V162&lt;Pod_Min,V162&gt;Pod_Max),"Pod has "&amp;V162&amp;" players",""),IF(U162=0,IF(T162=0,"No winner (*) in pod",IF(T162&gt;1,T162&amp;" winners in pod","")),IF(U162&lt;V162,"Some = but not all players","")),IF(X162="Unknown","",IF(COUNTIFS($O$8:$O$257,O162,$Q$8:$Q$257,Q162,$X$8:$X$257,X162)&gt;1,"Name twice in pod",IF(COUNTIFS($O$8:$O$257,O162,$X$8:$X$257,X162)&gt;1,"Name in 2 pods this round","")))))</f>
        <v/>
      </c>
      <c r="AA162" s="3" t="str">
        <f>IF(L162&lt;&gt;"PLAYER","",IF(OR(M162="",ISNUMBER(FIND(" ",M162))),0,COUNTIF(Players[Name],M162&amp;" ?")))</f>
        <v/>
      </c>
    </row>
    <row r="163" spans="1:27" x14ac:dyDescent="0.45">
      <c r="A163" s="17"/>
      <c r="B163" s="6" t="str">
        <f t="shared" si="42"/>
        <v/>
      </c>
      <c r="C163" s="6" t="str">
        <f t="shared" si="43"/>
        <v/>
      </c>
      <c r="D163" s="6" t="str">
        <f t="shared" si="44"/>
        <v/>
      </c>
      <c r="E163" s="6" t="str">
        <f t="shared" si="45"/>
        <v/>
      </c>
      <c r="F163" s="6" t="str">
        <f t="shared" si="46"/>
        <v/>
      </c>
      <c r="G163" s="6" t="str">
        <f t="shared" si="47"/>
        <v/>
      </c>
      <c r="H163" s="10" t="str">
        <f t="shared" si="48"/>
        <v/>
      </c>
      <c r="I163" s="6" t="str">
        <f t="shared" si="49"/>
        <v/>
      </c>
      <c r="J163" s="3" t="str">
        <f>IFERROR(MATCH(ROWS(J$8:J163),$S$8:$S$257,0),"")</f>
        <v/>
      </c>
      <c r="K163" s="3" t="str">
        <f t="shared" si="50"/>
        <v/>
      </c>
      <c r="L163" s="3" t="str">
        <f t="shared" si="51"/>
        <v/>
      </c>
      <c r="M163" s="3" t="str">
        <f t="shared" si="52"/>
        <v/>
      </c>
      <c r="N163" s="3" t="str">
        <f t="shared" si="53"/>
        <v/>
      </c>
      <c r="O163" s="3">
        <f t="shared" si="54"/>
        <v>1</v>
      </c>
      <c r="P163" s="3">
        <f t="shared" si="55"/>
        <v>0</v>
      </c>
      <c r="Q163" s="3">
        <f t="shared" si="56"/>
        <v>0</v>
      </c>
      <c r="R163" s="3" t="str">
        <f t="shared" si="57"/>
        <v/>
      </c>
      <c r="S163" s="3">
        <f t="shared" si="58"/>
        <v>0</v>
      </c>
      <c r="T163" s="3" t="str">
        <f t="shared" si="59"/>
        <v/>
      </c>
      <c r="U163" s="3" t="str">
        <f t="shared" si="60"/>
        <v/>
      </c>
      <c r="V163" s="3" t="str">
        <f t="shared" si="61"/>
        <v/>
      </c>
      <c r="W163" s="3" t="str">
        <f t="shared" si="62"/>
        <v/>
      </c>
      <c r="X163" s="3" t="str">
        <f>IF(L163&lt;&gt;"PLAYER","",IF(Y163="Y",INDEX(Players[Name],MATCH(M163,Players[Name],0)),IF(Y163="A",INDEX(Players[Name],MATCH(M163&amp;" ?",Players[Name],0)),M163)))</f>
        <v/>
      </c>
      <c r="Y163" s="3" t="str">
        <f>IF(L163&lt;&gt;"PLAYER","",IF(ISNUMBER(MATCH(M163,Players[Name],0)),"Y",IF(AA163=1,"A","N")))</f>
        <v/>
      </c>
      <c r="Z163" s="3" t="str">
        <f>IF(L163&lt;&gt;"PLAYER","",_xlfn.TEXTJOIN("; ",TRUE,IF(M163="","Empty name",IF(Y163="N",IF(AA163&gt;1,"Which "&amp;M163&amp;"? "&amp;AA163&amp;" players start with it (like "&amp;INDEX(Players[Name],MATCH(M163&amp;" ?",Players[Name],0))&amp;") - type the last initial",IF(ISNUMBER(FIND(" ",M163)),IF(IFERROR(IF(M163="",FALSE,OR(M163="Unknown",AND(LEN(M163)-LEN(SUBSTITUTE(M163," ",""))=1,LEN(M163)&gt;=4,MID(M163,LEN(M163)-1,1)=" ",CODE(RIGHT(M163,1))&gt;=65,CODE(RIGHT(M163,1))&lt;=90))),FALSE),"New player? Not on Players list - add it there first","Not on Players list and not First L format (like Zack B)")&amp;IF(ISNUMBER(MATCH(LEFT(M163,FIND(" ",M163)-1)&amp;" ?",Players[Name],0))," (same first name as "&amp;INDEX(Players[Name],MATCH(LEFT(M163,FIND(" ",M163)-1)&amp;" ?",Players[Name],0))&amp;")",""),"Not on Players list - type first name + last initial (like Zack B)")),"")),IF(OR(V163&lt;Pod_Min,V163&gt;Pod_Max),"Pod has "&amp;V163&amp;" players",""),IF(U163=0,IF(T163=0,"No winner (*) in pod",IF(T163&gt;1,T163&amp;" winners in pod","")),IF(U163&lt;V163,"Some = but not all players","")),IF(X163="Unknown","",IF(COUNTIFS($O$8:$O$257,O163,$Q$8:$Q$257,Q163,$X$8:$X$257,X163)&gt;1,"Name twice in pod",IF(COUNTIFS($O$8:$O$257,O163,$X$8:$X$257,X163)&gt;1,"Name in 2 pods this round","")))))</f>
        <v/>
      </c>
      <c r="AA163" s="3" t="str">
        <f>IF(L163&lt;&gt;"PLAYER","",IF(OR(M163="",ISNUMBER(FIND(" ",M163))),0,COUNTIF(Players[Name],M163&amp;" ?")))</f>
        <v/>
      </c>
    </row>
    <row r="164" spans="1:27" x14ac:dyDescent="0.45">
      <c r="A164" s="17"/>
      <c r="B164" s="6" t="str">
        <f t="shared" si="42"/>
        <v/>
      </c>
      <c r="C164" s="6" t="str">
        <f t="shared" si="43"/>
        <v/>
      </c>
      <c r="D164" s="6" t="str">
        <f t="shared" si="44"/>
        <v/>
      </c>
      <c r="E164" s="6" t="str">
        <f t="shared" si="45"/>
        <v/>
      </c>
      <c r="F164" s="6" t="str">
        <f t="shared" si="46"/>
        <v/>
      </c>
      <c r="G164" s="6" t="str">
        <f t="shared" si="47"/>
        <v/>
      </c>
      <c r="H164" s="10" t="str">
        <f t="shared" si="48"/>
        <v/>
      </c>
      <c r="I164" s="6" t="str">
        <f t="shared" si="49"/>
        <v/>
      </c>
      <c r="J164" s="3" t="str">
        <f>IFERROR(MATCH(ROWS(J$8:J164),$S$8:$S$257,0),"")</f>
        <v/>
      </c>
      <c r="K164" s="3" t="str">
        <f t="shared" si="50"/>
        <v/>
      </c>
      <c r="L164" s="3" t="str">
        <f t="shared" si="51"/>
        <v/>
      </c>
      <c r="M164" s="3" t="str">
        <f t="shared" si="52"/>
        <v/>
      </c>
      <c r="N164" s="3" t="str">
        <f t="shared" si="53"/>
        <v/>
      </c>
      <c r="O164" s="3">
        <f t="shared" si="54"/>
        <v>1</v>
      </c>
      <c r="P164" s="3">
        <f t="shared" si="55"/>
        <v>0</v>
      </c>
      <c r="Q164" s="3">
        <f t="shared" si="56"/>
        <v>0</v>
      </c>
      <c r="R164" s="3" t="str">
        <f t="shared" si="57"/>
        <v/>
      </c>
      <c r="S164" s="3">
        <f t="shared" si="58"/>
        <v>0</v>
      </c>
      <c r="T164" s="3" t="str">
        <f t="shared" si="59"/>
        <v/>
      </c>
      <c r="U164" s="3" t="str">
        <f t="shared" si="60"/>
        <v/>
      </c>
      <c r="V164" s="3" t="str">
        <f t="shared" si="61"/>
        <v/>
      </c>
      <c r="W164" s="3" t="str">
        <f t="shared" si="62"/>
        <v/>
      </c>
      <c r="X164" s="3" t="str">
        <f>IF(L164&lt;&gt;"PLAYER","",IF(Y164="Y",INDEX(Players[Name],MATCH(M164,Players[Name],0)),IF(Y164="A",INDEX(Players[Name],MATCH(M164&amp;" ?",Players[Name],0)),M164)))</f>
        <v/>
      </c>
      <c r="Y164" s="3" t="str">
        <f>IF(L164&lt;&gt;"PLAYER","",IF(ISNUMBER(MATCH(M164,Players[Name],0)),"Y",IF(AA164=1,"A","N")))</f>
        <v/>
      </c>
      <c r="Z164" s="3" t="str">
        <f>IF(L164&lt;&gt;"PLAYER","",_xlfn.TEXTJOIN("; ",TRUE,IF(M164="","Empty name",IF(Y164="N",IF(AA164&gt;1,"Which "&amp;M164&amp;"? "&amp;AA164&amp;" players start with it (like "&amp;INDEX(Players[Name],MATCH(M164&amp;" ?",Players[Name],0))&amp;") - type the last initial",IF(ISNUMBER(FIND(" ",M164)),IF(IFERROR(IF(M164="",FALSE,OR(M164="Unknown",AND(LEN(M164)-LEN(SUBSTITUTE(M164," ",""))=1,LEN(M164)&gt;=4,MID(M164,LEN(M164)-1,1)=" ",CODE(RIGHT(M164,1))&gt;=65,CODE(RIGHT(M164,1))&lt;=90))),FALSE),"New player? Not on Players list - add it there first","Not on Players list and not First L format (like Zack B)")&amp;IF(ISNUMBER(MATCH(LEFT(M164,FIND(" ",M164)-1)&amp;" ?",Players[Name],0))," (same first name as "&amp;INDEX(Players[Name],MATCH(LEFT(M164,FIND(" ",M164)-1)&amp;" ?",Players[Name],0))&amp;")",""),"Not on Players list - type first name + last initial (like Zack B)")),"")),IF(OR(V164&lt;Pod_Min,V164&gt;Pod_Max),"Pod has "&amp;V164&amp;" players",""),IF(U164=0,IF(T164=0,"No winner (*) in pod",IF(T164&gt;1,T164&amp;" winners in pod","")),IF(U164&lt;V164,"Some = but not all players","")),IF(X164="Unknown","",IF(COUNTIFS($O$8:$O$257,O164,$Q$8:$Q$257,Q164,$X$8:$X$257,X164)&gt;1,"Name twice in pod",IF(COUNTIFS($O$8:$O$257,O164,$X$8:$X$257,X164)&gt;1,"Name in 2 pods this round","")))))</f>
        <v/>
      </c>
      <c r="AA164" s="3" t="str">
        <f>IF(L164&lt;&gt;"PLAYER","",IF(OR(M164="",ISNUMBER(FIND(" ",M164))),0,COUNTIF(Players[Name],M164&amp;" ?")))</f>
        <v/>
      </c>
    </row>
    <row r="165" spans="1:27" x14ac:dyDescent="0.45">
      <c r="A165" s="17"/>
      <c r="B165" s="6" t="str">
        <f t="shared" si="42"/>
        <v/>
      </c>
      <c r="C165" s="6" t="str">
        <f t="shared" si="43"/>
        <v/>
      </c>
      <c r="D165" s="6" t="str">
        <f t="shared" si="44"/>
        <v/>
      </c>
      <c r="E165" s="6" t="str">
        <f t="shared" si="45"/>
        <v/>
      </c>
      <c r="F165" s="6" t="str">
        <f t="shared" si="46"/>
        <v/>
      </c>
      <c r="G165" s="6" t="str">
        <f t="shared" si="47"/>
        <v/>
      </c>
      <c r="H165" s="10" t="str">
        <f t="shared" si="48"/>
        <v/>
      </c>
      <c r="I165" s="6" t="str">
        <f t="shared" si="49"/>
        <v/>
      </c>
      <c r="J165" s="3" t="str">
        <f>IFERROR(MATCH(ROWS(J$8:J165),$S$8:$S$257,0),"")</f>
        <v/>
      </c>
      <c r="K165" s="3" t="str">
        <f t="shared" si="50"/>
        <v/>
      </c>
      <c r="L165" s="3" t="str">
        <f t="shared" si="51"/>
        <v/>
      </c>
      <c r="M165" s="3" t="str">
        <f t="shared" si="52"/>
        <v/>
      </c>
      <c r="N165" s="3" t="str">
        <f t="shared" si="53"/>
        <v/>
      </c>
      <c r="O165" s="3">
        <f t="shared" si="54"/>
        <v>1</v>
      </c>
      <c r="P165" s="3">
        <f t="shared" si="55"/>
        <v>0</v>
      </c>
      <c r="Q165" s="3">
        <f t="shared" si="56"/>
        <v>0</v>
      </c>
      <c r="R165" s="3" t="str">
        <f t="shared" si="57"/>
        <v/>
      </c>
      <c r="S165" s="3">
        <f t="shared" si="58"/>
        <v>0</v>
      </c>
      <c r="T165" s="3" t="str">
        <f t="shared" si="59"/>
        <v/>
      </c>
      <c r="U165" s="3" t="str">
        <f t="shared" si="60"/>
        <v/>
      </c>
      <c r="V165" s="3" t="str">
        <f t="shared" si="61"/>
        <v/>
      </c>
      <c r="W165" s="3" t="str">
        <f t="shared" si="62"/>
        <v/>
      </c>
      <c r="X165" s="3" t="str">
        <f>IF(L165&lt;&gt;"PLAYER","",IF(Y165="Y",INDEX(Players[Name],MATCH(M165,Players[Name],0)),IF(Y165="A",INDEX(Players[Name],MATCH(M165&amp;" ?",Players[Name],0)),M165)))</f>
        <v/>
      </c>
      <c r="Y165" s="3" t="str">
        <f>IF(L165&lt;&gt;"PLAYER","",IF(ISNUMBER(MATCH(M165,Players[Name],0)),"Y",IF(AA165=1,"A","N")))</f>
        <v/>
      </c>
      <c r="Z165" s="3" t="str">
        <f>IF(L165&lt;&gt;"PLAYER","",_xlfn.TEXTJOIN("; ",TRUE,IF(M165="","Empty name",IF(Y165="N",IF(AA165&gt;1,"Which "&amp;M165&amp;"? "&amp;AA165&amp;" players start with it (like "&amp;INDEX(Players[Name],MATCH(M165&amp;" ?",Players[Name],0))&amp;") - type the last initial",IF(ISNUMBER(FIND(" ",M165)),IF(IFERROR(IF(M165="",FALSE,OR(M165="Unknown",AND(LEN(M165)-LEN(SUBSTITUTE(M165," ",""))=1,LEN(M165)&gt;=4,MID(M165,LEN(M165)-1,1)=" ",CODE(RIGHT(M165,1))&gt;=65,CODE(RIGHT(M165,1))&lt;=90))),FALSE),"New player? Not on Players list - add it there first","Not on Players list and not First L format (like Zack B)")&amp;IF(ISNUMBER(MATCH(LEFT(M165,FIND(" ",M165)-1)&amp;" ?",Players[Name],0))," (same first name as "&amp;INDEX(Players[Name],MATCH(LEFT(M165,FIND(" ",M165)-1)&amp;" ?",Players[Name],0))&amp;")",""),"Not on Players list - type first name + last initial (like Zack B)")),"")),IF(OR(V165&lt;Pod_Min,V165&gt;Pod_Max),"Pod has "&amp;V165&amp;" players",""),IF(U165=0,IF(T165=0,"No winner (*) in pod",IF(T165&gt;1,T165&amp;" winners in pod","")),IF(U165&lt;V165,"Some = but not all players","")),IF(X165="Unknown","",IF(COUNTIFS($O$8:$O$257,O165,$Q$8:$Q$257,Q165,$X$8:$X$257,X165)&gt;1,"Name twice in pod",IF(COUNTIFS($O$8:$O$257,O165,$X$8:$X$257,X165)&gt;1,"Name in 2 pods this round","")))))</f>
        <v/>
      </c>
      <c r="AA165" s="3" t="str">
        <f>IF(L165&lt;&gt;"PLAYER","",IF(OR(M165="",ISNUMBER(FIND(" ",M165))),0,COUNTIF(Players[Name],M165&amp;" ?")))</f>
        <v/>
      </c>
    </row>
    <row r="166" spans="1:27" x14ac:dyDescent="0.45">
      <c r="A166" s="17"/>
      <c r="B166" s="6" t="str">
        <f t="shared" si="42"/>
        <v/>
      </c>
      <c r="C166" s="6" t="str">
        <f t="shared" si="43"/>
        <v/>
      </c>
      <c r="D166" s="6" t="str">
        <f t="shared" si="44"/>
        <v/>
      </c>
      <c r="E166" s="6" t="str">
        <f t="shared" si="45"/>
        <v/>
      </c>
      <c r="F166" s="6" t="str">
        <f t="shared" si="46"/>
        <v/>
      </c>
      <c r="G166" s="6" t="str">
        <f t="shared" si="47"/>
        <v/>
      </c>
      <c r="H166" s="10" t="str">
        <f t="shared" si="48"/>
        <v/>
      </c>
      <c r="I166" s="6" t="str">
        <f t="shared" si="49"/>
        <v/>
      </c>
      <c r="J166" s="3" t="str">
        <f>IFERROR(MATCH(ROWS(J$8:J166),$S$8:$S$257,0),"")</f>
        <v/>
      </c>
      <c r="K166" s="3" t="str">
        <f t="shared" si="50"/>
        <v/>
      </c>
      <c r="L166" s="3" t="str">
        <f t="shared" si="51"/>
        <v/>
      </c>
      <c r="M166" s="3" t="str">
        <f t="shared" si="52"/>
        <v/>
      </c>
      <c r="N166" s="3" t="str">
        <f t="shared" si="53"/>
        <v/>
      </c>
      <c r="O166" s="3">
        <f t="shared" si="54"/>
        <v>1</v>
      </c>
      <c r="P166" s="3">
        <f t="shared" si="55"/>
        <v>0</v>
      </c>
      <c r="Q166" s="3">
        <f t="shared" si="56"/>
        <v>0</v>
      </c>
      <c r="R166" s="3" t="str">
        <f t="shared" si="57"/>
        <v/>
      </c>
      <c r="S166" s="3">
        <f t="shared" si="58"/>
        <v>0</v>
      </c>
      <c r="T166" s="3" t="str">
        <f t="shared" si="59"/>
        <v/>
      </c>
      <c r="U166" s="3" t="str">
        <f t="shared" si="60"/>
        <v/>
      </c>
      <c r="V166" s="3" t="str">
        <f t="shared" si="61"/>
        <v/>
      </c>
      <c r="W166" s="3" t="str">
        <f t="shared" si="62"/>
        <v/>
      </c>
      <c r="X166" s="3" t="str">
        <f>IF(L166&lt;&gt;"PLAYER","",IF(Y166="Y",INDEX(Players[Name],MATCH(M166,Players[Name],0)),IF(Y166="A",INDEX(Players[Name],MATCH(M166&amp;" ?",Players[Name],0)),M166)))</f>
        <v/>
      </c>
      <c r="Y166" s="3" t="str">
        <f>IF(L166&lt;&gt;"PLAYER","",IF(ISNUMBER(MATCH(M166,Players[Name],0)),"Y",IF(AA166=1,"A","N")))</f>
        <v/>
      </c>
      <c r="Z166" s="3" t="str">
        <f>IF(L166&lt;&gt;"PLAYER","",_xlfn.TEXTJOIN("; ",TRUE,IF(M166="","Empty name",IF(Y166="N",IF(AA166&gt;1,"Which "&amp;M166&amp;"? "&amp;AA166&amp;" players start with it (like "&amp;INDEX(Players[Name],MATCH(M166&amp;" ?",Players[Name],0))&amp;") - type the last initial",IF(ISNUMBER(FIND(" ",M166)),IF(IFERROR(IF(M166="",FALSE,OR(M166="Unknown",AND(LEN(M166)-LEN(SUBSTITUTE(M166," ",""))=1,LEN(M166)&gt;=4,MID(M166,LEN(M166)-1,1)=" ",CODE(RIGHT(M166,1))&gt;=65,CODE(RIGHT(M166,1))&lt;=90))),FALSE),"New player? Not on Players list - add it there first","Not on Players list and not First L format (like Zack B)")&amp;IF(ISNUMBER(MATCH(LEFT(M166,FIND(" ",M166)-1)&amp;" ?",Players[Name],0))," (same first name as "&amp;INDEX(Players[Name],MATCH(LEFT(M166,FIND(" ",M166)-1)&amp;" ?",Players[Name],0))&amp;")",""),"Not on Players list - type first name + last initial (like Zack B)")),"")),IF(OR(V166&lt;Pod_Min,V166&gt;Pod_Max),"Pod has "&amp;V166&amp;" players",""),IF(U166=0,IF(T166=0,"No winner (*) in pod",IF(T166&gt;1,T166&amp;" winners in pod","")),IF(U166&lt;V166,"Some = but not all players","")),IF(X166="Unknown","",IF(COUNTIFS($O$8:$O$257,O166,$Q$8:$Q$257,Q166,$X$8:$X$257,X166)&gt;1,"Name twice in pod",IF(COUNTIFS($O$8:$O$257,O166,$X$8:$X$257,X166)&gt;1,"Name in 2 pods this round","")))))</f>
        <v/>
      </c>
      <c r="AA166" s="3" t="str">
        <f>IF(L166&lt;&gt;"PLAYER","",IF(OR(M166="",ISNUMBER(FIND(" ",M166))),0,COUNTIF(Players[Name],M166&amp;" ?")))</f>
        <v/>
      </c>
    </row>
    <row r="167" spans="1:27" x14ac:dyDescent="0.45">
      <c r="A167" s="17"/>
      <c r="B167" s="6" t="str">
        <f t="shared" si="42"/>
        <v/>
      </c>
      <c r="C167" s="6" t="str">
        <f t="shared" si="43"/>
        <v/>
      </c>
      <c r="D167" s="6" t="str">
        <f t="shared" si="44"/>
        <v/>
      </c>
      <c r="E167" s="6" t="str">
        <f t="shared" si="45"/>
        <v/>
      </c>
      <c r="F167" s="6" t="str">
        <f t="shared" si="46"/>
        <v/>
      </c>
      <c r="G167" s="6" t="str">
        <f t="shared" si="47"/>
        <v/>
      </c>
      <c r="H167" s="10" t="str">
        <f t="shared" si="48"/>
        <v/>
      </c>
      <c r="I167" s="6" t="str">
        <f t="shared" si="49"/>
        <v/>
      </c>
      <c r="J167" s="3" t="str">
        <f>IFERROR(MATCH(ROWS(J$8:J167),$S$8:$S$257,0),"")</f>
        <v/>
      </c>
      <c r="K167" s="3" t="str">
        <f t="shared" si="50"/>
        <v/>
      </c>
      <c r="L167" s="3" t="str">
        <f t="shared" si="51"/>
        <v/>
      </c>
      <c r="M167" s="3" t="str">
        <f t="shared" si="52"/>
        <v/>
      </c>
      <c r="N167" s="3" t="str">
        <f t="shared" si="53"/>
        <v/>
      </c>
      <c r="O167" s="3">
        <f t="shared" si="54"/>
        <v>1</v>
      </c>
      <c r="P167" s="3">
        <f t="shared" si="55"/>
        <v>0</v>
      </c>
      <c r="Q167" s="3">
        <f t="shared" si="56"/>
        <v>0</v>
      </c>
      <c r="R167" s="3" t="str">
        <f t="shared" si="57"/>
        <v/>
      </c>
      <c r="S167" s="3">
        <f t="shared" si="58"/>
        <v>0</v>
      </c>
      <c r="T167" s="3" t="str">
        <f t="shared" si="59"/>
        <v/>
      </c>
      <c r="U167" s="3" t="str">
        <f t="shared" si="60"/>
        <v/>
      </c>
      <c r="V167" s="3" t="str">
        <f t="shared" si="61"/>
        <v/>
      </c>
      <c r="W167" s="3" t="str">
        <f t="shared" si="62"/>
        <v/>
      </c>
      <c r="X167" s="3" t="str">
        <f>IF(L167&lt;&gt;"PLAYER","",IF(Y167="Y",INDEX(Players[Name],MATCH(M167,Players[Name],0)),IF(Y167="A",INDEX(Players[Name],MATCH(M167&amp;" ?",Players[Name],0)),M167)))</f>
        <v/>
      </c>
      <c r="Y167" s="3" t="str">
        <f>IF(L167&lt;&gt;"PLAYER","",IF(ISNUMBER(MATCH(M167,Players[Name],0)),"Y",IF(AA167=1,"A","N")))</f>
        <v/>
      </c>
      <c r="Z167" s="3" t="str">
        <f>IF(L167&lt;&gt;"PLAYER","",_xlfn.TEXTJOIN("; ",TRUE,IF(M167="","Empty name",IF(Y167="N",IF(AA167&gt;1,"Which "&amp;M167&amp;"? "&amp;AA167&amp;" players start with it (like "&amp;INDEX(Players[Name],MATCH(M167&amp;" ?",Players[Name],0))&amp;") - type the last initial",IF(ISNUMBER(FIND(" ",M167)),IF(IFERROR(IF(M167="",FALSE,OR(M167="Unknown",AND(LEN(M167)-LEN(SUBSTITUTE(M167," ",""))=1,LEN(M167)&gt;=4,MID(M167,LEN(M167)-1,1)=" ",CODE(RIGHT(M167,1))&gt;=65,CODE(RIGHT(M167,1))&lt;=90))),FALSE),"New player? Not on Players list - add it there first","Not on Players list and not First L format (like Zack B)")&amp;IF(ISNUMBER(MATCH(LEFT(M167,FIND(" ",M167)-1)&amp;" ?",Players[Name],0))," (same first name as "&amp;INDEX(Players[Name],MATCH(LEFT(M167,FIND(" ",M167)-1)&amp;" ?",Players[Name],0))&amp;")",""),"Not on Players list - type first name + last initial (like Zack B)")),"")),IF(OR(V167&lt;Pod_Min,V167&gt;Pod_Max),"Pod has "&amp;V167&amp;" players",""),IF(U167=0,IF(T167=0,"No winner (*) in pod",IF(T167&gt;1,T167&amp;" winners in pod","")),IF(U167&lt;V167,"Some = but not all players","")),IF(X167="Unknown","",IF(COUNTIFS($O$8:$O$257,O167,$Q$8:$Q$257,Q167,$X$8:$X$257,X167)&gt;1,"Name twice in pod",IF(COUNTIFS($O$8:$O$257,O167,$X$8:$X$257,X167)&gt;1,"Name in 2 pods this round","")))))</f>
        <v/>
      </c>
      <c r="AA167" s="3" t="str">
        <f>IF(L167&lt;&gt;"PLAYER","",IF(OR(M167="",ISNUMBER(FIND(" ",M167))),0,COUNTIF(Players[Name],M167&amp;" ?")))</f>
        <v/>
      </c>
    </row>
    <row r="168" spans="1:27" x14ac:dyDescent="0.45">
      <c r="A168" s="17"/>
      <c r="B168" s="6" t="str">
        <f t="shared" si="42"/>
        <v/>
      </c>
      <c r="C168" s="6" t="str">
        <f t="shared" si="43"/>
        <v/>
      </c>
      <c r="D168" s="6" t="str">
        <f t="shared" si="44"/>
        <v/>
      </c>
      <c r="E168" s="6" t="str">
        <f t="shared" si="45"/>
        <v/>
      </c>
      <c r="F168" s="6" t="str">
        <f t="shared" si="46"/>
        <v/>
      </c>
      <c r="G168" s="6" t="str">
        <f t="shared" si="47"/>
        <v/>
      </c>
      <c r="H168" s="10" t="str">
        <f t="shared" si="48"/>
        <v/>
      </c>
      <c r="I168" s="6" t="str">
        <f t="shared" si="49"/>
        <v/>
      </c>
      <c r="J168" s="3" t="str">
        <f>IFERROR(MATCH(ROWS(J$8:J168),$S$8:$S$257,0),"")</f>
        <v/>
      </c>
      <c r="K168" s="3" t="str">
        <f t="shared" si="50"/>
        <v/>
      </c>
      <c r="L168" s="3" t="str">
        <f t="shared" si="51"/>
        <v/>
      </c>
      <c r="M168" s="3" t="str">
        <f t="shared" si="52"/>
        <v/>
      </c>
      <c r="N168" s="3" t="str">
        <f t="shared" si="53"/>
        <v/>
      </c>
      <c r="O168" s="3">
        <f t="shared" si="54"/>
        <v>1</v>
      </c>
      <c r="P168" s="3">
        <f t="shared" si="55"/>
        <v>0</v>
      </c>
      <c r="Q168" s="3">
        <f t="shared" si="56"/>
        <v>0</v>
      </c>
      <c r="R168" s="3" t="str">
        <f t="shared" si="57"/>
        <v/>
      </c>
      <c r="S168" s="3">
        <f t="shared" si="58"/>
        <v>0</v>
      </c>
      <c r="T168" s="3" t="str">
        <f t="shared" si="59"/>
        <v/>
      </c>
      <c r="U168" s="3" t="str">
        <f t="shared" si="60"/>
        <v/>
      </c>
      <c r="V168" s="3" t="str">
        <f t="shared" si="61"/>
        <v/>
      </c>
      <c r="W168" s="3" t="str">
        <f t="shared" si="62"/>
        <v/>
      </c>
      <c r="X168" s="3" t="str">
        <f>IF(L168&lt;&gt;"PLAYER","",IF(Y168="Y",INDEX(Players[Name],MATCH(M168,Players[Name],0)),IF(Y168="A",INDEX(Players[Name],MATCH(M168&amp;" ?",Players[Name],0)),M168)))</f>
        <v/>
      </c>
      <c r="Y168" s="3" t="str">
        <f>IF(L168&lt;&gt;"PLAYER","",IF(ISNUMBER(MATCH(M168,Players[Name],0)),"Y",IF(AA168=1,"A","N")))</f>
        <v/>
      </c>
      <c r="Z168" s="3" t="str">
        <f>IF(L168&lt;&gt;"PLAYER","",_xlfn.TEXTJOIN("; ",TRUE,IF(M168="","Empty name",IF(Y168="N",IF(AA168&gt;1,"Which "&amp;M168&amp;"? "&amp;AA168&amp;" players start with it (like "&amp;INDEX(Players[Name],MATCH(M168&amp;" ?",Players[Name],0))&amp;") - type the last initial",IF(ISNUMBER(FIND(" ",M168)),IF(IFERROR(IF(M168="",FALSE,OR(M168="Unknown",AND(LEN(M168)-LEN(SUBSTITUTE(M168," ",""))=1,LEN(M168)&gt;=4,MID(M168,LEN(M168)-1,1)=" ",CODE(RIGHT(M168,1))&gt;=65,CODE(RIGHT(M168,1))&lt;=90))),FALSE),"New player? Not on Players list - add it there first","Not on Players list and not First L format (like Zack B)")&amp;IF(ISNUMBER(MATCH(LEFT(M168,FIND(" ",M168)-1)&amp;" ?",Players[Name],0))," (same first name as "&amp;INDEX(Players[Name],MATCH(LEFT(M168,FIND(" ",M168)-1)&amp;" ?",Players[Name],0))&amp;")",""),"Not on Players list - type first name + last initial (like Zack B)")),"")),IF(OR(V168&lt;Pod_Min,V168&gt;Pod_Max),"Pod has "&amp;V168&amp;" players",""),IF(U168=0,IF(T168=0,"No winner (*) in pod",IF(T168&gt;1,T168&amp;" winners in pod","")),IF(U168&lt;V168,"Some = but not all players","")),IF(X168="Unknown","",IF(COUNTIFS($O$8:$O$257,O168,$Q$8:$Q$257,Q168,$X$8:$X$257,X168)&gt;1,"Name twice in pod",IF(COUNTIFS($O$8:$O$257,O168,$X$8:$X$257,X168)&gt;1,"Name in 2 pods this round","")))))</f>
        <v/>
      </c>
      <c r="AA168" s="3" t="str">
        <f>IF(L168&lt;&gt;"PLAYER","",IF(OR(M168="",ISNUMBER(FIND(" ",M168))),0,COUNTIF(Players[Name],M168&amp;" ?")))</f>
        <v/>
      </c>
    </row>
    <row r="169" spans="1:27" x14ac:dyDescent="0.45">
      <c r="A169" s="17"/>
      <c r="B169" s="6" t="str">
        <f t="shared" si="42"/>
        <v/>
      </c>
      <c r="C169" s="6" t="str">
        <f t="shared" si="43"/>
        <v/>
      </c>
      <c r="D169" s="6" t="str">
        <f t="shared" si="44"/>
        <v/>
      </c>
      <c r="E169" s="6" t="str">
        <f t="shared" si="45"/>
        <v/>
      </c>
      <c r="F169" s="6" t="str">
        <f t="shared" si="46"/>
        <v/>
      </c>
      <c r="G169" s="6" t="str">
        <f t="shared" si="47"/>
        <v/>
      </c>
      <c r="H169" s="10" t="str">
        <f t="shared" si="48"/>
        <v/>
      </c>
      <c r="I169" s="6" t="str">
        <f t="shared" si="49"/>
        <v/>
      </c>
      <c r="J169" s="3" t="str">
        <f>IFERROR(MATCH(ROWS(J$8:J169),$S$8:$S$257,0),"")</f>
        <v/>
      </c>
      <c r="K169" s="3" t="str">
        <f t="shared" si="50"/>
        <v/>
      </c>
      <c r="L169" s="3" t="str">
        <f t="shared" si="51"/>
        <v/>
      </c>
      <c r="M169" s="3" t="str">
        <f t="shared" si="52"/>
        <v/>
      </c>
      <c r="N169" s="3" t="str">
        <f t="shared" si="53"/>
        <v/>
      </c>
      <c r="O169" s="3">
        <f t="shared" si="54"/>
        <v>1</v>
      </c>
      <c r="P169" s="3">
        <f t="shared" si="55"/>
        <v>0</v>
      </c>
      <c r="Q169" s="3">
        <f t="shared" si="56"/>
        <v>0</v>
      </c>
      <c r="R169" s="3" t="str">
        <f t="shared" si="57"/>
        <v/>
      </c>
      <c r="S169" s="3">
        <f t="shared" si="58"/>
        <v>0</v>
      </c>
      <c r="T169" s="3" t="str">
        <f t="shared" si="59"/>
        <v/>
      </c>
      <c r="U169" s="3" t="str">
        <f t="shared" si="60"/>
        <v/>
      </c>
      <c r="V169" s="3" t="str">
        <f t="shared" si="61"/>
        <v/>
      </c>
      <c r="W169" s="3" t="str">
        <f t="shared" si="62"/>
        <v/>
      </c>
      <c r="X169" s="3" t="str">
        <f>IF(L169&lt;&gt;"PLAYER","",IF(Y169="Y",INDEX(Players[Name],MATCH(M169,Players[Name],0)),IF(Y169="A",INDEX(Players[Name],MATCH(M169&amp;" ?",Players[Name],0)),M169)))</f>
        <v/>
      </c>
      <c r="Y169" s="3" t="str">
        <f>IF(L169&lt;&gt;"PLAYER","",IF(ISNUMBER(MATCH(M169,Players[Name],0)),"Y",IF(AA169=1,"A","N")))</f>
        <v/>
      </c>
      <c r="Z169" s="3" t="str">
        <f>IF(L169&lt;&gt;"PLAYER","",_xlfn.TEXTJOIN("; ",TRUE,IF(M169="","Empty name",IF(Y169="N",IF(AA169&gt;1,"Which "&amp;M169&amp;"? "&amp;AA169&amp;" players start with it (like "&amp;INDEX(Players[Name],MATCH(M169&amp;" ?",Players[Name],0))&amp;") - type the last initial",IF(ISNUMBER(FIND(" ",M169)),IF(IFERROR(IF(M169="",FALSE,OR(M169="Unknown",AND(LEN(M169)-LEN(SUBSTITUTE(M169," ",""))=1,LEN(M169)&gt;=4,MID(M169,LEN(M169)-1,1)=" ",CODE(RIGHT(M169,1))&gt;=65,CODE(RIGHT(M169,1))&lt;=90))),FALSE),"New player? Not on Players list - add it there first","Not on Players list and not First L format (like Zack B)")&amp;IF(ISNUMBER(MATCH(LEFT(M169,FIND(" ",M169)-1)&amp;" ?",Players[Name],0))," (same first name as "&amp;INDEX(Players[Name],MATCH(LEFT(M169,FIND(" ",M169)-1)&amp;" ?",Players[Name],0))&amp;")",""),"Not on Players list - type first name + last initial (like Zack B)")),"")),IF(OR(V169&lt;Pod_Min,V169&gt;Pod_Max),"Pod has "&amp;V169&amp;" players",""),IF(U169=0,IF(T169=0,"No winner (*) in pod",IF(T169&gt;1,T169&amp;" winners in pod","")),IF(U169&lt;V169,"Some = but not all players","")),IF(X169="Unknown","",IF(COUNTIFS($O$8:$O$257,O169,$Q$8:$Q$257,Q169,$X$8:$X$257,X169)&gt;1,"Name twice in pod",IF(COUNTIFS($O$8:$O$257,O169,$X$8:$X$257,X169)&gt;1,"Name in 2 pods this round","")))))</f>
        <v/>
      </c>
      <c r="AA169" s="3" t="str">
        <f>IF(L169&lt;&gt;"PLAYER","",IF(OR(M169="",ISNUMBER(FIND(" ",M169))),0,COUNTIF(Players[Name],M169&amp;" ?")))</f>
        <v/>
      </c>
    </row>
    <row r="170" spans="1:27" x14ac:dyDescent="0.45">
      <c r="A170" s="17"/>
      <c r="B170" s="6" t="str">
        <f t="shared" si="42"/>
        <v/>
      </c>
      <c r="C170" s="6" t="str">
        <f t="shared" si="43"/>
        <v/>
      </c>
      <c r="D170" s="6" t="str">
        <f t="shared" si="44"/>
        <v/>
      </c>
      <c r="E170" s="6" t="str">
        <f t="shared" si="45"/>
        <v/>
      </c>
      <c r="F170" s="6" t="str">
        <f t="shared" si="46"/>
        <v/>
      </c>
      <c r="G170" s="6" t="str">
        <f t="shared" si="47"/>
        <v/>
      </c>
      <c r="H170" s="10" t="str">
        <f t="shared" si="48"/>
        <v/>
      </c>
      <c r="I170" s="6" t="str">
        <f t="shared" si="49"/>
        <v/>
      </c>
      <c r="J170" s="3" t="str">
        <f>IFERROR(MATCH(ROWS(J$8:J170),$S$8:$S$257,0),"")</f>
        <v/>
      </c>
      <c r="K170" s="3" t="str">
        <f t="shared" si="50"/>
        <v/>
      </c>
      <c r="L170" s="3" t="str">
        <f t="shared" si="51"/>
        <v/>
      </c>
      <c r="M170" s="3" t="str">
        <f t="shared" si="52"/>
        <v/>
      </c>
      <c r="N170" s="3" t="str">
        <f t="shared" si="53"/>
        <v/>
      </c>
      <c r="O170" s="3">
        <f t="shared" si="54"/>
        <v>1</v>
      </c>
      <c r="P170" s="3">
        <f t="shared" si="55"/>
        <v>0</v>
      </c>
      <c r="Q170" s="3">
        <f t="shared" si="56"/>
        <v>0</v>
      </c>
      <c r="R170" s="3" t="str">
        <f t="shared" si="57"/>
        <v/>
      </c>
      <c r="S170" s="3">
        <f t="shared" si="58"/>
        <v>0</v>
      </c>
      <c r="T170" s="3" t="str">
        <f t="shared" si="59"/>
        <v/>
      </c>
      <c r="U170" s="3" t="str">
        <f t="shared" si="60"/>
        <v/>
      </c>
      <c r="V170" s="3" t="str">
        <f t="shared" si="61"/>
        <v/>
      </c>
      <c r="W170" s="3" t="str">
        <f t="shared" si="62"/>
        <v/>
      </c>
      <c r="X170" s="3" t="str">
        <f>IF(L170&lt;&gt;"PLAYER","",IF(Y170="Y",INDEX(Players[Name],MATCH(M170,Players[Name],0)),IF(Y170="A",INDEX(Players[Name],MATCH(M170&amp;" ?",Players[Name],0)),M170)))</f>
        <v/>
      </c>
      <c r="Y170" s="3" t="str">
        <f>IF(L170&lt;&gt;"PLAYER","",IF(ISNUMBER(MATCH(M170,Players[Name],0)),"Y",IF(AA170=1,"A","N")))</f>
        <v/>
      </c>
      <c r="Z170" s="3" t="str">
        <f>IF(L170&lt;&gt;"PLAYER","",_xlfn.TEXTJOIN("; ",TRUE,IF(M170="","Empty name",IF(Y170="N",IF(AA170&gt;1,"Which "&amp;M170&amp;"? "&amp;AA170&amp;" players start with it (like "&amp;INDEX(Players[Name],MATCH(M170&amp;" ?",Players[Name],0))&amp;") - type the last initial",IF(ISNUMBER(FIND(" ",M170)),IF(IFERROR(IF(M170="",FALSE,OR(M170="Unknown",AND(LEN(M170)-LEN(SUBSTITUTE(M170," ",""))=1,LEN(M170)&gt;=4,MID(M170,LEN(M170)-1,1)=" ",CODE(RIGHT(M170,1))&gt;=65,CODE(RIGHT(M170,1))&lt;=90))),FALSE),"New player? Not on Players list - add it there first","Not on Players list and not First L format (like Zack B)")&amp;IF(ISNUMBER(MATCH(LEFT(M170,FIND(" ",M170)-1)&amp;" ?",Players[Name],0))," (same first name as "&amp;INDEX(Players[Name],MATCH(LEFT(M170,FIND(" ",M170)-1)&amp;" ?",Players[Name],0))&amp;")",""),"Not on Players list - type first name + last initial (like Zack B)")),"")),IF(OR(V170&lt;Pod_Min,V170&gt;Pod_Max),"Pod has "&amp;V170&amp;" players",""),IF(U170=0,IF(T170=0,"No winner (*) in pod",IF(T170&gt;1,T170&amp;" winners in pod","")),IF(U170&lt;V170,"Some = but not all players","")),IF(X170="Unknown","",IF(COUNTIFS($O$8:$O$257,O170,$Q$8:$Q$257,Q170,$X$8:$X$257,X170)&gt;1,"Name twice in pod",IF(COUNTIFS($O$8:$O$257,O170,$X$8:$X$257,X170)&gt;1,"Name in 2 pods this round","")))))</f>
        <v/>
      </c>
      <c r="AA170" s="3" t="str">
        <f>IF(L170&lt;&gt;"PLAYER","",IF(OR(M170="",ISNUMBER(FIND(" ",M170))),0,COUNTIF(Players[Name],M170&amp;" ?")))</f>
        <v/>
      </c>
    </row>
    <row r="171" spans="1:27" x14ac:dyDescent="0.45">
      <c r="A171" s="17"/>
      <c r="B171" s="6" t="str">
        <f t="shared" si="42"/>
        <v/>
      </c>
      <c r="C171" s="6" t="str">
        <f t="shared" si="43"/>
        <v/>
      </c>
      <c r="D171" s="6" t="str">
        <f t="shared" si="44"/>
        <v/>
      </c>
      <c r="E171" s="6" t="str">
        <f t="shared" si="45"/>
        <v/>
      </c>
      <c r="F171" s="6" t="str">
        <f t="shared" si="46"/>
        <v/>
      </c>
      <c r="G171" s="6" t="str">
        <f t="shared" si="47"/>
        <v/>
      </c>
      <c r="H171" s="10" t="str">
        <f t="shared" si="48"/>
        <v/>
      </c>
      <c r="I171" s="6" t="str">
        <f t="shared" si="49"/>
        <v/>
      </c>
      <c r="J171" s="3" t="str">
        <f>IFERROR(MATCH(ROWS(J$8:J171),$S$8:$S$257,0),"")</f>
        <v/>
      </c>
      <c r="K171" s="3" t="str">
        <f t="shared" si="50"/>
        <v/>
      </c>
      <c r="L171" s="3" t="str">
        <f t="shared" si="51"/>
        <v/>
      </c>
      <c r="M171" s="3" t="str">
        <f t="shared" si="52"/>
        <v/>
      </c>
      <c r="N171" s="3" t="str">
        <f t="shared" si="53"/>
        <v/>
      </c>
      <c r="O171" s="3">
        <f t="shared" si="54"/>
        <v>1</v>
      </c>
      <c r="P171" s="3">
        <f t="shared" si="55"/>
        <v>0</v>
      </c>
      <c r="Q171" s="3">
        <f t="shared" si="56"/>
        <v>0</v>
      </c>
      <c r="R171" s="3" t="str">
        <f t="shared" si="57"/>
        <v/>
      </c>
      <c r="S171" s="3">
        <f t="shared" si="58"/>
        <v>0</v>
      </c>
      <c r="T171" s="3" t="str">
        <f t="shared" si="59"/>
        <v/>
      </c>
      <c r="U171" s="3" t="str">
        <f t="shared" si="60"/>
        <v/>
      </c>
      <c r="V171" s="3" t="str">
        <f t="shared" si="61"/>
        <v/>
      </c>
      <c r="W171" s="3" t="str">
        <f t="shared" si="62"/>
        <v/>
      </c>
      <c r="X171" s="3" t="str">
        <f>IF(L171&lt;&gt;"PLAYER","",IF(Y171="Y",INDEX(Players[Name],MATCH(M171,Players[Name],0)),IF(Y171="A",INDEX(Players[Name],MATCH(M171&amp;" ?",Players[Name],0)),M171)))</f>
        <v/>
      </c>
      <c r="Y171" s="3" t="str">
        <f>IF(L171&lt;&gt;"PLAYER","",IF(ISNUMBER(MATCH(M171,Players[Name],0)),"Y",IF(AA171=1,"A","N")))</f>
        <v/>
      </c>
      <c r="Z171" s="3" t="str">
        <f>IF(L171&lt;&gt;"PLAYER","",_xlfn.TEXTJOIN("; ",TRUE,IF(M171="","Empty name",IF(Y171="N",IF(AA171&gt;1,"Which "&amp;M171&amp;"? "&amp;AA171&amp;" players start with it (like "&amp;INDEX(Players[Name],MATCH(M171&amp;" ?",Players[Name],0))&amp;") - type the last initial",IF(ISNUMBER(FIND(" ",M171)),IF(IFERROR(IF(M171="",FALSE,OR(M171="Unknown",AND(LEN(M171)-LEN(SUBSTITUTE(M171," ",""))=1,LEN(M171)&gt;=4,MID(M171,LEN(M171)-1,1)=" ",CODE(RIGHT(M171,1))&gt;=65,CODE(RIGHT(M171,1))&lt;=90))),FALSE),"New player? Not on Players list - add it there first","Not on Players list and not First L format (like Zack B)")&amp;IF(ISNUMBER(MATCH(LEFT(M171,FIND(" ",M171)-1)&amp;" ?",Players[Name],0))," (same first name as "&amp;INDEX(Players[Name],MATCH(LEFT(M171,FIND(" ",M171)-1)&amp;" ?",Players[Name],0))&amp;")",""),"Not on Players list - type first name + last initial (like Zack B)")),"")),IF(OR(V171&lt;Pod_Min,V171&gt;Pod_Max),"Pod has "&amp;V171&amp;" players",""),IF(U171=0,IF(T171=0,"No winner (*) in pod",IF(T171&gt;1,T171&amp;" winners in pod","")),IF(U171&lt;V171,"Some = but not all players","")),IF(X171="Unknown","",IF(COUNTIFS($O$8:$O$257,O171,$Q$8:$Q$257,Q171,$X$8:$X$257,X171)&gt;1,"Name twice in pod",IF(COUNTIFS($O$8:$O$257,O171,$X$8:$X$257,X171)&gt;1,"Name in 2 pods this round","")))))</f>
        <v/>
      </c>
      <c r="AA171" s="3" t="str">
        <f>IF(L171&lt;&gt;"PLAYER","",IF(OR(M171="",ISNUMBER(FIND(" ",M171))),0,COUNTIF(Players[Name],M171&amp;" ?")))</f>
        <v/>
      </c>
    </row>
    <row r="172" spans="1:27" x14ac:dyDescent="0.45">
      <c r="A172" s="17"/>
      <c r="B172" s="6" t="str">
        <f t="shared" si="42"/>
        <v/>
      </c>
      <c r="C172" s="6" t="str">
        <f t="shared" si="43"/>
        <v/>
      </c>
      <c r="D172" s="6" t="str">
        <f t="shared" si="44"/>
        <v/>
      </c>
      <c r="E172" s="6" t="str">
        <f t="shared" si="45"/>
        <v/>
      </c>
      <c r="F172" s="6" t="str">
        <f t="shared" si="46"/>
        <v/>
      </c>
      <c r="G172" s="6" t="str">
        <f t="shared" si="47"/>
        <v/>
      </c>
      <c r="H172" s="10" t="str">
        <f t="shared" si="48"/>
        <v/>
      </c>
      <c r="I172" s="6" t="str">
        <f t="shared" si="49"/>
        <v/>
      </c>
      <c r="J172" s="3" t="str">
        <f>IFERROR(MATCH(ROWS(J$8:J172),$S$8:$S$257,0),"")</f>
        <v/>
      </c>
      <c r="K172" s="3" t="str">
        <f t="shared" si="50"/>
        <v/>
      </c>
      <c r="L172" s="3" t="str">
        <f t="shared" si="51"/>
        <v/>
      </c>
      <c r="M172" s="3" t="str">
        <f t="shared" si="52"/>
        <v/>
      </c>
      <c r="N172" s="3" t="str">
        <f t="shared" si="53"/>
        <v/>
      </c>
      <c r="O172" s="3">
        <f t="shared" si="54"/>
        <v>1</v>
      </c>
      <c r="P172" s="3">
        <f t="shared" si="55"/>
        <v>0</v>
      </c>
      <c r="Q172" s="3">
        <f t="shared" si="56"/>
        <v>0</v>
      </c>
      <c r="R172" s="3" t="str">
        <f t="shared" si="57"/>
        <v/>
      </c>
      <c r="S172" s="3">
        <f t="shared" si="58"/>
        <v>0</v>
      </c>
      <c r="T172" s="3" t="str">
        <f t="shared" si="59"/>
        <v/>
      </c>
      <c r="U172" s="3" t="str">
        <f t="shared" si="60"/>
        <v/>
      </c>
      <c r="V172" s="3" t="str">
        <f t="shared" si="61"/>
        <v/>
      </c>
      <c r="W172" s="3" t="str">
        <f t="shared" si="62"/>
        <v/>
      </c>
      <c r="X172" s="3" t="str">
        <f>IF(L172&lt;&gt;"PLAYER","",IF(Y172="Y",INDEX(Players[Name],MATCH(M172,Players[Name],0)),IF(Y172="A",INDEX(Players[Name],MATCH(M172&amp;" ?",Players[Name],0)),M172)))</f>
        <v/>
      </c>
      <c r="Y172" s="3" t="str">
        <f>IF(L172&lt;&gt;"PLAYER","",IF(ISNUMBER(MATCH(M172,Players[Name],0)),"Y",IF(AA172=1,"A","N")))</f>
        <v/>
      </c>
      <c r="Z172" s="3" t="str">
        <f>IF(L172&lt;&gt;"PLAYER","",_xlfn.TEXTJOIN("; ",TRUE,IF(M172="","Empty name",IF(Y172="N",IF(AA172&gt;1,"Which "&amp;M172&amp;"? "&amp;AA172&amp;" players start with it (like "&amp;INDEX(Players[Name],MATCH(M172&amp;" ?",Players[Name],0))&amp;") - type the last initial",IF(ISNUMBER(FIND(" ",M172)),IF(IFERROR(IF(M172="",FALSE,OR(M172="Unknown",AND(LEN(M172)-LEN(SUBSTITUTE(M172," ",""))=1,LEN(M172)&gt;=4,MID(M172,LEN(M172)-1,1)=" ",CODE(RIGHT(M172,1))&gt;=65,CODE(RIGHT(M172,1))&lt;=90))),FALSE),"New player? Not on Players list - add it there first","Not on Players list and not First L format (like Zack B)")&amp;IF(ISNUMBER(MATCH(LEFT(M172,FIND(" ",M172)-1)&amp;" ?",Players[Name],0))," (same first name as "&amp;INDEX(Players[Name],MATCH(LEFT(M172,FIND(" ",M172)-1)&amp;" ?",Players[Name],0))&amp;")",""),"Not on Players list - type first name + last initial (like Zack B)")),"")),IF(OR(V172&lt;Pod_Min,V172&gt;Pod_Max),"Pod has "&amp;V172&amp;" players",""),IF(U172=0,IF(T172=0,"No winner (*) in pod",IF(T172&gt;1,T172&amp;" winners in pod","")),IF(U172&lt;V172,"Some = but not all players","")),IF(X172="Unknown","",IF(COUNTIFS($O$8:$O$257,O172,$Q$8:$Q$257,Q172,$X$8:$X$257,X172)&gt;1,"Name twice in pod",IF(COUNTIFS($O$8:$O$257,O172,$X$8:$X$257,X172)&gt;1,"Name in 2 pods this round","")))))</f>
        <v/>
      </c>
      <c r="AA172" s="3" t="str">
        <f>IF(L172&lt;&gt;"PLAYER","",IF(OR(M172="",ISNUMBER(FIND(" ",M172))),0,COUNTIF(Players[Name],M172&amp;" ?")))</f>
        <v/>
      </c>
    </row>
    <row r="173" spans="1:27" x14ac:dyDescent="0.45">
      <c r="A173" s="17"/>
      <c r="B173" s="6" t="str">
        <f t="shared" si="42"/>
        <v/>
      </c>
      <c r="C173" s="6" t="str">
        <f t="shared" si="43"/>
        <v/>
      </c>
      <c r="D173" s="6" t="str">
        <f t="shared" si="44"/>
        <v/>
      </c>
      <c r="E173" s="6" t="str">
        <f t="shared" si="45"/>
        <v/>
      </c>
      <c r="F173" s="6" t="str">
        <f t="shared" si="46"/>
        <v/>
      </c>
      <c r="G173" s="6" t="str">
        <f t="shared" si="47"/>
        <v/>
      </c>
      <c r="H173" s="10" t="str">
        <f t="shared" si="48"/>
        <v/>
      </c>
      <c r="I173" s="6" t="str">
        <f t="shared" si="49"/>
        <v/>
      </c>
      <c r="J173" s="3" t="str">
        <f>IFERROR(MATCH(ROWS(J$8:J173),$S$8:$S$257,0),"")</f>
        <v/>
      </c>
      <c r="K173" s="3" t="str">
        <f t="shared" si="50"/>
        <v/>
      </c>
      <c r="L173" s="3" t="str">
        <f t="shared" si="51"/>
        <v/>
      </c>
      <c r="M173" s="3" t="str">
        <f t="shared" si="52"/>
        <v/>
      </c>
      <c r="N173" s="3" t="str">
        <f t="shared" si="53"/>
        <v/>
      </c>
      <c r="O173" s="3">
        <f t="shared" si="54"/>
        <v>1</v>
      </c>
      <c r="P173" s="3">
        <f t="shared" si="55"/>
        <v>0</v>
      </c>
      <c r="Q173" s="3">
        <f t="shared" si="56"/>
        <v>0</v>
      </c>
      <c r="R173" s="3" t="str">
        <f t="shared" si="57"/>
        <v/>
      </c>
      <c r="S173" s="3">
        <f t="shared" si="58"/>
        <v>0</v>
      </c>
      <c r="T173" s="3" t="str">
        <f t="shared" si="59"/>
        <v/>
      </c>
      <c r="U173" s="3" t="str">
        <f t="shared" si="60"/>
        <v/>
      </c>
      <c r="V173" s="3" t="str">
        <f t="shared" si="61"/>
        <v/>
      </c>
      <c r="W173" s="3" t="str">
        <f t="shared" si="62"/>
        <v/>
      </c>
      <c r="X173" s="3" t="str">
        <f>IF(L173&lt;&gt;"PLAYER","",IF(Y173="Y",INDEX(Players[Name],MATCH(M173,Players[Name],0)),IF(Y173="A",INDEX(Players[Name],MATCH(M173&amp;" ?",Players[Name],0)),M173)))</f>
        <v/>
      </c>
      <c r="Y173" s="3" t="str">
        <f>IF(L173&lt;&gt;"PLAYER","",IF(ISNUMBER(MATCH(M173,Players[Name],0)),"Y",IF(AA173=1,"A","N")))</f>
        <v/>
      </c>
      <c r="Z173" s="3" t="str">
        <f>IF(L173&lt;&gt;"PLAYER","",_xlfn.TEXTJOIN("; ",TRUE,IF(M173="","Empty name",IF(Y173="N",IF(AA173&gt;1,"Which "&amp;M173&amp;"? "&amp;AA173&amp;" players start with it (like "&amp;INDEX(Players[Name],MATCH(M173&amp;" ?",Players[Name],0))&amp;") - type the last initial",IF(ISNUMBER(FIND(" ",M173)),IF(IFERROR(IF(M173="",FALSE,OR(M173="Unknown",AND(LEN(M173)-LEN(SUBSTITUTE(M173," ",""))=1,LEN(M173)&gt;=4,MID(M173,LEN(M173)-1,1)=" ",CODE(RIGHT(M173,1))&gt;=65,CODE(RIGHT(M173,1))&lt;=90))),FALSE),"New player? Not on Players list - add it there first","Not on Players list and not First L format (like Zack B)")&amp;IF(ISNUMBER(MATCH(LEFT(M173,FIND(" ",M173)-1)&amp;" ?",Players[Name],0))," (same first name as "&amp;INDEX(Players[Name],MATCH(LEFT(M173,FIND(" ",M173)-1)&amp;" ?",Players[Name],0))&amp;")",""),"Not on Players list - type first name + last initial (like Zack B)")),"")),IF(OR(V173&lt;Pod_Min,V173&gt;Pod_Max),"Pod has "&amp;V173&amp;" players",""),IF(U173=0,IF(T173=0,"No winner (*) in pod",IF(T173&gt;1,T173&amp;" winners in pod","")),IF(U173&lt;V173,"Some = but not all players","")),IF(X173="Unknown","",IF(COUNTIFS($O$8:$O$257,O173,$Q$8:$Q$257,Q173,$X$8:$X$257,X173)&gt;1,"Name twice in pod",IF(COUNTIFS($O$8:$O$257,O173,$X$8:$X$257,X173)&gt;1,"Name in 2 pods this round","")))))</f>
        <v/>
      </c>
      <c r="AA173" s="3" t="str">
        <f>IF(L173&lt;&gt;"PLAYER","",IF(OR(M173="",ISNUMBER(FIND(" ",M173))),0,COUNTIF(Players[Name],M173&amp;" ?")))</f>
        <v/>
      </c>
    </row>
    <row r="174" spans="1:27" x14ac:dyDescent="0.45">
      <c r="A174" s="17"/>
      <c r="B174" s="6" t="str">
        <f t="shared" si="42"/>
        <v/>
      </c>
      <c r="C174" s="6" t="str">
        <f t="shared" si="43"/>
        <v/>
      </c>
      <c r="D174" s="6" t="str">
        <f t="shared" si="44"/>
        <v/>
      </c>
      <c r="E174" s="6" t="str">
        <f t="shared" si="45"/>
        <v/>
      </c>
      <c r="F174" s="6" t="str">
        <f t="shared" si="46"/>
        <v/>
      </c>
      <c r="G174" s="6" t="str">
        <f t="shared" si="47"/>
        <v/>
      </c>
      <c r="H174" s="10" t="str">
        <f t="shared" si="48"/>
        <v/>
      </c>
      <c r="I174" s="6" t="str">
        <f t="shared" si="49"/>
        <v/>
      </c>
      <c r="J174" s="3" t="str">
        <f>IFERROR(MATCH(ROWS(J$8:J174),$S$8:$S$257,0),"")</f>
        <v/>
      </c>
      <c r="K174" s="3" t="str">
        <f t="shared" si="50"/>
        <v/>
      </c>
      <c r="L174" s="3" t="str">
        <f t="shared" si="51"/>
        <v/>
      </c>
      <c r="M174" s="3" t="str">
        <f t="shared" si="52"/>
        <v/>
      </c>
      <c r="N174" s="3" t="str">
        <f t="shared" si="53"/>
        <v/>
      </c>
      <c r="O174" s="3">
        <f t="shared" si="54"/>
        <v>1</v>
      </c>
      <c r="P174" s="3">
        <f t="shared" si="55"/>
        <v>0</v>
      </c>
      <c r="Q174" s="3">
        <f t="shared" si="56"/>
        <v>0</v>
      </c>
      <c r="R174" s="3" t="str">
        <f t="shared" si="57"/>
        <v/>
      </c>
      <c r="S174" s="3">
        <f t="shared" si="58"/>
        <v>0</v>
      </c>
      <c r="T174" s="3" t="str">
        <f t="shared" si="59"/>
        <v/>
      </c>
      <c r="U174" s="3" t="str">
        <f t="shared" si="60"/>
        <v/>
      </c>
      <c r="V174" s="3" t="str">
        <f t="shared" si="61"/>
        <v/>
      </c>
      <c r="W174" s="3" t="str">
        <f t="shared" si="62"/>
        <v/>
      </c>
      <c r="X174" s="3" t="str">
        <f>IF(L174&lt;&gt;"PLAYER","",IF(Y174="Y",INDEX(Players[Name],MATCH(M174,Players[Name],0)),IF(Y174="A",INDEX(Players[Name],MATCH(M174&amp;" ?",Players[Name],0)),M174)))</f>
        <v/>
      </c>
      <c r="Y174" s="3" t="str">
        <f>IF(L174&lt;&gt;"PLAYER","",IF(ISNUMBER(MATCH(M174,Players[Name],0)),"Y",IF(AA174=1,"A","N")))</f>
        <v/>
      </c>
      <c r="Z174" s="3" t="str">
        <f>IF(L174&lt;&gt;"PLAYER","",_xlfn.TEXTJOIN("; ",TRUE,IF(M174="","Empty name",IF(Y174="N",IF(AA174&gt;1,"Which "&amp;M174&amp;"? "&amp;AA174&amp;" players start with it (like "&amp;INDEX(Players[Name],MATCH(M174&amp;" ?",Players[Name],0))&amp;") - type the last initial",IF(ISNUMBER(FIND(" ",M174)),IF(IFERROR(IF(M174="",FALSE,OR(M174="Unknown",AND(LEN(M174)-LEN(SUBSTITUTE(M174," ",""))=1,LEN(M174)&gt;=4,MID(M174,LEN(M174)-1,1)=" ",CODE(RIGHT(M174,1))&gt;=65,CODE(RIGHT(M174,1))&lt;=90))),FALSE),"New player? Not on Players list - add it there first","Not on Players list and not First L format (like Zack B)")&amp;IF(ISNUMBER(MATCH(LEFT(M174,FIND(" ",M174)-1)&amp;" ?",Players[Name],0))," (same first name as "&amp;INDEX(Players[Name],MATCH(LEFT(M174,FIND(" ",M174)-1)&amp;" ?",Players[Name],0))&amp;")",""),"Not on Players list - type first name + last initial (like Zack B)")),"")),IF(OR(V174&lt;Pod_Min,V174&gt;Pod_Max),"Pod has "&amp;V174&amp;" players",""),IF(U174=0,IF(T174=0,"No winner (*) in pod",IF(T174&gt;1,T174&amp;" winners in pod","")),IF(U174&lt;V174,"Some = but not all players","")),IF(X174="Unknown","",IF(COUNTIFS($O$8:$O$257,O174,$Q$8:$Q$257,Q174,$X$8:$X$257,X174)&gt;1,"Name twice in pod",IF(COUNTIFS($O$8:$O$257,O174,$X$8:$X$257,X174)&gt;1,"Name in 2 pods this round","")))))</f>
        <v/>
      </c>
      <c r="AA174" s="3" t="str">
        <f>IF(L174&lt;&gt;"PLAYER","",IF(OR(M174="",ISNUMBER(FIND(" ",M174))),0,COUNTIF(Players[Name],M174&amp;" ?")))</f>
        <v/>
      </c>
    </row>
    <row r="175" spans="1:27" x14ac:dyDescent="0.45">
      <c r="A175" s="17"/>
      <c r="B175" s="6" t="str">
        <f t="shared" si="42"/>
        <v/>
      </c>
      <c r="C175" s="6" t="str">
        <f t="shared" si="43"/>
        <v/>
      </c>
      <c r="D175" s="6" t="str">
        <f t="shared" si="44"/>
        <v/>
      </c>
      <c r="E175" s="6" t="str">
        <f t="shared" si="45"/>
        <v/>
      </c>
      <c r="F175" s="6" t="str">
        <f t="shared" si="46"/>
        <v/>
      </c>
      <c r="G175" s="6" t="str">
        <f t="shared" si="47"/>
        <v/>
      </c>
      <c r="H175" s="10" t="str">
        <f t="shared" si="48"/>
        <v/>
      </c>
      <c r="I175" s="6" t="str">
        <f t="shared" si="49"/>
        <v/>
      </c>
      <c r="J175" s="3" t="str">
        <f>IFERROR(MATCH(ROWS(J$8:J175),$S$8:$S$257,0),"")</f>
        <v/>
      </c>
      <c r="K175" s="3" t="str">
        <f t="shared" si="50"/>
        <v/>
      </c>
      <c r="L175" s="3" t="str">
        <f t="shared" si="51"/>
        <v/>
      </c>
      <c r="M175" s="3" t="str">
        <f t="shared" si="52"/>
        <v/>
      </c>
      <c r="N175" s="3" t="str">
        <f t="shared" si="53"/>
        <v/>
      </c>
      <c r="O175" s="3">
        <f t="shared" si="54"/>
        <v>1</v>
      </c>
      <c r="P175" s="3">
        <f t="shared" si="55"/>
        <v>0</v>
      </c>
      <c r="Q175" s="3">
        <f t="shared" si="56"/>
        <v>0</v>
      </c>
      <c r="R175" s="3" t="str">
        <f t="shared" si="57"/>
        <v/>
      </c>
      <c r="S175" s="3">
        <f t="shared" si="58"/>
        <v>0</v>
      </c>
      <c r="T175" s="3" t="str">
        <f t="shared" si="59"/>
        <v/>
      </c>
      <c r="U175" s="3" t="str">
        <f t="shared" si="60"/>
        <v/>
      </c>
      <c r="V175" s="3" t="str">
        <f t="shared" si="61"/>
        <v/>
      </c>
      <c r="W175" s="3" t="str">
        <f t="shared" si="62"/>
        <v/>
      </c>
      <c r="X175" s="3" t="str">
        <f>IF(L175&lt;&gt;"PLAYER","",IF(Y175="Y",INDEX(Players[Name],MATCH(M175,Players[Name],0)),IF(Y175="A",INDEX(Players[Name],MATCH(M175&amp;" ?",Players[Name],0)),M175)))</f>
        <v/>
      </c>
      <c r="Y175" s="3" t="str">
        <f>IF(L175&lt;&gt;"PLAYER","",IF(ISNUMBER(MATCH(M175,Players[Name],0)),"Y",IF(AA175=1,"A","N")))</f>
        <v/>
      </c>
      <c r="Z175" s="3" t="str">
        <f>IF(L175&lt;&gt;"PLAYER","",_xlfn.TEXTJOIN("; ",TRUE,IF(M175="","Empty name",IF(Y175="N",IF(AA175&gt;1,"Which "&amp;M175&amp;"? "&amp;AA175&amp;" players start with it (like "&amp;INDEX(Players[Name],MATCH(M175&amp;" ?",Players[Name],0))&amp;") - type the last initial",IF(ISNUMBER(FIND(" ",M175)),IF(IFERROR(IF(M175="",FALSE,OR(M175="Unknown",AND(LEN(M175)-LEN(SUBSTITUTE(M175," ",""))=1,LEN(M175)&gt;=4,MID(M175,LEN(M175)-1,1)=" ",CODE(RIGHT(M175,1))&gt;=65,CODE(RIGHT(M175,1))&lt;=90))),FALSE),"New player? Not on Players list - add it there first","Not on Players list and not First L format (like Zack B)")&amp;IF(ISNUMBER(MATCH(LEFT(M175,FIND(" ",M175)-1)&amp;" ?",Players[Name],0))," (same first name as "&amp;INDEX(Players[Name],MATCH(LEFT(M175,FIND(" ",M175)-1)&amp;" ?",Players[Name],0))&amp;")",""),"Not on Players list - type first name + last initial (like Zack B)")),"")),IF(OR(V175&lt;Pod_Min,V175&gt;Pod_Max),"Pod has "&amp;V175&amp;" players",""),IF(U175=0,IF(T175=0,"No winner (*) in pod",IF(T175&gt;1,T175&amp;" winners in pod","")),IF(U175&lt;V175,"Some = but not all players","")),IF(X175="Unknown","",IF(COUNTIFS($O$8:$O$257,O175,$Q$8:$Q$257,Q175,$X$8:$X$257,X175)&gt;1,"Name twice in pod",IF(COUNTIFS($O$8:$O$257,O175,$X$8:$X$257,X175)&gt;1,"Name in 2 pods this round","")))))</f>
        <v/>
      </c>
      <c r="AA175" s="3" t="str">
        <f>IF(L175&lt;&gt;"PLAYER","",IF(OR(M175="",ISNUMBER(FIND(" ",M175))),0,COUNTIF(Players[Name],M175&amp;" ?")))</f>
        <v/>
      </c>
    </row>
    <row r="176" spans="1:27" x14ac:dyDescent="0.45">
      <c r="A176" s="17"/>
      <c r="B176" s="6" t="str">
        <f t="shared" si="42"/>
        <v/>
      </c>
      <c r="C176" s="6" t="str">
        <f t="shared" si="43"/>
        <v/>
      </c>
      <c r="D176" s="6" t="str">
        <f t="shared" si="44"/>
        <v/>
      </c>
      <c r="E176" s="6" t="str">
        <f t="shared" si="45"/>
        <v/>
      </c>
      <c r="F176" s="6" t="str">
        <f t="shared" si="46"/>
        <v/>
      </c>
      <c r="G176" s="6" t="str">
        <f t="shared" si="47"/>
        <v/>
      </c>
      <c r="H176" s="10" t="str">
        <f t="shared" si="48"/>
        <v/>
      </c>
      <c r="I176" s="6" t="str">
        <f t="shared" si="49"/>
        <v/>
      </c>
      <c r="J176" s="3" t="str">
        <f>IFERROR(MATCH(ROWS(J$8:J176),$S$8:$S$257,0),"")</f>
        <v/>
      </c>
      <c r="K176" s="3" t="str">
        <f t="shared" si="50"/>
        <v/>
      </c>
      <c r="L176" s="3" t="str">
        <f t="shared" si="51"/>
        <v/>
      </c>
      <c r="M176" s="3" t="str">
        <f t="shared" si="52"/>
        <v/>
      </c>
      <c r="N176" s="3" t="str">
        <f t="shared" si="53"/>
        <v/>
      </c>
      <c r="O176" s="3">
        <f t="shared" si="54"/>
        <v>1</v>
      </c>
      <c r="P176" s="3">
        <f t="shared" si="55"/>
        <v>0</v>
      </c>
      <c r="Q176" s="3">
        <f t="shared" si="56"/>
        <v>0</v>
      </c>
      <c r="R176" s="3" t="str">
        <f t="shared" si="57"/>
        <v/>
      </c>
      <c r="S176" s="3">
        <f t="shared" si="58"/>
        <v>0</v>
      </c>
      <c r="T176" s="3" t="str">
        <f t="shared" si="59"/>
        <v/>
      </c>
      <c r="U176" s="3" t="str">
        <f t="shared" si="60"/>
        <v/>
      </c>
      <c r="V176" s="3" t="str">
        <f t="shared" si="61"/>
        <v/>
      </c>
      <c r="W176" s="3" t="str">
        <f t="shared" si="62"/>
        <v/>
      </c>
      <c r="X176" s="3" t="str">
        <f>IF(L176&lt;&gt;"PLAYER","",IF(Y176="Y",INDEX(Players[Name],MATCH(M176,Players[Name],0)),IF(Y176="A",INDEX(Players[Name],MATCH(M176&amp;" ?",Players[Name],0)),M176)))</f>
        <v/>
      </c>
      <c r="Y176" s="3" t="str">
        <f>IF(L176&lt;&gt;"PLAYER","",IF(ISNUMBER(MATCH(M176,Players[Name],0)),"Y",IF(AA176=1,"A","N")))</f>
        <v/>
      </c>
      <c r="Z176" s="3" t="str">
        <f>IF(L176&lt;&gt;"PLAYER","",_xlfn.TEXTJOIN("; ",TRUE,IF(M176="","Empty name",IF(Y176="N",IF(AA176&gt;1,"Which "&amp;M176&amp;"? "&amp;AA176&amp;" players start with it (like "&amp;INDEX(Players[Name],MATCH(M176&amp;" ?",Players[Name],0))&amp;") - type the last initial",IF(ISNUMBER(FIND(" ",M176)),IF(IFERROR(IF(M176="",FALSE,OR(M176="Unknown",AND(LEN(M176)-LEN(SUBSTITUTE(M176," ",""))=1,LEN(M176)&gt;=4,MID(M176,LEN(M176)-1,1)=" ",CODE(RIGHT(M176,1))&gt;=65,CODE(RIGHT(M176,1))&lt;=90))),FALSE),"New player? Not on Players list - add it there first","Not on Players list and not First L format (like Zack B)")&amp;IF(ISNUMBER(MATCH(LEFT(M176,FIND(" ",M176)-1)&amp;" ?",Players[Name],0))," (same first name as "&amp;INDEX(Players[Name],MATCH(LEFT(M176,FIND(" ",M176)-1)&amp;" ?",Players[Name],0))&amp;")",""),"Not on Players list - type first name + last initial (like Zack B)")),"")),IF(OR(V176&lt;Pod_Min,V176&gt;Pod_Max),"Pod has "&amp;V176&amp;" players",""),IF(U176=0,IF(T176=0,"No winner (*) in pod",IF(T176&gt;1,T176&amp;" winners in pod","")),IF(U176&lt;V176,"Some = but not all players","")),IF(X176="Unknown","",IF(COUNTIFS($O$8:$O$257,O176,$Q$8:$Q$257,Q176,$X$8:$X$257,X176)&gt;1,"Name twice in pod",IF(COUNTIFS($O$8:$O$257,O176,$X$8:$X$257,X176)&gt;1,"Name in 2 pods this round","")))))</f>
        <v/>
      </c>
      <c r="AA176" s="3" t="str">
        <f>IF(L176&lt;&gt;"PLAYER","",IF(OR(M176="",ISNUMBER(FIND(" ",M176))),0,COUNTIF(Players[Name],M176&amp;" ?")))</f>
        <v/>
      </c>
    </row>
    <row r="177" spans="1:27" x14ac:dyDescent="0.45">
      <c r="A177" s="17"/>
      <c r="B177" s="6" t="str">
        <f t="shared" si="42"/>
        <v/>
      </c>
      <c r="C177" s="6" t="str">
        <f t="shared" si="43"/>
        <v/>
      </c>
      <c r="D177" s="6" t="str">
        <f t="shared" si="44"/>
        <v/>
      </c>
      <c r="E177" s="6" t="str">
        <f t="shared" si="45"/>
        <v/>
      </c>
      <c r="F177" s="6" t="str">
        <f t="shared" si="46"/>
        <v/>
      </c>
      <c r="G177" s="6" t="str">
        <f t="shared" si="47"/>
        <v/>
      </c>
      <c r="H177" s="10" t="str">
        <f t="shared" si="48"/>
        <v/>
      </c>
      <c r="I177" s="6" t="str">
        <f t="shared" si="49"/>
        <v/>
      </c>
      <c r="J177" s="3" t="str">
        <f>IFERROR(MATCH(ROWS(J$8:J177),$S$8:$S$257,0),"")</f>
        <v/>
      </c>
      <c r="K177" s="3" t="str">
        <f t="shared" si="50"/>
        <v/>
      </c>
      <c r="L177" s="3" t="str">
        <f t="shared" si="51"/>
        <v/>
      </c>
      <c r="M177" s="3" t="str">
        <f t="shared" si="52"/>
        <v/>
      </c>
      <c r="N177" s="3" t="str">
        <f t="shared" si="53"/>
        <v/>
      </c>
      <c r="O177" s="3">
        <f t="shared" si="54"/>
        <v>1</v>
      </c>
      <c r="P177" s="3">
        <f t="shared" si="55"/>
        <v>0</v>
      </c>
      <c r="Q177" s="3">
        <f t="shared" si="56"/>
        <v>0</v>
      </c>
      <c r="R177" s="3" t="str">
        <f t="shared" si="57"/>
        <v/>
      </c>
      <c r="S177" s="3">
        <f t="shared" si="58"/>
        <v>0</v>
      </c>
      <c r="T177" s="3" t="str">
        <f t="shared" si="59"/>
        <v/>
      </c>
      <c r="U177" s="3" t="str">
        <f t="shared" si="60"/>
        <v/>
      </c>
      <c r="V177" s="3" t="str">
        <f t="shared" si="61"/>
        <v/>
      </c>
      <c r="W177" s="3" t="str">
        <f t="shared" si="62"/>
        <v/>
      </c>
      <c r="X177" s="3" t="str">
        <f>IF(L177&lt;&gt;"PLAYER","",IF(Y177="Y",INDEX(Players[Name],MATCH(M177,Players[Name],0)),IF(Y177="A",INDEX(Players[Name],MATCH(M177&amp;" ?",Players[Name],0)),M177)))</f>
        <v/>
      </c>
      <c r="Y177" s="3" t="str">
        <f>IF(L177&lt;&gt;"PLAYER","",IF(ISNUMBER(MATCH(M177,Players[Name],0)),"Y",IF(AA177=1,"A","N")))</f>
        <v/>
      </c>
      <c r="Z177" s="3" t="str">
        <f>IF(L177&lt;&gt;"PLAYER","",_xlfn.TEXTJOIN("; ",TRUE,IF(M177="","Empty name",IF(Y177="N",IF(AA177&gt;1,"Which "&amp;M177&amp;"? "&amp;AA177&amp;" players start with it (like "&amp;INDEX(Players[Name],MATCH(M177&amp;" ?",Players[Name],0))&amp;") - type the last initial",IF(ISNUMBER(FIND(" ",M177)),IF(IFERROR(IF(M177="",FALSE,OR(M177="Unknown",AND(LEN(M177)-LEN(SUBSTITUTE(M177," ",""))=1,LEN(M177)&gt;=4,MID(M177,LEN(M177)-1,1)=" ",CODE(RIGHT(M177,1))&gt;=65,CODE(RIGHT(M177,1))&lt;=90))),FALSE),"New player? Not on Players list - add it there first","Not on Players list and not First L format (like Zack B)")&amp;IF(ISNUMBER(MATCH(LEFT(M177,FIND(" ",M177)-1)&amp;" ?",Players[Name],0))," (same first name as "&amp;INDEX(Players[Name],MATCH(LEFT(M177,FIND(" ",M177)-1)&amp;" ?",Players[Name],0))&amp;")",""),"Not on Players list - type first name + last initial (like Zack B)")),"")),IF(OR(V177&lt;Pod_Min,V177&gt;Pod_Max),"Pod has "&amp;V177&amp;" players",""),IF(U177=0,IF(T177=0,"No winner (*) in pod",IF(T177&gt;1,T177&amp;" winners in pod","")),IF(U177&lt;V177,"Some = but not all players","")),IF(X177="Unknown","",IF(COUNTIFS($O$8:$O$257,O177,$Q$8:$Q$257,Q177,$X$8:$X$257,X177)&gt;1,"Name twice in pod",IF(COUNTIFS($O$8:$O$257,O177,$X$8:$X$257,X177)&gt;1,"Name in 2 pods this round","")))))</f>
        <v/>
      </c>
      <c r="AA177" s="3" t="str">
        <f>IF(L177&lt;&gt;"PLAYER","",IF(OR(M177="",ISNUMBER(FIND(" ",M177))),0,COUNTIF(Players[Name],M177&amp;" ?")))</f>
        <v/>
      </c>
    </row>
    <row r="178" spans="1:27" x14ac:dyDescent="0.45">
      <c r="A178" s="17"/>
      <c r="B178" s="6" t="str">
        <f t="shared" si="42"/>
        <v/>
      </c>
      <c r="C178" s="6" t="str">
        <f t="shared" si="43"/>
        <v/>
      </c>
      <c r="D178" s="6" t="str">
        <f t="shared" si="44"/>
        <v/>
      </c>
      <c r="E178" s="6" t="str">
        <f t="shared" si="45"/>
        <v/>
      </c>
      <c r="F178" s="6" t="str">
        <f t="shared" si="46"/>
        <v/>
      </c>
      <c r="G178" s="6" t="str">
        <f t="shared" si="47"/>
        <v/>
      </c>
      <c r="H178" s="10" t="str">
        <f t="shared" si="48"/>
        <v/>
      </c>
      <c r="I178" s="6" t="str">
        <f t="shared" si="49"/>
        <v/>
      </c>
      <c r="J178" s="3" t="str">
        <f>IFERROR(MATCH(ROWS(J$8:J178),$S$8:$S$257,0),"")</f>
        <v/>
      </c>
      <c r="K178" s="3" t="str">
        <f t="shared" si="50"/>
        <v/>
      </c>
      <c r="L178" s="3" t="str">
        <f t="shared" si="51"/>
        <v/>
      </c>
      <c r="M178" s="3" t="str">
        <f t="shared" si="52"/>
        <v/>
      </c>
      <c r="N178" s="3" t="str">
        <f t="shared" si="53"/>
        <v/>
      </c>
      <c r="O178" s="3">
        <f t="shared" si="54"/>
        <v>1</v>
      </c>
      <c r="P178" s="3">
        <f t="shared" si="55"/>
        <v>0</v>
      </c>
      <c r="Q178" s="3">
        <f t="shared" si="56"/>
        <v>0</v>
      </c>
      <c r="R178" s="3" t="str">
        <f t="shared" si="57"/>
        <v/>
      </c>
      <c r="S178" s="3">
        <f t="shared" si="58"/>
        <v>0</v>
      </c>
      <c r="T178" s="3" t="str">
        <f t="shared" si="59"/>
        <v/>
      </c>
      <c r="U178" s="3" t="str">
        <f t="shared" si="60"/>
        <v/>
      </c>
      <c r="V178" s="3" t="str">
        <f t="shared" si="61"/>
        <v/>
      </c>
      <c r="W178" s="3" t="str">
        <f t="shared" si="62"/>
        <v/>
      </c>
      <c r="X178" s="3" t="str">
        <f>IF(L178&lt;&gt;"PLAYER","",IF(Y178="Y",INDEX(Players[Name],MATCH(M178,Players[Name],0)),IF(Y178="A",INDEX(Players[Name],MATCH(M178&amp;" ?",Players[Name],0)),M178)))</f>
        <v/>
      </c>
      <c r="Y178" s="3" t="str">
        <f>IF(L178&lt;&gt;"PLAYER","",IF(ISNUMBER(MATCH(M178,Players[Name],0)),"Y",IF(AA178=1,"A","N")))</f>
        <v/>
      </c>
      <c r="Z178" s="3" t="str">
        <f>IF(L178&lt;&gt;"PLAYER","",_xlfn.TEXTJOIN("; ",TRUE,IF(M178="","Empty name",IF(Y178="N",IF(AA178&gt;1,"Which "&amp;M178&amp;"? "&amp;AA178&amp;" players start with it (like "&amp;INDEX(Players[Name],MATCH(M178&amp;" ?",Players[Name],0))&amp;") - type the last initial",IF(ISNUMBER(FIND(" ",M178)),IF(IFERROR(IF(M178="",FALSE,OR(M178="Unknown",AND(LEN(M178)-LEN(SUBSTITUTE(M178," ",""))=1,LEN(M178)&gt;=4,MID(M178,LEN(M178)-1,1)=" ",CODE(RIGHT(M178,1))&gt;=65,CODE(RIGHT(M178,1))&lt;=90))),FALSE),"New player? Not on Players list - add it there first","Not on Players list and not First L format (like Zack B)")&amp;IF(ISNUMBER(MATCH(LEFT(M178,FIND(" ",M178)-1)&amp;" ?",Players[Name],0))," (same first name as "&amp;INDEX(Players[Name],MATCH(LEFT(M178,FIND(" ",M178)-1)&amp;" ?",Players[Name],0))&amp;")",""),"Not on Players list - type first name + last initial (like Zack B)")),"")),IF(OR(V178&lt;Pod_Min,V178&gt;Pod_Max),"Pod has "&amp;V178&amp;" players",""),IF(U178=0,IF(T178=0,"No winner (*) in pod",IF(T178&gt;1,T178&amp;" winners in pod","")),IF(U178&lt;V178,"Some = but not all players","")),IF(X178="Unknown","",IF(COUNTIFS($O$8:$O$257,O178,$Q$8:$Q$257,Q178,$X$8:$X$257,X178)&gt;1,"Name twice in pod",IF(COUNTIFS($O$8:$O$257,O178,$X$8:$X$257,X178)&gt;1,"Name in 2 pods this round","")))))</f>
        <v/>
      </c>
      <c r="AA178" s="3" t="str">
        <f>IF(L178&lt;&gt;"PLAYER","",IF(OR(M178="",ISNUMBER(FIND(" ",M178))),0,COUNTIF(Players[Name],M178&amp;" ?")))</f>
        <v/>
      </c>
    </row>
    <row r="179" spans="1:27" x14ac:dyDescent="0.45">
      <c r="A179" s="17"/>
      <c r="B179" s="6" t="str">
        <f t="shared" si="42"/>
        <v/>
      </c>
      <c r="C179" s="6" t="str">
        <f t="shared" si="43"/>
        <v/>
      </c>
      <c r="D179" s="6" t="str">
        <f t="shared" si="44"/>
        <v/>
      </c>
      <c r="E179" s="6" t="str">
        <f t="shared" si="45"/>
        <v/>
      </c>
      <c r="F179" s="6" t="str">
        <f t="shared" si="46"/>
        <v/>
      </c>
      <c r="G179" s="6" t="str">
        <f t="shared" si="47"/>
        <v/>
      </c>
      <c r="H179" s="10" t="str">
        <f t="shared" si="48"/>
        <v/>
      </c>
      <c r="I179" s="6" t="str">
        <f t="shared" si="49"/>
        <v/>
      </c>
      <c r="J179" s="3" t="str">
        <f>IFERROR(MATCH(ROWS(J$8:J179),$S$8:$S$257,0),"")</f>
        <v/>
      </c>
      <c r="K179" s="3" t="str">
        <f t="shared" si="50"/>
        <v/>
      </c>
      <c r="L179" s="3" t="str">
        <f t="shared" si="51"/>
        <v/>
      </c>
      <c r="M179" s="3" t="str">
        <f t="shared" si="52"/>
        <v/>
      </c>
      <c r="N179" s="3" t="str">
        <f t="shared" si="53"/>
        <v/>
      </c>
      <c r="O179" s="3">
        <f t="shared" si="54"/>
        <v>1</v>
      </c>
      <c r="P179" s="3">
        <f t="shared" si="55"/>
        <v>0</v>
      </c>
      <c r="Q179" s="3">
        <f t="shared" si="56"/>
        <v>0</v>
      </c>
      <c r="R179" s="3" t="str">
        <f t="shared" si="57"/>
        <v/>
      </c>
      <c r="S179" s="3">
        <f t="shared" si="58"/>
        <v>0</v>
      </c>
      <c r="T179" s="3" t="str">
        <f t="shared" si="59"/>
        <v/>
      </c>
      <c r="U179" s="3" t="str">
        <f t="shared" si="60"/>
        <v/>
      </c>
      <c r="V179" s="3" t="str">
        <f t="shared" si="61"/>
        <v/>
      </c>
      <c r="W179" s="3" t="str">
        <f t="shared" si="62"/>
        <v/>
      </c>
      <c r="X179" s="3" t="str">
        <f>IF(L179&lt;&gt;"PLAYER","",IF(Y179="Y",INDEX(Players[Name],MATCH(M179,Players[Name],0)),IF(Y179="A",INDEX(Players[Name],MATCH(M179&amp;" ?",Players[Name],0)),M179)))</f>
        <v/>
      </c>
      <c r="Y179" s="3" t="str">
        <f>IF(L179&lt;&gt;"PLAYER","",IF(ISNUMBER(MATCH(M179,Players[Name],0)),"Y",IF(AA179=1,"A","N")))</f>
        <v/>
      </c>
      <c r="Z179" s="3" t="str">
        <f>IF(L179&lt;&gt;"PLAYER","",_xlfn.TEXTJOIN("; ",TRUE,IF(M179="","Empty name",IF(Y179="N",IF(AA179&gt;1,"Which "&amp;M179&amp;"? "&amp;AA179&amp;" players start with it (like "&amp;INDEX(Players[Name],MATCH(M179&amp;" ?",Players[Name],0))&amp;") - type the last initial",IF(ISNUMBER(FIND(" ",M179)),IF(IFERROR(IF(M179="",FALSE,OR(M179="Unknown",AND(LEN(M179)-LEN(SUBSTITUTE(M179," ",""))=1,LEN(M179)&gt;=4,MID(M179,LEN(M179)-1,1)=" ",CODE(RIGHT(M179,1))&gt;=65,CODE(RIGHT(M179,1))&lt;=90))),FALSE),"New player? Not on Players list - add it there first","Not on Players list and not First L format (like Zack B)")&amp;IF(ISNUMBER(MATCH(LEFT(M179,FIND(" ",M179)-1)&amp;" ?",Players[Name],0))," (same first name as "&amp;INDEX(Players[Name],MATCH(LEFT(M179,FIND(" ",M179)-1)&amp;" ?",Players[Name],0))&amp;")",""),"Not on Players list - type first name + last initial (like Zack B)")),"")),IF(OR(V179&lt;Pod_Min,V179&gt;Pod_Max),"Pod has "&amp;V179&amp;" players",""),IF(U179=0,IF(T179=0,"No winner (*) in pod",IF(T179&gt;1,T179&amp;" winners in pod","")),IF(U179&lt;V179,"Some = but not all players","")),IF(X179="Unknown","",IF(COUNTIFS($O$8:$O$257,O179,$Q$8:$Q$257,Q179,$X$8:$X$257,X179)&gt;1,"Name twice in pod",IF(COUNTIFS($O$8:$O$257,O179,$X$8:$X$257,X179)&gt;1,"Name in 2 pods this round","")))))</f>
        <v/>
      </c>
      <c r="AA179" s="3" t="str">
        <f>IF(L179&lt;&gt;"PLAYER","",IF(OR(M179="",ISNUMBER(FIND(" ",M179))),0,COUNTIF(Players[Name],M179&amp;" ?")))</f>
        <v/>
      </c>
    </row>
    <row r="180" spans="1:27" x14ac:dyDescent="0.45">
      <c r="A180" s="17"/>
      <c r="B180" s="6" t="str">
        <f t="shared" si="42"/>
        <v/>
      </c>
      <c r="C180" s="6" t="str">
        <f t="shared" si="43"/>
        <v/>
      </c>
      <c r="D180" s="6" t="str">
        <f t="shared" si="44"/>
        <v/>
      </c>
      <c r="E180" s="6" t="str">
        <f t="shared" si="45"/>
        <v/>
      </c>
      <c r="F180" s="6" t="str">
        <f t="shared" si="46"/>
        <v/>
      </c>
      <c r="G180" s="6" t="str">
        <f t="shared" si="47"/>
        <v/>
      </c>
      <c r="H180" s="10" t="str">
        <f t="shared" si="48"/>
        <v/>
      </c>
      <c r="I180" s="6" t="str">
        <f t="shared" si="49"/>
        <v/>
      </c>
      <c r="J180" s="3" t="str">
        <f>IFERROR(MATCH(ROWS(J$8:J180),$S$8:$S$257,0),"")</f>
        <v/>
      </c>
      <c r="K180" s="3" t="str">
        <f t="shared" si="50"/>
        <v/>
      </c>
      <c r="L180" s="3" t="str">
        <f t="shared" si="51"/>
        <v/>
      </c>
      <c r="M180" s="3" t="str">
        <f t="shared" si="52"/>
        <v/>
      </c>
      <c r="N180" s="3" t="str">
        <f t="shared" si="53"/>
        <v/>
      </c>
      <c r="O180" s="3">
        <f t="shared" si="54"/>
        <v>1</v>
      </c>
      <c r="P180" s="3">
        <f t="shared" si="55"/>
        <v>0</v>
      </c>
      <c r="Q180" s="3">
        <f t="shared" si="56"/>
        <v>0</v>
      </c>
      <c r="R180" s="3" t="str">
        <f t="shared" si="57"/>
        <v/>
      </c>
      <c r="S180" s="3">
        <f t="shared" si="58"/>
        <v>0</v>
      </c>
      <c r="T180" s="3" t="str">
        <f t="shared" si="59"/>
        <v/>
      </c>
      <c r="U180" s="3" t="str">
        <f t="shared" si="60"/>
        <v/>
      </c>
      <c r="V180" s="3" t="str">
        <f t="shared" si="61"/>
        <v/>
      </c>
      <c r="W180" s="3" t="str">
        <f t="shared" si="62"/>
        <v/>
      </c>
      <c r="X180" s="3" t="str">
        <f>IF(L180&lt;&gt;"PLAYER","",IF(Y180="Y",INDEX(Players[Name],MATCH(M180,Players[Name],0)),IF(Y180="A",INDEX(Players[Name],MATCH(M180&amp;" ?",Players[Name],0)),M180)))</f>
        <v/>
      </c>
      <c r="Y180" s="3" t="str">
        <f>IF(L180&lt;&gt;"PLAYER","",IF(ISNUMBER(MATCH(M180,Players[Name],0)),"Y",IF(AA180=1,"A","N")))</f>
        <v/>
      </c>
      <c r="Z180" s="3" t="str">
        <f>IF(L180&lt;&gt;"PLAYER","",_xlfn.TEXTJOIN("; ",TRUE,IF(M180="","Empty name",IF(Y180="N",IF(AA180&gt;1,"Which "&amp;M180&amp;"? "&amp;AA180&amp;" players start with it (like "&amp;INDEX(Players[Name],MATCH(M180&amp;" ?",Players[Name],0))&amp;") - type the last initial",IF(ISNUMBER(FIND(" ",M180)),IF(IFERROR(IF(M180="",FALSE,OR(M180="Unknown",AND(LEN(M180)-LEN(SUBSTITUTE(M180," ",""))=1,LEN(M180)&gt;=4,MID(M180,LEN(M180)-1,1)=" ",CODE(RIGHT(M180,1))&gt;=65,CODE(RIGHT(M180,1))&lt;=90))),FALSE),"New player? Not on Players list - add it there first","Not on Players list and not First L format (like Zack B)")&amp;IF(ISNUMBER(MATCH(LEFT(M180,FIND(" ",M180)-1)&amp;" ?",Players[Name],0))," (same first name as "&amp;INDEX(Players[Name],MATCH(LEFT(M180,FIND(" ",M180)-1)&amp;" ?",Players[Name],0))&amp;")",""),"Not on Players list - type first name + last initial (like Zack B)")),"")),IF(OR(V180&lt;Pod_Min,V180&gt;Pod_Max),"Pod has "&amp;V180&amp;" players",""),IF(U180=0,IF(T180=0,"No winner (*) in pod",IF(T180&gt;1,T180&amp;" winners in pod","")),IF(U180&lt;V180,"Some = but not all players","")),IF(X180="Unknown","",IF(COUNTIFS($O$8:$O$257,O180,$Q$8:$Q$257,Q180,$X$8:$X$257,X180)&gt;1,"Name twice in pod",IF(COUNTIFS($O$8:$O$257,O180,$X$8:$X$257,X180)&gt;1,"Name in 2 pods this round","")))))</f>
        <v/>
      </c>
      <c r="AA180" s="3" t="str">
        <f>IF(L180&lt;&gt;"PLAYER","",IF(OR(M180="",ISNUMBER(FIND(" ",M180))),0,COUNTIF(Players[Name],M180&amp;" ?")))</f>
        <v/>
      </c>
    </row>
    <row r="181" spans="1:27" x14ac:dyDescent="0.45">
      <c r="A181" s="17"/>
      <c r="B181" s="6" t="str">
        <f t="shared" si="42"/>
        <v/>
      </c>
      <c r="C181" s="6" t="str">
        <f t="shared" si="43"/>
        <v/>
      </c>
      <c r="D181" s="6" t="str">
        <f t="shared" si="44"/>
        <v/>
      </c>
      <c r="E181" s="6" t="str">
        <f t="shared" si="45"/>
        <v/>
      </c>
      <c r="F181" s="6" t="str">
        <f t="shared" si="46"/>
        <v/>
      </c>
      <c r="G181" s="6" t="str">
        <f t="shared" si="47"/>
        <v/>
      </c>
      <c r="H181" s="10" t="str">
        <f t="shared" si="48"/>
        <v/>
      </c>
      <c r="I181" s="6" t="str">
        <f t="shared" si="49"/>
        <v/>
      </c>
      <c r="J181" s="3" t="str">
        <f>IFERROR(MATCH(ROWS(J$8:J181),$S$8:$S$257,0),"")</f>
        <v/>
      </c>
      <c r="K181" s="3" t="str">
        <f t="shared" si="50"/>
        <v/>
      </c>
      <c r="L181" s="3" t="str">
        <f t="shared" si="51"/>
        <v/>
      </c>
      <c r="M181" s="3" t="str">
        <f t="shared" si="52"/>
        <v/>
      </c>
      <c r="N181" s="3" t="str">
        <f t="shared" si="53"/>
        <v/>
      </c>
      <c r="O181" s="3">
        <f t="shared" si="54"/>
        <v>1</v>
      </c>
      <c r="P181" s="3">
        <f t="shared" si="55"/>
        <v>0</v>
      </c>
      <c r="Q181" s="3">
        <f t="shared" si="56"/>
        <v>0</v>
      </c>
      <c r="R181" s="3" t="str">
        <f t="shared" si="57"/>
        <v/>
      </c>
      <c r="S181" s="3">
        <f t="shared" si="58"/>
        <v>0</v>
      </c>
      <c r="T181" s="3" t="str">
        <f t="shared" si="59"/>
        <v/>
      </c>
      <c r="U181" s="3" t="str">
        <f t="shared" si="60"/>
        <v/>
      </c>
      <c r="V181" s="3" t="str">
        <f t="shared" si="61"/>
        <v/>
      </c>
      <c r="W181" s="3" t="str">
        <f t="shared" si="62"/>
        <v/>
      </c>
      <c r="X181" s="3" t="str">
        <f>IF(L181&lt;&gt;"PLAYER","",IF(Y181="Y",INDEX(Players[Name],MATCH(M181,Players[Name],0)),IF(Y181="A",INDEX(Players[Name],MATCH(M181&amp;" ?",Players[Name],0)),M181)))</f>
        <v/>
      </c>
      <c r="Y181" s="3" t="str">
        <f>IF(L181&lt;&gt;"PLAYER","",IF(ISNUMBER(MATCH(M181,Players[Name],0)),"Y",IF(AA181=1,"A","N")))</f>
        <v/>
      </c>
      <c r="Z181" s="3" t="str">
        <f>IF(L181&lt;&gt;"PLAYER","",_xlfn.TEXTJOIN("; ",TRUE,IF(M181="","Empty name",IF(Y181="N",IF(AA181&gt;1,"Which "&amp;M181&amp;"? "&amp;AA181&amp;" players start with it (like "&amp;INDEX(Players[Name],MATCH(M181&amp;" ?",Players[Name],0))&amp;") - type the last initial",IF(ISNUMBER(FIND(" ",M181)),IF(IFERROR(IF(M181="",FALSE,OR(M181="Unknown",AND(LEN(M181)-LEN(SUBSTITUTE(M181," ",""))=1,LEN(M181)&gt;=4,MID(M181,LEN(M181)-1,1)=" ",CODE(RIGHT(M181,1))&gt;=65,CODE(RIGHT(M181,1))&lt;=90))),FALSE),"New player? Not on Players list - add it there first","Not on Players list and not First L format (like Zack B)")&amp;IF(ISNUMBER(MATCH(LEFT(M181,FIND(" ",M181)-1)&amp;" ?",Players[Name],0))," (same first name as "&amp;INDEX(Players[Name],MATCH(LEFT(M181,FIND(" ",M181)-1)&amp;" ?",Players[Name],0))&amp;")",""),"Not on Players list - type first name + last initial (like Zack B)")),"")),IF(OR(V181&lt;Pod_Min,V181&gt;Pod_Max),"Pod has "&amp;V181&amp;" players",""),IF(U181=0,IF(T181=0,"No winner (*) in pod",IF(T181&gt;1,T181&amp;" winners in pod","")),IF(U181&lt;V181,"Some = but not all players","")),IF(X181="Unknown","",IF(COUNTIFS($O$8:$O$257,O181,$Q$8:$Q$257,Q181,$X$8:$X$257,X181)&gt;1,"Name twice in pod",IF(COUNTIFS($O$8:$O$257,O181,$X$8:$X$257,X181)&gt;1,"Name in 2 pods this round","")))))</f>
        <v/>
      </c>
      <c r="AA181" s="3" t="str">
        <f>IF(L181&lt;&gt;"PLAYER","",IF(OR(M181="",ISNUMBER(FIND(" ",M181))),0,COUNTIF(Players[Name],M181&amp;" ?")))</f>
        <v/>
      </c>
    </row>
    <row r="182" spans="1:27" x14ac:dyDescent="0.45">
      <c r="A182" s="17"/>
      <c r="B182" s="6" t="str">
        <f t="shared" si="42"/>
        <v/>
      </c>
      <c r="C182" s="6" t="str">
        <f t="shared" si="43"/>
        <v/>
      </c>
      <c r="D182" s="6" t="str">
        <f t="shared" si="44"/>
        <v/>
      </c>
      <c r="E182" s="6" t="str">
        <f t="shared" si="45"/>
        <v/>
      </c>
      <c r="F182" s="6" t="str">
        <f t="shared" si="46"/>
        <v/>
      </c>
      <c r="G182" s="6" t="str">
        <f t="shared" si="47"/>
        <v/>
      </c>
      <c r="H182" s="10" t="str">
        <f t="shared" si="48"/>
        <v/>
      </c>
      <c r="I182" s="6" t="str">
        <f t="shared" si="49"/>
        <v/>
      </c>
      <c r="J182" s="3" t="str">
        <f>IFERROR(MATCH(ROWS(J$8:J182),$S$8:$S$257,0),"")</f>
        <v/>
      </c>
      <c r="K182" s="3" t="str">
        <f t="shared" si="50"/>
        <v/>
      </c>
      <c r="L182" s="3" t="str">
        <f t="shared" si="51"/>
        <v/>
      </c>
      <c r="M182" s="3" t="str">
        <f t="shared" si="52"/>
        <v/>
      </c>
      <c r="N182" s="3" t="str">
        <f t="shared" si="53"/>
        <v/>
      </c>
      <c r="O182" s="3">
        <f t="shared" si="54"/>
        <v>1</v>
      </c>
      <c r="P182" s="3">
        <f t="shared" si="55"/>
        <v>0</v>
      </c>
      <c r="Q182" s="3">
        <f t="shared" si="56"/>
        <v>0</v>
      </c>
      <c r="R182" s="3" t="str">
        <f t="shared" si="57"/>
        <v/>
      </c>
      <c r="S182" s="3">
        <f t="shared" si="58"/>
        <v>0</v>
      </c>
      <c r="T182" s="3" t="str">
        <f t="shared" si="59"/>
        <v/>
      </c>
      <c r="U182" s="3" t="str">
        <f t="shared" si="60"/>
        <v/>
      </c>
      <c r="V182" s="3" t="str">
        <f t="shared" si="61"/>
        <v/>
      </c>
      <c r="W182" s="3" t="str">
        <f t="shared" si="62"/>
        <v/>
      </c>
      <c r="X182" s="3" t="str">
        <f>IF(L182&lt;&gt;"PLAYER","",IF(Y182="Y",INDEX(Players[Name],MATCH(M182,Players[Name],0)),IF(Y182="A",INDEX(Players[Name],MATCH(M182&amp;" ?",Players[Name],0)),M182)))</f>
        <v/>
      </c>
      <c r="Y182" s="3" t="str">
        <f>IF(L182&lt;&gt;"PLAYER","",IF(ISNUMBER(MATCH(M182,Players[Name],0)),"Y",IF(AA182=1,"A","N")))</f>
        <v/>
      </c>
      <c r="Z182" s="3" t="str">
        <f>IF(L182&lt;&gt;"PLAYER","",_xlfn.TEXTJOIN("; ",TRUE,IF(M182="","Empty name",IF(Y182="N",IF(AA182&gt;1,"Which "&amp;M182&amp;"? "&amp;AA182&amp;" players start with it (like "&amp;INDEX(Players[Name],MATCH(M182&amp;" ?",Players[Name],0))&amp;") - type the last initial",IF(ISNUMBER(FIND(" ",M182)),IF(IFERROR(IF(M182="",FALSE,OR(M182="Unknown",AND(LEN(M182)-LEN(SUBSTITUTE(M182," ",""))=1,LEN(M182)&gt;=4,MID(M182,LEN(M182)-1,1)=" ",CODE(RIGHT(M182,1))&gt;=65,CODE(RIGHT(M182,1))&lt;=90))),FALSE),"New player? Not on Players list - add it there first","Not on Players list and not First L format (like Zack B)")&amp;IF(ISNUMBER(MATCH(LEFT(M182,FIND(" ",M182)-1)&amp;" ?",Players[Name],0))," (same first name as "&amp;INDEX(Players[Name],MATCH(LEFT(M182,FIND(" ",M182)-1)&amp;" ?",Players[Name],0))&amp;")",""),"Not on Players list - type first name + last initial (like Zack B)")),"")),IF(OR(V182&lt;Pod_Min,V182&gt;Pod_Max),"Pod has "&amp;V182&amp;" players",""),IF(U182=0,IF(T182=0,"No winner (*) in pod",IF(T182&gt;1,T182&amp;" winners in pod","")),IF(U182&lt;V182,"Some = but not all players","")),IF(X182="Unknown","",IF(COUNTIFS($O$8:$O$257,O182,$Q$8:$Q$257,Q182,$X$8:$X$257,X182)&gt;1,"Name twice in pod",IF(COUNTIFS($O$8:$O$257,O182,$X$8:$X$257,X182)&gt;1,"Name in 2 pods this round","")))))</f>
        <v/>
      </c>
      <c r="AA182" s="3" t="str">
        <f>IF(L182&lt;&gt;"PLAYER","",IF(OR(M182="",ISNUMBER(FIND(" ",M182))),0,COUNTIF(Players[Name],M182&amp;" ?")))</f>
        <v/>
      </c>
    </row>
    <row r="183" spans="1:27" x14ac:dyDescent="0.45">
      <c r="A183" s="17"/>
      <c r="B183" s="6" t="str">
        <f t="shared" si="42"/>
        <v/>
      </c>
      <c r="C183" s="6" t="str">
        <f t="shared" si="43"/>
        <v/>
      </c>
      <c r="D183" s="6" t="str">
        <f t="shared" si="44"/>
        <v/>
      </c>
      <c r="E183" s="6" t="str">
        <f t="shared" si="45"/>
        <v/>
      </c>
      <c r="F183" s="6" t="str">
        <f t="shared" si="46"/>
        <v/>
      </c>
      <c r="G183" s="6" t="str">
        <f t="shared" si="47"/>
        <v/>
      </c>
      <c r="H183" s="10" t="str">
        <f t="shared" si="48"/>
        <v/>
      </c>
      <c r="I183" s="6" t="str">
        <f t="shared" si="49"/>
        <v/>
      </c>
      <c r="J183" s="3" t="str">
        <f>IFERROR(MATCH(ROWS(J$8:J183),$S$8:$S$257,0),"")</f>
        <v/>
      </c>
      <c r="K183" s="3" t="str">
        <f t="shared" si="50"/>
        <v/>
      </c>
      <c r="L183" s="3" t="str">
        <f t="shared" si="51"/>
        <v/>
      </c>
      <c r="M183" s="3" t="str">
        <f t="shared" si="52"/>
        <v/>
      </c>
      <c r="N183" s="3" t="str">
        <f t="shared" si="53"/>
        <v/>
      </c>
      <c r="O183" s="3">
        <f t="shared" si="54"/>
        <v>1</v>
      </c>
      <c r="P183" s="3">
        <f t="shared" si="55"/>
        <v>0</v>
      </c>
      <c r="Q183" s="3">
        <f t="shared" si="56"/>
        <v>0</v>
      </c>
      <c r="R183" s="3" t="str">
        <f t="shared" si="57"/>
        <v/>
      </c>
      <c r="S183" s="3">
        <f t="shared" si="58"/>
        <v>0</v>
      </c>
      <c r="T183" s="3" t="str">
        <f t="shared" si="59"/>
        <v/>
      </c>
      <c r="U183" s="3" t="str">
        <f t="shared" si="60"/>
        <v/>
      </c>
      <c r="V183" s="3" t="str">
        <f t="shared" si="61"/>
        <v/>
      </c>
      <c r="W183" s="3" t="str">
        <f t="shared" si="62"/>
        <v/>
      </c>
      <c r="X183" s="3" t="str">
        <f>IF(L183&lt;&gt;"PLAYER","",IF(Y183="Y",INDEX(Players[Name],MATCH(M183,Players[Name],0)),IF(Y183="A",INDEX(Players[Name],MATCH(M183&amp;" ?",Players[Name],0)),M183)))</f>
        <v/>
      </c>
      <c r="Y183" s="3" t="str">
        <f>IF(L183&lt;&gt;"PLAYER","",IF(ISNUMBER(MATCH(M183,Players[Name],0)),"Y",IF(AA183=1,"A","N")))</f>
        <v/>
      </c>
      <c r="Z183" s="3" t="str">
        <f>IF(L183&lt;&gt;"PLAYER","",_xlfn.TEXTJOIN("; ",TRUE,IF(M183="","Empty name",IF(Y183="N",IF(AA183&gt;1,"Which "&amp;M183&amp;"? "&amp;AA183&amp;" players start with it (like "&amp;INDEX(Players[Name],MATCH(M183&amp;" ?",Players[Name],0))&amp;") - type the last initial",IF(ISNUMBER(FIND(" ",M183)),IF(IFERROR(IF(M183="",FALSE,OR(M183="Unknown",AND(LEN(M183)-LEN(SUBSTITUTE(M183," ",""))=1,LEN(M183)&gt;=4,MID(M183,LEN(M183)-1,1)=" ",CODE(RIGHT(M183,1))&gt;=65,CODE(RIGHT(M183,1))&lt;=90))),FALSE),"New player? Not on Players list - add it there first","Not on Players list and not First L format (like Zack B)")&amp;IF(ISNUMBER(MATCH(LEFT(M183,FIND(" ",M183)-1)&amp;" ?",Players[Name],0))," (same first name as "&amp;INDEX(Players[Name],MATCH(LEFT(M183,FIND(" ",M183)-1)&amp;" ?",Players[Name],0))&amp;")",""),"Not on Players list - type first name + last initial (like Zack B)")),"")),IF(OR(V183&lt;Pod_Min,V183&gt;Pod_Max),"Pod has "&amp;V183&amp;" players",""),IF(U183=0,IF(T183=0,"No winner (*) in pod",IF(T183&gt;1,T183&amp;" winners in pod","")),IF(U183&lt;V183,"Some = but not all players","")),IF(X183="Unknown","",IF(COUNTIFS($O$8:$O$257,O183,$Q$8:$Q$257,Q183,$X$8:$X$257,X183)&gt;1,"Name twice in pod",IF(COUNTIFS($O$8:$O$257,O183,$X$8:$X$257,X183)&gt;1,"Name in 2 pods this round","")))))</f>
        <v/>
      </c>
      <c r="AA183" s="3" t="str">
        <f>IF(L183&lt;&gt;"PLAYER","",IF(OR(M183="",ISNUMBER(FIND(" ",M183))),0,COUNTIF(Players[Name],M183&amp;" ?")))</f>
        <v/>
      </c>
    </row>
    <row r="184" spans="1:27" x14ac:dyDescent="0.45">
      <c r="A184" s="17"/>
      <c r="B184" s="6" t="str">
        <f t="shared" si="42"/>
        <v/>
      </c>
      <c r="C184" s="6" t="str">
        <f t="shared" si="43"/>
        <v/>
      </c>
      <c r="D184" s="6" t="str">
        <f t="shared" si="44"/>
        <v/>
      </c>
      <c r="E184" s="6" t="str">
        <f t="shared" si="45"/>
        <v/>
      </c>
      <c r="F184" s="6" t="str">
        <f t="shared" si="46"/>
        <v/>
      </c>
      <c r="G184" s="6" t="str">
        <f t="shared" si="47"/>
        <v/>
      </c>
      <c r="H184" s="10" t="str">
        <f t="shared" si="48"/>
        <v/>
      </c>
      <c r="I184" s="6" t="str">
        <f t="shared" si="49"/>
        <v/>
      </c>
      <c r="J184" s="3" t="str">
        <f>IFERROR(MATCH(ROWS(J$8:J184),$S$8:$S$257,0),"")</f>
        <v/>
      </c>
      <c r="K184" s="3" t="str">
        <f t="shared" si="50"/>
        <v/>
      </c>
      <c r="L184" s="3" t="str">
        <f t="shared" si="51"/>
        <v/>
      </c>
      <c r="M184" s="3" t="str">
        <f t="shared" si="52"/>
        <v/>
      </c>
      <c r="N184" s="3" t="str">
        <f t="shared" si="53"/>
        <v/>
      </c>
      <c r="O184" s="3">
        <f t="shared" si="54"/>
        <v>1</v>
      </c>
      <c r="P184" s="3">
        <f t="shared" si="55"/>
        <v>0</v>
      </c>
      <c r="Q184" s="3">
        <f t="shared" si="56"/>
        <v>0</v>
      </c>
      <c r="R184" s="3" t="str">
        <f t="shared" si="57"/>
        <v/>
      </c>
      <c r="S184" s="3">
        <f t="shared" si="58"/>
        <v>0</v>
      </c>
      <c r="T184" s="3" t="str">
        <f t="shared" si="59"/>
        <v/>
      </c>
      <c r="U184" s="3" t="str">
        <f t="shared" si="60"/>
        <v/>
      </c>
      <c r="V184" s="3" t="str">
        <f t="shared" si="61"/>
        <v/>
      </c>
      <c r="W184" s="3" t="str">
        <f t="shared" si="62"/>
        <v/>
      </c>
      <c r="X184" s="3" t="str">
        <f>IF(L184&lt;&gt;"PLAYER","",IF(Y184="Y",INDEX(Players[Name],MATCH(M184,Players[Name],0)),IF(Y184="A",INDEX(Players[Name],MATCH(M184&amp;" ?",Players[Name],0)),M184)))</f>
        <v/>
      </c>
      <c r="Y184" s="3" t="str">
        <f>IF(L184&lt;&gt;"PLAYER","",IF(ISNUMBER(MATCH(M184,Players[Name],0)),"Y",IF(AA184=1,"A","N")))</f>
        <v/>
      </c>
      <c r="Z184" s="3" t="str">
        <f>IF(L184&lt;&gt;"PLAYER","",_xlfn.TEXTJOIN("; ",TRUE,IF(M184="","Empty name",IF(Y184="N",IF(AA184&gt;1,"Which "&amp;M184&amp;"? "&amp;AA184&amp;" players start with it (like "&amp;INDEX(Players[Name],MATCH(M184&amp;" ?",Players[Name],0))&amp;") - type the last initial",IF(ISNUMBER(FIND(" ",M184)),IF(IFERROR(IF(M184="",FALSE,OR(M184="Unknown",AND(LEN(M184)-LEN(SUBSTITUTE(M184," ",""))=1,LEN(M184)&gt;=4,MID(M184,LEN(M184)-1,1)=" ",CODE(RIGHT(M184,1))&gt;=65,CODE(RIGHT(M184,1))&lt;=90))),FALSE),"New player? Not on Players list - add it there first","Not on Players list and not First L format (like Zack B)")&amp;IF(ISNUMBER(MATCH(LEFT(M184,FIND(" ",M184)-1)&amp;" ?",Players[Name],0))," (same first name as "&amp;INDEX(Players[Name],MATCH(LEFT(M184,FIND(" ",M184)-1)&amp;" ?",Players[Name],0))&amp;")",""),"Not on Players list - type first name + last initial (like Zack B)")),"")),IF(OR(V184&lt;Pod_Min,V184&gt;Pod_Max),"Pod has "&amp;V184&amp;" players",""),IF(U184=0,IF(T184=0,"No winner (*) in pod",IF(T184&gt;1,T184&amp;" winners in pod","")),IF(U184&lt;V184,"Some = but not all players","")),IF(X184="Unknown","",IF(COUNTIFS($O$8:$O$257,O184,$Q$8:$Q$257,Q184,$X$8:$X$257,X184)&gt;1,"Name twice in pod",IF(COUNTIFS($O$8:$O$257,O184,$X$8:$X$257,X184)&gt;1,"Name in 2 pods this round","")))))</f>
        <v/>
      </c>
      <c r="AA184" s="3" t="str">
        <f>IF(L184&lt;&gt;"PLAYER","",IF(OR(M184="",ISNUMBER(FIND(" ",M184))),0,COUNTIF(Players[Name],M184&amp;" ?")))</f>
        <v/>
      </c>
    </row>
    <row r="185" spans="1:27" x14ac:dyDescent="0.45">
      <c r="A185" s="17"/>
      <c r="B185" s="6" t="str">
        <f t="shared" si="42"/>
        <v/>
      </c>
      <c r="C185" s="6" t="str">
        <f t="shared" si="43"/>
        <v/>
      </c>
      <c r="D185" s="6" t="str">
        <f t="shared" si="44"/>
        <v/>
      </c>
      <c r="E185" s="6" t="str">
        <f t="shared" si="45"/>
        <v/>
      </c>
      <c r="F185" s="6" t="str">
        <f t="shared" si="46"/>
        <v/>
      </c>
      <c r="G185" s="6" t="str">
        <f t="shared" si="47"/>
        <v/>
      </c>
      <c r="H185" s="10" t="str">
        <f t="shared" si="48"/>
        <v/>
      </c>
      <c r="I185" s="6" t="str">
        <f t="shared" si="49"/>
        <v/>
      </c>
      <c r="J185" s="3" t="str">
        <f>IFERROR(MATCH(ROWS(J$8:J185),$S$8:$S$257,0),"")</f>
        <v/>
      </c>
      <c r="K185" s="3" t="str">
        <f t="shared" si="50"/>
        <v/>
      </c>
      <c r="L185" s="3" t="str">
        <f t="shared" si="51"/>
        <v/>
      </c>
      <c r="M185" s="3" t="str">
        <f t="shared" si="52"/>
        <v/>
      </c>
      <c r="N185" s="3" t="str">
        <f t="shared" si="53"/>
        <v/>
      </c>
      <c r="O185" s="3">
        <f t="shared" si="54"/>
        <v>1</v>
      </c>
      <c r="P185" s="3">
        <f t="shared" si="55"/>
        <v>0</v>
      </c>
      <c r="Q185" s="3">
        <f t="shared" si="56"/>
        <v>0</v>
      </c>
      <c r="R185" s="3" t="str">
        <f t="shared" si="57"/>
        <v/>
      </c>
      <c r="S185" s="3">
        <f t="shared" si="58"/>
        <v>0</v>
      </c>
      <c r="T185" s="3" t="str">
        <f t="shared" si="59"/>
        <v/>
      </c>
      <c r="U185" s="3" t="str">
        <f t="shared" si="60"/>
        <v/>
      </c>
      <c r="V185" s="3" t="str">
        <f t="shared" si="61"/>
        <v/>
      </c>
      <c r="W185" s="3" t="str">
        <f t="shared" si="62"/>
        <v/>
      </c>
      <c r="X185" s="3" t="str">
        <f>IF(L185&lt;&gt;"PLAYER","",IF(Y185="Y",INDEX(Players[Name],MATCH(M185,Players[Name],0)),IF(Y185="A",INDEX(Players[Name],MATCH(M185&amp;" ?",Players[Name],0)),M185)))</f>
        <v/>
      </c>
      <c r="Y185" s="3" t="str">
        <f>IF(L185&lt;&gt;"PLAYER","",IF(ISNUMBER(MATCH(M185,Players[Name],0)),"Y",IF(AA185=1,"A","N")))</f>
        <v/>
      </c>
      <c r="Z185" s="3" t="str">
        <f>IF(L185&lt;&gt;"PLAYER","",_xlfn.TEXTJOIN("; ",TRUE,IF(M185="","Empty name",IF(Y185="N",IF(AA185&gt;1,"Which "&amp;M185&amp;"? "&amp;AA185&amp;" players start with it (like "&amp;INDEX(Players[Name],MATCH(M185&amp;" ?",Players[Name],0))&amp;") - type the last initial",IF(ISNUMBER(FIND(" ",M185)),IF(IFERROR(IF(M185="",FALSE,OR(M185="Unknown",AND(LEN(M185)-LEN(SUBSTITUTE(M185," ",""))=1,LEN(M185)&gt;=4,MID(M185,LEN(M185)-1,1)=" ",CODE(RIGHT(M185,1))&gt;=65,CODE(RIGHT(M185,1))&lt;=90))),FALSE),"New player? Not on Players list - add it there first","Not on Players list and not First L format (like Zack B)")&amp;IF(ISNUMBER(MATCH(LEFT(M185,FIND(" ",M185)-1)&amp;" ?",Players[Name],0))," (same first name as "&amp;INDEX(Players[Name],MATCH(LEFT(M185,FIND(" ",M185)-1)&amp;" ?",Players[Name],0))&amp;")",""),"Not on Players list - type first name + last initial (like Zack B)")),"")),IF(OR(V185&lt;Pod_Min,V185&gt;Pod_Max),"Pod has "&amp;V185&amp;" players",""),IF(U185=0,IF(T185=0,"No winner (*) in pod",IF(T185&gt;1,T185&amp;" winners in pod","")),IF(U185&lt;V185,"Some = but not all players","")),IF(X185="Unknown","",IF(COUNTIFS($O$8:$O$257,O185,$Q$8:$Q$257,Q185,$X$8:$X$257,X185)&gt;1,"Name twice in pod",IF(COUNTIFS($O$8:$O$257,O185,$X$8:$X$257,X185)&gt;1,"Name in 2 pods this round","")))))</f>
        <v/>
      </c>
      <c r="AA185" s="3" t="str">
        <f>IF(L185&lt;&gt;"PLAYER","",IF(OR(M185="",ISNUMBER(FIND(" ",M185))),0,COUNTIF(Players[Name],M185&amp;" ?")))</f>
        <v/>
      </c>
    </row>
    <row r="186" spans="1:27" x14ac:dyDescent="0.45">
      <c r="A186" s="17"/>
      <c r="B186" s="6" t="str">
        <f t="shared" si="42"/>
        <v/>
      </c>
      <c r="C186" s="6" t="str">
        <f t="shared" si="43"/>
        <v/>
      </c>
      <c r="D186" s="6" t="str">
        <f t="shared" si="44"/>
        <v/>
      </c>
      <c r="E186" s="6" t="str">
        <f t="shared" si="45"/>
        <v/>
      </c>
      <c r="F186" s="6" t="str">
        <f t="shared" si="46"/>
        <v/>
      </c>
      <c r="G186" s="6" t="str">
        <f t="shared" si="47"/>
        <v/>
      </c>
      <c r="H186" s="10" t="str">
        <f t="shared" si="48"/>
        <v/>
      </c>
      <c r="I186" s="6" t="str">
        <f t="shared" si="49"/>
        <v/>
      </c>
      <c r="J186" s="3" t="str">
        <f>IFERROR(MATCH(ROWS(J$8:J186),$S$8:$S$257,0),"")</f>
        <v/>
      </c>
      <c r="K186" s="3" t="str">
        <f t="shared" si="50"/>
        <v/>
      </c>
      <c r="L186" s="3" t="str">
        <f t="shared" si="51"/>
        <v/>
      </c>
      <c r="M186" s="3" t="str">
        <f t="shared" si="52"/>
        <v/>
      </c>
      <c r="N186" s="3" t="str">
        <f t="shared" si="53"/>
        <v/>
      </c>
      <c r="O186" s="3">
        <f t="shared" si="54"/>
        <v>1</v>
      </c>
      <c r="P186" s="3">
        <f t="shared" si="55"/>
        <v>0</v>
      </c>
      <c r="Q186" s="3">
        <f t="shared" si="56"/>
        <v>0</v>
      </c>
      <c r="R186" s="3" t="str">
        <f t="shared" si="57"/>
        <v/>
      </c>
      <c r="S186" s="3">
        <f t="shared" si="58"/>
        <v>0</v>
      </c>
      <c r="T186" s="3" t="str">
        <f t="shared" si="59"/>
        <v/>
      </c>
      <c r="U186" s="3" t="str">
        <f t="shared" si="60"/>
        <v/>
      </c>
      <c r="V186" s="3" t="str">
        <f t="shared" si="61"/>
        <v/>
      </c>
      <c r="W186" s="3" t="str">
        <f t="shared" si="62"/>
        <v/>
      </c>
      <c r="X186" s="3" t="str">
        <f>IF(L186&lt;&gt;"PLAYER","",IF(Y186="Y",INDEX(Players[Name],MATCH(M186,Players[Name],0)),IF(Y186="A",INDEX(Players[Name],MATCH(M186&amp;" ?",Players[Name],0)),M186)))</f>
        <v/>
      </c>
      <c r="Y186" s="3" t="str">
        <f>IF(L186&lt;&gt;"PLAYER","",IF(ISNUMBER(MATCH(M186,Players[Name],0)),"Y",IF(AA186=1,"A","N")))</f>
        <v/>
      </c>
      <c r="Z186" s="3" t="str">
        <f>IF(L186&lt;&gt;"PLAYER","",_xlfn.TEXTJOIN("; ",TRUE,IF(M186="","Empty name",IF(Y186="N",IF(AA186&gt;1,"Which "&amp;M186&amp;"? "&amp;AA186&amp;" players start with it (like "&amp;INDEX(Players[Name],MATCH(M186&amp;" ?",Players[Name],0))&amp;") - type the last initial",IF(ISNUMBER(FIND(" ",M186)),IF(IFERROR(IF(M186="",FALSE,OR(M186="Unknown",AND(LEN(M186)-LEN(SUBSTITUTE(M186," ",""))=1,LEN(M186)&gt;=4,MID(M186,LEN(M186)-1,1)=" ",CODE(RIGHT(M186,1))&gt;=65,CODE(RIGHT(M186,1))&lt;=90))),FALSE),"New player? Not on Players list - add it there first","Not on Players list and not First L format (like Zack B)")&amp;IF(ISNUMBER(MATCH(LEFT(M186,FIND(" ",M186)-1)&amp;" ?",Players[Name],0))," (same first name as "&amp;INDEX(Players[Name],MATCH(LEFT(M186,FIND(" ",M186)-1)&amp;" ?",Players[Name],0))&amp;")",""),"Not on Players list - type first name + last initial (like Zack B)")),"")),IF(OR(V186&lt;Pod_Min,V186&gt;Pod_Max),"Pod has "&amp;V186&amp;" players",""),IF(U186=0,IF(T186=0,"No winner (*) in pod",IF(T186&gt;1,T186&amp;" winners in pod","")),IF(U186&lt;V186,"Some = but not all players","")),IF(X186="Unknown","",IF(COUNTIFS($O$8:$O$257,O186,$Q$8:$Q$257,Q186,$X$8:$X$257,X186)&gt;1,"Name twice in pod",IF(COUNTIFS($O$8:$O$257,O186,$X$8:$X$257,X186)&gt;1,"Name in 2 pods this round","")))))</f>
        <v/>
      </c>
      <c r="AA186" s="3" t="str">
        <f>IF(L186&lt;&gt;"PLAYER","",IF(OR(M186="",ISNUMBER(FIND(" ",M186))),0,COUNTIF(Players[Name],M186&amp;" ?")))</f>
        <v/>
      </c>
    </row>
    <row r="187" spans="1:27" x14ac:dyDescent="0.45">
      <c r="A187" s="17"/>
      <c r="B187" s="6" t="str">
        <f t="shared" si="42"/>
        <v/>
      </c>
      <c r="C187" s="6" t="str">
        <f t="shared" si="43"/>
        <v/>
      </c>
      <c r="D187" s="6" t="str">
        <f t="shared" si="44"/>
        <v/>
      </c>
      <c r="E187" s="6" t="str">
        <f t="shared" si="45"/>
        <v/>
      </c>
      <c r="F187" s="6" t="str">
        <f t="shared" si="46"/>
        <v/>
      </c>
      <c r="G187" s="6" t="str">
        <f t="shared" si="47"/>
        <v/>
      </c>
      <c r="H187" s="10" t="str">
        <f t="shared" si="48"/>
        <v/>
      </c>
      <c r="I187" s="6" t="str">
        <f t="shared" si="49"/>
        <v/>
      </c>
      <c r="J187" s="3" t="str">
        <f>IFERROR(MATCH(ROWS(J$8:J187),$S$8:$S$257,0),"")</f>
        <v/>
      </c>
      <c r="K187" s="3" t="str">
        <f t="shared" si="50"/>
        <v/>
      </c>
      <c r="L187" s="3" t="str">
        <f t="shared" si="51"/>
        <v/>
      </c>
      <c r="M187" s="3" t="str">
        <f t="shared" si="52"/>
        <v/>
      </c>
      <c r="N187" s="3" t="str">
        <f t="shared" si="53"/>
        <v/>
      </c>
      <c r="O187" s="3">
        <f t="shared" si="54"/>
        <v>1</v>
      </c>
      <c r="P187" s="3">
        <f t="shared" si="55"/>
        <v>0</v>
      </c>
      <c r="Q187" s="3">
        <f t="shared" si="56"/>
        <v>0</v>
      </c>
      <c r="R187" s="3" t="str">
        <f t="shared" si="57"/>
        <v/>
      </c>
      <c r="S187" s="3">
        <f t="shared" si="58"/>
        <v>0</v>
      </c>
      <c r="T187" s="3" t="str">
        <f t="shared" si="59"/>
        <v/>
      </c>
      <c r="U187" s="3" t="str">
        <f t="shared" si="60"/>
        <v/>
      </c>
      <c r="V187" s="3" t="str">
        <f t="shared" si="61"/>
        <v/>
      </c>
      <c r="W187" s="3" t="str">
        <f t="shared" si="62"/>
        <v/>
      </c>
      <c r="X187" s="3" t="str">
        <f>IF(L187&lt;&gt;"PLAYER","",IF(Y187="Y",INDEX(Players[Name],MATCH(M187,Players[Name],0)),IF(Y187="A",INDEX(Players[Name],MATCH(M187&amp;" ?",Players[Name],0)),M187)))</f>
        <v/>
      </c>
      <c r="Y187" s="3" t="str">
        <f>IF(L187&lt;&gt;"PLAYER","",IF(ISNUMBER(MATCH(M187,Players[Name],0)),"Y",IF(AA187=1,"A","N")))</f>
        <v/>
      </c>
      <c r="Z187" s="3" t="str">
        <f>IF(L187&lt;&gt;"PLAYER","",_xlfn.TEXTJOIN("; ",TRUE,IF(M187="","Empty name",IF(Y187="N",IF(AA187&gt;1,"Which "&amp;M187&amp;"? "&amp;AA187&amp;" players start with it (like "&amp;INDEX(Players[Name],MATCH(M187&amp;" ?",Players[Name],0))&amp;") - type the last initial",IF(ISNUMBER(FIND(" ",M187)),IF(IFERROR(IF(M187="",FALSE,OR(M187="Unknown",AND(LEN(M187)-LEN(SUBSTITUTE(M187," ",""))=1,LEN(M187)&gt;=4,MID(M187,LEN(M187)-1,1)=" ",CODE(RIGHT(M187,1))&gt;=65,CODE(RIGHT(M187,1))&lt;=90))),FALSE),"New player? Not on Players list - add it there first","Not on Players list and not First L format (like Zack B)")&amp;IF(ISNUMBER(MATCH(LEFT(M187,FIND(" ",M187)-1)&amp;" ?",Players[Name],0))," (same first name as "&amp;INDEX(Players[Name],MATCH(LEFT(M187,FIND(" ",M187)-1)&amp;" ?",Players[Name],0))&amp;")",""),"Not on Players list - type first name + last initial (like Zack B)")),"")),IF(OR(V187&lt;Pod_Min,V187&gt;Pod_Max),"Pod has "&amp;V187&amp;" players",""),IF(U187=0,IF(T187=0,"No winner (*) in pod",IF(T187&gt;1,T187&amp;" winners in pod","")),IF(U187&lt;V187,"Some = but not all players","")),IF(X187="Unknown","",IF(COUNTIFS($O$8:$O$257,O187,$Q$8:$Q$257,Q187,$X$8:$X$257,X187)&gt;1,"Name twice in pod",IF(COUNTIFS($O$8:$O$257,O187,$X$8:$X$257,X187)&gt;1,"Name in 2 pods this round","")))))</f>
        <v/>
      </c>
      <c r="AA187" s="3" t="str">
        <f>IF(L187&lt;&gt;"PLAYER","",IF(OR(M187="",ISNUMBER(FIND(" ",M187))),0,COUNTIF(Players[Name],M187&amp;" ?")))</f>
        <v/>
      </c>
    </row>
    <row r="188" spans="1:27" x14ac:dyDescent="0.45">
      <c r="A188" s="17"/>
      <c r="B188" s="6" t="str">
        <f t="shared" si="42"/>
        <v/>
      </c>
      <c r="C188" s="6" t="str">
        <f t="shared" si="43"/>
        <v/>
      </c>
      <c r="D188" s="6" t="str">
        <f t="shared" si="44"/>
        <v/>
      </c>
      <c r="E188" s="6" t="str">
        <f t="shared" si="45"/>
        <v/>
      </c>
      <c r="F188" s="6" t="str">
        <f t="shared" si="46"/>
        <v/>
      </c>
      <c r="G188" s="6" t="str">
        <f t="shared" si="47"/>
        <v/>
      </c>
      <c r="H188" s="10" t="str">
        <f t="shared" si="48"/>
        <v/>
      </c>
      <c r="I188" s="6" t="str">
        <f t="shared" si="49"/>
        <v/>
      </c>
      <c r="J188" s="3" t="str">
        <f>IFERROR(MATCH(ROWS(J$8:J188),$S$8:$S$257,0),"")</f>
        <v/>
      </c>
      <c r="K188" s="3" t="str">
        <f t="shared" si="50"/>
        <v/>
      </c>
      <c r="L188" s="3" t="str">
        <f t="shared" si="51"/>
        <v/>
      </c>
      <c r="M188" s="3" t="str">
        <f t="shared" si="52"/>
        <v/>
      </c>
      <c r="N188" s="3" t="str">
        <f t="shared" si="53"/>
        <v/>
      </c>
      <c r="O188" s="3">
        <f t="shared" si="54"/>
        <v>1</v>
      </c>
      <c r="P188" s="3">
        <f t="shared" si="55"/>
        <v>0</v>
      </c>
      <c r="Q188" s="3">
        <f t="shared" si="56"/>
        <v>0</v>
      </c>
      <c r="R188" s="3" t="str">
        <f t="shared" si="57"/>
        <v/>
      </c>
      <c r="S188" s="3">
        <f t="shared" si="58"/>
        <v>0</v>
      </c>
      <c r="T188" s="3" t="str">
        <f t="shared" si="59"/>
        <v/>
      </c>
      <c r="U188" s="3" t="str">
        <f t="shared" si="60"/>
        <v/>
      </c>
      <c r="V188" s="3" t="str">
        <f t="shared" si="61"/>
        <v/>
      </c>
      <c r="W188" s="3" t="str">
        <f t="shared" si="62"/>
        <v/>
      </c>
      <c r="X188" s="3" t="str">
        <f>IF(L188&lt;&gt;"PLAYER","",IF(Y188="Y",INDEX(Players[Name],MATCH(M188,Players[Name],0)),IF(Y188="A",INDEX(Players[Name],MATCH(M188&amp;" ?",Players[Name],0)),M188)))</f>
        <v/>
      </c>
      <c r="Y188" s="3" t="str">
        <f>IF(L188&lt;&gt;"PLAYER","",IF(ISNUMBER(MATCH(M188,Players[Name],0)),"Y",IF(AA188=1,"A","N")))</f>
        <v/>
      </c>
      <c r="Z188" s="3" t="str">
        <f>IF(L188&lt;&gt;"PLAYER","",_xlfn.TEXTJOIN("; ",TRUE,IF(M188="","Empty name",IF(Y188="N",IF(AA188&gt;1,"Which "&amp;M188&amp;"? "&amp;AA188&amp;" players start with it (like "&amp;INDEX(Players[Name],MATCH(M188&amp;" ?",Players[Name],0))&amp;") - type the last initial",IF(ISNUMBER(FIND(" ",M188)),IF(IFERROR(IF(M188="",FALSE,OR(M188="Unknown",AND(LEN(M188)-LEN(SUBSTITUTE(M188," ",""))=1,LEN(M188)&gt;=4,MID(M188,LEN(M188)-1,1)=" ",CODE(RIGHT(M188,1))&gt;=65,CODE(RIGHT(M188,1))&lt;=90))),FALSE),"New player? Not on Players list - add it there first","Not on Players list and not First L format (like Zack B)")&amp;IF(ISNUMBER(MATCH(LEFT(M188,FIND(" ",M188)-1)&amp;" ?",Players[Name],0))," (same first name as "&amp;INDEX(Players[Name],MATCH(LEFT(M188,FIND(" ",M188)-1)&amp;" ?",Players[Name],0))&amp;")",""),"Not on Players list - type first name + last initial (like Zack B)")),"")),IF(OR(V188&lt;Pod_Min,V188&gt;Pod_Max),"Pod has "&amp;V188&amp;" players",""),IF(U188=0,IF(T188=0,"No winner (*) in pod",IF(T188&gt;1,T188&amp;" winners in pod","")),IF(U188&lt;V188,"Some = but not all players","")),IF(X188="Unknown","",IF(COUNTIFS($O$8:$O$257,O188,$Q$8:$Q$257,Q188,$X$8:$X$257,X188)&gt;1,"Name twice in pod",IF(COUNTIFS($O$8:$O$257,O188,$X$8:$X$257,X188)&gt;1,"Name in 2 pods this round","")))))</f>
        <v/>
      </c>
      <c r="AA188" s="3" t="str">
        <f>IF(L188&lt;&gt;"PLAYER","",IF(OR(M188="",ISNUMBER(FIND(" ",M188))),0,COUNTIF(Players[Name],M188&amp;" ?")))</f>
        <v/>
      </c>
    </row>
    <row r="189" spans="1:27" x14ac:dyDescent="0.45">
      <c r="A189" s="17"/>
      <c r="B189" s="6" t="str">
        <f t="shared" si="42"/>
        <v/>
      </c>
      <c r="C189" s="6" t="str">
        <f t="shared" si="43"/>
        <v/>
      </c>
      <c r="D189" s="6" t="str">
        <f t="shared" si="44"/>
        <v/>
      </c>
      <c r="E189" s="6" t="str">
        <f t="shared" si="45"/>
        <v/>
      </c>
      <c r="F189" s="6" t="str">
        <f t="shared" si="46"/>
        <v/>
      </c>
      <c r="G189" s="6" t="str">
        <f t="shared" si="47"/>
        <v/>
      </c>
      <c r="H189" s="10" t="str">
        <f t="shared" si="48"/>
        <v/>
      </c>
      <c r="I189" s="6" t="str">
        <f t="shared" si="49"/>
        <v/>
      </c>
      <c r="J189" s="3" t="str">
        <f>IFERROR(MATCH(ROWS(J$8:J189),$S$8:$S$257,0),"")</f>
        <v/>
      </c>
      <c r="K189" s="3" t="str">
        <f t="shared" si="50"/>
        <v/>
      </c>
      <c r="L189" s="3" t="str">
        <f t="shared" si="51"/>
        <v/>
      </c>
      <c r="M189" s="3" t="str">
        <f t="shared" si="52"/>
        <v/>
      </c>
      <c r="N189" s="3" t="str">
        <f t="shared" si="53"/>
        <v/>
      </c>
      <c r="O189" s="3">
        <f t="shared" si="54"/>
        <v>1</v>
      </c>
      <c r="P189" s="3">
        <f t="shared" si="55"/>
        <v>0</v>
      </c>
      <c r="Q189" s="3">
        <f t="shared" si="56"/>
        <v>0</v>
      </c>
      <c r="R189" s="3" t="str">
        <f t="shared" si="57"/>
        <v/>
      </c>
      <c r="S189" s="3">
        <f t="shared" si="58"/>
        <v>0</v>
      </c>
      <c r="T189" s="3" t="str">
        <f t="shared" si="59"/>
        <v/>
      </c>
      <c r="U189" s="3" t="str">
        <f t="shared" si="60"/>
        <v/>
      </c>
      <c r="V189" s="3" t="str">
        <f t="shared" si="61"/>
        <v/>
      </c>
      <c r="W189" s="3" t="str">
        <f t="shared" si="62"/>
        <v/>
      </c>
      <c r="X189" s="3" t="str">
        <f>IF(L189&lt;&gt;"PLAYER","",IF(Y189="Y",INDEX(Players[Name],MATCH(M189,Players[Name],0)),IF(Y189="A",INDEX(Players[Name],MATCH(M189&amp;" ?",Players[Name],0)),M189)))</f>
        <v/>
      </c>
      <c r="Y189" s="3" t="str">
        <f>IF(L189&lt;&gt;"PLAYER","",IF(ISNUMBER(MATCH(M189,Players[Name],0)),"Y",IF(AA189=1,"A","N")))</f>
        <v/>
      </c>
      <c r="Z189" s="3" t="str">
        <f>IF(L189&lt;&gt;"PLAYER","",_xlfn.TEXTJOIN("; ",TRUE,IF(M189="","Empty name",IF(Y189="N",IF(AA189&gt;1,"Which "&amp;M189&amp;"? "&amp;AA189&amp;" players start with it (like "&amp;INDEX(Players[Name],MATCH(M189&amp;" ?",Players[Name],0))&amp;") - type the last initial",IF(ISNUMBER(FIND(" ",M189)),IF(IFERROR(IF(M189="",FALSE,OR(M189="Unknown",AND(LEN(M189)-LEN(SUBSTITUTE(M189," ",""))=1,LEN(M189)&gt;=4,MID(M189,LEN(M189)-1,1)=" ",CODE(RIGHT(M189,1))&gt;=65,CODE(RIGHT(M189,1))&lt;=90))),FALSE),"New player? Not on Players list - add it there first","Not on Players list and not First L format (like Zack B)")&amp;IF(ISNUMBER(MATCH(LEFT(M189,FIND(" ",M189)-1)&amp;" ?",Players[Name],0))," (same first name as "&amp;INDEX(Players[Name],MATCH(LEFT(M189,FIND(" ",M189)-1)&amp;" ?",Players[Name],0))&amp;")",""),"Not on Players list - type first name + last initial (like Zack B)")),"")),IF(OR(V189&lt;Pod_Min,V189&gt;Pod_Max),"Pod has "&amp;V189&amp;" players",""),IF(U189=0,IF(T189=0,"No winner (*) in pod",IF(T189&gt;1,T189&amp;" winners in pod","")),IF(U189&lt;V189,"Some = but not all players","")),IF(X189="Unknown","",IF(COUNTIFS($O$8:$O$257,O189,$Q$8:$Q$257,Q189,$X$8:$X$257,X189)&gt;1,"Name twice in pod",IF(COUNTIFS($O$8:$O$257,O189,$X$8:$X$257,X189)&gt;1,"Name in 2 pods this round","")))))</f>
        <v/>
      </c>
      <c r="AA189" s="3" t="str">
        <f>IF(L189&lt;&gt;"PLAYER","",IF(OR(M189="",ISNUMBER(FIND(" ",M189))),0,COUNTIF(Players[Name],M189&amp;" ?")))</f>
        <v/>
      </c>
    </row>
    <row r="190" spans="1:27" x14ac:dyDescent="0.45">
      <c r="A190" s="17"/>
      <c r="B190" s="6" t="str">
        <f t="shared" si="42"/>
        <v/>
      </c>
      <c r="C190" s="6" t="str">
        <f t="shared" si="43"/>
        <v/>
      </c>
      <c r="D190" s="6" t="str">
        <f t="shared" si="44"/>
        <v/>
      </c>
      <c r="E190" s="6" t="str">
        <f t="shared" si="45"/>
        <v/>
      </c>
      <c r="F190" s="6" t="str">
        <f t="shared" si="46"/>
        <v/>
      </c>
      <c r="G190" s="6" t="str">
        <f t="shared" si="47"/>
        <v/>
      </c>
      <c r="H190" s="10" t="str">
        <f t="shared" si="48"/>
        <v/>
      </c>
      <c r="I190" s="6" t="str">
        <f t="shared" si="49"/>
        <v/>
      </c>
      <c r="J190" s="3" t="str">
        <f>IFERROR(MATCH(ROWS(J$8:J190),$S$8:$S$257,0),"")</f>
        <v/>
      </c>
      <c r="K190" s="3" t="str">
        <f t="shared" si="50"/>
        <v/>
      </c>
      <c r="L190" s="3" t="str">
        <f t="shared" si="51"/>
        <v/>
      </c>
      <c r="M190" s="3" t="str">
        <f t="shared" si="52"/>
        <v/>
      </c>
      <c r="N190" s="3" t="str">
        <f t="shared" si="53"/>
        <v/>
      </c>
      <c r="O190" s="3">
        <f t="shared" si="54"/>
        <v>1</v>
      </c>
      <c r="P190" s="3">
        <f t="shared" si="55"/>
        <v>0</v>
      </c>
      <c r="Q190" s="3">
        <f t="shared" si="56"/>
        <v>0</v>
      </c>
      <c r="R190" s="3" t="str">
        <f t="shared" si="57"/>
        <v/>
      </c>
      <c r="S190" s="3">
        <f t="shared" si="58"/>
        <v>0</v>
      </c>
      <c r="T190" s="3" t="str">
        <f t="shared" si="59"/>
        <v/>
      </c>
      <c r="U190" s="3" t="str">
        <f t="shared" si="60"/>
        <v/>
      </c>
      <c r="V190" s="3" t="str">
        <f t="shared" si="61"/>
        <v/>
      </c>
      <c r="W190" s="3" t="str">
        <f t="shared" si="62"/>
        <v/>
      </c>
      <c r="X190" s="3" t="str">
        <f>IF(L190&lt;&gt;"PLAYER","",IF(Y190="Y",INDEX(Players[Name],MATCH(M190,Players[Name],0)),IF(Y190="A",INDEX(Players[Name],MATCH(M190&amp;" ?",Players[Name],0)),M190)))</f>
        <v/>
      </c>
      <c r="Y190" s="3" t="str">
        <f>IF(L190&lt;&gt;"PLAYER","",IF(ISNUMBER(MATCH(M190,Players[Name],0)),"Y",IF(AA190=1,"A","N")))</f>
        <v/>
      </c>
      <c r="Z190" s="3" t="str">
        <f>IF(L190&lt;&gt;"PLAYER","",_xlfn.TEXTJOIN("; ",TRUE,IF(M190="","Empty name",IF(Y190="N",IF(AA190&gt;1,"Which "&amp;M190&amp;"? "&amp;AA190&amp;" players start with it (like "&amp;INDEX(Players[Name],MATCH(M190&amp;" ?",Players[Name],0))&amp;") - type the last initial",IF(ISNUMBER(FIND(" ",M190)),IF(IFERROR(IF(M190="",FALSE,OR(M190="Unknown",AND(LEN(M190)-LEN(SUBSTITUTE(M190," ",""))=1,LEN(M190)&gt;=4,MID(M190,LEN(M190)-1,1)=" ",CODE(RIGHT(M190,1))&gt;=65,CODE(RIGHT(M190,1))&lt;=90))),FALSE),"New player? Not on Players list - add it there first","Not on Players list and not First L format (like Zack B)")&amp;IF(ISNUMBER(MATCH(LEFT(M190,FIND(" ",M190)-1)&amp;" ?",Players[Name],0))," (same first name as "&amp;INDEX(Players[Name],MATCH(LEFT(M190,FIND(" ",M190)-1)&amp;" ?",Players[Name],0))&amp;")",""),"Not on Players list - type first name + last initial (like Zack B)")),"")),IF(OR(V190&lt;Pod_Min,V190&gt;Pod_Max),"Pod has "&amp;V190&amp;" players",""),IF(U190=0,IF(T190=0,"No winner (*) in pod",IF(T190&gt;1,T190&amp;" winners in pod","")),IF(U190&lt;V190,"Some = but not all players","")),IF(X190="Unknown","",IF(COUNTIFS($O$8:$O$257,O190,$Q$8:$Q$257,Q190,$X$8:$X$257,X190)&gt;1,"Name twice in pod",IF(COUNTIFS($O$8:$O$257,O190,$X$8:$X$257,X190)&gt;1,"Name in 2 pods this round","")))))</f>
        <v/>
      </c>
      <c r="AA190" s="3" t="str">
        <f>IF(L190&lt;&gt;"PLAYER","",IF(OR(M190="",ISNUMBER(FIND(" ",M190))),0,COUNTIF(Players[Name],M190&amp;" ?")))</f>
        <v/>
      </c>
    </row>
    <row r="191" spans="1:27" x14ac:dyDescent="0.45">
      <c r="A191" s="17"/>
      <c r="B191" s="6" t="str">
        <f t="shared" si="42"/>
        <v/>
      </c>
      <c r="C191" s="6" t="str">
        <f t="shared" si="43"/>
        <v/>
      </c>
      <c r="D191" s="6" t="str">
        <f t="shared" si="44"/>
        <v/>
      </c>
      <c r="E191" s="6" t="str">
        <f t="shared" si="45"/>
        <v/>
      </c>
      <c r="F191" s="6" t="str">
        <f t="shared" si="46"/>
        <v/>
      </c>
      <c r="G191" s="6" t="str">
        <f t="shared" si="47"/>
        <v/>
      </c>
      <c r="H191" s="10" t="str">
        <f t="shared" si="48"/>
        <v/>
      </c>
      <c r="I191" s="6" t="str">
        <f t="shared" si="49"/>
        <v/>
      </c>
      <c r="J191" s="3" t="str">
        <f>IFERROR(MATCH(ROWS(J$8:J191),$S$8:$S$257,0),"")</f>
        <v/>
      </c>
      <c r="K191" s="3" t="str">
        <f t="shared" si="50"/>
        <v/>
      </c>
      <c r="L191" s="3" t="str">
        <f t="shared" si="51"/>
        <v/>
      </c>
      <c r="M191" s="3" t="str">
        <f t="shared" si="52"/>
        <v/>
      </c>
      <c r="N191" s="3" t="str">
        <f t="shared" si="53"/>
        <v/>
      </c>
      <c r="O191" s="3">
        <f t="shared" si="54"/>
        <v>1</v>
      </c>
      <c r="P191" s="3">
        <f t="shared" si="55"/>
        <v>0</v>
      </c>
      <c r="Q191" s="3">
        <f t="shared" si="56"/>
        <v>0</v>
      </c>
      <c r="R191" s="3" t="str">
        <f t="shared" si="57"/>
        <v/>
      </c>
      <c r="S191" s="3">
        <f t="shared" si="58"/>
        <v>0</v>
      </c>
      <c r="T191" s="3" t="str">
        <f t="shared" si="59"/>
        <v/>
      </c>
      <c r="U191" s="3" t="str">
        <f t="shared" si="60"/>
        <v/>
      </c>
      <c r="V191" s="3" t="str">
        <f t="shared" si="61"/>
        <v/>
      </c>
      <c r="W191" s="3" t="str">
        <f t="shared" si="62"/>
        <v/>
      </c>
      <c r="X191" s="3" t="str">
        <f>IF(L191&lt;&gt;"PLAYER","",IF(Y191="Y",INDEX(Players[Name],MATCH(M191,Players[Name],0)),IF(Y191="A",INDEX(Players[Name],MATCH(M191&amp;" ?",Players[Name],0)),M191)))</f>
        <v/>
      </c>
      <c r="Y191" s="3" t="str">
        <f>IF(L191&lt;&gt;"PLAYER","",IF(ISNUMBER(MATCH(M191,Players[Name],0)),"Y",IF(AA191=1,"A","N")))</f>
        <v/>
      </c>
      <c r="Z191" s="3" t="str">
        <f>IF(L191&lt;&gt;"PLAYER","",_xlfn.TEXTJOIN("; ",TRUE,IF(M191="","Empty name",IF(Y191="N",IF(AA191&gt;1,"Which "&amp;M191&amp;"? "&amp;AA191&amp;" players start with it (like "&amp;INDEX(Players[Name],MATCH(M191&amp;" ?",Players[Name],0))&amp;") - type the last initial",IF(ISNUMBER(FIND(" ",M191)),IF(IFERROR(IF(M191="",FALSE,OR(M191="Unknown",AND(LEN(M191)-LEN(SUBSTITUTE(M191," ",""))=1,LEN(M191)&gt;=4,MID(M191,LEN(M191)-1,1)=" ",CODE(RIGHT(M191,1))&gt;=65,CODE(RIGHT(M191,1))&lt;=90))),FALSE),"New player? Not on Players list - add it there first","Not on Players list and not First L format (like Zack B)")&amp;IF(ISNUMBER(MATCH(LEFT(M191,FIND(" ",M191)-1)&amp;" ?",Players[Name],0))," (same first name as "&amp;INDEX(Players[Name],MATCH(LEFT(M191,FIND(" ",M191)-1)&amp;" ?",Players[Name],0))&amp;")",""),"Not on Players list - type first name + last initial (like Zack B)")),"")),IF(OR(V191&lt;Pod_Min,V191&gt;Pod_Max),"Pod has "&amp;V191&amp;" players",""),IF(U191=0,IF(T191=0,"No winner (*) in pod",IF(T191&gt;1,T191&amp;" winners in pod","")),IF(U191&lt;V191,"Some = but not all players","")),IF(X191="Unknown","",IF(COUNTIFS($O$8:$O$257,O191,$Q$8:$Q$257,Q191,$X$8:$X$257,X191)&gt;1,"Name twice in pod",IF(COUNTIFS($O$8:$O$257,O191,$X$8:$X$257,X191)&gt;1,"Name in 2 pods this round","")))))</f>
        <v/>
      </c>
      <c r="AA191" s="3" t="str">
        <f>IF(L191&lt;&gt;"PLAYER","",IF(OR(M191="",ISNUMBER(FIND(" ",M191))),0,COUNTIF(Players[Name],M191&amp;" ?")))</f>
        <v/>
      </c>
    </row>
    <row r="192" spans="1:27" x14ac:dyDescent="0.45">
      <c r="A192" s="17"/>
      <c r="B192" s="6" t="str">
        <f t="shared" si="42"/>
        <v/>
      </c>
      <c r="C192" s="6" t="str">
        <f t="shared" si="43"/>
        <v/>
      </c>
      <c r="D192" s="6" t="str">
        <f t="shared" si="44"/>
        <v/>
      </c>
      <c r="E192" s="6" t="str">
        <f t="shared" si="45"/>
        <v/>
      </c>
      <c r="F192" s="6" t="str">
        <f t="shared" si="46"/>
        <v/>
      </c>
      <c r="G192" s="6" t="str">
        <f t="shared" si="47"/>
        <v/>
      </c>
      <c r="H192" s="10" t="str">
        <f t="shared" si="48"/>
        <v/>
      </c>
      <c r="I192" s="6" t="str">
        <f t="shared" si="49"/>
        <v/>
      </c>
      <c r="J192" s="3" t="str">
        <f>IFERROR(MATCH(ROWS(J$8:J192),$S$8:$S$257,0),"")</f>
        <v/>
      </c>
      <c r="K192" s="3" t="str">
        <f t="shared" si="50"/>
        <v/>
      </c>
      <c r="L192" s="3" t="str">
        <f t="shared" si="51"/>
        <v/>
      </c>
      <c r="M192" s="3" t="str">
        <f t="shared" si="52"/>
        <v/>
      </c>
      <c r="N192" s="3" t="str">
        <f t="shared" si="53"/>
        <v/>
      </c>
      <c r="O192" s="3">
        <f t="shared" si="54"/>
        <v>1</v>
      </c>
      <c r="P192" s="3">
        <f t="shared" si="55"/>
        <v>0</v>
      </c>
      <c r="Q192" s="3">
        <f t="shared" si="56"/>
        <v>0</v>
      </c>
      <c r="R192" s="3" t="str">
        <f t="shared" si="57"/>
        <v/>
      </c>
      <c r="S192" s="3">
        <f t="shared" si="58"/>
        <v>0</v>
      </c>
      <c r="T192" s="3" t="str">
        <f t="shared" si="59"/>
        <v/>
      </c>
      <c r="U192" s="3" t="str">
        <f t="shared" si="60"/>
        <v/>
      </c>
      <c r="V192" s="3" t="str">
        <f t="shared" si="61"/>
        <v/>
      </c>
      <c r="W192" s="3" t="str">
        <f t="shared" si="62"/>
        <v/>
      </c>
      <c r="X192" s="3" t="str">
        <f>IF(L192&lt;&gt;"PLAYER","",IF(Y192="Y",INDEX(Players[Name],MATCH(M192,Players[Name],0)),IF(Y192="A",INDEX(Players[Name],MATCH(M192&amp;" ?",Players[Name],0)),M192)))</f>
        <v/>
      </c>
      <c r="Y192" s="3" t="str">
        <f>IF(L192&lt;&gt;"PLAYER","",IF(ISNUMBER(MATCH(M192,Players[Name],0)),"Y",IF(AA192=1,"A","N")))</f>
        <v/>
      </c>
      <c r="Z192" s="3" t="str">
        <f>IF(L192&lt;&gt;"PLAYER","",_xlfn.TEXTJOIN("; ",TRUE,IF(M192="","Empty name",IF(Y192="N",IF(AA192&gt;1,"Which "&amp;M192&amp;"? "&amp;AA192&amp;" players start with it (like "&amp;INDEX(Players[Name],MATCH(M192&amp;" ?",Players[Name],0))&amp;") - type the last initial",IF(ISNUMBER(FIND(" ",M192)),IF(IFERROR(IF(M192="",FALSE,OR(M192="Unknown",AND(LEN(M192)-LEN(SUBSTITUTE(M192," ",""))=1,LEN(M192)&gt;=4,MID(M192,LEN(M192)-1,1)=" ",CODE(RIGHT(M192,1))&gt;=65,CODE(RIGHT(M192,1))&lt;=90))),FALSE),"New player? Not on Players list - add it there first","Not on Players list and not First L format (like Zack B)")&amp;IF(ISNUMBER(MATCH(LEFT(M192,FIND(" ",M192)-1)&amp;" ?",Players[Name],0))," (same first name as "&amp;INDEX(Players[Name],MATCH(LEFT(M192,FIND(" ",M192)-1)&amp;" ?",Players[Name],0))&amp;")",""),"Not on Players list - type first name + last initial (like Zack B)")),"")),IF(OR(V192&lt;Pod_Min,V192&gt;Pod_Max),"Pod has "&amp;V192&amp;" players",""),IF(U192=0,IF(T192=0,"No winner (*) in pod",IF(T192&gt;1,T192&amp;" winners in pod","")),IF(U192&lt;V192,"Some = but not all players","")),IF(X192="Unknown","",IF(COUNTIFS($O$8:$O$257,O192,$Q$8:$Q$257,Q192,$X$8:$X$257,X192)&gt;1,"Name twice in pod",IF(COUNTIFS($O$8:$O$257,O192,$X$8:$X$257,X192)&gt;1,"Name in 2 pods this round","")))))</f>
        <v/>
      </c>
      <c r="AA192" s="3" t="str">
        <f>IF(L192&lt;&gt;"PLAYER","",IF(OR(M192="",ISNUMBER(FIND(" ",M192))),0,COUNTIF(Players[Name],M192&amp;" ?")))</f>
        <v/>
      </c>
    </row>
    <row r="193" spans="1:27" x14ac:dyDescent="0.45">
      <c r="A193" s="17"/>
      <c r="B193" s="6" t="str">
        <f t="shared" si="42"/>
        <v/>
      </c>
      <c r="C193" s="6" t="str">
        <f t="shared" si="43"/>
        <v/>
      </c>
      <c r="D193" s="6" t="str">
        <f t="shared" si="44"/>
        <v/>
      </c>
      <c r="E193" s="6" t="str">
        <f t="shared" si="45"/>
        <v/>
      </c>
      <c r="F193" s="6" t="str">
        <f t="shared" si="46"/>
        <v/>
      </c>
      <c r="G193" s="6" t="str">
        <f t="shared" si="47"/>
        <v/>
      </c>
      <c r="H193" s="10" t="str">
        <f t="shared" si="48"/>
        <v/>
      </c>
      <c r="I193" s="6" t="str">
        <f t="shared" si="49"/>
        <v/>
      </c>
      <c r="J193" s="3" t="str">
        <f>IFERROR(MATCH(ROWS(J$8:J193),$S$8:$S$257,0),"")</f>
        <v/>
      </c>
      <c r="K193" s="3" t="str">
        <f t="shared" si="50"/>
        <v/>
      </c>
      <c r="L193" s="3" t="str">
        <f t="shared" si="51"/>
        <v/>
      </c>
      <c r="M193" s="3" t="str">
        <f t="shared" si="52"/>
        <v/>
      </c>
      <c r="N193" s="3" t="str">
        <f t="shared" si="53"/>
        <v/>
      </c>
      <c r="O193" s="3">
        <f t="shared" si="54"/>
        <v>1</v>
      </c>
      <c r="P193" s="3">
        <f t="shared" si="55"/>
        <v>0</v>
      </c>
      <c r="Q193" s="3">
        <f t="shared" si="56"/>
        <v>0</v>
      </c>
      <c r="R193" s="3" t="str">
        <f t="shared" si="57"/>
        <v/>
      </c>
      <c r="S193" s="3">
        <f t="shared" si="58"/>
        <v>0</v>
      </c>
      <c r="T193" s="3" t="str">
        <f t="shared" si="59"/>
        <v/>
      </c>
      <c r="U193" s="3" t="str">
        <f t="shared" si="60"/>
        <v/>
      </c>
      <c r="V193" s="3" t="str">
        <f t="shared" si="61"/>
        <v/>
      </c>
      <c r="W193" s="3" t="str">
        <f t="shared" si="62"/>
        <v/>
      </c>
      <c r="X193" s="3" t="str">
        <f>IF(L193&lt;&gt;"PLAYER","",IF(Y193="Y",INDEX(Players[Name],MATCH(M193,Players[Name],0)),IF(Y193="A",INDEX(Players[Name],MATCH(M193&amp;" ?",Players[Name],0)),M193)))</f>
        <v/>
      </c>
      <c r="Y193" s="3" t="str">
        <f>IF(L193&lt;&gt;"PLAYER","",IF(ISNUMBER(MATCH(M193,Players[Name],0)),"Y",IF(AA193=1,"A","N")))</f>
        <v/>
      </c>
      <c r="Z193" s="3" t="str">
        <f>IF(L193&lt;&gt;"PLAYER","",_xlfn.TEXTJOIN("; ",TRUE,IF(M193="","Empty name",IF(Y193="N",IF(AA193&gt;1,"Which "&amp;M193&amp;"? "&amp;AA193&amp;" players start with it (like "&amp;INDEX(Players[Name],MATCH(M193&amp;" ?",Players[Name],0))&amp;") - type the last initial",IF(ISNUMBER(FIND(" ",M193)),IF(IFERROR(IF(M193="",FALSE,OR(M193="Unknown",AND(LEN(M193)-LEN(SUBSTITUTE(M193," ",""))=1,LEN(M193)&gt;=4,MID(M193,LEN(M193)-1,1)=" ",CODE(RIGHT(M193,1))&gt;=65,CODE(RIGHT(M193,1))&lt;=90))),FALSE),"New player? Not on Players list - add it there first","Not on Players list and not First L format (like Zack B)")&amp;IF(ISNUMBER(MATCH(LEFT(M193,FIND(" ",M193)-1)&amp;" ?",Players[Name],0))," (same first name as "&amp;INDEX(Players[Name],MATCH(LEFT(M193,FIND(" ",M193)-1)&amp;" ?",Players[Name],0))&amp;")",""),"Not on Players list - type first name + last initial (like Zack B)")),"")),IF(OR(V193&lt;Pod_Min,V193&gt;Pod_Max),"Pod has "&amp;V193&amp;" players",""),IF(U193=0,IF(T193=0,"No winner (*) in pod",IF(T193&gt;1,T193&amp;" winners in pod","")),IF(U193&lt;V193,"Some = but not all players","")),IF(X193="Unknown","",IF(COUNTIFS($O$8:$O$257,O193,$Q$8:$Q$257,Q193,$X$8:$X$257,X193)&gt;1,"Name twice in pod",IF(COUNTIFS($O$8:$O$257,O193,$X$8:$X$257,X193)&gt;1,"Name in 2 pods this round","")))))</f>
        <v/>
      </c>
      <c r="AA193" s="3" t="str">
        <f>IF(L193&lt;&gt;"PLAYER","",IF(OR(M193="",ISNUMBER(FIND(" ",M193))),0,COUNTIF(Players[Name],M193&amp;" ?")))</f>
        <v/>
      </c>
    </row>
    <row r="194" spans="1:27" x14ac:dyDescent="0.45">
      <c r="A194" s="17"/>
      <c r="B194" s="6" t="str">
        <f t="shared" si="42"/>
        <v/>
      </c>
      <c r="C194" s="6" t="str">
        <f t="shared" si="43"/>
        <v/>
      </c>
      <c r="D194" s="6" t="str">
        <f t="shared" si="44"/>
        <v/>
      </c>
      <c r="E194" s="6" t="str">
        <f t="shared" si="45"/>
        <v/>
      </c>
      <c r="F194" s="6" t="str">
        <f t="shared" si="46"/>
        <v/>
      </c>
      <c r="G194" s="6" t="str">
        <f t="shared" si="47"/>
        <v/>
      </c>
      <c r="H194" s="10" t="str">
        <f t="shared" si="48"/>
        <v/>
      </c>
      <c r="I194" s="6" t="str">
        <f t="shared" si="49"/>
        <v/>
      </c>
      <c r="J194" s="3" t="str">
        <f>IFERROR(MATCH(ROWS(J$8:J194),$S$8:$S$257,0),"")</f>
        <v/>
      </c>
      <c r="K194" s="3" t="str">
        <f t="shared" si="50"/>
        <v/>
      </c>
      <c r="L194" s="3" t="str">
        <f t="shared" si="51"/>
        <v/>
      </c>
      <c r="M194" s="3" t="str">
        <f t="shared" si="52"/>
        <v/>
      </c>
      <c r="N194" s="3" t="str">
        <f t="shared" si="53"/>
        <v/>
      </c>
      <c r="O194" s="3">
        <f t="shared" si="54"/>
        <v>1</v>
      </c>
      <c r="P194" s="3">
        <f t="shared" si="55"/>
        <v>0</v>
      </c>
      <c r="Q194" s="3">
        <f t="shared" si="56"/>
        <v>0</v>
      </c>
      <c r="R194" s="3" t="str">
        <f t="shared" si="57"/>
        <v/>
      </c>
      <c r="S194" s="3">
        <f t="shared" si="58"/>
        <v>0</v>
      </c>
      <c r="T194" s="3" t="str">
        <f t="shared" si="59"/>
        <v/>
      </c>
      <c r="U194" s="3" t="str">
        <f t="shared" si="60"/>
        <v/>
      </c>
      <c r="V194" s="3" t="str">
        <f t="shared" si="61"/>
        <v/>
      </c>
      <c r="W194" s="3" t="str">
        <f t="shared" si="62"/>
        <v/>
      </c>
      <c r="X194" s="3" t="str">
        <f>IF(L194&lt;&gt;"PLAYER","",IF(Y194="Y",INDEX(Players[Name],MATCH(M194,Players[Name],0)),IF(Y194="A",INDEX(Players[Name],MATCH(M194&amp;" ?",Players[Name],0)),M194)))</f>
        <v/>
      </c>
      <c r="Y194" s="3" t="str">
        <f>IF(L194&lt;&gt;"PLAYER","",IF(ISNUMBER(MATCH(M194,Players[Name],0)),"Y",IF(AA194=1,"A","N")))</f>
        <v/>
      </c>
      <c r="Z194" s="3" t="str">
        <f>IF(L194&lt;&gt;"PLAYER","",_xlfn.TEXTJOIN("; ",TRUE,IF(M194="","Empty name",IF(Y194="N",IF(AA194&gt;1,"Which "&amp;M194&amp;"? "&amp;AA194&amp;" players start with it (like "&amp;INDEX(Players[Name],MATCH(M194&amp;" ?",Players[Name],0))&amp;") - type the last initial",IF(ISNUMBER(FIND(" ",M194)),IF(IFERROR(IF(M194="",FALSE,OR(M194="Unknown",AND(LEN(M194)-LEN(SUBSTITUTE(M194," ",""))=1,LEN(M194)&gt;=4,MID(M194,LEN(M194)-1,1)=" ",CODE(RIGHT(M194,1))&gt;=65,CODE(RIGHT(M194,1))&lt;=90))),FALSE),"New player? Not on Players list - add it there first","Not on Players list and not First L format (like Zack B)")&amp;IF(ISNUMBER(MATCH(LEFT(M194,FIND(" ",M194)-1)&amp;" ?",Players[Name],0))," (same first name as "&amp;INDEX(Players[Name],MATCH(LEFT(M194,FIND(" ",M194)-1)&amp;" ?",Players[Name],0))&amp;")",""),"Not on Players list - type first name + last initial (like Zack B)")),"")),IF(OR(V194&lt;Pod_Min,V194&gt;Pod_Max),"Pod has "&amp;V194&amp;" players",""),IF(U194=0,IF(T194=0,"No winner (*) in pod",IF(T194&gt;1,T194&amp;" winners in pod","")),IF(U194&lt;V194,"Some = but not all players","")),IF(X194="Unknown","",IF(COUNTIFS($O$8:$O$257,O194,$Q$8:$Q$257,Q194,$X$8:$X$257,X194)&gt;1,"Name twice in pod",IF(COUNTIFS($O$8:$O$257,O194,$X$8:$X$257,X194)&gt;1,"Name in 2 pods this round","")))))</f>
        <v/>
      </c>
      <c r="AA194" s="3" t="str">
        <f>IF(L194&lt;&gt;"PLAYER","",IF(OR(M194="",ISNUMBER(FIND(" ",M194))),0,COUNTIF(Players[Name],M194&amp;" ?")))</f>
        <v/>
      </c>
    </row>
    <row r="195" spans="1:27" x14ac:dyDescent="0.45">
      <c r="A195" s="17"/>
      <c r="B195" s="6" t="str">
        <f t="shared" si="42"/>
        <v/>
      </c>
      <c r="C195" s="6" t="str">
        <f t="shared" si="43"/>
        <v/>
      </c>
      <c r="D195" s="6" t="str">
        <f t="shared" si="44"/>
        <v/>
      </c>
      <c r="E195" s="6" t="str">
        <f t="shared" si="45"/>
        <v/>
      </c>
      <c r="F195" s="6" t="str">
        <f t="shared" si="46"/>
        <v/>
      </c>
      <c r="G195" s="6" t="str">
        <f t="shared" si="47"/>
        <v/>
      </c>
      <c r="H195" s="10" t="str">
        <f t="shared" si="48"/>
        <v/>
      </c>
      <c r="I195" s="6" t="str">
        <f t="shared" si="49"/>
        <v/>
      </c>
      <c r="J195" s="3" t="str">
        <f>IFERROR(MATCH(ROWS(J$8:J195),$S$8:$S$257,0),"")</f>
        <v/>
      </c>
      <c r="K195" s="3" t="str">
        <f t="shared" si="50"/>
        <v/>
      </c>
      <c r="L195" s="3" t="str">
        <f t="shared" si="51"/>
        <v/>
      </c>
      <c r="M195" s="3" t="str">
        <f t="shared" si="52"/>
        <v/>
      </c>
      <c r="N195" s="3" t="str">
        <f t="shared" si="53"/>
        <v/>
      </c>
      <c r="O195" s="3">
        <f t="shared" si="54"/>
        <v>1</v>
      </c>
      <c r="P195" s="3">
        <f t="shared" si="55"/>
        <v>0</v>
      </c>
      <c r="Q195" s="3">
        <f t="shared" si="56"/>
        <v>0</v>
      </c>
      <c r="R195" s="3" t="str">
        <f t="shared" si="57"/>
        <v/>
      </c>
      <c r="S195" s="3">
        <f t="shared" si="58"/>
        <v>0</v>
      </c>
      <c r="T195" s="3" t="str">
        <f t="shared" si="59"/>
        <v/>
      </c>
      <c r="U195" s="3" t="str">
        <f t="shared" si="60"/>
        <v/>
      </c>
      <c r="V195" s="3" t="str">
        <f t="shared" si="61"/>
        <v/>
      </c>
      <c r="W195" s="3" t="str">
        <f t="shared" si="62"/>
        <v/>
      </c>
      <c r="X195" s="3" t="str">
        <f>IF(L195&lt;&gt;"PLAYER","",IF(Y195="Y",INDEX(Players[Name],MATCH(M195,Players[Name],0)),IF(Y195="A",INDEX(Players[Name],MATCH(M195&amp;" ?",Players[Name],0)),M195)))</f>
        <v/>
      </c>
      <c r="Y195" s="3" t="str">
        <f>IF(L195&lt;&gt;"PLAYER","",IF(ISNUMBER(MATCH(M195,Players[Name],0)),"Y",IF(AA195=1,"A","N")))</f>
        <v/>
      </c>
      <c r="Z195" s="3" t="str">
        <f>IF(L195&lt;&gt;"PLAYER","",_xlfn.TEXTJOIN("; ",TRUE,IF(M195="","Empty name",IF(Y195="N",IF(AA195&gt;1,"Which "&amp;M195&amp;"? "&amp;AA195&amp;" players start with it (like "&amp;INDEX(Players[Name],MATCH(M195&amp;" ?",Players[Name],0))&amp;") - type the last initial",IF(ISNUMBER(FIND(" ",M195)),IF(IFERROR(IF(M195="",FALSE,OR(M195="Unknown",AND(LEN(M195)-LEN(SUBSTITUTE(M195," ",""))=1,LEN(M195)&gt;=4,MID(M195,LEN(M195)-1,1)=" ",CODE(RIGHT(M195,1))&gt;=65,CODE(RIGHT(M195,1))&lt;=90))),FALSE),"New player? Not on Players list - add it there first","Not on Players list and not First L format (like Zack B)")&amp;IF(ISNUMBER(MATCH(LEFT(M195,FIND(" ",M195)-1)&amp;" ?",Players[Name],0))," (same first name as "&amp;INDEX(Players[Name],MATCH(LEFT(M195,FIND(" ",M195)-1)&amp;" ?",Players[Name],0))&amp;")",""),"Not on Players list - type first name + last initial (like Zack B)")),"")),IF(OR(V195&lt;Pod_Min,V195&gt;Pod_Max),"Pod has "&amp;V195&amp;" players",""),IF(U195=0,IF(T195=0,"No winner (*) in pod",IF(T195&gt;1,T195&amp;" winners in pod","")),IF(U195&lt;V195,"Some = but not all players","")),IF(X195="Unknown","",IF(COUNTIFS($O$8:$O$257,O195,$Q$8:$Q$257,Q195,$X$8:$X$257,X195)&gt;1,"Name twice in pod",IF(COUNTIFS($O$8:$O$257,O195,$X$8:$X$257,X195)&gt;1,"Name in 2 pods this round","")))))</f>
        <v/>
      </c>
      <c r="AA195" s="3" t="str">
        <f>IF(L195&lt;&gt;"PLAYER","",IF(OR(M195="",ISNUMBER(FIND(" ",M195))),0,COUNTIF(Players[Name],M195&amp;" ?")))</f>
        <v/>
      </c>
    </row>
    <row r="196" spans="1:27" x14ac:dyDescent="0.45">
      <c r="A196" s="17"/>
      <c r="B196" s="6" t="str">
        <f t="shared" si="42"/>
        <v/>
      </c>
      <c r="C196" s="6" t="str">
        <f t="shared" si="43"/>
        <v/>
      </c>
      <c r="D196" s="6" t="str">
        <f t="shared" si="44"/>
        <v/>
      </c>
      <c r="E196" s="6" t="str">
        <f t="shared" si="45"/>
        <v/>
      </c>
      <c r="F196" s="6" t="str">
        <f t="shared" si="46"/>
        <v/>
      </c>
      <c r="G196" s="6" t="str">
        <f t="shared" si="47"/>
        <v/>
      </c>
      <c r="H196" s="10" t="str">
        <f t="shared" si="48"/>
        <v/>
      </c>
      <c r="I196" s="6" t="str">
        <f t="shared" si="49"/>
        <v/>
      </c>
      <c r="J196" s="3" t="str">
        <f>IFERROR(MATCH(ROWS(J$8:J196),$S$8:$S$257,0),"")</f>
        <v/>
      </c>
      <c r="K196" s="3" t="str">
        <f t="shared" si="50"/>
        <v/>
      </c>
      <c r="L196" s="3" t="str">
        <f t="shared" si="51"/>
        <v/>
      </c>
      <c r="M196" s="3" t="str">
        <f t="shared" si="52"/>
        <v/>
      </c>
      <c r="N196" s="3" t="str">
        <f t="shared" si="53"/>
        <v/>
      </c>
      <c r="O196" s="3">
        <f t="shared" si="54"/>
        <v>1</v>
      </c>
      <c r="P196" s="3">
        <f t="shared" si="55"/>
        <v>0</v>
      </c>
      <c r="Q196" s="3">
        <f t="shared" si="56"/>
        <v>0</v>
      </c>
      <c r="R196" s="3" t="str">
        <f t="shared" si="57"/>
        <v/>
      </c>
      <c r="S196" s="3">
        <f t="shared" si="58"/>
        <v>0</v>
      </c>
      <c r="T196" s="3" t="str">
        <f t="shared" si="59"/>
        <v/>
      </c>
      <c r="U196" s="3" t="str">
        <f t="shared" si="60"/>
        <v/>
      </c>
      <c r="V196" s="3" t="str">
        <f t="shared" si="61"/>
        <v/>
      </c>
      <c r="W196" s="3" t="str">
        <f t="shared" si="62"/>
        <v/>
      </c>
      <c r="X196" s="3" t="str">
        <f>IF(L196&lt;&gt;"PLAYER","",IF(Y196="Y",INDEX(Players[Name],MATCH(M196,Players[Name],0)),IF(Y196="A",INDEX(Players[Name],MATCH(M196&amp;" ?",Players[Name],0)),M196)))</f>
        <v/>
      </c>
      <c r="Y196" s="3" t="str">
        <f>IF(L196&lt;&gt;"PLAYER","",IF(ISNUMBER(MATCH(M196,Players[Name],0)),"Y",IF(AA196=1,"A","N")))</f>
        <v/>
      </c>
      <c r="Z196" s="3" t="str">
        <f>IF(L196&lt;&gt;"PLAYER","",_xlfn.TEXTJOIN("; ",TRUE,IF(M196="","Empty name",IF(Y196="N",IF(AA196&gt;1,"Which "&amp;M196&amp;"? "&amp;AA196&amp;" players start with it (like "&amp;INDEX(Players[Name],MATCH(M196&amp;" ?",Players[Name],0))&amp;") - type the last initial",IF(ISNUMBER(FIND(" ",M196)),IF(IFERROR(IF(M196="",FALSE,OR(M196="Unknown",AND(LEN(M196)-LEN(SUBSTITUTE(M196," ",""))=1,LEN(M196)&gt;=4,MID(M196,LEN(M196)-1,1)=" ",CODE(RIGHT(M196,1))&gt;=65,CODE(RIGHT(M196,1))&lt;=90))),FALSE),"New player? Not on Players list - add it there first","Not on Players list and not First L format (like Zack B)")&amp;IF(ISNUMBER(MATCH(LEFT(M196,FIND(" ",M196)-1)&amp;" ?",Players[Name],0))," (same first name as "&amp;INDEX(Players[Name],MATCH(LEFT(M196,FIND(" ",M196)-1)&amp;" ?",Players[Name],0))&amp;")",""),"Not on Players list - type first name + last initial (like Zack B)")),"")),IF(OR(V196&lt;Pod_Min,V196&gt;Pod_Max),"Pod has "&amp;V196&amp;" players",""),IF(U196=0,IF(T196=0,"No winner (*) in pod",IF(T196&gt;1,T196&amp;" winners in pod","")),IF(U196&lt;V196,"Some = but not all players","")),IF(X196="Unknown","",IF(COUNTIFS($O$8:$O$257,O196,$Q$8:$Q$257,Q196,$X$8:$X$257,X196)&gt;1,"Name twice in pod",IF(COUNTIFS($O$8:$O$257,O196,$X$8:$X$257,X196)&gt;1,"Name in 2 pods this round","")))))</f>
        <v/>
      </c>
      <c r="AA196" s="3" t="str">
        <f>IF(L196&lt;&gt;"PLAYER","",IF(OR(M196="",ISNUMBER(FIND(" ",M196))),0,COUNTIF(Players[Name],M196&amp;" ?")))</f>
        <v/>
      </c>
    </row>
    <row r="197" spans="1:27" x14ac:dyDescent="0.45">
      <c r="A197" s="17"/>
      <c r="B197" s="6" t="str">
        <f t="shared" si="42"/>
        <v/>
      </c>
      <c r="C197" s="6" t="str">
        <f t="shared" si="43"/>
        <v/>
      </c>
      <c r="D197" s="6" t="str">
        <f t="shared" si="44"/>
        <v/>
      </c>
      <c r="E197" s="6" t="str">
        <f t="shared" si="45"/>
        <v/>
      </c>
      <c r="F197" s="6" t="str">
        <f t="shared" si="46"/>
        <v/>
      </c>
      <c r="G197" s="6" t="str">
        <f t="shared" si="47"/>
        <v/>
      </c>
      <c r="H197" s="10" t="str">
        <f t="shared" si="48"/>
        <v/>
      </c>
      <c r="I197" s="6" t="str">
        <f t="shared" si="49"/>
        <v/>
      </c>
      <c r="J197" s="3" t="str">
        <f>IFERROR(MATCH(ROWS(J$8:J197),$S$8:$S$257,0),"")</f>
        <v/>
      </c>
      <c r="K197" s="3" t="str">
        <f t="shared" si="50"/>
        <v/>
      </c>
      <c r="L197" s="3" t="str">
        <f t="shared" si="51"/>
        <v/>
      </c>
      <c r="M197" s="3" t="str">
        <f t="shared" si="52"/>
        <v/>
      </c>
      <c r="N197" s="3" t="str">
        <f t="shared" si="53"/>
        <v/>
      </c>
      <c r="O197" s="3">
        <f t="shared" si="54"/>
        <v>1</v>
      </c>
      <c r="P197" s="3">
        <f t="shared" si="55"/>
        <v>0</v>
      </c>
      <c r="Q197" s="3">
        <f t="shared" si="56"/>
        <v>0</v>
      </c>
      <c r="R197" s="3" t="str">
        <f t="shared" si="57"/>
        <v/>
      </c>
      <c r="S197" s="3">
        <f t="shared" si="58"/>
        <v>0</v>
      </c>
      <c r="T197" s="3" t="str">
        <f t="shared" si="59"/>
        <v/>
      </c>
      <c r="U197" s="3" t="str">
        <f t="shared" si="60"/>
        <v/>
      </c>
      <c r="V197" s="3" t="str">
        <f t="shared" si="61"/>
        <v/>
      </c>
      <c r="W197" s="3" t="str">
        <f t="shared" si="62"/>
        <v/>
      </c>
      <c r="X197" s="3" t="str">
        <f>IF(L197&lt;&gt;"PLAYER","",IF(Y197="Y",INDEX(Players[Name],MATCH(M197,Players[Name],0)),IF(Y197="A",INDEX(Players[Name],MATCH(M197&amp;" ?",Players[Name],0)),M197)))</f>
        <v/>
      </c>
      <c r="Y197" s="3" t="str">
        <f>IF(L197&lt;&gt;"PLAYER","",IF(ISNUMBER(MATCH(M197,Players[Name],0)),"Y",IF(AA197=1,"A","N")))</f>
        <v/>
      </c>
      <c r="Z197" s="3" t="str">
        <f>IF(L197&lt;&gt;"PLAYER","",_xlfn.TEXTJOIN("; ",TRUE,IF(M197="","Empty name",IF(Y197="N",IF(AA197&gt;1,"Which "&amp;M197&amp;"? "&amp;AA197&amp;" players start with it (like "&amp;INDEX(Players[Name],MATCH(M197&amp;" ?",Players[Name],0))&amp;") - type the last initial",IF(ISNUMBER(FIND(" ",M197)),IF(IFERROR(IF(M197="",FALSE,OR(M197="Unknown",AND(LEN(M197)-LEN(SUBSTITUTE(M197," ",""))=1,LEN(M197)&gt;=4,MID(M197,LEN(M197)-1,1)=" ",CODE(RIGHT(M197,1))&gt;=65,CODE(RIGHT(M197,1))&lt;=90))),FALSE),"New player? Not on Players list - add it there first","Not on Players list and not First L format (like Zack B)")&amp;IF(ISNUMBER(MATCH(LEFT(M197,FIND(" ",M197)-1)&amp;" ?",Players[Name],0))," (same first name as "&amp;INDEX(Players[Name],MATCH(LEFT(M197,FIND(" ",M197)-1)&amp;" ?",Players[Name],0))&amp;")",""),"Not on Players list - type first name + last initial (like Zack B)")),"")),IF(OR(V197&lt;Pod_Min,V197&gt;Pod_Max),"Pod has "&amp;V197&amp;" players",""),IF(U197=0,IF(T197=0,"No winner (*) in pod",IF(T197&gt;1,T197&amp;" winners in pod","")),IF(U197&lt;V197,"Some = but not all players","")),IF(X197="Unknown","",IF(COUNTIFS($O$8:$O$257,O197,$Q$8:$Q$257,Q197,$X$8:$X$257,X197)&gt;1,"Name twice in pod",IF(COUNTIFS($O$8:$O$257,O197,$X$8:$X$257,X197)&gt;1,"Name in 2 pods this round","")))))</f>
        <v/>
      </c>
      <c r="AA197" s="3" t="str">
        <f>IF(L197&lt;&gt;"PLAYER","",IF(OR(M197="",ISNUMBER(FIND(" ",M197))),0,COUNTIF(Players[Name],M197&amp;" ?")))</f>
        <v/>
      </c>
    </row>
    <row r="198" spans="1:27" x14ac:dyDescent="0.45">
      <c r="A198" s="17"/>
      <c r="B198" s="6" t="str">
        <f t="shared" si="42"/>
        <v/>
      </c>
      <c r="C198" s="6" t="str">
        <f t="shared" si="43"/>
        <v/>
      </c>
      <c r="D198" s="6" t="str">
        <f t="shared" si="44"/>
        <v/>
      </c>
      <c r="E198" s="6" t="str">
        <f t="shared" si="45"/>
        <v/>
      </c>
      <c r="F198" s="6" t="str">
        <f t="shared" si="46"/>
        <v/>
      </c>
      <c r="G198" s="6" t="str">
        <f t="shared" si="47"/>
        <v/>
      </c>
      <c r="H198" s="10" t="str">
        <f t="shared" si="48"/>
        <v/>
      </c>
      <c r="I198" s="6" t="str">
        <f t="shared" si="49"/>
        <v/>
      </c>
      <c r="J198" s="3" t="str">
        <f>IFERROR(MATCH(ROWS(J$8:J198),$S$8:$S$257,0),"")</f>
        <v/>
      </c>
      <c r="K198" s="3" t="str">
        <f t="shared" si="50"/>
        <v/>
      </c>
      <c r="L198" s="3" t="str">
        <f t="shared" si="51"/>
        <v/>
      </c>
      <c r="M198" s="3" t="str">
        <f t="shared" si="52"/>
        <v/>
      </c>
      <c r="N198" s="3" t="str">
        <f t="shared" si="53"/>
        <v/>
      </c>
      <c r="O198" s="3">
        <f t="shared" si="54"/>
        <v>1</v>
      </c>
      <c r="P198" s="3">
        <f t="shared" si="55"/>
        <v>0</v>
      </c>
      <c r="Q198" s="3">
        <f t="shared" si="56"/>
        <v>0</v>
      </c>
      <c r="R198" s="3" t="str">
        <f t="shared" si="57"/>
        <v/>
      </c>
      <c r="S198" s="3">
        <f t="shared" si="58"/>
        <v>0</v>
      </c>
      <c r="T198" s="3" t="str">
        <f t="shared" si="59"/>
        <v/>
      </c>
      <c r="U198" s="3" t="str">
        <f t="shared" si="60"/>
        <v/>
      </c>
      <c r="V198" s="3" t="str">
        <f t="shared" si="61"/>
        <v/>
      </c>
      <c r="W198" s="3" t="str">
        <f t="shared" si="62"/>
        <v/>
      </c>
      <c r="X198" s="3" t="str">
        <f>IF(L198&lt;&gt;"PLAYER","",IF(Y198="Y",INDEX(Players[Name],MATCH(M198,Players[Name],0)),IF(Y198="A",INDEX(Players[Name],MATCH(M198&amp;" ?",Players[Name],0)),M198)))</f>
        <v/>
      </c>
      <c r="Y198" s="3" t="str">
        <f>IF(L198&lt;&gt;"PLAYER","",IF(ISNUMBER(MATCH(M198,Players[Name],0)),"Y",IF(AA198=1,"A","N")))</f>
        <v/>
      </c>
      <c r="Z198" s="3" t="str">
        <f>IF(L198&lt;&gt;"PLAYER","",_xlfn.TEXTJOIN("; ",TRUE,IF(M198="","Empty name",IF(Y198="N",IF(AA198&gt;1,"Which "&amp;M198&amp;"? "&amp;AA198&amp;" players start with it (like "&amp;INDEX(Players[Name],MATCH(M198&amp;" ?",Players[Name],0))&amp;") - type the last initial",IF(ISNUMBER(FIND(" ",M198)),IF(IFERROR(IF(M198="",FALSE,OR(M198="Unknown",AND(LEN(M198)-LEN(SUBSTITUTE(M198," ",""))=1,LEN(M198)&gt;=4,MID(M198,LEN(M198)-1,1)=" ",CODE(RIGHT(M198,1))&gt;=65,CODE(RIGHT(M198,1))&lt;=90))),FALSE),"New player? Not on Players list - add it there first","Not on Players list and not First L format (like Zack B)")&amp;IF(ISNUMBER(MATCH(LEFT(M198,FIND(" ",M198)-1)&amp;" ?",Players[Name],0))," (same first name as "&amp;INDEX(Players[Name],MATCH(LEFT(M198,FIND(" ",M198)-1)&amp;" ?",Players[Name],0))&amp;")",""),"Not on Players list - type first name + last initial (like Zack B)")),"")),IF(OR(V198&lt;Pod_Min,V198&gt;Pod_Max),"Pod has "&amp;V198&amp;" players",""),IF(U198=0,IF(T198=0,"No winner (*) in pod",IF(T198&gt;1,T198&amp;" winners in pod","")),IF(U198&lt;V198,"Some = but not all players","")),IF(X198="Unknown","",IF(COUNTIFS($O$8:$O$257,O198,$Q$8:$Q$257,Q198,$X$8:$X$257,X198)&gt;1,"Name twice in pod",IF(COUNTIFS($O$8:$O$257,O198,$X$8:$X$257,X198)&gt;1,"Name in 2 pods this round","")))))</f>
        <v/>
      </c>
      <c r="AA198" s="3" t="str">
        <f>IF(L198&lt;&gt;"PLAYER","",IF(OR(M198="",ISNUMBER(FIND(" ",M198))),0,COUNTIF(Players[Name],M198&amp;" ?")))</f>
        <v/>
      </c>
    </row>
    <row r="199" spans="1:27" x14ac:dyDescent="0.45">
      <c r="A199" s="17"/>
      <c r="B199" s="6" t="str">
        <f t="shared" si="42"/>
        <v/>
      </c>
      <c r="C199" s="6" t="str">
        <f t="shared" si="43"/>
        <v/>
      </c>
      <c r="D199" s="6" t="str">
        <f t="shared" si="44"/>
        <v/>
      </c>
      <c r="E199" s="6" t="str">
        <f t="shared" si="45"/>
        <v/>
      </c>
      <c r="F199" s="6" t="str">
        <f t="shared" si="46"/>
        <v/>
      </c>
      <c r="G199" s="6" t="str">
        <f t="shared" si="47"/>
        <v/>
      </c>
      <c r="H199" s="10" t="str">
        <f t="shared" si="48"/>
        <v/>
      </c>
      <c r="I199" s="6" t="str">
        <f t="shared" si="49"/>
        <v/>
      </c>
      <c r="J199" s="3" t="str">
        <f>IFERROR(MATCH(ROWS(J$8:J199),$S$8:$S$257,0),"")</f>
        <v/>
      </c>
      <c r="K199" s="3" t="str">
        <f t="shared" si="50"/>
        <v/>
      </c>
      <c r="L199" s="3" t="str">
        <f t="shared" si="51"/>
        <v/>
      </c>
      <c r="M199" s="3" t="str">
        <f t="shared" si="52"/>
        <v/>
      </c>
      <c r="N199" s="3" t="str">
        <f t="shared" si="53"/>
        <v/>
      </c>
      <c r="O199" s="3">
        <f t="shared" si="54"/>
        <v>1</v>
      </c>
      <c r="P199" s="3">
        <f t="shared" si="55"/>
        <v>0</v>
      </c>
      <c r="Q199" s="3">
        <f t="shared" si="56"/>
        <v>0</v>
      </c>
      <c r="R199" s="3" t="str">
        <f t="shared" si="57"/>
        <v/>
      </c>
      <c r="S199" s="3">
        <f t="shared" si="58"/>
        <v>0</v>
      </c>
      <c r="T199" s="3" t="str">
        <f t="shared" si="59"/>
        <v/>
      </c>
      <c r="U199" s="3" t="str">
        <f t="shared" si="60"/>
        <v/>
      </c>
      <c r="V199" s="3" t="str">
        <f t="shared" si="61"/>
        <v/>
      </c>
      <c r="W199" s="3" t="str">
        <f t="shared" si="62"/>
        <v/>
      </c>
      <c r="X199" s="3" t="str">
        <f>IF(L199&lt;&gt;"PLAYER","",IF(Y199="Y",INDEX(Players[Name],MATCH(M199,Players[Name],0)),IF(Y199="A",INDEX(Players[Name],MATCH(M199&amp;" ?",Players[Name],0)),M199)))</f>
        <v/>
      </c>
      <c r="Y199" s="3" t="str">
        <f>IF(L199&lt;&gt;"PLAYER","",IF(ISNUMBER(MATCH(M199,Players[Name],0)),"Y",IF(AA199=1,"A","N")))</f>
        <v/>
      </c>
      <c r="Z199" s="3" t="str">
        <f>IF(L199&lt;&gt;"PLAYER","",_xlfn.TEXTJOIN("; ",TRUE,IF(M199="","Empty name",IF(Y199="N",IF(AA199&gt;1,"Which "&amp;M199&amp;"? "&amp;AA199&amp;" players start with it (like "&amp;INDEX(Players[Name],MATCH(M199&amp;" ?",Players[Name],0))&amp;") - type the last initial",IF(ISNUMBER(FIND(" ",M199)),IF(IFERROR(IF(M199="",FALSE,OR(M199="Unknown",AND(LEN(M199)-LEN(SUBSTITUTE(M199," ",""))=1,LEN(M199)&gt;=4,MID(M199,LEN(M199)-1,1)=" ",CODE(RIGHT(M199,1))&gt;=65,CODE(RIGHT(M199,1))&lt;=90))),FALSE),"New player? Not on Players list - add it there first","Not on Players list and not First L format (like Zack B)")&amp;IF(ISNUMBER(MATCH(LEFT(M199,FIND(" ",M199)-1)&amp;" ?",Players[Name],0))," (same first name as "&amp;INDEX(Players[Name],MATCH(LEFT(M199,FIND(" ",M199)-1)&amp;" ?",Players[Name],0))&amp;")",""),"Not on Players list - type first name + last initial (like Zack B)")),"")),IF(OR(V199&lt;Pod_Min,V199&gt;Pod_Max),"Pod has "&amp;V199&amp;" players",""),IF(U199=0,IF(T199=0,"No winner (*) in pod",IF(T199&gt;1,T199&amp;" winners in pod","")),IF(U199&lt;V199,"Some = but not all players","")),IF(X199="Unknown","",IF(COUNTIFS($O$8:$O$257,O199,$Q$8:$Q$257,Q199,$X$8:$X$257,X199)&gt;1,"Name twice in pod",IF(COUNTIFS($O$8:$O$257,O199,$X$8:$X$257,X199)&gt;1,"Name in 2 pods this round","")))))</f>
        <v/>
      </c>
      <c r="AA199" s="3" t="str">
        <f>IF(L199&lt;&gt;"PLAYER","",IF(OR(M199="",ISNUMBER(FIND(" ",M199))),0,COUNTIF(Players[Name],M199&amp;" ?")))</f>
        <v/>
      </c>
    </row>
    <row r="200" spans="1:27" x14ac:dyDescent="0.45">
      <c r="A200" s="17"/>
      <c r="B200" s="6" t="str">
        <f t="shared" ref="B200:B257" si="63">IF(K200="","",IF(L200="DATE","Date: "&amp;IF($C$4="","not readable",TEXT($C$4,"dddd m/d/yyyy")),IF(L200="ROUND","Round "&amp;O200,IF(Z200&lt;&gt;"","FIX: "&amp;Z200,"OK - "&amp;W200&amp;", pod "&amp;Q200&amp;", seat "&amp;R200&amp;IF(Y200="A","   ("&amp;M200&amp;" = "&amp;X200&amp;")","")))))</f>
        <v/>
      </c>
      <c r="C200" s="6" t="str">
        <f t="shared" ref="C200:C257" si="64">IF($J200="","",INDEX($X$8:$X$257,$J200))</f>
        <v/>
      </c>
      <c r="D200" s="6" t="str">
        <f t="shared" ref="D200:D257" si="65">IF($J200="","",INDEX($W$8:$W$257,$J200))</f>
        <v/>
      </c>
      <c r="E200" s="6" t="str">
        <f t="shared" ref="E200:E257" si="66">IF($J200="","",INDEX($R$8:$R$257,$J200))</f>
        <v/>
      </c>
      <c r="F200" s="6" t="str">
        <f t="shared" ref="F200:F257" si="67">IF($J200="","",INDEX($Q$8:$Q$257,$J200))</f>
        <v/>
      </c>
      <c r="G200" s="6" t="str">
        <f t="shared" ref="G200:G257" si="68">IF($J200="","",INDEX($O$8:$O$257,$J200))</f>
        <v/>
      </c>
      <c r="H200" s="10" t="str">
        <f t="shared" ref="H200:H257" si="69">IF($J200="","",$C$4)</f>
        <v/>
      </c>
      <c r="I200" s="6" t="str">
        <f t="shared" ref="I200:I257" si="70">IF($J200="","",IF(INDEX($Z$8:$Z$257,$J200)="","OK","FIX"))</f>
        <v/>
      </c>
      <c r="J200" s="3" t="str">
        <f>IFERROR(MATCH(ROWS(J$8:J200),$S$8:$S$257,0),"")</f>
        <v/>
      </c>
      <c r="K200" s="3" t="str">
        <f t="shared" ref="K200:K257" si="71">TRIM(CLEAN(SUBSTITUTE(A200,_xlfn.UNICHAR(160)," ")))</f>
        <v/>
      </c>
      <c r="L200" s="3" t="str">
        <f t="shared" ref="L200:L263" si="72">IF(K200="","",IF(ISNUMBER(FIND("/",K200)),"DATE",IF(OR(LEFT(UPPER(K200),5)="ROUND",AND(LEFT(UPPER(K200),1)="R",LEN(K200)&gt;=2,ISNUMBER(--MID(K200,2,9)))),"ROUND","PLAYER")))</f>
        <v/>
      </c>
      <c r="M200" s="3" t="str">
        <f t="shared" ref="M200:M263" si="73">IF(L200="PLAYER",TRIM(SUBSTITUTE(SUBSTITUTE(K200,"*",""),"=","")),"")</f>
        <v/>
      </c>
      <c r="N200" s="3" t="str">
        <f t="shared" ref="N200:N257" si="74">IF(L200&lt;&gt;"PLAYER","",IF(ISNUMBER(FIND("=",K200)),"DRAW",IF(ISNUMBER(FIND("*",K200)),"WIN","")))</f>
        <v/>
      </c>
      <c r="O200" s="3">
        <f t="shared" ref="O200:O257" si="75">IF(L200="ROUND",IFERROR(VALUE(SUBSTITUTE(SUBSTITUTE(UPPER(K200),"ROUND",""),"R","")),1),MAX(1,N(O199)))</f>
        <v>1</v>
      </c>
      <c r="P200" s="3">
        <f t="shared" ref="P200:P257" si="76">IF(AND(L200="PLAYER",L199&lt;&gt;"PLAYER"),1,0)</f>
        <v>0</v>
      </c>
      <c r="Q200" s="3">
        <f t="shared" ref="Q200:Q263" si="77">IF(L200="ROUND",0,N(Q199)+P200)</f>
        <v>0</v>
      </c>
      <c r="R200" s="3" t="str">
        <f t="shared" ref="R200:R257" si="78">IF(L200&lt;&gt;"PLAYER","",IF(P200=1,1,N(R199)+1))</f>
        <v/>
      </c>
      <c r="S200" s="3">
        <f t="shared" ref="S200:S257" si="79">N(S199)+IF(L200="PLAYER",1,0)</f>
        <v>0</v>
      </c>
      <c r="T200" s="3" t="str">
        <f t="shared" ref="T200:T257" si="80">IF(L200="PLAYER",COUNTIFS($O$8:$O$257,O200,$Q$8:$Q$257,Q200,$N$8:$N$257,"WIN"),"")</f>
        <v/>
      </c>
      <c r="U200" s="3" t="str">
        <f t="shared" ref="U200:U257" si="81">IF(L200="PLAYER",COUNTIFS($O$8:$O$257,O200,$Q$8:$Q$257,Q200,$N$8:$N$257,"DRAW"),"")</f>
        <v/>
      </c>
      <c r="V200" s="3" t="str">
        <f t="shared" ref="V200:V257" si="82">IF(L200="PLAYER",COUNTIFS($O$8:$O$257,O200,$Q$8:$Q$257,Q200,$L$8:$L$257,"PLAYER"),"")</f>
        <v/>
      </c>
      <c r="W200" s="3" t="str">
        <f t="shared" ref="W200:W263" si="83">IF(L200&lt;&gt;"PLAYER","",IF(U200=V200,"Draw",IF(N200="WIN","Win","Loss")))</f>
        <v/>
      </c>
      <c r="X200" s="3" t="str">
        <f>IF(L200&lt;&gt;"PLAYER","",IF(Y200="Y",INDEX(Players[Name],MATCH(M200,Players[Name],0)),IF(Y200="A",INDEX(Players[Name],MATCH(M200&amp;" ?",Players[Name],0)),M200)))</f>
        <v/>
      </c>
      <c r="Y200" s="3" t="str">
        <f>IF(L200&lt;&gt;"PLAYER","",IF(ISNUMBER(MATCH(M200,Players[Name],0)),"Y",IF(AA200=1,"A","N")))</f>
        <v/>
      </c>
      <c r="Z200" s="3" t="str">
        <f>IF(L200&lt;&gt;"PLAYER","",_xlfn.TEXTJOIN("; ",TRUE,IF(M200="","Empty name",IF(Y200="N",IF(AA200&gt;1,"Which "&amp;M200&amp;"? "&amp;AA200&amp;" players start with it (like "&amp;INDEX(Players[Name],MATCH(M200&amp;" ?",Players[Name],0))&amp;") - type the last initial",IF(ISNUMBER(FIND(" ",M200)),IF(IFERROR(IF(M200="",FALSE,OR(M200="Unknown",AND(LEN(M200)-LEN(SUBSTITUTE(M200," ",""))=1,LEN(M200)&gt;=4,MID(M200,LEN(M200)-1,1)=" ",CODE(RIGHT(M200,1))&gt;=65,CODE(RIGHT(M200,1))&lt;=90))),FALSE),"New player? Not on Players list - add it there first","Not on Players list and not First L format (like Zack B)")&amp;IF(ISNUMBER(MATCH(LEFT(M200,FIND(" ",M200)-1)&amp;" ?",Players[Name],0))," (same first name as "&amp;INDEX(Players[Name],MATCH(LEFT(M200,FIND(" ",M200)-1)&amp;" ?",Players[Name],0))&amp;")",""),"Not on Players list - type first name + last initial (like Zack B)")),"")),IF(OR(V200&lt;Pod_Min,V200&gt;Pod_Max),"Pod has "&amp;V200&amp;" players",""),IF(U200=0,IF(T200=0,"No winner (*) in pod",IF(T200&gt;1,T200&amp;" winners in pod","")),IF(U200&lt;V200,"Some = but not all players","")),IF(X200="Unknown","",IF(COUNTIFS($O$8:$O$257,O200,$Q$8:$Q$257,Q200,$X$8:$X$257,X200)&gt;1,"Name twice in pod",IF(COUNTIFS($O$8:$O$257,O200,$X$8:$X$257,X200)&gt;1,"Name in 2 pods this round","")))))</f>
        <v/>
      </c>
      <c r="AA200" s="3" t="str">
        <f>IF(L200&lt;&gt;"PLAYER","",IF(OR(M200="",ISNUMBER(FIND(" ",M200))),0,COUNTIF(Players[Name],M200&amp;" ?")))</f>
        <v/>
      </c>
    </row>
    <row r="201" spans="1:27" x14ac:dyDescent="0.45">
      <c r="A201" s="17"/>
      <c r="B201" s="6" t="str">
        <f t="shared" si="63"/>
        <v/>
      </c>
      <c r="C201" s="6" t="str">
        <f t="shared" si="64"/>
        <v/>
      </c>
      <c r="D201" s="6" t="str">
        <f t="shared" si="65"/>
        <v/>
      </c>
      <c r="E201" s="6" t="str">
        <f t="shared" si="66"/>
        <v/>
      </c>
      <c r="F201" s="6" t="str">
        <f t="shared" si="67"/>
        <v/>
      </c>
      <c r="G201" s="6" t="str">
        <f t="shared" si="68"/>
        <v/>
      </c>
      <c r="H201" s="10" t="str">
        <f t="shared" si="69"/>
        <v/>
      </c>
      <c r="I201" s="6" t="str">
        <f t="shared" si="70"/>
        <v/>
      </c>
      <c r="J201" s="3" t="str">
        <f>IFERROR(MATCH(ROWS(J$8:J201),$S$8:$S$257,0),"")</f>
        <v/>
      </c>
      <c r="K201" s="3" t="str">
        <f t="shared" si="71"/>
        <v/>
      </c>
      <c r="L201" s="3" t="str">
        <f t="shared" si="72"/>
        <v/>
      </c>
      <c r="M201" s="3" t="str">
        <f t="shared" si="73"/>
        <v/>
      </c>
      <c r="N201" s="3" t="str">
        <f t="shared" si="74"/>
        <v/>
      </c>
      <c r="O201" s="3">
        <f t="shared" si="75"/>
        <v>1</v>
      </c>
      <c r="P201" s="3">
        <f t="shared" si="76"/>
        <v>0</v>
      </c>
      <c r="Q201" s="3">
        <f t="shared" si="77"/>
        <v>0</v>
      </c>
      <c r="R201" s="3" t="str">
        <f t="shared" si="78"/>
        <v/>
      </c>
      <c r="S201" s="3">
        <f t="shared" si="79"/>
        <v>0</v>
      </c>
      <c r="T201" s="3" t="str">
        <f t="shared" si="80"/>
        <v/>
      </c>
      <c r="U201" s="3" t="str">
        <f t="shared" si="81"/>
        <v/>
      </c>
      <c r="V201" s="3" t="str">
        <f t="shared" si="82"/>
        <v/>
      </c>
      <c r="W201" s="3" t="str">
        <f t="shared" si="83"/>
        <v/>
      </c>
      <c r="X201" s="3" t="str">
        <f>IF(L201&lt;&gt;"PLAYER","",IF(Y201="Y",INDEX(Players[Name],MATCH(M201,Players[Name],0)),IF(Y201="A",INDEX(Players[Name],MATCH(M201&amp;" ?",Players[Name],0)),M201)))</f>
        <v/>
      </c>
      <c r="Y201" s="3" t="str">
        <f>IF(L201&lt;&gt;"PLAYER","",IF(ISNUMBER(MATCH(M201,Players[Name],0)),"Y",IF(AA201=1,"A","N")))</f>
        <v/>
      </c>
      <c r="Z201" s="3" t="str">
        <f>IF(L201&lt;&gt;"PLAYER","",_xlfn.TEXTJOIN("; ",TRUE,IF(M201="","Empty name",IF(Y201="N",IF(AA201&gt;1,"Which "&amp;M201&amp;"? "&amp;AA201&amp;" players start with it (like "&amp;INDEX(Players[Name],MATCH(M201&amp;" ?",Players[Name],0))&amp;") - type the last initial",IF(ISNUMBER(FIND(" ",M201)),IF(IFERROR(IF(M201="",FALSE,OR(M201="Unknown",AND(LEN(M201)-LEN(SUBSTITUTE(M201," ",""))=1,LEN(M201)&gt;=4,MID(M201,LEN(M201)-1,1)=" ",CODE(RIGHT(M201,1))&gt;=65,CODE(RIGHT(M201,1))&lt;=90))),FALSE),"New player? Not on Players list - add it there first","Not on Players list and not First L format (like Zack B)")&amp;IF(ISNUMBER(MATCH(LEFT(M201,FIND(" ",M201)-1)&amp;" ?",Players[Name],0))," (same first name as "&amp;INDEX(Players[Name],MATCH(LEFT(M201,FIND(" ",M201)-1)&amp;" ?",Players[Name],0))&amp;")",""),"Not on Players list - type first name + last initial (like Zack B)")),"")),IF(OR(V201&lt;Pod_Min,V201&gt;Pod_Max),"Pod has "&amp;V201&amp;" players",""),IF(U201=0,IF(T201=0,"No winner (*) in pod",IF(T201&gt;1,T201&amp;" winners in pod","")),IF(U201&lt;V201,"Some = but not all players","")),IF(X201="Unknown","",IF(COUNTIFS($O$8:$O$257,O201,$Q$8:$Q$257,Q201,$X$8:$X$257,X201)&gt;1,"Name twice in pod",IF(COUNTIFS($O$8:$O$257,O201,$X$8:$X$257,X201)&gt;1,"Name in 2 pods this round","")))))</f>
        <v/>
      </c>
      <c r="AA201" s="3" t="str">
        <f>IF(L201&lt;&gt;"PLAYER","",IF(OR(M201="",ISNUMBER(FIND(" ",M201))),0,COUNTIF(Players[Name],M201&amp;" ?")))</f>
        <v/>
      </c>
    </row>
    <row r="202" spans="1:27" x14ac:dyDescent="0.45">
      <c r="A202" s="17"/>
      <c r="B202" s="6" t="str">
        <f t="shared" si="63"/>
        <v/>
      </c>
      <c r="C202" s="6" t="str">
        <f t="shared" si="64"/>
        <v/>
      </c>
      <c r="D202" s="6" t="str">
        <f t="shared" si="65"/>
        <v/>
      </c>
      <c r="E202" s="6" t="str">
        <f t="shared" si="66"/>
        <v/>
      </c>
      <c r="F202" s="6" t="str">
        <f t="shared" si="67"/>
        <v/>
      </c>
      <c r="G202" s="6" t="str">
        <f t="shared" si="68"/>
        <v/>
      </c>
      <c r="H202" s="10" t="str">
        <f t="shared" si="69"/>
        <v/>
      </c>
      <c r="I202" s="6" t="str">
        <f t="shared" si="70"/>
        <v/>
      </c>
      <c r="J202" s="3" t="str">
        <f>IFERROR(MATCH(ROWS(J$8:J202),$S$8:$S$257,0),"")</f>
        <v/>
      </c>
      <c r="K202" s="3" t="str">
        <f t="shared" si="71"/>
        <v/>
      </c>
      <c r="L202" s="3" t="str">
        <f t="shared" si="72"/>
        <v/>
      </c>
      <c r="M202" s="3" t="str">
        <f t="shared" si="73"/>
        <v/>
      </c>
      <c r="N202" s="3" t="str">
        <f t="shared" si="74"/>
        <v/>
      </c>
      <c r="O202" s="3">
        <f t="shared" si="75"/>
        <v>1</v>
      </c>
      <c r="P202" s="3">
        <f t="shared" si="76"/>
        <v>0</v>
      </c>
      <c r="Q202" s="3">
        <f t="shared" si="77"/>
        <v>0</v>
      </c>
      <c r="R202" s="3" t="str">
        <f t="shared" si="78"/>
        <v/>
      </c>
      <c r="S202" s="3">
        <f t="shared" si="79"/>
        <v>0</v>
      </c>
      <c r="T202" s="3" t="str">
        <f t="shared" si="80"/>
        <v/>
      </c>
      <c r="U202" s="3" t="str">
        <f t="shared" si="81"/>
        <v/>
      </c>
      <c r="V202" s="3" t="str">
        <f t="shared" si="82"/>
        <v/>
      </c>
      <c r="W202" s="3" t="str">
        <f t="shared" si="83"/>
        <v/>
      </c>
      <c r="X202" s="3" t="str">
        <f>IF(L202&lt;&gt;"PLAYER","",IF(Y202="Y",INDEX(Players[Name],MATCH(M202,Players[Name],0)),IF(Y202="A",INDEX(Players[Name],MATCH(M202&amp;" ?",Players[Name],0)),M202)))</f>
        <v/>
      </c>
      <c r="Y202" s="3" t="str">
        <f>IF(L202&lt;&gt;"PLAYER","",IF(ISNUMBER(MATCH(M202,Players[Name],0)),"Y",IF(AA202=1,"A","N")))</f>
        <v/>
      </c>
      <c r="Z202" s="3" t="str">
        <f>IF(L202&lt;&gt;"PLAYER","",_xlfn.TEXTJOIN("; ",TRUE,IF(M202="","Empty name",IF(Y202="N",IF(AA202&gt;1,"Which "&amp;M202&amp;"? "&amp;AA202&amp;" players start with it (like "&amp;INDEX(Players[Name],MATCH(M202&amp;" ?",Players[Name],0))&amp;") - type the last initial",IF(ISNUMBER(FIND(" ",M202)),IF(IFERROR(IF(M202="",FALSE,OR(M202="Unknown",AND(LEN(M202)-LEN(SUBSTITUTE(M202," ",""))=1,LEN(M202)&gt;=4,MID(M202,LEN(M202)-1,1)=" ",CODE(RIGHT(M202,1))&gt;=65,CODE(RIGHT(M202,1))&lt;=90))),FALSE),"New player? Not on Players list - add it there first","Not on Players list and not First L format (like Zack B)")&amp;IF(ISNUMBER(MATCH(LEFT(M202,FIND(" ",M202)-1)&amp;" ?",Players[Name],0))," (same first name as "&amp;INDEX(Players[Name],MATCH(LEFT(M202,FIND(" ",M202)-1)&amp;" ?",Players[Name],0))&amp;")",""),"Not on Players list - type first name + last initial (like Zack B)")),"")),IF(OR(V202&lt;Pod_Min,V202&gt;Pod_Max),"Pod has "&amp;V202&amp;" players",""),IF(U202=0,IF(T202=0,"No winner (*) in pod",IF(T202&gt;1,T202&amp;" winners in pod","")),IF(U202&lt;V202,"Some = but not all players","")),IF(X202="Unknown","",IF(COUNTIFS($O$8:$O$257,O202,$Q$8:$Q$257,Q202,$X$8:$X$257,X202)&gt;1,"Name twice in pod",IF(COUNTIFS($O$8:$O$257,O202,$X$8:$X$257,X202)&gt;1,"Name in 2 pods this round","")))))</f>
        <v/>
      </c>
      <c r="AA202" s="3" t="str">
        <f>IF(L202&lt;&gt;"PLAYER","",IF(OR(M202="",ISNUMBER(FIND(" ",M202))),0,COUNTIF(Players[Name],M202&amp;" ?")))</f>
        <v/>
      </c>
    </row>
    <row r="203" spans="1:27" x14ac:dyDescent="0.45">
      <c r="A203" s="17"/>
      <c r="B203" s="6" t="str">
        <f t="shared" si="63"/>
        <v/>
      </c>
      <c r="C203" s="6" t="str">
        <f t="shared" si="64"/>
        <v/>
      </c>
      <c r="D203" s="6" t="str">
        <f t="shared" si="65"/>
        <v/>
      </c>
      <c r="E203" s="6" t="str">
        <f t="shared" si="66"/>
        <v/>
      </c>
      <c r="F203" s="6" t="str">
        <f t="shared" si="67"/>
        <v/>
      </c>
      <c r="G203" s="6" t="str">
        <f t="shared" si="68"/>
        <v/>
      </c>
      <c r="H203" s="10" t="str">
        <f t="shared" si="69"/>
        <v/>
      </c>
      <c r="I203" s="6" t="str">
        <f t="shared" si="70"/>
        <v/>
      </c>
      <c r="J203" s="3" t="str">
        <f>IFERROR(MATCH(ROWS(J$8:J203),$S$8:$S$257,0),"")</f>
        <v/>
      </c>
      <c r="K203" s="3" t="str">
        <f t="shared" si="71"/>
        <v/>
      </c>
      <c r="L203" s="3" t="str">
        <f t="shared" si="72"/>
        <v/>
      </c>
      <c r="M203" s="3" t="str">
        <f t="shared" si="73"/>
        <v/>
      </c>
      <c r="N203" s="3" t="str">
        <f t="shared" si="74"/>
        <v/>
      </c>
      <c r="O203" s="3">
        <f t="shared" si="75"/>
        <v>1</v>
      </c>
      <c r="P203" s="3">
        <f t="shared" si="76"/>
        <v>0</v>
      </c>
      <c r="Q203" s="3">
        <f t="shared" si="77"/>
        <v>0</v>
      </c>
      <c r="R203" s="3" t="str">
        <f t="shared" si="78"/>
        <v/>
      </c>
      <c r="S203" s="3">
        <f t="shared" si="79"/>
        <v>0</v>
      </c>
      <c r="T203" s="3" t="str">
        <f t="shared" si="80"/>
        <v/>
      </c>
      <c r="U203" s="3" t="str">
        <f t="shared" si="81"/>
        <v/>
      </c>
      <c r="V203" s="3" t="str">
        <f t="shared" si="82"/>
        <v/>
      </c>
      <c r="W203" s="3" t="str">
        <f t="shared" si="83"/>
        <v/>
      </c>
      <c r="X203" s="3" t="str">
        <f>IF(L203&lt;&gt;"PLAYER","",IF(Y203="Y",INDEX(Players[Name],MATCH(M203,Players[Name],0)),IF(Y203="A",INDEX(Players[Name],MATCH(M203&amp;" ?",Players[Name],0)),M203)))</f>
        <v/>
      </c>
      <c r="Y203" s="3" t="str">
        <f>IF(L203&lt;&gt;"PLAYER","",IF(ISNUMBER(MATCH(M203,Players[Name],0)),"Y",IF(AA203=1,"A","N")))</f>
        <v/>
      </c>
      <c r="Z203" s="3" t="str">
        <f>IF(L203&lt;&gt;"PLAYER","",_xlfn.TEXTJOIN("; ",TRUE,IF(M203="","Empty name",IF(Y203="N",IF(AA203&gt;1,"Which "&amp;M203&amp;"? "&amp;AA203&amp;" players start with it (like "&amp;INDEX(Players[Name],MATCH(M203&amp;" ?",Players[Name],0))&amp;") - type the last initial",IF(ISNUMBER(FIND(" ",M203)),IF(IFERROR(IF(M203="",FALSE,OR(M203="Unknown",AND(LEN(M203)-LEN(SUBSTITUTE(M203," ",""))=1,LEN(M203)&gt;=4,MID(M203,LEN(M203)-1,1)=" ",CODE(RIGHT(M203,1))&gt;=65,CODE(RIGHT(M203,1))&lt;=90))),FALSE),"New player? Not on Players list - add it there first","Not on Players list and not First L format (like Zack B)")&amp;IF(ISNUMBER(MATCH(LEFT(M203,FIND(" ",M203)-1)&amp;" ?",Players[Name],0))," (same first name as "&amp;INDEX(Players[Name],MATCH(LEFT(M203,FIND(" ",M203)-1)&amp;" ?",Players[Name],0))&amp;")",""),"Not on Players list - type first name + last initial (like Zack B)")),"")),IF(OR(V203&lt;Pod_Min,V203&gt;Pod_Max),"Pod has "&amp;V203&amp;" players",""),IF(U203=0,IF(T203=0,"No winner (*) in pod",IF(T203&gt;1,T203&amp;" winners in pod","")),IF(U203&lt;V203,"Some = but not all players","")),IF(X203="Unknown","",IF(COUNTIFS($O$8:$O$257,O203,$Q$8:$Q$257,Q203,$X$8:$X$257,X203)&gt;1,"Name twice in pod",IF(COUNTIFS($O$8:$O$257,O203,$X$8:$X$257,X203)&gt;1,"Name in 2 pods this round","")))))</f>
        <v/>
      </c>
      <c r="AA203" s="3" t="str">
        <f>IF(L203&lt;&gt;"PLAYER","",IF(OR(M203="",ISNUMBER(FIND(" ",M203))),0,COUNTIF(Players[Name],M203&amp;" ?")))</f>
        <v/>
      </c>
    </row>
    <row r="204" spans="1:27" x14ac:dyDescent="0.45">
      <c r="A204" s="17"/>
      <c r="B204" s="6" t="str">
        <f t="shared" si="63"/>
        <v/>
      </c>
      <c r="C204" s="6" t="str">
        <f t="shared" si="64"/>
        <v/>
      </c>
      <c r="D204" s="6" t="str">
        <f t="shared" si="65"/>
        <v/>
      </c>
      <c r="E204" s="6" t="str">
        <f t="shared" si="66"/>
        <v/>
      </c>
      <c r="F204" s="6" t="str">
        <f t="shared" si="67"/>
        <v/>
      </c>
      <c r="G204" s="6" t="str">
        <f t="shared" si="68"/>
        <v/>
      </c>
      <c r="H204" s="10" t="str">
        <f t="shared" si="69"/>
        <v/>
      </c>
      <c r="I204" s="6" t="str">
        <f t="shared" si="70"/>
        <v/>
      </c>
      <c r="J204" s="3" t="str">
        <f>IFERROR(MATCH(ROWS(J$8:J204),$S$8:$S$257,0),"")</f>
        <v/>
      </c>
      <c r="K204" s="3" t="str">
        <f t="shared" si="71"/>
        <v/>
      </c>
      <c r="L204" s="3" t="str">
        <f t="shared" si="72"/>
        <v/>
      </c>
      <c r="M204" s="3" t="str">
        <f t="shared" si="73"/>
        <v/>
      </c>
      <c r="N204" s="3" t="str">
        <f t="shared" si="74"/>
        <v/>
      </c>
      <c r="O204" s="3">
        <f t="shared" si="75"/>
        <v>1</v>
      </c>
      <c r="P204" s="3">
        <f t="shared" si="76"/>
        <v>0</v>
      </c>
      <c r="Q204" s="3">
        <f t="shared" si="77"/>
        <v>0</v>
      </c>
      <c r="R204" s="3" t="str">
        <f t="shared" si="78"/>
        <v/>
      </c>
      <c r="S204" s="3">
        <f t="shared" si="79"/>
        <v>0</v>
      </c>
      <c r="T204" s="3" t="str">
        <f t="shared" si="80"/>
        <v/>
      </c>
      <c r="U204" s="3" t="str">
        <f t="shared" si="81"/>
        <v/>
      </c>
      <c r="V204" s="3" t="str">
        <f t="shared" si="82"/>
        <v/>
      </c>
      <c r="W204" s="3" t="str">
        <f t="shared" si="83"/>
        <v/>
      </c>
      <c r="X204" s="3" t="str">
        <f>IF(L204&lt;&gt;"PLAYER","",IF(Y204="Y",INDEX(Players[Name],MATCH(M204,Players[Name],0)),IF(Y204="A",INDEX(Players[Name],MATCH(M204&amp;" ?",Players[Name],0)),M204)))</f>
        <v/>
      </c>
      <c r="Y204" s="3" t="str">
        <f>IF(L204&lt;&gt;"PLAYER","",IF(ISNUMBER(MATCH(M204,Players[Name],0)),"Y",IF(AA204=1,"A","N")))</f>
        <v/>
      </c>
      <c r="Z204" s="3" t="str">
        <f>IF(L204&lt;&gt;"PLAYER","",_xlfn.TEXTJOIN("; ",TRUE,IF(M204="","Empty name",IF(Y204="N",IF(AA204&gt;1,"Which "&amp;M204&amp;"? "&amp;AA204&amp;" players start with it (like "&amp;INDEX(Players[Name],MATCH(M204&amp;" ?",Players[Name],0))&amp;") - type the last initial",IF(ISNUMBER(FIND(" ",M204)),IF(IFERROR(IF(M204="",FALSE,OR(M204="Unknown",AND(LEN(M204)-LEN(SUBSTITUTE(M204," ",""))=1,LEN(M204)&gt;=4,MID(M204,LEN(M204)-1,1)=" ",CODE(RIGHT(M204,1))&gt;=65,CODE(RIGHT(M204,1))&lt;=90))),FALSE),"New player? Not on Players list - add it there first","Not on Players list and not First L format (like Zack B)")&amp;IF(ISNUMBER(MATCH(LEFT(M204,FIND(" ",M204)-1)&amp;" ?",Players[Name],0))," (same first name as "&amp;INDEX(Players[Name],MATCH(LEFT(M204,FIND(" ",M204)-1)&amp;" ?",Players[Name],0))&amp;")",""),"Not on Players list - type first name + last initial (like Zack B)")),"")),IF(OR(V204&lt;Pod_Min,V204&gt;Pod_Max),"Pod has "&amp;V204&amp;" players",""),IF(U204=0,IF(T204=0,"No winner (*) in pod",IF(T204&gt;1,T204&amp;" winners in pod","")),IF(U204&lt;V204,"Some = but not all players","")),IF(X204="Unknown","",IF(COUNTIFS($O$8:$O$257,O204,$Q$8:$Q$257,Q204,$X$8:$X$257,X204)&gt;1,"Name twice in pod",IF(COUNTIFS($O$8:$O$257,O204,$X$8:$X$257,X204)&gt;1,"Name in 2 pods this round","")))))</f>
        <v/>
      </c>
      <c r="AA204" s="3" t="str">
        <f>IF(L204&lt;&gt;"PLAYER","",IF(OR(M204="",ISNUMBER(FIND(" ",M204))),0,COUNTIF(Players[Name],M204&amp;" ?")))</f>
        <v/>
      </c>
    </row>
    <row r="205" spans="1:27" x14ac:dyDescent="0.45">
      <c r="A205" s="17"/>
      <c r="B205" s="6" t="str">
        <f t="shared" si="63"/>
        <v/>
      </c>
      <c r="C205" s="6" t="str">
        <f t="shared" si="64"/>
        <v/>
      </c>
      <c r="D205" s="6" t="str">
        <f t="shared" si="65"/>
        <v/>
      </c>
      <c r="E205" s="6" t="str">
        <f t="shared" si="66"/>
        <v/>
      </c>
      <c r="F205" s="6" t="str">
        <f t="shared" si="67"/>
        <v/>
      </c>
      <c r="G205" s="6" t="str">
        <f t="shared" si="68"/>
        <v/>
      </c>
      <c r="H205" s="10" t="str">
        <f t="shared" si="69"/>
        <v/>
      </c>
      <c r="I205" s="6" t="str">
        <f t="shared" si="70"/>
        <v/>
      </c>
      <c r="J205" s="3" t="str">
        <f>IFERROR(MATCH(ROWS(J$8:J205),$S$8:$S$257,0),"")</f>
        <v/>
      </c>
      <c r="K205" s="3" t="str">
        <f t="shared" si="71"/>
        <v/>
      </c>
      <c r="L205" s="3" t="str">
        <f t="shared" si="72"/>
        <v/>
      </c>
      <c r="M205" s="3" t="str">
        <f t="shared" si="73"/>
        <v/>
      </c>
      <c r="N205" s="3" t="str">
        <f t="shared" si="74"/>
        <v/>
      </c>
      <c r="O205" s="3">
        <f t="shared" si="75"/>
        <v>1</v>
      </c>
      <c r="P205" s="3">
        <f t="shared" si="76"/>
        <v>0</v>
      </c>
      <c r="Q205" s="3">
        <f t="shared" si="77"/>
        <v>0</v>
      </c>
      <c r="R205" s="3" t="str">
        <f t="shared" si="78"/>
        <v/>
      </c>
      <c r="S205" s="3">
        <f t="shared" si="79"/>
        <v>0</v>
      </c>
      <c r="T205" s="3" t="str">
        <f t="shared" si="80"/>
        <v/>
      </c>
      <c r="U205" s="3" t="str">
        <f t="shared" si="81"/>
        <v/>
      </c>
      <c r="V205" s="3" t="str">
        <f t="shared" si="82"/>
        <v/>
      </c>
      <c r="W205" s="3" t="str">
        <f t="shared" si="83"/>
        <v/>
      </c>
      <c r="X205" s="3" t="str">
        <f>IF(L205&lt;&gt;"PLAYER","",IF(Y205="Y",INDEX(Players[Name],MATCH(M205,Players[Name],0)),IF(Y205="A",INDEX(Players[Name],MATCH(M205&amp;" ?",Players[Name],0)),M205)))</f>
        <v/>
      </c>
      <c r="Y205" s="3" t="str">
        <f>IF(L205&lt;&gt;"PLAYER","",IF(ISNUMBER(MATCH(M205,Players[Name],0)),"Y",IF(AA205=1,"A","N")))</f>
        <v/>
      </c>
      <c r="Z205" s="3" t="str">
        <f>IF(L205&lt;&gt;"PLAYER","",_xlfn.TEXTJOIN("; ",TRUE,IF(M205="","Empty name",IF(Y205="N",IF(AA205&gt;1,"Which "&amp;M205&amp;"? "&amp;AA205&amp;" players start with it (like "&amp;INDEX(Players[Name],MATCH(M205&amp;" ?",Players[Name],0))&amp;") - type the last initial",IF(ISNUMBER(FIND(" ",M205)),IF(IFERROR(IF(M205="",FALSE,OR(M205="Unknown",AND(LEN(M205)-LEN(SUBSTITUTE(M205," ",""))=1,LEN(M205)&gt;=4,MID(M205,LEN(M205)-1,1)=" ",CODE(RIGHT(M205,1))&gt;=65,CODE(RIGHT(M205,1))&lt;=90))),FALSE),"New player? Not on Players list - add it there first","Not on Players list and not First L format (like Zack B)")&amp;IF(ISNUMBER(MATCH(LEFT(M205,FIND(" ",M205)-1)&amp;" ?",Players[Name],0))," (same first name as "&amp;INDEX(Players[Name],MATCH(LEFT(M205,FIND(" ",M205)-1)&amp;" ?",Players[Name],0))&amp;")",""),"Not on Players list - type first name + last initial (like Zack B)")),"")),IF(OR(V205&lt;Pod_Min,V205&gt;Pod_Max),"Pod has "&amp;V205&amp;" players",""),IF(U205=0,IF(T205=0,"No winner (*) in pod",IF(T205&gt;1,T205&amp;" winners in pod","")),IF(U205&lt;V205,"Some = but not all players","")),IF(X205="Unknown","",IF(COUNTIFS($O$8:$O$257,O205,$Q$8:$Q$257,Q205,$X$8:$X$257,X205)&gt;1,"Name twice in pod",IF(COUNTIFS($O$8:$O$257,O205,$X$8:$X$257,X205)&gt;1,"Name in 2 pods this round","")))))</f>
        <v/>
      </c>
      <c r="AA205" s="3" t="str">
        <f>IF(L205&lt;&gt;"PLAYER","",IF(OR(M205="",ISNUMBER(FIND(" ",M205))),0,COUNTIF(Players[Name],M205&amp;" ?")))</f>
        <v/>
      </c>
    </row>
    <row r="206" spans="1:27" x14ac:dyDescent="0.45">
      <c r="A206" s="17"/>
      <c r="B206" s="6" t="str">
        <f t="shared" si="63"/>
        <v/>
      </c>
      <c r="C206" s="6" t="str">
        <f t="shared" si="64"/>
        <v/>
      </c>
      <c r="D206" s="6" t="str">
        <f t="shared" si="65"/>
        <v/>
      </c>
      <c r="E206" s="6" t="str">
        <f t="shared" si="66"/>
        <v/>
      </c>
      <c r="F206" s="6" t="str">
        <f t="shared" si="67"/>
        <v/>
      </c>
      <c r="G206" s="6" t="str">
        <f t="shared" si="68"/>
        <v/>
      </c>
      <c r="H206" s="10" t="str">
        <f t="shared" si="69"/>
        <v/>
      </c>
      <c r="I206" s="6" t="str">
        <f t="shared" si="70"/>
        <v/>
      </c>
      <c r="J206" s="3" t="str">
        <f>IFERROR(MATCH(ROWS(J$8:J206),$S$8:$S$257,0),"")</f>
        <v/>
      </c>
      <c r="K206" s="3" t="str">
        <f t="shared" si="71"/>
        <v/>
      </c>
      <c r="L206" s="3" t="str">
        <f t="shared" si="72"/>
        <v/>
      </c>
      <c r="M206" s="3" t="str">
        <f t="shared" si="73"/>
        <v/>
      </c>
      <c r="N206" s="3" t="str">
        <f t="shared" si="74"/>
        <v/>
      </c>
      <c r="O206" s="3">
        <f t="shared" si="75"/>
        <v>1</v>
      </c>
      <c r="P206" s="3">
        <f t="shared" si="76"/>
        <v>0</v>
      </c>
      <c r="Q206" s="3">
        <f t="shared" si="77"/>
        <v>0</v>
      </c>
      <c r="R206" s="3" t="str">
        <f t="shared" si="78"/>
        <v/>
      </c>
      <c r="S206" s="3">
        <f t="shared" si="79"/>
        <v>0</v>
      </c>
      <c r="T206" s="3" t="str">
        <f t="shared" si="80"/>
        <v/>
      </c>
      <c r="U206" s="3" t="str">
        <f t="shared" si="81"/>
        <v/>
      </c>
      <c r="V206" s="3" t="str">
        <f t="shared" si="82"/>
        <v/>
      </c>
      <c r="W206" s="3" t="str">
        <f t="shared" si="83"/>
        <v/>
      </c>
      <c r="X206" s="3" t="str">
        <f>IF(L206&lt;&gt;"PLAYER","",IF(Y206="Y",INDEX(Players[Name],MATCH(M206,Players[Name],0)),IF(Y206="A",INDEX(Players[Name],MATCH(M206&amp;" ?",Players[Name],0)),M206)))</f>
        <v/>
      </c>
      <c r="Y206" s="3" t="str">
        <f>IF(L206&lt;&gt;"PLAYER","",IF(ISNUMBER(MATCH(M206,Players[Name],0)),"Y",IF(AA206=1,"A","N")))</f>
        <v/>
      </c>
      <c r="Z206" s="3" t="str">
        <f>IF(L206&lt;&gt;"PLAYER","",_xlfn.TEXTJOIN("; ",TRUE,IF(M206="","Empty name",IF(Y206="N",IF(AA206&gt;1,"Which "&amp;M206&amp;"? "&amp;AA206&amp;" players start with it (like "&amp;INDEX(Players[Name],MATCH(M206&amp;" ?",Players[Name],0))&amp;") - type the last initial",IF(ISNUMBER(FIND(" ",M206)),IF(IFERROR(IF(M206="",FALSE,OR(M206="Unknown",AND(LEN(M206)-LEN(SUBSTITUTE(M206," ",""))=1,LEN(M206)&gt;=4,MID(M206,LEN(M206)-1,1)=" ",CODE(RIGHT(M206,1))&gt;=65,CODE(RIGHT(M206,1))&lt;=90))),FALSE),"New player? Not on Players list - add it there first","Not on Players list and not First L format (like Zack B)")&amp;IF(ISNUMBER(MATCH(LEFT(M206,FIND(" ",M206)-1)&amp;" ?",Players[Name],0))," (same first name as "&amp;INDEX(Players[Name],MATCH(LEFT(M206,FIND(" ",M206)-1)&amp;" ?",Players[Name],0))&amp;")",""),"Not on Players list - type first name + last initial (like Zack B)")),"")),IF(OR(V206&lt;Pod_Min,V206&gt;Pod_Max),"Pod has "&amp;V206&amp;" players",""),IF(U206=0,IF(T206=0,"No winner (*) in pod",IF(T206&gt;1,T206&amp;" winners in pod","")),IF(U206&lt;V206,"Some = but not all players","")),IF(X206="Unknown","",IF(COUNTIFS($O$8:$O$257,O206,$Q$8:$Q$257,Q206,$X$8:$X$257,X206)&gt;1,"Name twice in pod",IF(COUNTIFS($O$8:$O$257,O206,$X$8:$X$257,X206)&gt;1,"Name in 2 pods this round","")))))</f>
        <v/>
      </c>
      <c r="AA206" s="3" t="str">
        <f>IF(L206&lt;&gt;"PLAYER","",IF(OR(M206="",ISNUMBER(FIND(" ",M206))),0,COUNTIF(Players[Name],M206&amp;" ?")))</f>
        <v/>
      </c>
    </row>
    <row r="207" spans="1:27" x14ac:dyDescent="0.45">
      <c r="A207" s="17"/>
      <c r="B207" s="6" t="str">
        <f t="shared" si="63"/>
        <v/>
      </c>
      <c r="C207" s="6" t="str">
        <f t="shared" si="64"/>
        <v/>
      </c>
      <c r="D207" s="6" t="str">
        <f t="shared" si="65"/>
        <v/>
      </c>
      <c r="E207" s="6" t="str">
        <f t="shared" si="66"/>
        <v/>
      </c>
      <c r="F207" s="6" t="str">
        <f t="shared" si="67"/>
        <v/>
      </c>
      <c r="G207" s="6" t="str">
        <f t="shared" si="68"/>
        <v/>
      </c>
      <c r="H207" s="10" t="str">
        <f t="shared" si="69"/>
        <v/>
      </c>
      <c r="I207" s="6" t="str">
        <f t="shared" si="70"/>
        <v/>
      </c>
      <c r="J207" s="3" t="str">
        <f>IFERROR(MATCH(ROWS(J$8:J207),$S$8:$S$257,0),"")</f>
        <v/>
      </c>
      <c r="K207" s="3" t="str">
        <f t="shared" si="71"/>
        <v/>
      </c>
      <c r="L207" s="3" t="str">
        <f t="shared" si="72"/>
        <v/>
      </c>
      <c r="M207" s="3" t="str">
        <f t="shared" si="73"/>
        <v/>
      </c>
      <c r="N207" s="3" t="str">
        <f t="shared" si="74"/>
        <v/>
      </c>
      <c r="O207" s="3">
        <f t="shared" si="75"/>
        <v>1</v>
      </c>
      <c r="P207" s="3">
        <f t="shared" si="76"/>
        <v>0</v>
      </c>
      <c r="Q207" s="3">
        <f t="shared" si="77"/>
        <v>0</v>
      </c>
      <c r="R207" s="3" t="str">
        <f t="shared" si="78"/>
        <v/>
      </c>
      <c r="S207" s="3">
        <f t="shared" si="79"/>
        <v>0</v>
      </c>
      <c r="T207" s="3" t="str">
        <f t="shared" si="80"/>
        <v/>
      </c>
      <c r="U207" s="3" t="str">
        <f t="shared" si="81"/>
        <v/>
      </c>
      <c r="V207" s="3" t="str">
        <f t="shared" si="82"/>
        <v/>
      </c>
      <c r="W207" s="3" t="str">
        <f t="shared" si="83"/>
        <v/>
      </c>
      <c r="X207" s="3" t="str">
        <f>IF(L207&lt;&gt;"PLAYER","",IF(Y207="Y",INDEX(Players[Name],MATCH(M207,Players[Name],0)),IF(Y207="A",INDEX(Players[Name],MATCH(M207&amp;" ?",Players[Name],0)),M207)))</f>
        <v/>
      </c>
      <c r="Y207" s="3" t="str">
        <f>IF(L207&lt;&gt;"PLAYER","",IF(ISNUMBER(MATCH(M207,Players[Name],0)),"Y",IF(AA207=1,"A","N")))</f>
        <v/>
      </c>
      <c r="Z207" s="3" t="str">
        <f>IF(L207&lt;&gt;"PLAYER","",_xlfn.TEXTJOIN("; ",TRUE,IF(M207="","Empty name",IF(Y207="N",IF(AA207&gt;1,"Which "&amp;M207&amp;"? "&amp;AA207&amp;" players start with it (like "&amp;INDEX(Players[Name],MATCH(M207&amp;" ?",Players[Name],0))&amp;") - type the last initial",IF(ISNUMBER(FIND(" ",M207)),IF(IFERROR(IF(M207="",FALSE,OR(M207="Unknown",AND(LEN(M207)-LEN(SUBSTITUTE(M207," ",""))=1,LEN(M207)&gt;=4,MID(M207,LEN(M207)-1,1)=" ",CODE(RIGHT(M207,1))&gt;=65,CODE(RIGHT(M207,1))&lt;=90))),FALSE),"New player? Not on Players list - add it there first","Not on Players list and not First L format (like Zack B)")&amp;IF(ISNUMBER(MATCH(LEFT(M207,FIND(" ",M207)-1)&amp;" ?",Players[Name],0))," (same first name as "&amp;INDEX(Players[Name],MATCH(LEFT(M207,FIND(" ",M207)-1)&amp;" ?",Players[Name],0))&amp;")",""),"Not on Players list - type first name + last initial (like Zack B)")),"")),IF(OR(V207&lt;Pod_Min,V207&gt;Pod_Max),"Pod has "&amp;V207&amp;" players",""),IF(U207=0,IF(T207=0,"No winner (*) in pod",IF(T207&gt;1,T207&amp;" winners in pod","")),IF(U207&lt;V207,"Some = but not all players","")),IF(X207="Unknown","",IF(COUNTIFS($O$8:$O$257,O207,$Q$8:$Q$257,Q207,$X$8:$X$257,X207)&gt;1,"Name twice in pod",IF(COUNTIFS($O$8:$O$257,O207,$X$8:$X$257,X207)&gt;1,"Name in 2 pods this round","")))))</f>
        <v/>
      </c>
      <c r="AA207" s="3" t="str">
        <f>IF(L207&lt;&gt;"PLAYER","",IF(OR(M207="",ISNUMBER(FIND(" ",M207))),0,COUNTIF(Players[Name],M207&amp;" ?")))</f>
        <v/>
      </c>
    </row>
    <row r="208" spans="1:27" x14ac:dyDescent="0.45">
      <c r="A208" s="17"/>
      <c r="B208" s="6" t="str">
        <f t="shared" si="63"/>
        <v/>
      </c>
      <c r="C208" s="6" t="str">
        <f t="shared" si="64"/>
        <v/>
      </c>
      <c r="D208" s="6" t="str">
        <f t="shared" si="65"/>
        <v/>
      </c>
      <c r="E208" s="6" t="str">
        <f t="shared" si="66"/>
        <v/>
      </c>
      <c r="F208" s="6" t="str">
        <f t="shared" si="67"/>
        <v/>
      </c>
      <c r="G208" s="6" t="str">
        <f t="shared" si="68"/>
        <v/>
      </c>
      <c r="H208" s="10" t="str">
        <f t="shared" si="69"/>
        <v/>
      </c>
      <c r="I208" s="6" t="str">
        <f t="shared" si="70"/>
        <v/>
      </c>
      <c r="J208" s="3" t="str">
        <f>IFERROR(MATCH(ROWS(J$8:J208),$S$8:$S$257,0),"")</f>
        <v/>
      </c>
      <c r="K208" s="3" t="str">
        <f t="shared" si="71"/>
        <v/>
      </c>
      <c r="L208" s="3" t="str">
        <f t="shared" si="72"/>
        <v/>
      </c>
      <c r="M208" s="3" t="str">
        <f t="shared" si="73"/>
        <v/>
      </c>
      <c r="N208" s="3" t="str">
        <f t="shared" si="74"/>
        <v/>
      </c>
      <c r="O208" s="3">
        <f t="shared" si="75"/>
        <v>1</v>
      </c>
      <c r="P208" s="3">
        <f t="shared" si="76"/>
        <v>0</v>
      </c>
      <c r="Q208" s="3">
        <f t="shared" si="77"/>
        <v>0</v>
      </c>
      <c r="R208" s="3" t="str">
        <f t="shared" si="78"/>
        <v/>
      </c>
      <c r="S208" s="3">
        <f t="shared" si="79"/>
        <v>0</v>
      </c>
      <c r="T208" s="3" t="str">
        <f t="shared" si="80"/>
        <v/>
      </c>
      <c r="U208" s="3" t="str">
        <f t="shared" si="81"/>
        <v/>
      </c>
      <c r="V208" s="3" t="str">
        <f t="shared" si="82"/>
        <v/>
      </c>
      <c r="W208" s="3" t="str">
        <f t="shared" si="83"/>
        <v/>
      </c>
      <c r="X208" s="3" t="str">
        <f>IF(L208&lt;&gt;"PLAYER","",IF(Y208="Y",INDEX(Players[Name],MATCH(M208,Players[Name],0)),IF(Y208="A",INDEX(Players[Name],MATCH(M208&amp;" ?",Players[Name],0)),M208)))</f>
        <v/>
      </c>
      <c r="Y208" s="3" t="str">
        <f>IF(L208&lt;&gt;"PLAYER","",IF(ISNUMBER(MATCH(M208,Players[Name],0)),"Y",IF(AA208=1,"A","N")))</f>
        <v/>
      </c>
      <c r="Z208" s="3" t="str">
        <f>IF(L208&lt;&gt;"PLAYER","",_xlfn.TEXTJOIN("; ",TRUE,IF(M208="","Empty name",IF(Y208="N",IF(AA208&gt;1,"Which "&amp;M208&amp;"? "&amp;AA208&amp;" players start with it (like "&amp;INDEX(Players[Name],MATCH(M208&amp;" ?",Players[Name],0))&amp;") - type the last initial",IF(ISNUMBER(FIND(" ",M208)),IF(IFERROR(IF(M208="",FALSE,OR(M208="Unknown",AND(LEN(M208)-LEN(SUBSTITUTE(M208," ",""))=1,LEN(M208)&gt;=4,MID(M208,LEN(M208)-1,1)=" ",CODE(RIGHT(M208,1))&gt;=65,CODE(RIGHT(M208,1))&lt;=90))),FALSE),"New player? Not on Players list - add it there first","Not on Players list and not First L format (like Zack B)")&amp;IF(ISNUMBER(MATCH(LEFT(M208,FIND(" ",M208)-1)&amp;" ?",Players[Name],0))," (same first name as "&amp;INDEX(Players[Name],MATCH(LEFT(M208,FIND(" ",M208)-1)&amp;" ?",Players[Name],0))&amp;")",""),"Not on Players list - type first name + last initial (like Zack B)")),"")),IF(OR(V208&lt;Pod_Min,V208&gt;Pod_Max),"Pod has "&amp;V208&amp;" players",""),IF(U208=0,IF(T208=0,"No winner (*) in pod",IF(T208&gt;1,T208&amp;" winners in pod","")),IF(U208&lt;V208,"Some = but not all players","")),IF(X208="Unknown","",IF(COUNTIFS($O$8:$O$257,O208,$Q$8:$Q$257,Q208,$X$8:$X$257,X208)&gt;1,"Name twice in pod",IF(COUNTIFS($O$8:$O$257,O208,$X$8:$X$257,X208)&gt;1,"Name in 2 pods this round","")))))</f>
        <v/>
      </c>
      <c r="AA208" s="3" t="str">
        <f>IF(L208&lt;&gt;"PLAYER","",IF(OR(M208="",ISNUMBER(FIND(" ",M208))),0,COUNTIF(Players[Name],M208&amp;" ?")))</f>
        <v/>
      </c>
    </row>
    <row r="209" spans="1:27" x14ac:dyDescent="0.45">
      <c r="A209" s="17"/>
      <c r="B209" s="6" t="str">
        <f t="shared" si="63"/>
        <v/>
      </c>
      <c r="C209" s="6" t="str">
        <f t="shared" si="64"/>
        <v/>
      </c>
      <c r="D209" s="6" t="str">
        <f t="shared" si="65"/>
        <v/>
      </c>
      <c r="E209" s="6" t="str">
        <f t="shared" si="66"/>
        <v/>
      </c>
      <c r="F209" s="6" t="str">
        <f t="shared" si="67"/>
        <v/>
      </c>
      <c r="G209" s="6" t="str">
        <f t="shared" si="68"/>
        <v/>
      </c>
      <c r="H209" s="10" t="str">
        <f t="shared" si="69"/>
        <v/>
      </c>
      <c r="I209" s="6" t="str">
        <f t="shared" si="70"/>
        <v/>
      </c>
      <c r="J209" s="3" t="str">
        <f>IFERROR(MATCH(ROWS(J$8:J209),$S$8:$S$257,0),"")</f>
        <v/>
      </c>
      <c r="K209" s="3" t="str">
        <f t="shared" si="71"/>
        <v/>
      </c>
      <c r="L209" s="3" t="str">
        <f t="shared" si="72"/>
        <v/>
      </c>
      <c r="M209" s="3" t="str">
        <f t="shared" si="73"/>
        <v/>
      </c>
      <c r="N209" s="3" t="str">
        <f t="shared" si="74"/>
        <v/>
      </c>
      <c r="O209" s="3">
        <f t="shared" si="75"/>
        <v>1</v>
      </c>
      <c r="P209" s="3">
        <f t="shared" si="76"/>
        <v>0</v>
      </c>
      <c r="Q209" s="3">
        <f t="shared" si="77"/>
        <v>0</v>
      </c>
      <c r="R209" s="3" t="str">
        <f t="shared" si="78"/>
        <v/>
      </c>
      <c r="S209" s="3">
        <f t="shared" si="79"/>
        <v>0</v>
      </c>
      <c r="T209" s="3" t="str">
        <f t="shared" si="80"/>
        <v/>
      </c>
      <c r="U209" s="3" t="str">
        <f t="shared" si="81"/>
        <v/>
      </c>
      <c r="V209" s="3" t="str">
        <f t="shared" si="82"/>
        <v/>
      </c>
      <c r="W209" s="3" t="str">
        <f t="shared" si="83"/>
        <v/>
      </c>
      <c r="X209" s="3" t="str">
        <f>IF(L209&lt;&gt;"PLAYER","",IF(Y209="Y",INDEX(Players[Name],MATCH(M209,Players[Name],0)),IF(Y209="A",INDEX(Players[Name],MATCH(M209&amp;" ?",Players[Name],0)),M209)))</f>
        <v/>
      </c>
      <c r="Y209" s="3" t="str">
        <f>IF(L209&lt;&gt;"PLAYER","",IF(ISNUMBER(MATCH(M209,Players[Name],0)),"Y",IF(AA209=1,"A","N")))</f>
        <v/>
      </c>
      <c r="Z209" s="3" t="str">
        <f>IF(L209&lt;&gt;"PLAYER","",_xlfn.TEXTJOIN("; ",TRUE,IF(M209="","Empty name",IF(Y209="N",IF(AA209&gt;1,"Which "&amp;M209&amp;"? "&amp;AA209&amp;" players start with it (like "&amp;INDEX(Players[Name],MATCH(M209&amp;" ?",Players[Name],0))&amp;") - type the last initial",IF(ISNUMBER(FIND(" ",M209)),IF(IFERROR(IF(M209="",FALSE,OR(M209="Unknown",AND(LEN(M209)-LEN(SUBSTITUTE(M209," ",""))=1,LEN(M209)&gt;=4,MID(M209,LEN(M209)-1,1)=" ",CODE(RIGHT(M209,1))&gt;=65,CODE(RIGHT(M209,1))&lt;=90))),FALSE),"New player? Not on Players list - add it there first","Not on Players list and not First L format (like Zack B)")&amp;IF(ISNUMBER(MATCH(LEFT(M209,FIND(" ",M209)-1)&amp;" ?",Players[Name],0))," (same first name as "&amp;INDEX(Players[Name],MATCH(LEFT(M209,FIND(" ",M209)-1)&amp;" ?",Players[Name],0))&amp;")",""),"Not on Players list - type first name + last initial (like Zack B)")),"")),IF(OR(V209&lt;Pod_Min,V209&gt;Pod_Max),"Pod has "&amp;V209&amp;" players",""),IF(U209=0,IF(T209=0,"No winner (*) in pod",IF(T209&gt;1,T209&amp;" winners in pod","")),IF(U209&lt;V209,"Some = but not all players","")),IF(X209="Unknown","",IF(COUNTIFS($O$8:$O$257,O209,$Q$8:$Q$257,Q209,$X$8:$X$257,X209)&gt;1,"Name twice in pod",IF(COUNTIFS($O$8:$O$257,O209,$X$8:$X$257,X209)&gt;1,"Name in 2 pods this round","")))))</f>
        <v/>
      </c>
      <c r="AA209" s="3" t="str">
        <f>IF(L209&lt;&gt;"PLAYER","",IF(OR(M209="",ISNUMBER(FIND(" ",M209))),0,COUNTIF(Players[Name],M209&amp;" ?")))</f>
        <v/>
      </c>
    </row>
    <row r="210" spans="1:27" x14ac:dyDescent="0.45">
      <c r="A210" s="17"/>
      <c r="B210" s="6" t="str">
        <f t="shared" si="63"/>
        <v/>
      </c>
      <c r="C210" s="6" t="str">
        <f t="shared" si="64"/>
        <v/>
      </c>
      <c r="D210" s="6" t="str">
        <f t="shared" si="65"/>
        <v/>
      </c>
      <c r="E210" s="6" t="str">
        <f t="shared" si="66"/>
        <v/>
      </c>
      <c r="F210" s="6" t="str">
        <f t="shared" si="67"/>
        <v/>
      </c>
      <c r="G210" s="6" t="str">
        <f t="shared" si="68"/>
        <v/>
      </c>
      <c r="H210" s="10" t="str">
        <f t="shared" si="69"/>
        <v/>
      </c>
      <c r="I210" s="6" t="str">
        <f t="shared" si="70"/>
        <v/>
      </c>
      <c r="J210" s="3" t="str">
        <f>IFERROR(MATCH(ROWS(J$8:J210),$S$8:$S$257,0),"")</f>
        <v/>
      </c>
      <c r="K210" s="3" t="str">
        <f t="shared" si="71"/>
        <v/>
      </c>
      <c r="L210" s="3" t="str">
        <f t="shared" si="72"/>
        <v/>
      </c>
      <c r="M210" s="3" t="str">
        <f t="shared" si="73"/>
        <v/>
      </c>
      <c r="N210" s="3" t="str">
        <f t="shared" si="74"/>
        <v/>
      </c>
      <c r="O210" s="3">
        <f t="shared" si="75"/>
        <v>1</v>
      </c>
      <c r="P210" s="3">
        <f t="shared" si="76"/>
        <v>0</v>
      </c>
      <c r="Q210" s="3">
        <f t="shared" si="77"/>
        <v>0</v>
      </c>
      <c r="R210" s="3" t="str">
        <f t="shared" si="78"/>
        <v/>
      </c>
      <c r="S210" s="3">
        <f t="shared" si="79"/>
        <v>0</v>
      </c>
      <c r="T210" s="3" t="str">
        <f t="shared" si="80"/>
        <v/>
      </c>
      <c r="U210" s="3" t="str">
        <f t="shared" si="81"/>
        <v/>
      </c>
      <c r="V210" s="3" t="str">
        <f t="shared" si="82"/>
        <v/>
      </c>
      <c r="W210" s="3" t="str">
        <f t="shared" si="83"/>
        <v/>
      </c>
      <c r="X210" s="3" t="str">
        <f>IF(L210&lt;&gt;"PLAYER","",IF(Y210="Y",INDEX(Players[Name],MATCH(M210,Players[Name],0)),IF(Y210="A",INDEX(Players[Name],MATCH(M210&amp;" ?",Players[Name],0)),M210)))</f>
        <v/>
      </c>
      <c r="Y210" s="3" t="str">
        <f>IF(L210&lt;&gt;"PLAYER","",IF(ISNUMBER(MATCH(M210,Players[Name],0)),"Y",IF(AA210=1,"A","N")))</f>
        <v/>
      </c>
      <c r="Z210" s="3" t="str">
        <f>IF(L210&lt;&gt;"PLAYER","",_xlfn.TEXTJOIN("; ",TRUE,IF(M210="","Empty name",IF(Y210="N",IF(AA210&gt;1,"Which "&amp;M210&amp;"? "&amp;AA210&amp;" players start with it (like "&amp;INDEX(Players[Name],MATCH(M210&amp;" ?",Players[Name],0))&amp;") - type the last initial",IF(ISNUMBER(FIND(" ",M210)),IF(IFERROR(IF(M210="",FALSE,OR(M210="Unknown",AND(LEN(M210)-LEN(SUBSTITUTE(M210," ",""))=1,LEN(M210)&gt;=4,MID(M210,LEN(M210)-1,1)=" ",CODE(RIGHT(M210,1))&gt;=65,CODE(RIGHT(M210,1))&lt;=90))),FALSE),"New player? Not on Players list - add it there first","Not on Players list and not First L format (like Zack B)")&amp;IF(ISNUMBER(MATCH(LEFT(M210,FIND(" ",M210)-1)&amp;" ?",Players[Name],0))," (same first name as "&amp;INDEX(Players[Name],MATCH(LEFT(M210,FIND(" ",M210)-1)&amp;" ?",Players[Name],0))&amp;")",""),"Not on Players list - type first name + last initial (like Zack B)")),"")),IF(OR(V210&lt;Pod_Min,V210&gt;Pod_Max),"Pod has "&amp;V210&amp;" players",""),IF(U210=0,IF(T210=0,"No winner (*) in pod",IF(T210&gt;1,T210&amp;" winners in pod","")),IF(U210&lt;V210,"Some = but not all players","")),IF(X210="Unknown","",IF(COUNTIFS($O$8:$O$257,O210,$Q$8:$Q$257,Q210,$X$8:$X$257,X210)&gt;1,"Name twice in pod",IF(COUNTIFS($O$8:$O$257,O210,$X$8:$X$257,X210)&gt;1,"Name in 2 pods this round","")))))</f>
        <v/>
      </c>
      <c r="AA210" s="3" t="str">
        <f>IF(L210&lt;&gt;"PLAYER","",IF(OR(M210="",ISNUMBER(FIND(" ",M210))),0,COUNTIF(Players[Name],M210&amp;" ?")))</f>
        <v/>
      </c>
    </row>
    <row r="211" spans="1:27" x14ac:dyDescent="0.45">
      <c r="A211" s="17"/>
      <c r="B211" s="6" t="str">
        <f t="shared" si="63"/>
        <v/>
      </c>
      <c r="C211" s="6" t="str">
        <f t="shared" si="64"/>
        <v/>
      </c>
      <c r="D211" s="6" t="str">
        <f t="shared" si="65"/>
        <v/>
      </c>
      <c r="E211" s="6" t="str">
        <f t="shared" si="66"/>
        <v/>
      </c>
      <c r="F211" s="6" t="str">
        <f t="shared" si="67"/>
        <v/>
      </c>
      <c r="G211" s="6" t="str">
        <f t="shared" si="68"/>
        <v/>
      </c>
      <c r="H211" s="10" t="str">
        <f t="shared" si="69"/>
        <v/>
      </c>
      <c r="I211" s="6" t="str">
        <f t="shared" si="70"/>
        <v/>
      </c>
      <c r="J211" s="3" t="str">
        <f>IFERROR(MATCH(ROWS(J$8:J211),$S$8:$S$257,0),"")</f>
        <v/>
      </c>
      <c r="K211" s="3" t="str">
        <f t="shared" si="71"/>
        <v/>
      </c>
      <c r="L211" s="3" t="str">
        <f t="shared" si="72"/>
        <v/>
      </c>
      <c r="M211" s="3" t="str">
        <f t="shared" si="73"/>
        <v/>
      </c>
      <c r="N211" s="3" t="str">
        <f t="shared" si="74"/>
        <v/>
      </c>
      <c r="O211" s="3">
        <f t="shared" si="75"/>
        <v>1</v>
      </c>
      <c r="P211" s="3">
        <f t="shared" si="76"/>
        <v>0</v>
      </c>
      <c r="Q211" s="3">
        <f t="shared" si="77"/>
        <v>0</v>
      </c>
      <c r="R211" s="3" t="str">
        <f t="shared" si="78"/>
        <v/>
      </c>
      <c r="S211" s="3">
        <f t="shared" si="79"/>
        <v>0</v>
      </c>
      <c r="T211" s="3" t="str">
        <f t="shared" si="80"/>
        <v/>
      </c>
      <c r="U211" s="3" t="str">
        <f t="shared" si="81"/>
        <v/>
      </c>
      <c r="V211" s="3" t="str">
        <f t="shared" si="82"/>
        <v/>
      </c>
      <c r="W211" s="3" t="str">
        <f t="shared" si="83"/>
        <v/>
      </c>
      <c r="X211" s="3" t="str">
        <f>IF(L211&lt;&gt;"PLAYER","",IF(Y211="Y",INDEX(Players[Name],MATCH(M211,Players[Name],0)),IF(Y211="A",INDEX(Players[Name],MATCH(M211&amp;" ?",Players[Name],0)),M211)))</f>
        <v/>
      </c>
      <c r="Y211" s="3" t="str">
        <f>IF(L211&lt;&gt;"PLAYER","",IF(ISNUMBER(MATCH(M211,Players[Name],0)),"Y",IF(AA211=1,"A","N")))</f>
        <v/>
      </c>
      <c r="Z211" s="3" t="str">
        <f>IF(L211&lt;&gt;"PLAYER","",_xlfn.TEXTJOIN("; ",TRUE,IF(M211="","Empty name",IF(Y211="N",IF(AA211&gt;1,"Which "&amp;M211&amp;"? "&amp;AA211&amp;" players start with it (like "&amp;INDEX(Players[Name],MATCH(M211&amp;" ?",Players[Name],0))&amp;") - type the last initial",IF(ISNUMBER(FIND(" ",M211)),IF(IFERROR(IF(M211="",FALSE,OR(M211="Unknown",AND(LEN(M211)-LEN(SUBSTITUTE(M211," ",""))=1,LEN(M211)&gt;=4,MID(M211,LEN(M211)-1,1)=" ",CODE(RIGHT(M211,1))&gt;=65,CODE(RIGHT(M211,1))&lt;=90))),FALSE),"New player? Not on Players list - add it there first","Not on Players list and not First L format (like Zack B)")&amp;IF(ISNUMBER(MATCH(LEFT(M211,FIND(" ",M211)-1)&amp;" ?",Players[Name],0))," (same first name as "&amp;INDEX(Players[Name],MATCH(LEFT(M211,FIND(" ",M211)-1)&amp;" ?",Players[Name],0))&amp;")",""),"Not on Players list - type first name + last initial (like Zack B)")),"")),IF(OR(V211&lt;Pod_Min,V211&gt;Pod_Max),"Pod has "&amp;V211&amp;" players",""),IF(U211=0,IF(T211=0,"No winner (*) in pod",IF(T211&gt;1,T211&amp;" winners in pod","")),IF(U211&lt;V211,"Some = but not all players","")),IF(X211="Unknown","",IF(COUNTIFS($O$8:$O$257,O211,$Q$8:$Q$257,Q211,$X$8:$X$257,X211)&gt;1,"Name twice in pod",IF(COUNTIFS($O$8:$O$257,O211,$X$8:$X$257,X211)&gt;1,"Name in 2 pods this round","")))))</f>
        <v/>
      </c>
      <c r="AA211" s="3" t="str">
        <f>IF(L211&lt;&gt;"PLAYER","",IF(OR(M211="",ISNUMBER(FIND(" ",M211))),0,COUNTIF(Players[Name],M211&amp;" ?")))</f>
        <v/>
      </c>
    </row>
    <row r="212" spans="1:27" x14ac:dyDescent="0.45">
      <c r="A212" s="17"/>
      <c r="B212" s="6" t="str">
        <f t="shared" si="63"/>
        <v/>
      </c>
      <c r="C212" s="6" t="str">
        <f t="shared" si="64"/>
        <v/>
      </c>
      <c r="D212" s="6" t="str">
        <f t="shared" si="65"/>
        <v/>
      </c>
      <c r="E212" s="6" t="str">
        <f t="shared" si="66"/>
        <v/>
      </c>
      <c r="F212" s="6" t="str">
        <f t="shared" si="67"/>
        <v/>
      </c>
      <c r="G212" s="6" t="str">
        <f t="shared" si="68"/>
        <v/>
      </c>
      <c r="H212" s="10" t="str">
        <f t="shared" si="69"/>
        <v/>
      </c>
      <c r="I212" s="6" t="str">
        <f t="shared" si="70"/>
        <v/>
      </c>
      <c r="J212" s="3" t="str">
        <f>IFERROR(MATCH(ROWS(J$8:J212),$S$8:$S$257,0),"")</f>
        <v/>
      </c>
      <c r="K212" s="3" t="str">
        <f t="shared" si="71"/>
        <v/>
      </c>
      <c r="L212" s="3" t="str">
        <f t="shared" si="72"/>
        <v/>
      </c>
      <c r="M212" s="3" t="str">
        <f t="shared" si="73"/>
        <v/>
      </c>
      <c r="N212" s="3" t="str">
        <f t="shared" si="74"/>
        <v/>
      </c>
      <c r="O212" s="3">
        <f t="shared" si="75"/>
        <v>1</v>
      </c>
      <c r="P212" s="3">
        <f t="shared" si="76"/>
        <v>0</v>
      </c>
      <c r="Q212" s="3">
        <f t="shared" si="77"/>
        <v>0</v>
      </c>
      <c r="R212" s="3" t="str">
        <f t="shared" si="78"/>
        <v/>
      </c>
      <c r="S212" s="3">
        <f t="shared" si="79"/>
        <v>0</v>
      </c>
      <c r="T212" s="3" t="str">
        <f t="shared" si="80"/>
        <v/>
      </c>
      <c r="U212" s="3" t="str">
        <f t="shared" si="81"/>
        <v/>
      </c>
      <c r="V212" s="3" t="str">
        <f t="shared" si="82"/>
        <v/>
      </c>
      <c r="W212" s="3" t="str">
        <f t="shared" si="83"/>
        <v/>
      </c>
      <c r="X212" s="3" t="str">
        <f>IF(L212&lt;&gt;"PLAYER","",IF(Y212="Y",INDEX(Players[Name],MATCH(M212,Players[Name],0)),IF(Y212="A",INDEX(Players[Name],MATCH(M212&amp;" ?",Players[Name],0)),M212)))</f>
        <v/>
      </c>
      <c r="Y212" s="3" t="str">
        <f>IF(L212&lt;&gt;"PLAYER","",IF(ISNUMBER(MATCH(M212,Players[Name],0)),"Y",IF(AA212=1,"A","N")))</f>
        <v/>
      </c>
      <c r="Z212" s="3" t="str">
        <f>IF(L212&lt;&gt;"PLAYER","",_xlfn.TEXTJOIN("; ",TRUE,IF(M212="","Empty name",IF(Y212="N",IF(AA212&gt;1,"Which "&amp;M212&amp;"? "&amp;AA212&amp;" players start with it (like "&amp;INDEX(Players[Name],MATCH(M212&amp;" ?",Players[Name],0))&amp;") - type the last initial",IF(ISNUMBER(FIND(" ",M212)),IF(IFERROR(IF(M212="",FALSE,OR(M212="Unknown",AND(LEN(M212)-LEN(SUBSTITUTE(M212," ",""))=1,LEN(M212)&gt;=4,MID(M212,LEN(M212)-1,1)=" ",CODE(RIGHT(M212,1))&gt;=65,CODE(RIGHT(M212,1))&lt;=90))),FALSE),"New player? Not on Players list - add it there first","Not on Players list and not First L format (like Zack B)")&amp;IF(ISNUMBER(MATCH(LEFT(M212,FIND(" ",M212)-1)&amp;" ?",Players[Name],0))," (same first name as "&amp;INDEX(Players[Name],MATCH(LEFT(M212,FIND(" ",M212)-1)&amp;" ?",Players[Name],0))&amp;")",""),"Not on Players list - type first name + last initial (like Zack B)")),"")),IF(OR(V212&lt;Pod_Min,V212&gt;Pod_Max),"Pod has "&amp;V212&amp;" players",""),IF(U212=0,IF(T212=0,"No winner (*) in pod",IF(T212&gt;1,T212&amp;" winners in pod","")),IF(U212&lt;V212,"Some = but not all players","")),IF(X212="Unknown","",IF(COUNTIFS($O$8:$O$257,O212,$Q$8:$Q$257,Q212,$X$8:$X$257,X212)&gt;1,"Name twice in pod",IF(COUNTIFS($O$8:$O$257,O212,$X$8:$X$257,X212)&gt;1,"Name in 2 pods this round","")))))</f>
        <v/>
      </c>
      <c r="AA212" s="3" t="str">
        <f>IF(L212&lt;&gt;"PLAYER","",IF(OR(M212="",ISNUMBER(FIND(" ",M212))),0,COUNTIF(Players[Name],M212&amp;" ?")))</f>
        <v/>
      </c>
    </row>
    <row r="213" spans="1:27" x14ac:dyDescent="0.45">
      <c r="A213" s="17"/>
      <c r="B213" s="6" t="str">
        <f t="shared" si="63"/>
        <v/>
      </c>
      <c r="C213" s="6" t="str">
        <f t="shared" si="64"/>
        <v/>
      </c>
      <c r="D213" s="6" t="str">
        <f t="shared" si="65"/>
        <v/>
      </c>
      <c r="E213" s="6" t="str">
        <f t="shared" si="66"/>
        <v/>
      </c>
      <c r="F213" s="6" t="str">
        <f t="shared" si="67"/>
        <v/>
      </c>
      <c r="G213" s="6" t="str">
        <f t="shared" si="68"/>
        <v/>
      </c>
      <c r="H213" s="10" t="str">
        <f t="shared" si="69"/>
        <v/>
      </c>
      <c r="I213" s="6" t="str">
        <f t="shared" si="70"/>
        <v/>
      </c>
      <c r="J213" s="3" t="str">
        <f>IFERROR(MATCH(ROWS(J$8:J213),$S$8:$S$257,0),"")</f>
        <v/>
      </c>
      <c r="K213" s="3" t="str">
        <f t="shared" si="71"/>
        <v/>
      </c>
      <c r="L213" s="3" t="str">
        <f t="shared" si="72"/>
        <v/>
      </c>
      <c r="M213" s="3" t="str">
        <f t="shared" si="73"/>
        <v/>
      </c>
      <c r="N213" s="3" t="str">
        <f t="shared" si="74"/>
        <v/>
      </c>
      <c r="O213" s="3">
        <f t="shared" si="75"/>
        <v>1</v>
      </c>
      <c r="P213" s="3">
        <f t="shared" si="76"/>
        <v>0</v>
      </c>
      <c r="Q213" s="3">
        <f t="shared" si="77"/>
        <v>0</v>
      </c>
      <c r="R213" s="3" t="str">
        <f t="shared" si="78"/>
        <v/>
      </c>
      <c r="S213" s="3">
        <f t="shared" si="79"/>
        <v>0</v>
      </c>
      <c r="T213" s="3" t="str">
        <f t="shared" si="80"/>
        <v/>
      </c>
      <c r="U213" s="3" t="str">
        <f t="shared" si="81"/>
        <v/>
      </c>
      <c r="V213" s="3" t="str">
        <f t="shared" si="82"/>
        <v/>
      </c>
      <c r="W213" s="3" t="str">
        <f t="shared" si="83"/>
        <v/>
      </c>
      <c r="X213" s="3" t="str">
        <f>IF(L213&lt;&gt;"PLAYER","",IF(Y213="Y",INDEX(Players[Name],MATCH(M213,Players[Name],0)),IF(Y213="A",INDEX(Players[Name],MATCH(M213&amp;" ?",Players[Name],0)),M213)))</f>
        <v/>
      </c>
      <c r="Y213" s="3" t="str">
        <f>IF(L213&lt;&gt;"PLAYER","",IF(ISNUMBER(MATCH(M213,Players[Name],0)),"Y",IF(AA213=1,"A","N")))</f>
        <v/>
      </c>
      <c r="Z213" s="3" t="str">
        <f>IF(L213&lt;&gt;"PLAYER","",_xlfn.TEXTJOIN("; ",TRUE,IF(M213="","Empty name",IF(Y213="N",IF(AA213&gt;1,"Which "&amp;M213&amp;"? "&amp;AA213&amp;" players start with it (like "&amp;INDEX(Players[Name],MATCH(M213&amp;" ?",Players[Name],0))&amp;") - type the last initial",IF(ISNUMBER(FIND(" ",M213)),IF(IFERROR(IF(M213="",FALSE,OR(M213="Unknown",AND(LEN(M213)-LEN(SUBSTITUTE(M213," ",""))=1,LEN(M213)&gt;=4,MID(M213,LEN(M213)-1,1)=" ",CODE(RIGHT(M213,1))&gt;=65,CODE(RIGHT(M213,1))&lt;=90))),FALSE),"New player? Not on Players list - add it there first","Not on Players list and not First L format (like Zack B)")&amp;IF(ISNUMBER(MATCH(LEFT(M213,FIND(" ",M213)-1)&amp;" ?",Players[Name],0))," (same first name as "&amp;INDEX(Players[Name],MATCH(LEFT(M213,FIND(" ",M213)-1)&amp;" ?",Players[Name],0))&amp;")",""),"Not on Players list - type first name + last initial (like Zack B)")),"")),IF(OR(V213&lt;Pod_Min,V213&gt;Pod_Max),"Pod has "&amp;V213&amp;" players",""),IF(U213=0,IF(T213=0,"No winner (*) in pod",IF(T213&gt;1,T213&amp;" winners in pod","")),IF(U213&lt;V213,"Some = but not all players","")),IF(X213="Unknown","",IF(COUNTIFS($O$8:$O$257,O213,$Q$8:$Q$257,Q213,$X$8:$X$257,X213)&gt;1,"Name twice in pod",IF(COUNTIFS($O$8:$O$257,O213,$X$8:$X$257,X213)&gt;1,"Name in 2 pods this round","")))))</f>
        <v/>
      </c>
      <c r="AA213" s="3" t="str">
        <f>IF(L213&lt;&gt;"PLAYER","",IF(OR(M213="",ISNUMBER(FIND(" ",M213))),0,COUNTIF(Players[Name],M213&amp;" ?")))</f>
        <v/>
      </c>
    </row>
    <row r="214" spans="1:27" x14ac:dyDescent="0.45">
      <c r="A214" s="17"/>
      <c r="B214" s="6" t="str">
        <f t="shared" si="63"/>
        <v/>
      </c>
      <c r="C214" s="6" t="str">
        <f t="shared" si="64"/>
        <v/>
      </c>
      <c r="D214" s="6" t="str">
        <f t="shared" si="65"/>
        <v/>
      </c>
      <c r="E214" s="6" t="str">
        <f t="shared" si="66"/>
        <v/>
      </c>
      <c r="F214" s="6" t="str">
        <f t="shared" si="67"/>
        <v/>
      </c>
      <c r="G214" s="6" t="str">
        <f t="shared" si="68"/>
        <v/>
      </c>
      <c r="H214" s="10" t="str">
        <f t="shared" si="69"/>
        <v/>
      </c>
      <c r="I214" s="6" t="str">
        <f t="shared" si="70"/>
        <v/>
      </c>
      <c r="J214" s="3" t="str">
        <f>IFERROR(MATCH(ROWS(J$8:J214),$S$8:$S$257,0),"")</f>
        <v/>
      </c>
      <c r="K214" s="3" t="str">
        <f t="shared" si="71"/>
        <v/>
      </c>
      <c r="L214" s="3" t="str">
        <f t="shared" si="72"/>
        <v/>
      </c>
      <c r="M214" s="3" t="str">
        <f t="shared" si="73"/>
        <v/>
      </c>
      <c r="N214" s="3" t="str">
        <f t="shared" si="74"/>
        <v/>
      </c>
      <c r="O214" s="3">
        <f t="shared" si="75"/>
        <v>1</v>
      </c>
      <c r="P214" s="3">
        <f t="shared" si="76"/>
        <v>0</v>
      </c>
      <c r="Q214" s="3">
        <f t="shared" si="77"/>
        <v>0</v>
      </c>
      <c r="R214" s="3" t="str">
        <f t="shared" si="78"/>
        <v/>
      </c>
      <c r="S214" s="3">
        <f t="shared" si="79"/>
        <v>0</v>
      </c>
      <c r="T214" s="3" t="str">
        <f t="shared" si="80"/>
        <v/>
      </c>
      <c r="U214" s="3" t="str">
        <f t="shared" si="81"/>
        <v/>
      </c>
      <c r="V214" s="3" t="str">
        <f t="shared" si="82"/>
        <v/>
      </c>
      <c r="W214" s="3" t="str">
        <f t="shared" si="83"/>
        <v/>
      </c>
      <c r="X214" s="3" t="str">
        <f>IF(L214&lt;&gt;"PLAYER","",IF(Y214="Y",INDEX(Players[Name],MATCH(M214,Players[Name],0)),IF(Y214="A",INDEX(Players[Name],MATCH(M214&amp;" ?",Players[Name],0)),M214)))</f>
        <v/>
      </c>
      <c r="Y214" s="3" t="str">
        <f>IF(L214&lt;&gt;"PLAYER","",IF(ISNUMBER(MATCH(M214,Players[Name],0)),"Y",IF(AA214=1,"A","N")))</f>
        <v/>
      </c>
      <c r="Z214" s="3" t="str">
        <f>IF(L214&lt;&gt;"PLAYER","",_xlfn.TEXTJOIN("; ",TRUE,IF(M214="","Empty name",IF(Y214="N",IF(AA214&gt;1,"Which "&amp;M214&amp;"? "&amp;AA214&amp;" players start with it (like "&amp;INDEX(Players[Name],MATCH(M214&amp;" ?",Players[Name],0))&amp;") - type the last initial",IF(ISNUMBER(FIND(" ",M214)),IF(IFERROR(IF(M214="",FALSE,OR(M214="Unknown",AND(LEN(M214)-LEN(SUBSTITUTE(M214," ",""))=1,LEN(M214)&gt;=4,MID(M214,LEN(M214)-1,1)=" ",CODE(RIGHT(M214,1))&gt;=65,CODE(RIGHT(M214,1))&lt;=90))),FALSE),"New player? Not on Players list - add it there first","Not on Players list and not First L format (like Zack B)")&amp;IF(ISNUMBER(MATCH(LEFT(M214,FIND(" ",M214)-1)&amp;" ?",Players[Name],0))," (same first name as "&amp;INDEX(Players[Name],MATCH(LEFT(M214,FIND(" ",M214)-1)&amp;" ?",Players[Name],0))&amp;")",""),"Not on Players list - type first name + last initial (like Zack B)")),"")),IF(OR(V214&lt;Pod_Min,V214&gt;Pod_Max),"Pod has "&amp;V214&amp;" players",""),IF(U214=0,IF(T214=0,"No winner (*) in pod",IF(T214&gt;1,T214&amp;" winners in pod","")),IF(U214&lt;V214,"Some = but not all players","")),IF(X214="Unknown","",IF(COUNTIFS($O$8:$O$257,O214,$Q$8:$Q$257,Q214,$X$8:$X$257,X214)&gt;1,"Name twice in pod",IF(COUNTIFS($O$8:$O$257,O214,$X$8:$X$257,X214)&gt;1,"Name in 2 pods this round","")))))</f>
        <v/>
      </c>
      <c r="AA214" s="3" t="str">
        <f>IF(L214&lt;&gt;"PLAYER","",IF(OR(M214="",ISNUMBER(FIND(" ",M214))),0,COUNTIF(Players[Name],M214&amp;" ?")))</f>
        <v/>
      </c>
    </row>
    <row r="215" spans="1:27" x14ac:dyDescent="0.45">
      <c r="A215" s="17"/>
      <c r="B215" s="6" t="str">
        <f t="shared" si="63"/>
        <v/>
      </c>
      <c r="C215" s="6" t="str">
        <f t="shared" si="64"/>
        <v/>
      </c>
      <c r="D215" s="6" t="str">
        <f t="shared" si="65"/>
        <v/>
      </c>
      <c r="E215" s="6" t="str">
        <f t="shared" si="66"/>
        <v/>
      </c>
      <c r="F215" s="6" t="str">
        <f t="shared" si="67"/>
        <v/>
      </c>
      <c r="G215" s="6" t="str">
        <f t="shared" si="68"/>
        <v/>
      </c>
      <c r="H215" s="10" t="str">
        <f t="shared" si="69"/>
        <v/>
      </c>
      <c r="I215" s="6" t="str">
        <f t="shared" si="70"/>
        <v/>
      </c>
      <c r="J215" s="3" t="str">
        <f>IFERROR(MATCH(ROWS(J$8:J215),$S$8:$S$257,0),"")</f>
        <v/>
      </c>
      <c r="K215" s="3" t="str">
        <f t="shared" si="71"/>
        <v/>
      </c>
      <c r="L215" s="3" t="str">
        <f t="shared" si="72"/>
        <v/>
      </c>
      <c r="M215" s="3" t="str">
        <f t="shared" si="73"/>
        <v/>
      </c>
      <c r="N215" s="3" t="str">
        <f t="shared" si="74"/>
        <v/>
      </c>
      <c r="O215" s="3">
        <f t="shared" si="75"/>
        <v>1</v>
      </c>
      <c r="P215" s="3">
        <f t="shared" si="76"/>
        <v>0</v>
      </c>
      <c r="Q215" s="3">
        <f t="shared" si="77"/>
        <v>0</v>
      </c>
      <c r="R215" s="3" t="str">
        <f t="shared" si="78"/>
        <v/>
      </c>
      <c r="S215" s="3">
        <f t="shared" si="79"/>
        <v>0</v>
      </c>
      <c r="T215" s="3" t="str">
        <f t="shared" si="80"/>
        <v/>
      </c>
      <c r="U215" s="3" t="str">
        <f t="shared" si="81"/>
        <v/>
      </c>
      <c r="V215" s="3" t="str">
        <f t="shared" si="82"/>
        <v/>
      </c>
      <c r="W215" s="3" t="str">
        <f t="shared" si="83"/>
        <v/>
      </c>
      <c r="X215" s="3" t="str">
        <f>IF(L215&lt;&gt;"PLAYER","",IF(Y215="Y",INDEX(Players[Name],MATCH(M215,Players[Name],0)),IF(Y215="A",INDEX(Players[Name],MATCH(M215&amp;" ?",Players[Name],0)),M215)))</f>
        <v/>
      </c>
      <c r="Y215" s="3" t="str">
        <f>IF(L215&lt;&gt;"PLAYER","",IF(ISNUMBER(MATCH(M215,Players[Name],0)),"Y",IF(AA215=1,"A","N")))</f>
        <v/>
      </c>
      <c r="Z215" s="3" t="str">
        <f>IF(L215&lt;&gt;"PLAYER","",_xlfn.TEXTJOIN("; ",TRUE,IF(M215="","Empty name",IF(Y215="N",IF(AA215&gt;1,"Which "&amp;M215&amp;"? "&amp;AA215&amp;" players start with it (like "&amp;INDEX(Players[Name],MATCH(M215&amp;" ?",Players[Name],0))&amp;") - type the last initial",IF(ISNUMBER(FIND(" ",M215)),IF(IFERROR(IF(M215="",FALSE,OR(M215="Unknown",AND(LEN(M215)-LEN(SUBSTITUTE(M215," ",""))=1,LEN(M215)&gt;=4,MID(M215,LEN(M215)-1,1)=" ",CODE(RIGHT(M215,1))&gt;=65,CODE(RIGHT(M215,1))&lt;=90))),FALSE),"New player? Not on Players list - add it there first","Not on Players list and not First L format (like Zack B)")&amp;IF(ISNUMBER(MATCH(LEFT(M215,FIND(" ",M215)-1)&amp;" ?",Players[Name],0))," (same first name as "&amp;INDEX(Players[Name],MATCH(LEFT(M215,FIND(" ",M215)-1)&amp;" ?",Players[Name],0))&amp;")",""),"Not on Players list - type first name + last initial (like Zack B)")),"")),IF(OR(V215&lt;Pod_Min,V215&gt;Pod_Max),"Pod has "&amp;V215&amp;" players",""),IF(U215=0,IF(T215=0,"No winner (*) in pod",IF(T215&gt;1,T215&amp;" winners in pod","")),IF(U215&lt;V215,"Some = but not all players","")),IF(X215="Unknown","",IF(COUNTIFS($O$8:$O$257,O215,$Q$8:$Q$257,Q215,$X$8:$X$257,X215)&gt;1,"Name twice in pod",IF(COUNTIFS($O$8:$O$257,O215,$X$8:$X$257,X215)&gt;1,"Name in 2 pods this round","")))))</f>
        <v/>
      </c>
      <c r="AA215" s="3" t="str">
        <f>IF(L215&lt;&gt;"PLAYER","",IF(OR(M215="",ISNUMBER(FIND(" ",M215))),0,COUNTIF(Players[Name],M215&amp;" ?")))</f>
        <v/>
      </c>
    </row>
    <row r="216" spans="1:27" x14ac:dyDescent="0.45">
      <c r="A216" s="17"/>
      <c r="B216" s="6" t="str">
        <f t="shared" si="63"/>
        <v/>
      </c>
      <c r="C216" s="6" t="str">
        <f t="shared" si="64"/>
        <v/>
      </c>
      <c r="D216" s="6" t="str">
        <f t="shared" si="65"/>
        <v/>
      </c>
      <c r="E216" s="6" t="str">
        <f t="shared" si="66"/>
        <v/>
      </c>
      <c r="F216" s="6" t="str">
        <f t="shared" si="67"/>
        <v/>
      </c>
      <c r="G216" s="6" t="str">
        <f t="shared" si="68"/>
        <v/>
      </c>
      <c r="H216" s="10" t="str">
        <f t="shared" si="69"/>
        <v/>
      </c>
      <c r="I216" s="6" t="str">
        <f t="shared" si="70"/>
        <v/>
      </c>
      <c r="J216" s="3" t="str">
        <f>IFERROR(MATCH(ROWS(J$8:J216),$S$8:$S$257,0),"")</f>
        <v/>
      </c>
      <c r="K216" s="3" t="str">
        <f t="shared" si="71"/>
        <v/>
      </c>
      <c r="L216" s="3" t="str">
        <f t="shared" si="72"/>
        <v/>
      </c>
      <c r="M216" s="3" t="str">
        <f t="shared" si="73"/>
        <v/>
      </c>
      <c r="N216" s="3" t="str">
        <f t="shared" si="74"/>
        <v/>
      </c>
      <c r="O216" s="3">
        <f t="shared" si="75"/>
        <v>1</v>
      </c>
      <c r="P216" s="3">
        <f t="shared" si="76"/>
        <v>0</v>
      </c>
      <c r="Q216" s="3">
        <f t="shared" si="77"/>
        <v>0</v>
      </c>
      <c r="R216" s="3" t="str">
        <f t="shared" si="78"/>
        <v/>
      </c>
      <c r="S216" s="3">
        <f t="shared" si="79"/>
        <v>0</v>
      </c>
      <c r="T216" s="3" t="str">
        <f t="shared" si="80"/>
        <v/>
      </c>
      <c r="U216" s="3" t="str">
        <f t="shared" si="81"/>
        <v/>
      </c>
      <c r="V216" s="3" t="str">
        <f t="shared" si="82"/>
        <v/>
      </c>
      <c r="W216" s="3" t="str">
        <f t="shared" si="83"/>
        <v/>
      </c>
      <c r="X216" s="3" t="str">
        <f>IF(L216&lt;&gt;"PLAYER","",IF(Y216="Y",INDEX(Players[Name],MATCH(M216,Players[Name],0)),IF(Y216="A",INDEX(Players[Name],MATCH(M216&amp;" ?",Players[Name],0)),M216)))</f>
        <v/>
      </c>
      <c r="Y216" s="3" t="str">
        <f>IF(L216&lt;&gt;"PLAYER","",IF(ISNUMBER(MATCH(M216,Players[Name],0)),"Y",IF(AA216=1,"A","N")))</f>
        <v/>
      </c>
      <c r="Z216" s="3" t="str">
        <f>IF(L216&lt;&gt;"PLAYER","",_xlfn.TEXTJOIN("; ",TRUE,IF(M216="","Empty name",IF(Y216="N",IF(AA216&gt;1,"Which "&amp;M216&amp;"? "&amp;AA216&amp;" players start with it (like "&amp;INDEX(Players[Name],MATCH(M216&amp;" ?",Players[Name],0))&amp;") - type the last initial",IF(ISNUMBER(FIND(" ",M216)),IF(IFERROR(IF(M216="",FALSE,OR(M216="Unknown",AND(LEN(M216)-LEN(SUBSTITUTE(M216," ",""))=1,LEN(M216)&gt;=4,MID(M216,LEN(M216)-1,1)=" ",CODE(RIGHT(M216,1))&gt;=65,CODE(RIGHT(M216,1))&lt;=90))),FALSE),"New player? Not on Players list - add it there first","Not on Players list and not First L format (like Zack B)")&amp;IF(ISNUMBER(MATCH(LEFT(M216,FIND(" ",M216)-1)&amp;" ?",Players[Name],0))," (same first name as "&amp;INDEX(Players[Name],MATCH(LEFT(M216,FIND(" ",M216)-1)&amp;" ?",Players[Name],0))&amp;")",""),"Not on Players list - type first name + last initial (like Zack B)")),"")),IF(OR(V216&lt;Pod_Min,V216&gt;Pod_Max),"Pod has "&amp;V216&amp;" players",""),IF(U216=0,IF(T216=0,"No winner (*) in pod",IF(T216&gt;1,T216&amp;" winners in pod","")),IF(U216&lt;V216,"Some = but not all players","")),IF(X216="Unknown","",IF(COUNTIFS($O$8:$O$257,O216,$Q$8:$Q$257,Q216,$X$8:$X$257,X216)&gt;1,"Name twice in pod",IF(COUNTIFS($O$8:$O$257,O216,$X$8:$X$257,X216)&gt;1,"Name in 2 pods this round","")))))</f>
        <v/>
      </c>
      <c r="AA216" s="3" t="str">
        <f>IF(L216&lt;&gt;"PLAYER","",IF(OR(M216="",ISNUMBER(FIND(" ",M216))),0,COUNTIF(Players[Name],M216&amp;" ?")))</f>
        <v/>
      </c>
    </row>
    <row r="217" spans="1:27" x14ac:dyDescent="0.45">
      <c r="A217" s="17"/>
      <c r="B217" s="6" t="str">
        <f t="shared" si="63"/>
        <v/>
      </c>
      <c r="C217" s="6" t="str">
        <f t="shared" si="64"/>
        <v/>
      </c>
      <c r="D217" s="6" t="str">
        <f t="shared" si="65"/>
        <v/>
      </c>
      <c r="E217" s="6" t="str">
        <f t="shared" si="66"/>
        <v/>
      </c>
      <c r="F217" s="6" t="str">
        <f t="shared" si="67"/>
        <v/>
      </c>
      <c r="G217" s="6" t="str">
        <f t="shared" si="68"/>
        <v/>
      </c>
      <c r="H217" s="10" t="str">
        <f t="shared" si="69"/>
        <v/>
      </c>
      <c r="I217" s="6" t="str">
        <f t="shared" si="70"/>
        <v/>
      </c>
      <c r="J217" s="3" t="str">
        <f>IFERROR(MATCH(ROWS(J$8:J217),$S$8:$S$257,0),"")</f>
        <v/>
      </c>
      <c r="K217" s="3" t="str">
        <f t="shared" si="71"/>
        <v/>
      </c>
      <c r="L217" s="3" t="str">
        <f t="shared" si="72"/>
        <v/>
      </c>
      <c r="M217" s="3" t="str">
        <f t="shared" si="73"/>
        <v/>
      </c>
      <c r="N217" s="3" t="str">
        <f t="shared" si="74"/>
        <v/>
      </c>
      <c r="O217" s="3">
        <f t="shared" si="75"/>
        <v>1</v>
      </c>
      <c r="P217" s="3">
        <f t="shared" si="76"/>
        <v>0</v>
      </c>
      <c r="Q217" s="3">
        <f t="shared" si="77"/>
        <v>0</v>
      </c>
      <c r="R217" s="3" t="str">
        <f t="shared" si="78"/>
        <v/>
      </c>
      <c r="S217" s="3">
        <f t="shared" si="79"/>
        <v>0</v>
      </c>
      <c r="T217" s="3" t="str">
        <f t="shared" si="80"/>
        <v/>
      </c>
      <c r="U217" s="3" t="str">
        <f t="shared" si="81"/>
        <v/>
      </c>
      <c r="V217" s="3" t="str">
        <f t="shared" si="82"/>
        <v/>
      </c>
      <c r="W217" s="3" t="str">
        <f t="shared" si="83"/>
        <v/>
      </c>
      <c r="X217" s="3" t="str">
        <f>IF(L217&lt;&gt;"PLAYER","",IF(Y217="Y",INDEX(Players[Name],MATCH(M217,Players[Name],0)),IF(Y217="A",INDEX(Players[Name],MATCH(M217&amp;" ?",Players[Name],0)),M217)))</f>
        <v/>
      </c>
      <c r="Y217" s="3" t="str">
        <f>IF(L217&lt;&gt;"PLAYER","",IF(ISNUMBER(MATCH(M217,Players[Name],0)),"Y",IF(AA217=1,"A","N")))</f>
        <v/>
      </c>
      <c r="Z217" s="3" t="str">
        <f>IF(L217&lt;&gt;"PLAYER","",_xlfn.TEXTJOIN("; ",TRUE,IF(M217="","Empty name",IF(Y217="N",IF(AA217&gt;1,"Which "&amp;M217&amp;"? "&amp;AA217&amp;" players start with it (like "&amp;INDEX(Players[Name],MATCH(M217&amp;" ?",Players[Name],0))&amp;") - type the last initial",IF(ISNUMBER(FIND(" ",M217)),IF(IFERROR(IF(M217="",FALSE,OR(M217="Unknown",AND(LEN(M217)-LEN(SUBSTITUTE(M217," ",""))=1,LEN(M217)&gt;=4,MID(M217,LEN(M217)-1,1)=" ",CODE(RIGHT(M217,1))&gt;=65,CODE(RIGHT(M217,1))&lt;=90))),FALSE),"New player? Not on Players list - add it there first","Not on Players list and not First L format (like Zack B)")&amp;IF(ISNUMBER(MATCH(LEFT(M217,FIND(" ",M217)-1)&amp;" ?",Players[Name],0))," (same first name as "&amp;INDEX(Players[Name],MATCH(LEFT(M217,FIND(" ",M217)-1)&amp;" ?",Players[Name],0))&amp;")",""),"Not on Players list - type first name + last initial (like Zack B)")),"")),IF(OR(V217&lt;Pod_Min,V217&gt;Pod_Max),"Pod has "&amp;V217&amp;" players",""),IF(U217=0,IF(T217=0,"No winner (*) in pod",IF(T217&gt;1,T217&amp;" winners in pod","")),IF(U217&lt;V217,"Some = but not all players","")),IF(X217="Unknown","",IF(COUNTIFS($O$8:$O$257,O217,$Q$8:$Q$257,Q217,$X$8:$X$257,X217)&gt;1,"Name twice in pod",IF(COUNTIFS($O$8:$O$257,O217,$X$8:$X$257,X217)&gt;1,"Name in 2 pods this round","")))))</f>
        <v/>
      </c>
      <c r="AA217" s="3" t="str">
        <f>IF(L217&lt;&gt;"PLAYER","",IF(OR(M217="",ISNUMBER(FIND(" ",M217))),0,COUNTIF(Players[Name],M217&amp;" ?")))</f>
        <v/>
      </c>
    </row>
    <row r="218" spans="1:27" x14ac:dyDescent="0.45">
      <c r="A218" s="17"/>
      <c r="B218" s="6" t="str">
        <f t="shared" si="63"/>
        <v/>
      </c>
      <c r="C218" s="6" t="str">
        <f t="shared" si="64"/>
        <v/>
      </c>
      <c r="D218" s="6" t="str">
        <f t="shared" si="65"/>
        <v/>
      </c>
      <c r="E218" s="6" t="str">
        <f t="shared" si="66"/>
        <v/>
      </c>
      <c r="F218" s="6" t="str">
        <f t="shared" si="67"/>
        <v/>
      </c>
      <c r="G218" s="6" t="str">
        <f t="shared" si="68"/>
        <v/>
      </c>
      <c r="H218" s="10" t="str">
        <f t="shared" si="69"/>
        <v/>
      </c>
      <c r="I218" s="6" t="str">
        <f t="shared" si="70"/>
        <v/>
      </c>
      <c r="J218" s="3" t="str">
        <f>IFERROR(MATCH(ROWS(J$8:J218),$S$8:$S$257,0),"")</f>
        <v/>
      </c>
      <c r="K218" s="3" t="str">
        <f t="shared" si="71"/>
        <v/>
      </c>
      <c r="L218" s="3" t="str">
        <f t="shared" si="72"/>
        <v/>
      </c>
      <c r="M218" s="3" t="str">
        <f t="shared" si="73"/>
        <v/>
      </c>
      <c r="N218" s="3" t="str">
        <f t="shared" si="74"/>
        <v/>
      </c>
      <c r="O218" s="3">
        <f t="shared" si="75"/>
        <v>1</v>
      </c>
      <c r="P218" s="3">
        <f t="shared" si="76"/>
        <v>0</v>
      </c>
      <c r="Q218" s="3">
        <f t="shared" si="77"/>
        <v>0</v>
      </c>
      <c r="R218" s="3" t="str">
        <f t="shared" si="78"/>
        <v/>
      </c>
      <c r="S218" s="3">
        <f t="shared" si="79"/>
        <v>0</v>
      </c>
      <c r="T218" s="3" t="str">
        <f t="shared" si="80"/>
        <v/>
      </c>
      <c r="U218" s="3" t="str">
        <f t="shared" si="81"/>
        <v/>
      </c>
      <c r="V218" s="3" t="str">
        <f t="shared" si="82"/>
        <v/>
      </c>
      <c r="W218" s="3" t="str">
        <f t="shared" si="83"/>
        <v/>
      </c>
      <c r="X218" s="3" t="str">
        <f>IF(L218&lt;&gt;"PLAYER","",IF(Y218="Y",INDEX(Players[Name],MATCH(M218,Players[Name],0)),IF(Y218="A",INDEX(Players[Name],MATCH(M218&amp;" ?",Players[Name],0)),M218)))</f>
        <v/>
      </c>
      <c r="Y218" s="3" t="str">
        <f>IF(L218&lt;&gt;"PLAYER","",IF(ISNUMBER(MATCH(M218,Players[Name],0)),"Y",IF(AA218=1,"A","N")))</f>
        <v/>
      </c>
      <c r="Z218" s="3" t="str">
        <f>IF(L218&lt;&gt;"PLAYER","",_xlfn.TEXTJOIN("; ",TRUE,IF(M218="","Empty name",IF(Y218="N",IF(AA218&gt;1,"Which "&amp;M218&amp;"? "&amp;AA218&amp;" players start with it (like "&amp;INDEX(Players[Name],MATCH(M218&amp;" ?",Players[Name],0))&amp;") - type the last initial",IF(ISNUMBER(FIND(" ",M218)),IF(IFERROR(IF(M218="",FALSE,OR(M218="Unknown",AND(LEN(M218)-LEN(SUBSTITUTE(M218," ",""))=1,LEN(M218)&gt;=4,MID(M218,LEN(M218)-1,1)=" ",CODE(RIGHT(M218,1))&gt;=65,CODE(RIGHT(M218,1))&lt;=90))),FALSE),"New player? Not on Players list - add it there first","Not on Players list and not First L format (like Zack B)")&amp;IF(ISNUMBER(MATCH(LEFT(M218,FIND(" ",M218)-1)&amp;" ?",Players[Name],0))," (same first name as "&amp;INDEX(Players[Name],MATCH(LEFT(M218,FIND(" ",M218)-1)&amp;" ?",Players[Name],0))&amp;")",""),"Not on Players list - type first name + last initial (like Zack B)")),"")),IF(OR(V218&lt;Pod_Min,V218&gt;Pod_Max),"Pod has "&amp;V218&amp;" players",""),IF(U218=0,IF(T218=0,"No winner (*) in pod",IF(T218&gt;1,T218&amp;" winners in pod","")),IF(U218&lt;V218,"Some = but not all players","")),IF(X218="Unknown","",IF(COUNTIFS($O$8:$O$257,O218,$Q$8:$Q$257,Q218,$X$8:$X$257,X218)&gt;1,"Name twice in pod",IF(COUNTIFS($O$8:$O$257,O218,$X$8:$X$257,X218)&gt;1,"Name in 2 pods this round","")))))</f>
        <v/>
      </c>
      <c r="AA218" s="3" t="str">
        <f>IF(L218&lt;&gt;"PLAYER","",IF(OR(M218="",ISNUMBER(FIND(" ",M218))),0,COUNTIF(Players[Name],M218&amp;" ?")))</f>
        <v/>
      </c>
    </row>
    <row r="219" spans="1:27" x14ac:dyDescent="0.45">
      <c r="A219" s="17"/>
      <c r="B219" s="6" t="str">
        <f t="shared" si="63"/>
        <v/>
      </c>
      <c r="C219" s="6" t="str">
        <f t="shared" si="64"/>
        <v/>
      </c>
      <c r="D219" s="6" t="str">
        <f t="shared" si="65"/>
        <v/>
      </c>
      <c r="E219" s="6" t="str">
        <f t="shared" si="66"/>
        <v/>
      </c>
      <c r="F219" s="6" t="str">
        <f t="shared" si="67"/>
        <v/>
      </c>
      <c r="G219" s="6" t="str">
        <f t="shared" si="68"/>
        <v/>
      </c>
      <c r="H219" s="10" t="str">
        <f t="shared" si="69"/>
        <v/>
      </c>
      <c r="I219" s="6" t="str">
        <f t="shared" si="70"/>
        <v/>
      </c>
      <c r="J219" s="3" t="str">
        <f>IFERROR(MATCH(ROWS(J$8:J219),$S$8:$S$257,0),"")</f>
        <v/>
      </c>
      <c r="K219" s="3" t="str">
        <f t="shared" si="71"/>
        <v/>
      </c>
      <c r="L219" s="3" t="str">
        <f t="shared" si="72"/>
        <v/>
      </c>
      <c r="M219" s="3" t="str">
        <f t="shared" si="73"/>
        <v/>
      </c>
      <c r="N219" s="3" t="str">
        <f t="shared" si="74"/>
        <v/>
      </c>
      <c r="O219" s="3">
        <f t="shared" si="75"/>
        <v>1</v>
      </c>
      <c r="P219" s="3">
        <f t="shared" si="76"/>
        <v>0</v>
      </c>
      <c r="Q219" s="3">
        <f t="shared" si="77"/>
        <v>0</v>
      </c>
      <c r="R219" s="3" t="str">
        <f t="shared" si="78"/>
        <v/>
      </c>
      <c r="S219" s="3">
        <f t="shared" si="79"/>
        <v>0</v>
      </c>
      <c r="T219" s="3" t="str">
        <f t="shared" si="80"/>
        <v/>
      </c>
      <c r="U219" s="3" t="str">
        <f t="shared" si="81"/>
        <v/>
      </c>
      <c r="V219" s="3" t="str">
        <f t="shared" si="82"/>
        <v/>
      </c>
      <c r="W219" s="3" t="str">
        <f t="shared" si="83"/>
        <v/>
      </c>
      <c r="X219" s="3" t="str">
        <f>IF(L219&lt;&gt;"PLAYER","",IF(Y219="Y",INDEX(Players[Name],MATCH(M219,Players[Name],0)),IF(Y219="A",INDEX(Players[Name],MATCH(M219&amp;" ?",Players[Name],0)),M219)))</f>
        <v/>
      </c>
      <c r="Y219" s="3" t="str">
        <f>IF(L219&lt;&gt;"PLAYER","",IF(ISNUMBER(MATCH(M219,Players[Name],0)),"Y",IF(AA219=1,"A","N")))</f>
        <v/>
      </c>
      <c r="Z219" s="3" t="str">
        <f>IF(L219&lt;&gt;"PLAYER","",_xlfn.TEXTJOIN("; ",TRUE,IF(M219="","Empty name",IF(Y219="N",IF(AA219&gt;1,"Which "&amp;M219&amp;"? "&amp;AA219&amp;" players start with it (like "&amp;INDEX(Players[Name],MATCH(M219&amp;" ?",Players[Name],0))&amp;") - type the last initial",IF(ISNUMBER(FIND(" ",M219)),IF(IFERROR(IF(M219="",FALSE,OR(M219="Unknown",AND(LEN(M219)-LEN(SUBSTITUTE(M219," ",""))=1,LEN(M219)&gt;=4,MID(M219,LEN(M219)-1,1)=" ",CODE(RIGHT(M219,1))&gt;=65,CODE(RIGHT(M219,1))&lt;=90))),FALSE),"New player? Not on Players list - add it there first","Not on Players list and not First L format (like Zack B)")&amp;IF(ISNUMBER(MATCH(LEFT(M219,FIND(" ",M219)-1)&amp;" ?",Players[Name],0))," (same first name as "&amp;INDEX(Players[Name],MATCH(LEFT(M219,FIND(" ",M219)-1)&amp;" ?",Players[Name],0))&amp;")",""),"Not on Players list - type first name + last initial (like Zack B)")),"")),IF(OR(V219&lt;Pod_Min,V219&gt;Pod_Max),"Pod has "&amp;V219&amp;" players",""),IF(U219=0,IF(T219=0,"No winner (*) in pod",IF(T219&gt;1,T219&amp;" winners in pod","")),IF(U219&lt;V219,"Some = but not all players","")),IF(X219="Unknown","",IF(COUNTIFS($O$8:$O$257,O219,$Q$8:$Q$257,Q219,$X$8:$X$257,X219)&gt;1,"Name twice in pod",IF(COUNTIFS($O$8:$O$257,O219,$X$8:$X$257,X219)&gt;1,"Name in 2 pods this round","")))))</f>
        <v/>
      </c>
      <c r="AA219" s="3" t="str">
        <f>IF(L219&lt;&gt;"PLAYER","",IF(OR(M219="",ISNUMBER(FIND(" ",M219))),0,COUNTIF(Players[Name],M219&amp;" ?")))</f>
        <v/>
      </c>
    </row>
    <row r="220" spans="1:27" x14ac:dyDescent="0.45">
      <c r="A220" s="17"/>
      <c r="B220" s="6" t="str">
        <f t="shared" si="63"/>
        <v/>
      </c>
      <c r="C220" s="6" t="str">
        <f t="shared" si="64"/>
        <v/>
      </c>
      <c r="D220" s="6" t="str">
        <f t="shared" si="65"/>
        <v/>
      </c>
      <c r="E220" s="6" t="str">
        <f t="shared" si="66"/>
        <v/>
      </c>
      <c r="F220" s="6" t="str">
        <f t="shared" si="67"/>
        <v/>
      </c>
      <c r="G220" s="6" t="str">
        <f t="shared" si="68"/>
        <v/>
      </c>
      <c r="H220" s="10" t="str">
        <f t="shared" si="69"/>
        <v/>
      </c>
      <c r="I220" s="6" t="str">
        <f t="shared" si="70"/>
        <v/>
      </c>
      <c r="J220" s="3" t="str">
        <f>IFERROR(MATCH(ROWS(J$8:J220),$S$8:$S$257,0),"")</f>
        <v/>
      </c>
      <c r="K220" s="3" t="str">
        <f t="shared" si="71"/>
        <v/>
      </c>
      <c r="L220" s="3" t="str">
        <f t="shared" si="72"/>
        <v/>
      </c>
      <c r="M220" s="3" t="str">
        <f t="shared" si="73"/>
        <v/>
      </c>
      <c r="N220" s="3" t="str">
        <f t="shared" si="74"/>
        <v/>
      </c>
      <c r="O220" s="3">
        <f t="shared" si="75"/>
        <v>1</v>
      </c>
      <c r="P220" s="3">
        <f t="shared" si="76"/>
        <v>0</v>
      </c>
      <c r="Q220" s="3">
        <f t="shared" si="77"/>
        <v>0</v>
      </c>
      <c r="R220" s="3" t="str">
        <f t="shared" si="78"/>
        <v/>
      </c>
      <c r="S220" s="3">
        <f t="shared" si="79"/>
        <v>0</v>
      </c>
      <c r="T220" s="3" t="str">
        <f t="shared" si="80"/>
        <v/>
      </c>
      <c r="U220" s="3" t="str">
        <f t="shared" si="81"/>
        <v/>
      </c>
      <c r="V220" s="3" t="str">
        <f t="shared" si="82"/>
        <v/>
      </c>
      <c r="W220" s="3" t="str">
        <f t="shared" si="83"/>
        <v/>
      </c>
      <c r="X220" s="3" t="str">
        <f>IF(L220&lt;&gt;"PLAYER","",IF(Y220="Y",INDEX(Players[Name],MATCH(M220,Players[Name],0)),IF(Y220="A",INDEX(Players[Name],MATCH(M220&amp;" ?",Players[Name],0)),M220)))</f>
        <v/>
      </c>
      <c r="Y220" s="3" t="str">
        <f>IF(L220&lt;&gt;"PLAYER","",IF(ISNUMBER(MATCH(M220,Players[Name],0)),"Y",IF(AA220=1,"A","N")))</f>
        <v/>
      </c>
      <c r="Z220" s="3" t="str">
        <f>IF(L220&lt;&gt;"PLAYER","",_xlfn.TEXTJOIN("; ",TRUE,IF(M220="","Empty name",IF(Y220="N",IF(AA220&gt;1,"Which "&amp;M220&amp;"? "&amp;AA220&amp;" players start with it (like "&amp;INDEX(Players[Name],MATCH(M220&amp;" ?",Players[Name],0))&amp;") - type the last initial",IF(ISNUMBER(FIND(" ",M220)),IF(IFERROR(IF(M220="",FALSE,OR(M220="Unknown",AND(LEN(M220)-LEN(SUBSTITUTE(M220," ",""))=1,LEN(M220)&gt;=4,MID(M220,LEN(M220)-1,1)=" ",CODE(RIGHT(M220,1))&gt;=65,CODE(RIGHT(M220,1))&lt;=90))),FALSE),"New player? Not on Players list - add it there first","Not on Players list and not First L format (like Zack B)")&amp;IF(ISNUMBER(MATCH(LEFT(M220,FIND(" ",M220)-1)&amp;" ?",Players[Name],0))," (same first name as "&amp;INDEX(Players[Name],MATCH(LEFT(M220,FIND(" ",M220)-1)&amp;" ?",Players[Name],0))&amp;")",""),"Not on Players list - type first name + last initial (like Zack B)")),"")),IF(OR(V220&lt;Pod_Min,V220&gt;Pod_Max),"Pod has "&amp;V220&amp;" players",""),IF(U220=0,IF(T220=0,"No winner (*) in pod",IF(T220&gt;1,T220&amp;" winners in pod","")),IF(U220&lt;V220,"Some = but not all players","")),IF(X220="Unknown","",IF(COUNTIFS($O$8:$O$257,O220,$Q$8:$Q$257,Q220,$X$8:$X$257,X220)&gt;1,"Name twice in pod",IF(COUNTIFS($O$8:$O$257,O220,$X$8:$X$257,X220)&gt;1,"Name in 2 pods this round","")))))</f>
        <v/>
      </c>
      <c r="AA220" s="3" t="str">
        <f>IF(L220&lt;&gt;"PLAYER","",IF(OR(M220="",ISNUMBER(FIND(" ",M220))),0,COUNTIF(Players[Name],M220&amp;" ?")))</f>
        <v/>
      </c>
    </row>
    <row r="221" spans="1:27" x14ac:dyDescent="0.45">
      <c r="A221" s="17"/>
      <c r="B221" s="6" t="str">
        <f t="shared" si="63"/>
        <v/>
      </c>
      <c r="C221" s="6" t="str">
        <f t="shared" si="64"/>
        <v/>
      </c>
      <c r="D221" s="6" t="str">
        <f t="shared" si="65"/>
        <v/>
      </c>
      <c r="E221" s="6" t="str">
        <f t="shared" si="66"/>
        <v/>
      </c>
      <c r="F221" s="6" t="str">
        <f t="shared" si="67"/>
        <v/>
      </c>
      <c r="G221" s="6" t="str">
        <f t="shared" si="68"/>
        <v/>
      </c>
      <c r="H221" s="10" t="str">
        <f t="shared" si="69"/>
        <v/>
      </c>
      <c r="I221" s="6" t="str">
        <f t="shared" si="70"/>
        <v/>
      </c>
      <c r="J221" s="3" t="str">
        <f>IFERROR(MATCH(ROWS(J$8:J221),$S$8:$S$257,0),"")</f>
        <v/>
      </c>
      <c r="K221" s="3" t="str">
        <f t="shared" si="71"/>
        <v/>
      </c>
      <c r="L221" s="3" t="str">
        <f t="shared" si="72"/>
        <v/>
      </c>
      <c r="M221" s="3" t="str">
        <f t="shared" si="73"/>
        <v/>
      </c>
      <c r="N221" s="3" t="str">
        <f t="shared" si="74"/>
        <v/>
      </c>
      <c r="O221" s="3">
        <f t="shared" si="75"/>
        <v>1</v>
      </c>
      <c r="P221" s="3">
        <f t="shared" si="76"/>
        <v>0</v>
      </c>
      <c r="Q221" s="3">
        <f t="shared" si="77"/>
        <v>0</v>
      </c>
      <c r="R221" s="3" t="str">
        <f t="shared" si="78"/>
        <v/>
      </c>
      <c r="S221" s="3">
        <f t="shared" si="79"/>
        <v>0</v>
      </c>
      <c r="T221" s="3" t="str">
        <f t="shared" si="80"/>
        <v/>
      </c>
      <c r="U221" s="3" t="str">
        <f t="shared" si="81"/>
        <v/>
      </c>
      <c r="V221" s="3" t="str">
        <f t="shared" si="82"/>
        <v/>
      </c>
      <c r="W221" s="3" t="str">
        <f t="shared" si="83"/>
        <v/>
      </c>
      <c r="X221" s="3" t="str">
        <f>IF(L221&lt;&gt;"PLAYER","",IF(Y221="Y",INDEX(Players[Name],MATCH(M221,Players[Name],0)),IF(Y221="A",INDEX(Players[Name],MATCH(M221&amp;" ?",Players[Name],0)),M221)))</f>
        <v/>
      </c>
      <c r="Y221" s="3" t="str">
        <f>IF(L221&lt;&gt;"PLAYER","",IF(ISNUMBER(MATCH(M221,Players[Name],0)),"Y",IF(AA221=1,"A","N")))</f>
        <v/>
      </c>
      <c r="Z221" s="3" t="str">
        <f>IF(L221&lt;&gt;"PLAYER","",_xlfn.TEXTJOIN("; ",TRUE,IF(M221="","Empty name",IF(Y221="N",IF(AA221&gt;1,"Which "&amp;M221&amp;"? "&amp;AA221&amp;" players start with it (like "&amp;INDEX(Players[Name],MATCH(M221&amp;" ?",Players[Name],0))&amp;") - type the last initial",IF(ISNUMBER(FIND(" ",M221)),IF(IFERROR(IF(M221="",FALSE,OR(M221="Unknown",AND(LEN(M221)-LEN(SUBSTITUTE(M221," ",""))=1,LEN(M221)&gt;=4,MID(M221,LEN(M221)-1,1)=" ",CODE(RIGHT(M221,1))&gt;=65,CODE(RIGHT(M221,1))&lt;=90))),FALSE),"New player? Not on Players list - add it there first","Not on Players list and not First L format (like Zack B)")&amp;IF(ISNUMBER(MATCH(LEFT(M221,FIND(" ",M221)-1)&amp;" ?",Players[Name],0))," (same first name as "&amp;INDEX(Players[Name],MATCH(LEFT(M221,FIND(" ",M221)-1)&amp;" ?",Players[Name],0))&amp;")",""),"Not on Players list - type first name + last initial (like Zack B)")),"")),IF(OR(V221&lt;Pod_Min,V221&gt;Pod_Max),"Pod has "&amp;V221&amp;" players",""),IF(U221=0,IF(T221=0,"No winner (*) in pod",IF(T221&gt;1,T221&amp;" winners in pod","")),IF(U221&lt;V221,"Some = but not all players","")),IF(X221="Unknown","",IF(COUNTIFS($O$8:$O$257,O221,$Q$8:$Q$257,Q221,$X$8:$X$257,X221)&gt;1,"Name twice in pod",IF(COUNTIFS($O$8:$O$257,O221,$X$8:$X$257,X221)&gt;1,"Name in 2 pods this round","")))))</f>
        <v/>
      </c>
      <c r="AA221" s="3" t="str">
        <f>IF(L221&lt;&gt;"PLAYER","",IF(OR(M221="",ISNUMBER(FIND(" ",M221))),0,COUNTIF(Players[Name],M221&amp;" ?")))</f>
        <v/>
      </c>
    </row>
    <row r="222" spans="1:27" x14ac:dyDescent="0.45">
      <c r="A222" s="17"/>
      <c r="B222" s="6" t="str">
        <f t="shared" si="63"/>
        <v/>
      </c>
      <c r="C222" s="6" t="str">
        <f t="shared" si="64"/>
        <v/>
      </c>
      <c r="D222" s="6" t="str">
        <f t="shared" si="65"/>
        <v/>
      </c>
      <c r="E222" s="6" t="str">
        <f t="shared" si="66"/>
        <v/>
      </c>
      <c r="F222" s="6" t="str">
        <f t="shared" si="67"/>
        <v/>
      </c>
      <c r="G222" s="6" t="str">
        <f t="shared" si="68"/>
        <v/>
      </c>
      <c r="H222" s="10" t="str">
        <f t="shared" si="69"/>
        <v/>
      </c>
      <c r="I222" s="6" t="str">
        <f t="shared" si="70"/>
        <v/>
      </c>
      <c r="J222" s="3" t="str">
        <f>IFERROR(MATCH(ROWS(J$8:J222),$S$8:$S$257,0),"")</f>
        <v/>
      </c>
      <c r="K222" s="3" t="str">
        <f t="shared" si="71"/>
        <v/>
      </c>
      <c r="L222" s="3" t="str">
        <f t="shared" si="72"/>
        <v/>
      </c>
      <c r="M222" s="3" t="str">
        <f t="shared" si="73"/>
        <v/>
      </c>
      <c r="N222" s="3" t="str">
        <f t="shared" si="74"/>
        <v/>
      </c>
      <c r="O222" s="3">
        <f t="shared" si="75"/>
        <v>1</v>
      </c>
      <c r="P222" s="3">
        <f t="shared" si="76"/>
        <v>0</v>
      </c>
      <c r="Q222" s="3">
        <f t="shared" si="77"/>
        <v>0</v>
      </c>
      <c r="R222" s="3" t="str">
        <f t="shared" si="78"/>
        <v/>
      </c>
      <c r="S222" s="3">
        <f t="shared" si="79"/>
        <v>0</v>
      </c>
      <c r="T222" s="3" t="str">
        <f t="shared" si="80"/>
        <v/>
      </c>
      <c r="U222" s="3" t="str">
        <f t="shared" si="81"/>
        <v/>
      </c>
      <c r="V222" s="3" t="str">
        <f t="shared" si="82"/>
        <v/>
      </c>
      <c r="W222" s="3" t="str">
        <f t="shared" si="83"/>
        <v/>
      </c>
      <c r="X222" s="3" t="str">
        <f>IF(L222&lt;&gt;"PLAYER","",IF(Y222="Y",INDEX(Players[Name],MATCH(M222,Players[Name],0)),IF(Y222="A",INDEX(Players[Name],MATCH(M222&amp;" ?",Players[Name],0)),M222)))</f>
        <v/>
      </c>
      <c r="Y222" s="3" t="str">
        <f>IF(L222&lt;&gt;"PLAYER","",IF(ISNUMBER(MATCH(M222,Players[Name],0)),"Y",IF(AA222=1,"A","N")))</f>
        <v/>
      </c>
      <c r="Z222" s="3" t="str">
        <f>IF(L222&lt;&gt;"PLAYER","",_xlfn.TEXTJOIN("; ",TRUE,IF(M222="","Empty name",IF(Y222="N",IF(AA222&gt;1,"Which "&amp;M222&amp;"? "&amp;AA222&amp;" players start with it (like "&amp;INDEX(Players[Name],MATCH(M222&amp;" ?",Players[Name],0))&amp;") - type the last initial",IF(ISNUMBER(FIND(" ",M222)),IF(IFERROR(IF(M222="",FALSE,OR(M222="Unknown",AND(LEN(M222)-LEN(SUBSTITUTE(M222," ",""))=1,LEN(M222)&gt;=4,MID(M222,LEN(M222)-1,1)=" ",CODE(RIGHT(M222,1))&gt;=65,CODE(RIGHT(M222,1))&lt;=90))),FALSE),"New player? Not on Players list - add it there first","Not on Players list and not First L format (like Zack B)")&amp;IF(ISNUMBER(MATCH(LEFT(M222,FIND(" ",M222)-1)&amp;" ?",Players[Name],0))," (same first name as "&amp;INDEX(Players[Name],MATCH(LEFT(M222,FIND(" ",M222)-1)&amp;" ?",Players[Name],0))&amp;")",""),"Not on Players list - type first name + last initial (like Zack B)")),"")),IF(OR(V222&lt;Pod_Min,V222&gt;Pod_Max),"Pod has "&amp;V222&amp;" players",""),IF(U222=0,IF(T222=0,"No winner (*) in pod",IF(T222&gt;1,T222&amp;" winners in pod","")),IF(U222&lt;V222,"Some = but not all players","")),IF(X222="Unknown","",IF(COUNTIFS($O$8:$O$257,O222,$Q$8:$Q$257,Q222,$X$8:$X$257,X222)&gt;1,"Name twice in pod",IF(COUNTIFS($O$8:$O$257,O222,$X$8:$X$257,X222)&gt;1,"Name in 2 pods this round","")))))</f>
        <v/>
      </c>
      <c r="AA222" s="3" t="str">
        <f>IF(L222&lt;&gt;"PLAYER","",IF(OR(M222="",ISNUMBER(FIND(" ",M222))),0,COUNTIF(Players[Name],M222&amp;" ?")))</f>
        <v/>
      </c>
    </row>
    <row r="223" spans="1:27" x14ac:dyDescent="0.45">
      <c r="A223" s="17"/>
      <c r="B223" s="6" t="str">
        <f t="shared" si="63"/>
        <v/>
      </c>
      <c r="C223" s="6" t="str">
        <f t="shared" si="64"/>
        <v/>
      </c>
      <c r="D223" s="6" t="str">
        <f t="shared" si="65"/>
        <v/>
      </c>
      <c r="E223" s="6" t="str">
        <f t="shared" si="66"/>
        <v/>
      </c>
      <c r="F223" s="6" t="str">
        <f t="shared" si="67"/>
        <v/>
      </c>
      <c r="G223" s="6" t="str">
        <f t="shared" si="68"/>
        <v/>
      </c>
      <c r="H223" s="10" t="str">
        <f t="shared" si="69"/>
        <v/>
      </c>
      <c r="I223" s="6" t="str">
        <f t="shared" si="70"/>
        <v/>
      </c>
      <c r="J223" s="3" t="str">
        <f>IFERROR(MATCH(ROWS(J$8:J223),$S$8:$S$257,0),"")</f>
        <v/>
      </c>
      <c r="K223" s="3" t="str">
        <f t="shared" si="71"/>
        <v/>
      </c>
      <c r="L223" s="3" t="str">
        <f t="shared" si="72"/>
        <v/>
      </c>
      <c r="M223" s="3" t="str">
        <f t="shared" si="73"/>
        <v/>
      </c>
      <c r="N223" s="3" t="str">
        <f t="shared" si="74"/>
        <v/>
      </c>
      <c r="O223" s="3">
        <f t="shared" si="75"/>
        <v>1</v>
      </c>
      <c r="P223" s="3">
        <f t="shared" si="76"/>
        <v>0</v>
      </c>
      <c r="Q223" s="3">
        <f t="shared" si="77"/>
        <v>0</v>
      </c>
      <c r="R223" s="3" t="str">
        <f t="shared" si="78"/>
        <v/>
      </c>
      <c r="S223" s="3">
        <f t="shared" si="79"/>
        <v>0</v>
      </c>
      <c r="T223" s="3" t="str">
        <f t="shared" si="80"/>
        <v/>
      </c>
      <c r="U223" s="3" t="str">
        <f t="shared" si="81"/>
        <v/>
      </c>
      <c r="V223" s="3" t="str">
        <f t="shared" si="82"/>
        <v/>
      </c>
      <c r="W223" s="3" t="str">
        <f t="shared" si="83"/>
        <v/>
      </c>
      <c r="X223" s="3" t="str">
        <f>IF(L223&lt;&gt;"PLAYER","",IF(Y223="Y",INDEX(Players[Name],MATCH(M223,Players[Name],0)),IF(Y223="A",INDEX(Players[Name],MATCH(M223&amp;" ?",Players[Name],0)),M223)))</f>
        <v/>
      </c>
      <c r="Y223" s="3" t="str">
        <f>IF(L223&lt;&gt;"PLAYER","",IF(ISNUMBER(MATCH(M223,Players[Name],0)),"Y",IF(AA223=1,"A","N")))</f>
        <v/>
      </c>
      <c r="Z223" s="3" t="str">
        <f>IF(L223&lt;&gt;"PLAYER","",_xlfn.TEXTJOIN("; ",TRUE,IF(M223="","Empty name",IF(Y223="N",IF(AA223&gt;1,"Which "&amp;M223&amp;"? "&amp;AA223&amp;" players start with it (like "&amp;INDEX(Players[Name],MATCH(M223&amp;" ?",Players[Name],0))&amp;") - type the last initial",IF(ISNUMBER(FIND(" ",M223)),IF(IFERROR(IF(M223="",FALSE,OR(M223="Unknown",AND(LEN(M223)-LEN(SUBSTITUTE(M223," ",""))=1,LEN(M223)&gt;=4,MID(M223,LEN(M223)-1,1)=" ",CODE(RIGHT(M223,1))&gt;=65,CODE(RIGHT(M223,1))&lt;=90))),FALSE),"New player? Not on Players list - add it there first","Not on Players list and not First L format (like Zack B)")&amp;IF(ISNUMBER(MATCH(LEFT(M223,FIND(" ",M223)-1)&amp;" ?",Players[Name],0))," (same first name as "&amp;INDEX(Players[Name],MATCH(LEFT(M223,FIND(" ",M223)-1)&amp;" ?",Players[Name],0))&amp;")",""),"Not on Players list - type first name + last initial (like Zack B)")),"")),IF(OR(V223&lt;Pod_Min,V223&gt;Pod_Max),"Pod has "&amp;V223&amp;" players",""),IF(U223=0,IF(T223=0,"No winner (*) in pod",IF(T223&gt;1,T223&amp;" winners in pod","")),IF(U223&lt;V223,"Some = but not all players","")),IF(X223="Unknown","",IF(COUNTIFS($O$8:$O$257,O223,$Q$8:$Q$257,Q223,$X$8:$X$257,X223)&gt;1,"Name twice in pod",IF(COUNTIFS($O$8:$O$257,O223,$X$8:$X$257,X223)&gt;1,"Name in 2 pods this round","")))))</f>
        <v/>
      </c>
      <c r="AA223" s="3" t="str">
        <f>IF(L223&lt;&gt;"PLAYER","",IF(OR(M223="",ISNUMBER(FIND(" ",M223))),0,COUNTIF(Players[Name],M223&amp;" ?")))</f>
        <v/>
      </c>
    </row>
    <row r="224" spans="1:27" x14ac:dyDescent="0.45">
      <c r="A224" s="17"/>
      <c r="B224" s="6" t="str">
        <f t="shared" si="63"/>
        <v/>
      </c>
      <c r="C224" s="6" t="str">
        <f t="shared" si="64"/>
        <v/>
      </c>
      <c r="D224" s="6" t="str">
        <f t="shared" si="65"/>
        <v/>
      </c>
      <c r="E224" s="6" t="str">
        <f t="shared" si="66"/>
        <v/>
      </c>
      <c r="F224" s="6" t="str">
        <f t="shared" si="67"/>
        <v/>
      </c>
      <c r="G224" s="6" t="str">
        <f t="shared" si="68"/>
        <v/>
      </c>
      <c r="H224" s="10" t="str">
        <f t="shared" si="69"/>
        <v/>
      </c>
      <c r="I224" s="6" t="str">
        <f t="shared" si="70"/>
        <v/>
      </c>
      <c r="J224" s="3" t="str">
        <f>IFERROR(MATCH(ROWS(J$8:J224),$S$8:$S$257,0),"")</f>
        <v/>
      </c>
      <c r="K224" s="3" t="str">
        <f t="shared" si="71"/>
        <v/>
      </c>
      <c r="L224" s="3" t="str">
        <f t="shared" si="72"/>
        <v/>
      </c>
      <c r="M224" s="3" t="str">
        <f t="shared" si="73"/>
        <v/>
      </c>
      <c r="N224" s="3" t="str">
        <f t="shared" si="74"/>
        <v/>
      </c>
      <c r="O224" s="3">
        <f t="shared" si="75"/>
        <v>1</v>
      </c>
      <c r="P224" s="3">
        <f t="shared" si="76"/>
        <v>0</v>
      </c>
      <c r="Q224" s="3">
        <f t="shared" si="77"/>
        <v>0</v>
      </c>
      <c r="R224" s="3" t="str">
        <f t="shared" si="78"/>
        <v/>
      </c>
      <c r="S224" s="3">
        <f t="shared" si="79"/>
        <v>0</v>
      </c>
      <c r="T224" s="3" t="str">
        <f t="shared" si="80"/>
        <v/>
      </c>
      <c r="U224" s="3" t="str">
        <f t="shared" si="81"/>
        <v/>
      </c>
      <c r="V224" s="3" t="str">
        <f t="shared" si="82"/>
        <v/>
      </c>
      <c r="W224" s="3" t="str">
        <f t="shared" si="83"/>
        <v/>
      </c>
      <c r="X224" s="3" t="str">
        <f>IF(L224&lt;&gt;"PLAYER","",IF(Y224="Y",INDEX(Players[Name],MATCH(M224,Players[Name],0)),IF(Y224="A",INDEX(Players[Name],MATCH(M224&amp;" ?",Players[Name],0)),M224)))</f>
        <v/>
      </c>
      <c r="Y224" s="3" t="str">
        <f>IF(L224&lt;&gt;"PLAYER","",IF(ISNUMBER(MATCH(M224,Players[Name],0)),"Y",IF(AA224=1,"A","N")))</f>
        <v/>
      </c>
      <c r="Z224" s="3" t="str">
        <f>IF(L224&lt;&gt;"PLAYER","",_xlfn.TEXTJOIN("; ",TRUE,IF(M224="","Empty name",IF(Y224="N",IF(AA224&gt;1,"Which "&amp;M224&amp;"? "&amp;AA224&amp;" players start with it (like "&amp;INDEX(Players[Name],MATCH(M224&amp;" ?",Players[Name],0))&amp;") - type the last initial",IF(ISNUMBER(FIND(" ",M224)),IF(IFERROR(IF(M224="",FALSE,OR(M224="Unknown",AND(LEN(M224)-LEN(SUBSTITUTE(M224," ",""))=1,LEN(M224)&gt;=4,MID(M224,LEN(M224)-1,1)=" ",CODE(RIGHT(M224,1))&gt;=65,CODE(RIGHT(M224,1))&lt;=90))),FALSE),"New player? Not on Players list - add it there first","Not on Players list and not First L format (like Zack B)")&amp;IF(ISNUMBER(MATCH(LEFT(M224,FIND(" ",M224)-1)&amp;" ?",Players[Name],0))," (same first name as "&amp;INDEX(Players[Name],MATCH(LEFT(M224,FIND(" ",M224)-1)&amp;" ?",Players[Name],0))&amp;")",""),"Not on Players list - type first name + last initial (like Zack B)")),"")),IF(OR(V224&lt;Pod_Min,V224&gt;Pod_Max),"Pod has "&amp;V224&amp;" players",""),IF(U224=0,IF(T224=0,"No winner (*) in pod",IF(T224&gt;1,T224&amp;" winners in pod","")),IF(U224&lt;V224,"Some = but not all players","")),IF(X224="Unknown","",IF(COUNTIFS($O$8:$O$257,O224,$Q$8:$Q$257,Q224,$X$8:$X$257,X224)&gt;1,"Name twice in pod",IF(COUNTIFS($O$8:$O$257,O224,$X$8:$X$257,X224)&gt;1,"Name in 2 pods this round","")))))</f>
        <v/>
      </c>
      <c r="AA224" s="3" t="str">
        <f>IF(L224&lt;&gt;"PLAYER","",IF(OR(M224="",ISNUMBER(FIND(" ",M224))),0,COUNTIF(Players[Name],M224&amp;" ?")))</f>
        <v/>
      </c>
    </row>
    <row r="225" spans="1:27" x14ac:dyDescent="0.45">
      <c r="A225" s="17"/>
      <c r="B225" s="6" t="str">
        <f t="shared" si="63"/>
        <v/>
      </c>
      <c r="C225" s="6" t="str">
        <f t="shared" si="64"/>
        <v/>
      </c>
      <c r="D225" s="6" t="str">
        <f t="shared" si="65"/>
        <v/>
      </c>
      <c r="E225" s="6" t="str">
        <f t="shared" si="66"/>
        <v/>
      </c>
      <c r="F225" s="6" t="str">
        <f t="shared" si="67"/>
        <v/>
      </c>
      <c r="G225" s="6" t="str">
        <f t="shared" si="68"/>
        <v/>
      </c>
      <c r="H225" s="10" t="str">
        <f t="shared" si="69"/>
        <v/>
      </c>
      <c r="I225" s="6" t="str">
        <f t="shared" si="70"/>
        <v/>
      </c>
      <c r="J225" s="3" t="str">
        <f>IFERROR(MATCH(ROWS(J$8:J225),$S$8:$S$257,0),"")</f>
        <v/>
      </c>
      <c r="K225" s="3" t="str">
        <f t="shared" si="71"/>
        <v/>
      </c>
      <c r="L225" s="3" t="str">
        <f t="shared" si="72"/>
        <v/>
      </c>
      <c r="M225" s="3" t="str">
        <f t="shared" si="73"/>
        <v/>
      </c>
      <c r="N225" s="3" t="str">
        <f t="shared" si="74"/>
        <v/>
      </c>
      <c r="O225" s="3">
        <f t="shared" si="75"/>
        <v>1</v>
      </c>
      <c r="P225" s="3">
        <f t="shared" si="76"/>
        <v>0</v>
      </c>
      <c r="Q225" s="3">
        <f t="shared" si="77"/>
        <v>0</v>
      </c>
      <c r="R225" s="3" t="str">
        <f t="shared" si="78"/>
        <v/>
      </c>
      <c r="S225" s="3">
        <f t="shared" si="79"/>
        <v>0</v>
      </c>
      <c r="T225" s="3" t="str">
        <f t="shared" si="80"/>
        <v/>
      </c>
      <c r="U225" s="3" t="str">
        <f t="shared" si="81"/>
        <v/>
      </c>
      <c r="V225" s="3" t="str">
        <f t="shared" si="82"/>
        <v/>
      </c>
      <c r="W225" s="3" t="str">
        <f t="shared" si="83"/>
        <v/>
      </c>
      <c r="X225" s="3" t="str">
        <f>IF(L225&lt;&gt;"PLAYER","",IF(Y225="Y",INDEX(Players[Name],MATCH(M225,Players[Name],0)),IF(Y225="A",INDEX(Players[Name],MATCH(M225&amp;" ?",Players[Name],0)),M225)))</f>
        <v/>
      </c>
      <c r="Y225" s="3" t="str">
        <f>IF(L225&lt;&gt;"PLAYER","",IF(ISNUMBER(MATCH(M225,Players[Name],0)),"Y",IF(AA225=1,"A","N")))</f>
        <v/>
      </c>
      <c r="Z225" s="3" t="str">
        <f>IF(L225&lt;&gt;"PLAYER","",_xlfn.TEXTJOIN("; ",TRUE,IF(M225="","Empty name",IF(Y225="N",IF(AA225&gt;1,"Which "&amp;M225&amp;"? "&amp;AA225&amp;" players start with it (like "&amp;INDEX(Players[Name],MATCH(M225&amp;" ?",Players[Name],0))&amp;") - type the last initial",IF(ISNUMBER(FIND(" ",M225)),IF(IFERROR(IF(M225="",FALSE,OR(M225="Unknown",AND(LEN(M225)-LEN(SUBSTITUTE(M225," ",""))=1,LEN(M225)&gt;=4,MID(M225,LEN(M225)-1,1)=" ",CODE(RIGHT(M225,1))&gt;=65,CODE(RIGHT(M225,1))&lt;=90))),FALSE),"New player? Not on Players list - add it there first","Not on Players list and not First L format (like Zack B)")&amp;IF(ISNUMBER(MATCH(LEFT(M225,FIND(" ",M225)-1)&amp;" ?",Players[Name],0))," (same first name as "&amp;INDEX(Players[Name],MATCH(LEFT(M225,FIND(" ",M225)-1)&amp;" ?",Players[Name],0))&amp;")",""),"Not on Players list - type first name + last initial (like Zack B)")),"")),IF(OR(V225&lt;Pod_Min,V225&gt;Pod_Max),"Pod has "&amp;V225&amp;" players",""),IF(U225=0,IF(T225=0,"No winner (*) in pod",IF(T225&gt;1,T225&amp;" winners in pod","")),IF(U225&lt;V225,"Some = but not all players","")),IF(X225="Unknown","",IF(COUNTIFS($O$8:$O$257,O225,$Q$8:$Q$257,Q225,$X$8:$X$257,X225)&gt;1,"Name twice in pod",IF(COUNTIFS($O$8:$O$257,O225,$X$8:$X$257,X225)&gt;1,"Name in 2 pods this round","")))))</f>
        <v/>
      </c>
      <c r="AA225" s="3" t="str">
        <f>IF(L225&lt;&gt;"PLAYER","",IF(OR(M225="",ISNUMBER(FIND(" ",M225))),0,COUNTIF(Players[Name],M225&amp;" ?")))</f>
        <v/>
      </c>
    </row>
    <row r="226" spans="1:27" x14ac:dyDescent="0.45">
      <c r="A226" s="17"/>
      <c r="B226" s="6" t="str">
        <f t="shared" si="63"/>
        <v/>
      </c>
      <c r="C226" s="6" t="str">
        <f t="shared" si="64"/>
        <v/>
      </c>
      <c r="D226" s="6" t="str">
        <f t="shared" si="65"/>
        <v/>
      </c>
      <c r="E226" s="6" t="str">
        <f t="shared" si="66"/>
        <v/>
      </c>
      <c r="F226" s="6" t="str">
        <f t="shared" si="67"/>
        <v/>
      </c>
      <c r="G226" s="6" t="str">
        <f t="shared" si="68"/>
        <v/>
      </c>
      <c r="H226" s="10" t="str">
        <f t="shared" si="69"/>
        <v/>
      </c>
      <c r="I226" s="6" t="str">
        <f t="shared" si="70"/>
        <v/>
      </c>
      <c r="J226" s="3" t="str">
        <f>IFERROR(MATCH(ROWS(J$8:J226),$S$8:$S$257,0),"")</f>
        <v/>
      </c>
      <c r="K226" s="3" t="str">
        <f t="shared" si="71"/>
        <v/>
      </c>
      <c r="L226" s="3" t="str">
        <f t="shared" si="72"/>
        <v/>
      </c>
      <c r="M226" s="3" t="str">
        <f t="shared" si="73"/>
        <v/>
      </c>
      <c r="N226" s="3" t="str">
        <f t="shared" si="74"/>
        <v/>
      </c>
      <c r="O226" s="3">
        <f t="shared" si="75"/>
        <v>1</v>
      </c>
      <c r="P226" s="3">
        <f t="shared" si="76"/>
        <v>0</v>
      </c>
      <c r="Q226" s="3">
        <f t="shared" si="77"/>
        <v>0</v>
      </c>
      <c r="R226" s="3" t="str">
        <f t="shared" si="78"/>
        <v/>
      </c>
      <c r="S226" s="3">
        <f t="shared" si="79"/>
        <v>0</v>
      </c>
      <c r="T226" s="3" t="str">
        <f t="shared" si="80"/>
        <v/>
      </c>
      <c r="U226" s="3" t="str">
        <f t="shared" si="81"/>
        <v/>
      </c>
      <c r="V226" s="3" t="str">
        <f t="shared" si="82"/>
        <v/>
      </c>
      <c r="W226" s="3" t="str">
        <f t="shared" si="83"/>
        <v/>
      </c>
      <c r="X226" s="3" t="str">
        <f>IF(L226&lt;&gt;"PLAYER","",IF(Y226="Y",INDEX(Players[Name],MATCH(M226,Players[Name],0)),IF(Y226="A",INDEX(Players[Name],MATCH(M226&amp;" ?",Players[Name],0)),M226)))</f>
        <v/>
      </c>
      <c r="Y226" s="3" t="str">
        <f>IF(L226&lt;&gt;"PLAYER","",IF(ISNUMBER(MATCH(M226,Players[Name],0)),"Y",IF(AA226=1,"A","N")))</f>
        <v/>
      </c>
      <c r="Z226" s="3" t="str">
        <f>IF(L226&lt;&gt;"PLAYER","",_xlfn.TEXTJOIN("; ",TRUE,IF(M226="","Empty name",IF(Y226="N",IF(AA226&gt;1,"Which "&amp;M226&amp;"? "&amp;AA226&amp;" players start with it (like "&amp;INDEX(Players[Name],MATCH(M226&amp;" ?",Players[Name],0))&amp;") - type the last initial",IF(ISNUMBER(FIND(" ",M226)),IF(IFERROR(IF(M226="",FALSE,OR(M226="Unknown",AND(LEN(M226)-LEN(SUBSTITUTE(M226," ",""))=1,LEN(M226)&gt;=4,MID(M226,LEN(M226)-1,1)=" ",CODE(RIGHT(M226,1))&gt;=65,CODE(RIGHT(M226,1))&lt;=90))),FALSE),"New player? Not on Players list - add it there first","Not on Players list and not First L format (like Zack B)")&amp;IF(ISNUMBER(MATCH(LEFT(M226,FIND(" ",M226)-1)&amp;" ?",Players[Name],0))," (same first name as "&amp;INDEX(Players[Name],MATCH(LEFT(M226,FIND(" ",M226)-1)&amp;" ?",Players[Name],0))&amp;")",""),"Not on Players list - type first name + last initial (like Zack B)")),"")),IF(OR(V226&lt;Pod_Min,V226&gt;Pod_Max),"Pod has "&amp;V226&amp;" players",""),IF(U226=0,IF(T226=0,"No winner (*) in pod",IF(T226&gt;1,T226&amp;" winners in pod","")),IF(U226&lt;V226,"Some = but not all players","")),IF(X226="Unknown","",IF(COUNTIFS($O$8:$O$257,O226,$Q$8:$Q$257,Q226,$X$8:$X$257,X226)&gt;1,"Name twice in pod",IF(COUNTIFS($O$8:$O$257,O226,$X$8:$X$257,X226)&gt;1,"Name in 2 pods this round","")))))</f>
        <v/>
      </c>
      <c r="AA226" s="3" t="str">
        <f>IF(L226&lt;&gt;"PLAYER","",IF(OR(M226="",ISNUMBER(FIND(" ",M226))),0,COUNTIF(Players[Name],M226&amp;" ?")))</f>
        <v/>
      </c>
    </row>
    <row r="227" spans="1:27" x14ac:dyDescent="0.45">
      <c r="A227" s="17"/>
      <c r="B227" s="6" t="str">
        <f t="shared" si="63"/>
        <v/>
      </c>
      <c r="C227" s="6" t="str">
        <f t="shared" si="64"/>
        <v/>
      </c>
      <c r="D227" s="6" t="str">
        <f t="shared" si="65"/>
        <v/>
      </c>
      <c r="E227" s="6" t="str">
        <f t="shared" si="66"/>
        <v/>
      </c>
      <c r="F227" s="6" t="str">
        <f t="shared" si="67"/>
        <v/>
      </c>
      <c r="G227" s="6" t="str">
        <f t="shared" si="68"/>
        <v/>
      </c>
      <c r="H227" s="10" t="str">
        <f t="shared" si="69"/>
        <v/>
      </c>
      <c r="I227" s="6" t="str">
        <f t="shared" si="70"/>
        <v/>
      </c>
      <c r="J227" s="3" t="str">
        <f>IFERROR(MATCH(ROWS(J$8:J227),$S$8:$S$257,0),"")</f>
        <v/>
      </c>
      <c r="K227" s="3" t="str">
        <f t="shared" si="71"/>
        <v/>
      </c>
      <c r="L227" s="3" t="str">
        <f t="shared" si="72"/>
        <v/>
      </c>
      <c r="M227" s="3" t="str">
        <f t="shared" si="73"/>
        <v/>
      </c>
      <c r="N227" s="3" t="str">
        <f t="shared" si="74"/>
        <v/>
      </c>
      <c r="O227" s="3">
        <f t="shared" si="75"/>
        <v>1</v>
      </c>
      <c r="P227" s="3">
        <f t="shared" si="76"/>
        <v>0</v>
      </c>
      <c r="Q227" s="3">
        <f t="shared" si="77"/>
        <v>0</v>
      </c>
      <c r="R227" s="3" t="str">
        <f t="shared" si="78"/>
        <v/>
      </c>
      <c r="S227" s="3">
        <f t="shared" si="79"/>
        <v>0</v>
      </c>
      <c r="T227" s="3" t="str">
        <f t="shared" si="80"/>
        <v/>
      </c>
      <c r="U227" s="3" t="str">
        <f t="shared" si="81"/>
        <v/>
      </c>
      <c r="V227" s="3" t="str">
        <f t="shared" si="82"/>
        <v/>
      </c>
      <c r="W227" s="3" t="str">
        <f t="shared" si="83"/>
        <v/>
      </c>
      <c r="X227" s="3" t="str">
        <f>IF(L227&lt;&gt;"PLAYER","",IF(Y227="Y",INDEX(Players[Name],MATCH(M227,Players[Name],0)),IF(Y227="A",INDEX(Players[Name],MATCH(M227&amp;" ?",Players[Name],0)),M227)))</f>
        <v/>
      </c>
      <c r="Y227" s="3" t="str">
        <f>IF(L227&lt;&gt;"PLAYER","",IF(ISNUMBER(MATCH(M227,Players[Name],0)),"Y",IF(AA227=1,"A","N")))</f>
        <v/>
      </c>
      <c r="Z227" s="3" t="str">
        <f>IF(L227&lt;&gt;"PLAYER","",_xlfn.TEXTJOIN("; ",TRUE,IF(M227="","Empty name",IF(Y227="N",IF(AA227&gt;1,"Which "&amp;M227&amp;"? "&amp;AA227&amp;" players start with it (like "&amp;INDEX(Players[Name],MATCH(M227&amp;" ?",Players[Name],0))&amp;") - type the last initial",IF(ISNUMBER(FIND(" ",M227)),IF(IFERROR(IF(M227="",FALSE,OR(M227="Unknown",AND(LEN(M227)-LEN(SUBSTITUTE(M227," ",""))=1,LEN(M227)&gt;=4,MID(M227,LEN(M227)-1,1)=" ",CODE(RIGHT(M227,1))&gt;=65,CODE(RIGHT(M227,1))&lt;=90))),FALSE),"New player? Not on Players list - add it there first","Not on Players list and not First L format (like Zack B)")&amp;IF(ISNUMBER(MATCH(LEFT(M227,FIND(" ",M227)-1)&amp;" ?",Players[Name],0))," (same first name as "&amp;INDEX(Players[Name],MATCH(LEFT(M227,FIND(" ",M227)-1)&amp;" ?",Players[Name],0))&amp;")",""),"Not on Players list - type first name + last initial (like Zack B)")),"")),IF(OR(V227&lt;Pod_Min,V227&gt;Pod_Max),"Pod has "&amp;V227&amp;" players",""),IF(U227=0,IF(T227=0,"No winner (*) in pod",IF(T227&gt;1,T227&amp;" winners in pod","")),IF(U227&lt;V227,"Some = but not all players","")),IF(X227="Unknown","",IF(COUNTIFS($O$8:$O$257,O227,$Q$8:$Q$257,Q227,$X$8:$X$257,X227)&gt;1,"Name twice in pod",IF(COUNTIFS($O$8:$O$257,O227,$X$8:$X$257,X227)&gt;1,"Name in 2 pods this round","")))))</f>
        <v/>
      </c>
      <c r="AA227" s="3" t="str">
        <f>IF(L227&lt;&gt;"PLAYER","",IF(OR(M227="",ISNUMBER(FIND(" ",M227))),0,COUNTIF(Players[Name],M227&amp;" ?")))</f>
        <v/>
      </c>
    </row>
    <row r="228" spans="1:27" x14ac:dyDescent="0.45">
      <c r="A228" s="17"/>
      <c r="B228" s="6" t="str">
        <f t="shared" si="63"/>
        <v/>
      </c>
      <c r="C228" s="6" t="str">
        <f t="shared" si="64"/>
        <v/>
      </c>
      <c r="D228" s="6" t="str">
        <f t="shared" si="65"/>
        <v/>
      </c>
      <c r="E228" s="6" t="str">
        <f t="shared" si="66"/>
        <v/>
      </c>
      <c r="F228" s="6" t="str">
        <f t="shared" si="67"/>
        <v/>
      </c>
      <c r="G228" s="6" t="str">
        <f t="shared" si="68"/>
        <v/>
      </c>
      <c r="H228" s="10" t="str">
        <f t="shared" si="69"/>
        <v/>
      </c>
      <c r="I228" s="6" t="str">
        <f t="shared" si="70"/>
        <v/>
      </c>
      <c r="J228" s="3" t="str">
        <f>IFERROR(MATCH(ROWS(J$8:J228),$S$8:$S$257,0),"")</f>
        <v/>
      </c>
      <c r="K228" s="3" t="str">
        <f t="shared" si="71"/>
        <v/>
      </c>
      <c r="L228" s="3" t="str">
        <f t="shared" si="72"/>
        <v/>
      </c>
      <c r="M228" s="3" t="str">
        <f t="shared" si="73"/>
        <v/>
      </c>
      <c r="N228" s="3" t="str">
        <f t="shared" si="74"/>
        <v/>
      </c>
      <c r="O228" s="3">
        <f t="shared" si="75"/>
        <v>1</v>
      </c>
      <c r="P228" s="3">
        <f t="shared" si="76"/>
        <v>0</v>
      </c>
      <c r="Q228" s="3">
        <f t="shared" si="77"/>
        <v>0</v>
      </c>
      <c r="R228" s="3" t="str">
        <f t="shared" si="78"/>
        <v/>
      </c>
      <c r="S228" s="3">
        <f t="shared" si="79"/>
        <v>0</v>
      </c>
      <c r="T228" s="3" t="str">
        <f t="shared" si="80"/>
        <v/>
      </c>
      <c r="U228" s="3" t="str">
        <f t="shared" si="81"/>
        <v/>
      </c>
      <c r="V228" s="3" t="str">
        <f t="shared" si="82"/>
        <v/>
      </c>
      <c r="W228" s="3" t="str">
        <f t="shared" si="83"/>
        <v/>
      </c>
      <c r="X228" s="3" t="str">
        <f>IF(L228&lt;&gt;"PLAYER","",IF(Y228="Y",INDEX(Players[Name],MATCH(M228,Players[Name],0)),IF(Y228="A",INDEX(Players[Name],MATCH(M228&amp;" ?",Players[Name],0)),M228)))</f>
        <v/>
      </c>
      <c r="Y228" s="3" t="str">
        <f>IF(L228&lt;&gt;"PLAYER","",IF(ISNUMBER(MATCH(M228,Players[Name],0)),"Y",IF(AA228=1,"A","N")))</f>
        <v/>
      </c>
      <c r="Z228" s="3" t="str">
        <f>IF(L228&lt;&gt;"PLAYER","",_xlfn.TEXTJOIN("; ",TRUE,IF(M228="","Empty name",IF(Y228="N",IF(AA228&gt;1,"Which "&amp;M228&amp;"? "&amp;AA228&amp;" players start with it (like "&amp;INDEX(Players[Name],MATCH(M228&amp;" ?",Players[Name],0))&amp;") - type the last initial",IF(ISNUMBER(FIND(" ",M228)),IF(IFERROR(IF(M228="",FALSE,OR(M228="Unknown",AND(LEN(M228)-LEN(SUBSTITUTE(M228," ",""))=1,LEN(M228)&gt;=4,MID(M228,LEN(M228)-1,1)=" ",CODE(RIGHT(M228,1))&gt;=65,CODE(RIGHT(M228,1))&lt;=90))),FALSE),"New player? Not on Players list - add it there first","Not on Players list and not First L format (like Zack B)")&amp;IF(ISNUMBER(MATCH(LEFT(M228,FIND(" ",M228)-1)&amp;" ?",Players[Name],0))," (same first name as "&amp;INDEX(Players[Name],MATCH(LEFT(M228,FIND(" ",M228)-1)&amp;" ?",Players[Name],0))&amp;")",""),"Not on Players list - type first name + last initial (like Zack B)")),"")),IF(OR(V228&lt;Pod_Min,V228&gt;Pod_Max),"Pod has "&amp;V228&amp;" players",""),IF(U228=0,IF(T228=0,"No winner (*) in pod",IF(T228&gt;1,T228&amp;" winners in pod","")),IF(U228&lt;V228,"Some = but not all players","")),IF(X228="Unknown","",IF(COUNTIFS($O$8:$O$257,O228,$Q$8:$Q$257,Q228,$X$8:$X$257,X228)&gt;1,"Name twice in pod",IF(COUNTIFS($O$8:$O$257,O228,$X$8:$X$257,X228)&gt;1,"Name in 2 pods this round","")))))</f>
        <v/>
      </c>
      <c r="AA228" s="3" t="str">
        <f>IF(L228&lt;&gt;"PLAYER","",IF(OR(M228="",ISNUMBER(FIND(" ",M228))),0,COUNTIF(Players[Name],M228&amp;" ?")))</f>
        <v/>
      </c>
    </row>
    <row r="229" spans="1:27" x14ac:dyDescent="0.45">
      <c r="A229" s="17"/>
      <c r="B229" s="6" t="str">
        <f t="shared" si="63"/>
        <v/>
      </c>
      <c r="C229" s="6" t="str">
        <f t="shared" si="64"/>
        <v/>
      </c>
      <c r="D229" s="6" t="str">
        <f t="shared" si="65"/>
        <v/>
      </c>
      <c r="E229" s="6" t="str">
        <f t="shared" si="66"/>
        <v/>
      </c>
      <c r="F229" s="6" t="str">
        <f t="shared" si="67"/>
        <v/>
      </c>
      <c r="G229" s="6" t="str">
        <f t="shared" si="68"/>
        <v/>
      </c>
      <c r="H229" s="10" t="str">
        <f t="shared" si="69"/>
        <v/>
      </c>
      <c r="I229" s="6" t="str">
        <f t="shared" si="70"/>
        <v/>
      </c>
      <c r="J229" s="3" t="str">
        <f>IFERROR(MATCH(ROWS(J$8:J229),$S$8:$S$257,0),"")</f>
        <v/>
      </c>
      <c r="K229" s="3" t="str">
        <f t="shared" si="71"/>
        <v/>
      </c>
      <c r="L229" s="3" t="str">
        <f t="shared" si="72"/>
        <v/>
      </c>
      <c r="M229" s="3" t="str">
        <f t="shared" si="73"/>
        <v/>
      </c>
      <c r="N229" s="3" t="str">
        <f t="shared" si="74"/>
        <v/>
      </c>
      <c r="O229" s="3">
        <f t="shared" si="75"/>
        <v>1</v>
      </c>
      <c r="P229" s="3">
        <f t="shared" si="76"/>
        <v>0</v>
      </c>
      <c r="Q229" s="3">
        <f t="shared" si="77"/>
        <v>0</v>
      </c>
      <c r="R229" s="3" t="str">
        <f t="shared" si="78"/>
        <v/>
      </c>
      <c r="S229" s="3">
        <f t="shared" si="79"/>
        <v>0</v>
      </c>
      <c r="T229" s="3" t="str">
        <f t="shared" si="80"/>
        <v/>
      </c>
      <c r="U229" s="3" t="str">
        <f t="shared" si="81"/>
        <v/>
      </c>
      <c r="V229" s="3" t="str">
        <f t="shared" si="82"/>
        <v/>
      </c>
      <c r="W229" s="3" t="str">
        <f t="shared" si="83"/>
        <v/>
      </c>
      <c r="X229" s="3" t="str">
        <f>IF(L229&lt;&gt;"PLAYER","",IF(Y229="Y",INDEX(Players[Name],MATCH(M229,Players[Name],0)),IF(Y229="A",INDEX(Players[Name],MATCH(M229&amp;" ?",Players[Name],0)),M229)))</f>
        <v/>
      </c>
      <c r="Y229" s="3" t="str">
        <f>IF(L229&lt;&gt;"PLAYER","",IF(ISNUMBER(MATCH(M229,Players[Name],0)),"Y",IF(AA229=1,"A","N")))</f>
        <v/>
      </c>
      <c r="Z229" s="3" t="str">
        <f>IF(L229&lt;&gt;"PLAYER","",_xlfn.TEXTJOIN("; ",TRUE,IF(M229="","Empty name",IF(Y229="N",IF(AA229&gt;1,"Which "&amp;M229&amp;"? "&amp;AA229&amp;" players start with it (like "&amp;INDEX(Players[Name],MATCH(M229&amp;" ?",Players[Name],0))&amp;") - type the last initial",IF(ISNUMBER(FIND(" ",M229)),IF(IFERROR(IF(M229="",FALSE,OR(M229="Unknown",AND(LEN(M229)-LEN(SUBSTITUTE(M229," ",""))=1,LEN(M229)&gt;=4,MID(M229,LEN(M229)-1,1)=" ",CODE(RIGHT(M229,1))&gt;=65,CODE(RIGHT(M229,1))&lt;=90))),FALSE),"New player? Not on Players list - add it there first","Not on Players list and not First L format (like Zack B)")&amp;IF(ISNUMBER(MATCH(LEFT(M229,FIND(" ",M229)-1)&amp;" ?",Players[Name],0))," (same first name as "&amp;INDEX(Players[Name],MATCH(LEFT(M229,FIND(" ",M229)-1)&amp;" ?",Players[Name],0))&amp;")",""),"Not on Players list - type first name + last initial (like Zack B)")),"")),IF(OR(V229&lt;Pod_Min,V229&gt;Pod_Max),"Pod has "&amp;V229&amp;" players",""),IF(U229=0,IF(T229=0,"No winner (*) in pod",IF(T229&gt;1,T229&amp;" winners in pod","")),IF(U229&lt;V229,"Some = but not all players","")),IF(X229="Unknown","",IF(COUNTIFS($O$8:$O$257,O229,$Q$8:$Q$257,Q229,$X$8:$X$257,X229)&gt;1,"Name twice in pod",IF(COUNTIFS($O$8:$O$257,O229,$X$8:$X$257,X229)&gt;1,"Name in 2 pods this round","")))))</f>
        <v/>
      </c>
      <c r="AA229" s="3" t="str">
        <f>IF(L229&lt;&gt;"PLAYER","",IF(OR(M229="",ISNUMBER(FIND(" ",M229))),0,COUNTIF(Players[Name],M229&amp;" ?")))</f>
        <v/>
      </c>
    </row>
    <row r="230" spans="1:27" x14ac:dyDescent="0.45">
      <c r="A230" s="17"/>
      <c r="B230" s="6" t="str">
        <f t="shared" si="63"/>
        <v/>
      </c>
      <c r="C230" s="6" t="str">
        <f t="shared" si="64"/>
        <v/>
      </c>
      <c r="D230" s="6" t="str">
        <f t="shared" si="65"/>
        <v/>
      </c>
      <c r="E230" s="6" t="str">
        <f t="shared" si="66"/>
        <v/>
      </c>
      <c r="F230" s="6" t="str">
        <f t="shared" si="67"/>
        <v/>
      </c>
      <c r="G230" s="6" t="str">
        <f t="shared" si="68"/>
        <v/>
      </c>
      <c r="H230" s="10" t="str">
        <f t="shared" si="69"/>
        <v/>
      </c>
      <c r="I230" s="6" t="str">
        <f t="shared" si="70"/>
        <v/>
      </c>
      <c r="J230" s="3" t="str">
        <f>IFERROR(MATCH(ROWS(J$8:J230),$S$8:$S$257,0),"")</f>
        <v/>
      </c>
      <c r="K230" s="3" t="str">
        <f t="shared" si="71"/>
        <v/>
      </c>
      <c r="L230" s="3" t="str">
        <f t="shared" si="72"/>
        <v/>
      </c>
      <c r="M230" s="3" t="str">
        <f t="shared" si="73"/>
        <v/>
      </c>
      <c r="N230" s="3" t="str">
        <f t="shared" si="74"/>
        <v/>
      </c>
      <c r="O230" s="3">
        <f t="shared" si="75"/>
        <v>1</v>
      </c>
      <c r="P230" s="3">
        <f t="shared" si="76"/>
        <v>0</v>
      </c>
      <c r="Q230" s="3">
        <f t="shared" si="77"/>
        <v>0</v>
      </c>
      <c r="R230" s="3" t="str">
        <f t="shared" si="78"/>
        <v/>
      </c>
      <c r="S230" s="3">
        <f t="shared" si="79"/>
        <v>0</v>
      </c>
      <c r="T230" s="3" t="str">
        <f t="shared" si="80"/>
        <v/>
      </c>
      <c r="U230" s="3" t="str">
        <f t="shared" si="81"/>
        <v/>
      </c>
      <c r="V230" s="3" t="str">
        <f t="shared" si="82"/>
        <v/>
      </c>
      <c r="W230" s="3" t="str">
        <f t="shared" si="83"/>
        <v/>
      </c>
      <c r="X230" s="3" t="str">
        <f>IF(L230&lt;&gt;"PLAYER","",IF(Y230="Y",INDEX(Players[Name],MATCH(M230,Players[Name],0)),IF(Y230="A",INDEX(Players[Name],MATCH(M230&amp;" ?",Players[Name],0)),M230)))</f>
        <v/>
      </c>
      <c r="Y230" s="3" t="str">
        <f>IF(L230&lt;&gt;"PLAYER","",IF(ISNUMBER(MATCH(M230,Players[Name],0)),"Y",IF(AA230=1,"A","N")))</f>
        <v/>
      </c>
      <c r="Z230" s="3" t="str">
        <f>IF(L230&lt;&gt;"PLAYER","",_xlfn.TEXTJOIN("; ",TRUE,IF(M230="","Empty name",IF(Y230="N",IF(AA230&gt;1,"Which "&amp;M230&amp;"? "&amp;AA230&amp;" players start with it (like "&amp;INDEX(Players[Name],MATCH(M230&amp;" ?",Players[Name],0))&amp;") - type the last initial",IF(ISNUMBER(FIND(" ",M230)),IF(IFERROR(IF(M230="",FALSE,OR(M230="Unknown",AND(LEN(M230)-LEN(SUBSTITUTE(M230," ",""))=1,LEN(M230)&gt;=4,MID(M230,LEN(M230)-1,1)=" ",CODE(RIGHT(M230,1))&gt;=65,CODE(RIGHT(M230,1))&lt;=90))),FALSE),"New player? Not on Players list - add it there first","Not on Players list and not First L format (like Zack B)")&amp;IF(ISNUMBER(MATCH(LEFT(M230,FIND(" ",M230)-1)&amp;" ?",Players[Name],0))," (same first name as "&amp;INDEX(Players[Name],MATCH(LEFT(M230,FIND(" ",M230)-1)&amp;" ?",Players[Name],0))&amp;")",""),"Not on Players list - type first name + last initial (like Zack B)")),"")),IF(OR(V230&lt;Pod_Min,V230&gt;Pod_Max),"Pod has "&amp;V230&amp;" players",""),IF(U230=0,IF(T230=0,"No winner (*) in pod",IF(T230&gt;1,T230&amp;" winners in pod","")),IF(U230&lt;V230,"Some = but not all players","")),IF(X230="Unknown","",IF(COUNTIFS($O$8:$O$257,O230,$Q$8:$Q$257,Q230,$X$8:$X$257,X230)&gt;1,"Name twice in pod",IF(COUNTIFS($O$8:$O$257,O230,$X$8:$X$257,X230)&gt;1,"Name in 2 pods this round","")))))</f>
        <v/>
      </c>
      <c r="AA230" s="3" t="str">
        <f>IF(L230&lt;&gt;"PLAYER","",IF(OR(M230="",ISNUMBER(FIND(" ",M230))),0,COUNTIF(Players[Name],M230&amp;" ?")))</f>
        <v/>
      </c>
    </row>
    <row r="231" spans="1:27" x14ac:dyDescent="0.45">
      <c r="A231" s="17"/>
      <c r="B231" s="6" t="str">
        <f t="shared" si="63"/>
        <v/>
      </c>
      <c r="C231" s="6" t="str">
        <f t="shared" si="64"/>
        <v/>
      </c>
      <c r="D231" s="6" t="str">
        <f t="shared" si="65"/>
        <v/>
      </c>
      <c r="E231" s="6" t="str">
        <f t="shared" si="66"/>
        <v/>
      </c>
      <c r="F231" s="6" t="str">
        <f t="shared" si="67"/>
        <v/>
      </c>
      <c r="G231" s="6" t="str">
        <f t="shared" si="68"/>
        <v/>
      </c>
      <c r="H231" s="10" t="str">
        <f t="shared" si="69"/>
        <v/>
      </c>
      <c r="I231" s="6" t="str">
        <f t="shared" si="70"/>
        <v/>
      </c>
      <c r="J231" s="3" t="str">
        <f>IFERROR(MATCH(ROWS(J$8:J231),$S$8:$S$257,0),"")</f>
        <v/>
      </c>
      <c r="K231" s="3" t="str">
        <f t="shared" si="71"/>
        <v/>
      </c>
      <c r="L231" s="3" t="str">
        <f t="shared" si="72"/>
        <v/>
      </c>
      <c r="M231" s="3" t="str">
        <f t="shared" si="73"/>
        <v/>
      </c>
      <c r="N231" s="3" t="str">
        <f t="shared" si="74"/>
        <v/>
      </c>
      <c r="O231" s="3">
        <f t="shared" si="75"/>
        <v>1</v>
      </c>
      <c r="P231" s="3">
        <f t="shared" si="76"/>
        <v>0</v>
      </c>
      <c r="Q231" s="3">
        <f t="shared" si="77"/>
        <v>0</v>
      </c>
      <c r="R231" s="3" t="str">
        <f t="shared" si="78"/>
        <v/>
      </c>
      <c r="S231" s="3">
        <f t="shared" si="79"/>
        <v>0</v>
      </c>
      <c r="T231" s="3" t="str">
        <f t="shared" si="80"/>
        <v/>
      </c>
      <c r="U231" s="3" t="str">
        <f t="shared" si="81"/>
        <v/>
      </c>
      <c r="V231" s="3" t="str">
        <f t="shared" si="82"/>
        <v/>
      </c>
      <c r="W231" s="3" t="str">
        <f t="shared" si="83"/>
        <v/>
      </c>
      <c r="X231" s="3" t="str">
        <f>IF(L231&lt;&gt;"PLAYER","",IF(Y231="Y",INDEX(Players[Name],MATCH(M231,Players[Name],0)),IF(Y231="A",INDEX(Players[Name],MATCH(M231&amp;" ?",Players[Name],0)),M231)))</f>
        <v/>
      </c>
      <c r="Y231" s="3" t="str">
        <f>IF(L231&lt;&gt;"PLAYER","",IF(ISNUMBER(MATCH(M231,Players[Name],0)),"Y",IF(AA231=1,"A","N")))</f>
        <v/>
      </c>
      <c r="Z231" s="3" t="str">
        <f>IF(L231&lt;&gt;"PLAYER","",_xlfn.TEXTJOIN("; ",TRUE,IF(M231="","Empty name",IF(Y231="N",IF(AA231&gt;1,"Which "&amp;M231&amp;"? "&amp;AA231&amp;" players start with it (like "&amp;INDEX(Players[Name],MATCH(M231&amp;" ?",Players[Name],0))&amp;") - type the last initial",IF(ISNUMBER(FIND(" ",M231)),IF(IFERROR(IF(M231="",FALSE,OR(M231="Unknown",AND(LEN(M231)-LEN(SUBSTITUTE(M231," ",""))=1,LEN(M231)&gt;=4,MID(M231,LEN(M231)-1,1)=" ",CODE(RIGHT(M231,1))&gt;=65,CODE(RIGHT(M231,1))&lt;=90))),FALSE),"New player? Not on Players list - add it there first","Not on Players list and not First L format (like Zack B)")&amp;IF(ISNUMBER(MATCH(LEFT(M231,FIND(" ",M231)-1)&amp;" ?",Players[Name],0))," (same first name as "&amp;INDEX(Players[Name],MATCH(LEFT(M231,FIND(" ",M231)-1)&amp;" ?",Players[Name],0))&amp;")",""),"Not on Players list - type first name + last initial (like Zack B)")),"")),IF(OR(V231&lt;Pod_Min,V231&gt;Pod_Max),"Pod has "&amp;V231&amp;" players",""),IF(U231=0,IF(T231=0,"No winner (*) in pod",IF(T231&gt;1,T231&amp;" winners in pod","")),IF(U231&lt;V231,"Some = but not all players","")),IF(X231="Unknown","",IF(COUNTIFS($O$8:$O$257,O231,$Q$8:$Q$257,Q231,$X$8:$X$257,X231)&gt;1,"Name twice in pod",IF(COUNTIFS($O$8:$O$257,O231,$X$8:$X$257,X231)&gt;1,"Name in 2 pods this round","")))))</f>
        <v/>
      </c>
      <c r="AA231" s="3" t="str">
        <f>IF(L231&lt;&gt;"PLAYER","",IF(OR(M231="",ISNUMBER(FIND(" ",M231))),0,COUNTIF(Players[Name],M231&amp;" ?")))</f>
        <v/>
      </c>
    </row>
    <row r="232" spans="1:27" x14ac:dyDescent="0.45">
      <c r="A232" s="17"/>
      <c r="B232" s="6" t="str">
        <f t="shared" si="63"/>
        <v/>
      </c>
      <c r="C232" s="6" t="str">
        <f t="shared" si="64"/>
        <v/>
      </c>
      <c r="D232" s="6" t="str">
        <f t="shared" si="65"/>
        <v/>
      </c>
      <c r="E232" s="6" t="str">
        <f t="shared" si="66"/>
        <v/>
      </c>
      <c r="F232" s="6" t="str">
        <f t="shared" si="67"/>
        <v/>
      </c>
      <c r="G232" s="6" t="str">
        <f t="shared" si="68"/>
        <v/>
      </c>
      <c r="H232" s="10" t="str">
        <f t="shared" si="69"/>
        <v/>
      </c>
      <c r="I232" s="6" t="str">
        <f t="shared" si="70"/>
        <v/>
      </c>
      <c r="J232" s="3" t="str">
        <f>IFERROR(MATCH(ROWS(J$8:J232),$S$8:$S$257,0),"")</f>
        <v/>
      </c>
      <c r="K232" s="3" t="str">
        <f t="shared" si="71"/>
        <v/>
      </c>
      <c r="L232" s="3" t="str">
        <f t="shared" si="72"/>
        <v/>
      </c>
      <c r="M232" s="3" t="str">
        <f t="shared" si="73"/>
        <v/>
      </c>
      <c r="N232" s="3" t="str">
        <f t="shared" si="74"/>
        <v/>
      </c>
      <c r="O232" s="3">
        <f t="shared" si="75"/>
        <v>1</v>
      </c>
      <c r="P232" s="3">
        <f t="shared" si="76"/>
        <v>0</v>
      </c>
      <c r="Q232" s="3">
        <f t="shared" si="77"/>
        <v>0</v>
      </c>
      <c r="R232" s="3" t="str">
        <f t="shared" si="78"/>
        <v/>
      </c>
      <c r="S232" s="3">
        <f t="shared" si="79"/>
        <v>0</v>
      </c>
      <c r="T232" s="3" t="str">
        <f t="shared" si="80"/>
        <v/>
      </c>
      <c r="U232" s="3" t="str">
        <f t="shared" si="81"/>
        <v/>
      </c>
      <c r="V232" s="3" t="str">
        <f t="shared" si="82"/>
        <v/>
      </c>
      <c r="W232" s="3" t="str">
        <f t="shared" si="83"/>
        <v/>
      </c>
      <c r="X232" s="3" t="str">
        <f>IF(L232&lt;&gt;"PLAYER","",IF(Y232="Y",INDEX(Players[Name],MATCH(M232,Players[Name],0)),IF(Y232="A",INDEX(Players[Name],MATCH(M232&amp;" ?",Players[Name],0)),M232)))</f>
        <v/>
      </c>
      <c r="Y232" s="3" t="str">
        <f>IF(L232&lt;&gt;"PLAYER","",IF(ISNUMBER(MATCH(M232,Players[Name],0)),"Y",IF(AA232=1,"A","N")))</f>
        <v/>
      </c>
      <c r="Z232" s="3" t="str">
        <f>IF(L232&lt;&gt;"PLAYER","",_xlfn.TEXTJOIN("; ",TRUE,IF(M232="","Empty name",IF(Y232="N",IF(AA232&gt;1,"Which "&amp;M232&amp;"? "&amp;AA232&amp;" players start with it (like "&amp;INDEX(Players[Name],MATCH(M232&amp;" ?",Players[Name],0))&amp;") - type the last initial",IF(ISNUMBER(FIND(" ",M232)),IF(IFERROR(IF(M232="",FALSE,OR(M232="Unknown",AND(LEN(M232)-LEN(SUBSTITUTE(M232," ",""))=1,LEN(M232)&gt;=4,MID(M232,LEN(M232)-1,1)=" ",CODE(RIGHT(M232,1))&gt;=65,CODE(RIGHT(M232,1))&lt;=90))),FALSE),"New player? Not on Players list - add it there first","Not on Players list and not First L format (like Zack B)")&amp;IF(ISNUMBER(MATCH(LEFT(M232,FIND(" ",M232)-1)&amp;" ?",Players[Name],0))," (same first name as "&amp;INDEX(Players[Name],MATCH(LEFT(M232,FIND(" ",M232)-1)&amp;" ?",Players[Name],0))&amp;")",""),"Not on Players list - type first name + last initial (like Zack B)")),"")),IF(OR(V232&lt;Pod_Min,V232&gt;Pod_Max),"Pod has "&amp;V232&amp;" players",""),IF(U232=0,IF(T232=0,"No winner (*) in pod",IF(T232&gt;1,T232&amp;" winners in pod","")),IF(U232&lt;V232,"Some = but not all players","")),IF(X232="Unknown","",IF(COUNTIFS($O$8:$O$257,O232,$Q$8:$Q$257,Q232,$X$8:$X$257,X232)&gt;1,"Name twice in pod",IF(COUNTIFS($O$8:$O$257,O232,$X$8:$X$257,X232)&gt;1,"Name in 2 pods this round","")))))</f>
        <v/>
      </c>
      <c r="AA232" s="3" t="str">
        <f>IF(L232&lt;&gt;"PLAYER","",IF(OR(M232="",ISNUMBER(FIND(" ",M232))),0,COUNTIF(Players[Name],M232&amp;" ?")))</f>
        <v/>
      </c>
    </row>
    <row r="233" spans="1:27" x14ac:dyDescent="0.45">
      <c r="A233" s="17"/>
      <c r="B233" s="6" t="str">
        <f t="shared" si="63"/>
        <v/>
      </c>
      <c r="C233" s="6" t="str">
        <f t="shared" si="64"/>
        <v/>
      </c>
      <c r="D233" s="6" t="str">
        <f t="shared" si="65"/>
        <v/>
      </c>
      <c r="E233" s="6" t="str">
        <f t="shared" si="66"/>
        <v/>
      </c>
      <c r="F233" s="6" t="str">
        <f t="shared" si="67"/>
        <v/>
      </c>
      <c r="G233" s="6" t="str">
        <f t="shared" si="68"/>
        <v/>
      </c>
      <c r="H233" s="10" t="str">
        <f t="shared" si="69"/>
        <v/>
      </c>
      <c r="I233" s="6" t="str">
        <f t="shared" si="70"/>
        <v/>
      </c>
      <c r="J233" s="3" t="str">
        <f>IFERROR(MATCH(ROWS(J$8:J233),$S$8:$S$257,0),"")</f>
        <v/>
      </c>
      <c r="K233" s="3" t="str">
        <f t="shared" si="71"/>
        <v/>
      </c>
      <c r="L233" s="3" t="str">
        <f t="shared" si="72"/>
        <v/>
      </c>
      <c r="M233" s="3" t="str">
        <f t="shared" si="73"/>
        <v/>
      </c>
      <c r="N233" s="3" t="str">
        <f t="shared" si="74"/>
        <v/>
      </c>
      <c r="O233" s="3">
        <f t="shared" si="75"/>
        <v>1</v>
      </c>
      <c r="P233" s="3">
        <f t="shared" si="76"/>
        <v>0</v>
      </c>
      <c r="Q233" s="3">
        <f t="shared" si="77"/>
        <v>0</v>
      </c>
      <c r="R233" s="3" t="str">
        <f t="shared" si="78"/>
        <v/>
      </c>
      <c r="S233" s="3">
        <f t="shared" si="79"/>
        <v>0</v>
      </c>
      <c r="T233" s="3" t="str">
        <f t="shared" si="80"/>
        <v/>
      </c>
      <c r="U233" s="3" t="str">
        <f t="shared" si="81"/>
        <v/>
      </c>
      <c r="V233" s="3" t="str">
        <f t="shared" si="82"/>
        <v/>
      </c>
      <c r="W233" s="3" t="str">
        <f t="shared" si="83"/>
        <v/>
      </c>
      <c r="X233" s="3" t="str">
        <f>IF(L233&lt;&gt;"PLAYER","",IF(Y233="Y",INDEX(Players[Name],MATCH(M233,Players[Name],0)),IF(Y233="A",INDEX(Players[Name],MATCH(M233&amp;" ?",Players[Name],0)),M233)))</f>
        <v/>
      </c>
      <c r="Y233" s="3" t="str">
        <f>IF(L233&lt;&gt;"PLAYER","",IF(ISNUMBER(MATCH(M233,Players[Name],0)),"Y",IF(AA233=1,"A","N")))</f>
        <v/>
      </c>
      <c r="Z233" s="3" t="str">
        <f>IF(L233&lt;&gt;"PLAYER","",_xlfn.TEXTJOIN("; ",TRUE,IF(M233="","Empty name",IF(Y233="N",IF(AA233&gt;1,"Which "&amp;M233&amp;"? "&amp;AA233&amp;" players start with it (like "&amp;INDEX(Players[Name],MATCH(M233&amp;" ?",Players[Name],0))&amp;") - type the last initial",IF(ISNUMBER(FIND(" ",M233)),IF(IFERROR(IF(M233="",FALSE,OR(M233="Unknown",AND(LEN(M233)-LEN(SUBSTITUTE(M233," ",""))=1,LEN(M233)&gt;=4,MID(M233,LEN(M233)-1,1)=" ",CODE(RIGHT(M233,1))&gt;=65,CODE(RIGHT(M233,1))&lt;=90))),FALSE),"New player? Not on Players list - add it there first","Not on Players list and not First L format (like Zack B)")&amp;IF(ISNUMBER(MATCH(LEFT(M233,FIND(" ",M233)-1)&amp;" ?",Players[Name],0))," (same first name as "&amp;INDEX(Players[Name],MATCH(LEFT(M233,FIND(" ",M233)-1)&amp;" ?",Players[Name],0))&amp;")",""),"Not on Players list - type first name + last initial (like Zack B)")),"")),IF(OR(V233&lt;Pod_Min,V233&gt;Pod_Max),"Pod has "&amp;V233&amp;" players",""),IF(U233=0,IF(T233=0,"No winner (*) in pod",IF(T233&gt;1,T233&amp;" winners in pod","")),IF(U233&lt;V233,"Some = but not all players","")),IF(X233="Unknown","",IF(COUNTIFS($O$8:$O$257,O233,$Q$8:$Q$257,Q233,$X$8:$X$257,X233)&gt;1,"Name twice in pod",IF(COUNTIFS($O$8:$O$257,O233,$X$8:$X$257,X233)&gt;1,"Name in 2 pods this round","")))))</f>
        <v/>
      </c>
      <c r="AA233" s="3" t="str">
        <f>IF(L233&lt;&gt;"PLAYER","",IF(OR(M233="",ISNUMBER(FIND(" ",M233))),0,COUNTIF(Players[Name],M233&amp;" ?")))</f>
        <v/>
      </c>
    </row>
    <row r="234" spans="1:27" x14ac:dyDescent="0.45">
      <c r="A234" s="17"/>
      <c r="B234" s="6" t="str">
        <f t="shared" si="63"/>
        <v/>
      </c>
      <c r="C234" s="6" t="str">
        <f t="shared" si="64"/>
        <v/>
      </c>
      <c r="D234" s="6" t="str">
        <f t="shared" si="65"/>
        <v/>
      </c>
      <c r="E234" s="6" t="str">
        <f t="shared" si="66"/>
        <v/>
      </c>
      <c r="F234" s="6" t="str">
        <f t="shared" si="67"/>
        <v/>
      </c>
      <c r="G234" s="6" t="str">
        <f t="shared" si="68"/>
        <v/>
      </c>
      <c r="H234" s="10" t="str">
        <f t="shared" si="69"/>
        <v/>
      </c>
      <c r="I234" s="6" t="str">
        <f t="shared" si="70"/>
        <v/>
      </c>
      <c r="J234" s="3" t="str">
        <f>IFERROR(MATCH(ROWS(J$8:J234),$S$8:$S$257,0),"")</f>
        <v/>
      </c>
      <c r="K234" s="3" t="str">
        <f t="shared" si="71"/>
        <v/>
      </c>
      <c r="L234" s="3" t="str">
        <f t="shared" si="72"/>
        <v/>
      </c>
      <c r="M234" s="3" t="str">
        <f t="shared" si="73"/>
        <v/>
      </c>
      <c r="N234" s="3" t="str">
        <f t="shared" si="74"/>
        <v/>
      </c>
      <c r="O234" s="3">
        <f t="shared" si="75"/>
        <v>1</v>
      </c>
      <c r="P234" s="3">
        <f t="shared" si="76"/>
        <v>0</v>
      </c>
      <c r="Q234" s="3">
        <f t="shared" si="77"/>
        <v>0</v>
      </c>
      <c r="R234" s="3" t="str">
        <f t="shared" si="78"/>
        <v/>
      </c>
      <c r="S234" s="3">
        <f t="shared" si="79"/>
        <v>0</v>
      </c>
      <c r="T234" s="3" t="str">
        <f t="shared" si="80"/>
        <v/>
      </c>
      <c r="U234" s="3" t="str">
        <f t="shared" si="81"/>
        <v/>
      </c>
      <c r="V234" s="3" t="str">
        <f t="shared" si="82"/>
        <v/>
      </c>
      <c r="W234" s="3" t="str">
        <f t="shared" si="83"/>
        <v/>
      </c>
      <c r="X234" s="3" t="str">
        <f>IF(L234&lt;&gt;"PLAYER","",IF(Y234="Y",INDEX(Players[Name],MATCH(M234,Players[Name],0)),IF(Y234="A",INDEX(Players[Name],MATCH(M234&amp;" ?",Players[Name],0)),M234)))</f>
        <v/>
      </c>
      <c r="Y234" s="3" t="str">
        <f>IF(L234&lt;&gt;"PLAYER","",IF(ISNUMBER(MATCH(M234,Players[Name],0)),"Y",IF(AA234=1,"A","N")))</f>
        <v/>
      </c>
      <c r="Z234" s="3" t="str">
        <f>IF(L234&lt;&gt;"PLAYER","",_xlfn.TEXTJOIN("; ",TRUE,IF(M234="","Empty name",IF(Y234="N",IF(AA234&gt;1,"Which "&amp;M234&amp;"? "&amp;AA234&amp;" players start with it (like "&amp;INDEX(Players[Name],MATCH(M234&amp;" ?",Players[Name],0))&amp;") - type the last initial",IF(ISNUMBER(FIND(" ",M234)),IF(IFERROR(IF(M234="",FALSE,OR(M234="Unknown",AND(LEN(M234)-LEN(SUBSTITUTE(M234," ",""))=1,LEN(M234)&gt;=4,MID(M234,LEN(M234)-1,1)=" ",CODE(RIGHT(M234,1))&gt;=65,CODE(RIGHT(M234,1))&lt;=90))),FALSE),"New player? Not on Players list - add it there first","Not on Players list and not First L format (like Zack B)")&amp;IF(ISNUMBER(MATCH(LEFT(M234,FIND(" ",M234)-1)&amp;" ?",Players[Name],0))," (same first name as "&amp;INDEX(Players[Name],MATCH(LEFT(M234,FIND(" ",M234)-1)&amp;" ?",Players[Name],0))&amp;")",""),"Not on Players list - type first name + last initial (like Zack B)")),"")),IF(OR(V234&lt;Pod_Min,V234&gt;Pod_Max),"Pod has "&amp;V234&amp;" players",""),IF(U234=0,IF(T234=0,"No winner (*) in pod",IF(T234&gt;1,T234&amp;" winners in pod","")),IF(U234&lt;V234,"Some = but not all players","")),IF(X234="Unknown","",IF(COUNTIFS($O$8:$O$257,O234,$Q$8:$Q$257,Q234,$X$8:$X$257,X234)&gt;1,"Name twice in pod",IF(COUNTIFS($O$8:$O$257,O234,$X$8:$X$257,X234)&gt;1,"Name in 2 pods this round","")))))</f>
        <v/>
      </c>
      <c r="AA234" s="3" t="str">
        <f>IF(L234&lt;&gt;"PLAYER","",IF(OR(M234="",ISNUMBER(FIND(" ",M234))),0,COUNTIF(Players[Name],M234&amp;" ?")))</f>
        <v/>
      </c>
    </row>
    <row r="235" spans="1:27" x14ac:dyDescent="0.45">
      <c r="A235" s="17"/>
      <c r="B235" s="6" t="str">
        <f t="shared" si="63"/>
        <v/>
      </c>
      <c r="C235" s="6" t="str">
        <f t="shared" si="64"/>
        <v/>
      </c>
      <c r="D235" s="6" t="str">
        <f t="shared" si="65"/>
        <v/>
      </c>
      <c r="E235" s="6" t="str">
        <f t="shared" si="66"/>
        <v/>
      </c>
      <c r="F235" s="6" t="str">
        <f t="shared" si="67"/>
        <v/>
      </c>
      <c r="G235" s="6" t="str">
        <f t="shared" si="68"/>
        <v/>
      </c>
      <c r="H235" s="10" t="str">
        <f t="shared" si="69"/>
        <v/>
      </c>
      <c r="I235" s="6" t="str">
        <f t="shared" si="70"/>
        <v/>
      </c>
      <c r="J235" s="3" t="str">
        <f>IFERROR(MATCH(ROWS(J$8:J235),$S$8:$S$257,0),"")</f>
        <v/>
      </c>
      <c r="K235" s="3" t="str">
        <f t="shared" si="71"/>
        <v/>
      </c>
      <c r="L235" s="3" t="str">
        <f t="shared" si="72"/>
        <v/>
      </c>
      <c r="M235" s="3" t="str">
        <f t="shared" si="73"/>
        <v/>
      </c>
      <c r="N235" s="3" t="str">
        <f t="shared" si="74"/>
        <v/>
      </c>
      <c r="O235" s="3">
        <f t="shared" si="75"/>
        <v>1</v>
      </c>
      <c r="P235" s="3">
        <f t="shared" si="76"/>
        <v>0</v>
      </c>
      <c r="Q235" s="3">
        <f t="shared" si="77"/>
        <v>0</v>
      </c>
      <c r="R235" s="3" t="str">
        <f t="shared" si="78"/>
        <v/>
      </c>
      <c r="S235" s="3">
        <f t="shared" si="79"/>
        <v>0</v>
      </c>
      <c r="T235" s="3" t="str">
        <f t="shared" si="80"/>
        <v/>
      </c>
      <c r="U235" s="3" t="str">
        <f t="shared" si="81"/>
        <v/>
      </c>
      <c r="V235" s="3" t="str">
        <f t="shared" si="82"/>
        <v/>
      </c>
      <c r="W235" s="3" t="str">
        <f t="shared" si="83"/>
        <v/>
      </c>
      <c r="X235" s="3" t="str">
        <f>IF(L235&lt;&gt;"PLAYER","",IF(Y235="Y",INDEX(Players[Name],MATCH(M235,Players[Name],0)),IF(Y235="A",INDEX(Players[Name],MATCH(M235&amp;" ?",Players[Name],0)),M235)))</f>
        <v/>
      </c>
      <c r="Y235" s="3" t="str">
        <f>IF(L235&lt;&gt;"PLAYER","",IF(ISNUMBER(MATCH(M235,Players[Name],0)),"Y",IF(AA235=1,"A","N")))</f>
        <v/>
      </c>
      <c r="Z235" s="3" t="str">
        <f>IF(L235&lt;&gt;"PLAYER","",_xlfn.TEXTJOIN("; ",TRUE,IF(M235="","Empty name",IF(Y235="N",IF(AA235&gt;1,"Which "&amp;M235&amp;"? "&amp;AA235&amp;" players start with it (like "&amp;INDEX(Players[Name],MATCH(M235&amp;" ?",Players[Name],0))&amp;") - type the last initial",IF(ISNUMBER(FIND(" ",M235)),IF(IFERROR(IF(M235="",FALSE,OR(M235="Unknown",AND(LEN(M235)-LEN(SUBSTITUTE(M235," ",""))=1,LEN(M235)&gt;=4,MID(M235,LEN(M235)-1,1)=" ",CODE(RIGHT(M235,1))&gt;=65,CODE(RIGHT(M235,1))&lt;=90))),FALSE),"New player? Not on Players list - add it there first","Not on Players list and not First L format (like Zack B)")&amp;IF(ISNUMBER(MATCH(LEFT(M235,FIND(" ",M235)-1)&amp;" ?",Players[Name],0))," (same first name as "&amp;INDEX(Players[Name],MATCH(LEFT(M235,FIND(" ",M235)-1)&amp;" ?",Players[Name],0))&amp;")",""),"Not on Players list - type first name + last initial (like Zack B)")),"")),IF(OR(V235&lt;Pod_Min,V235&gt;Pod_Max),"Pod has "&amp;V235&amp;" players",""),IF(U235=0,IF(T235=0,"No winner (*) in pod",IF(T235&gt;1,T235&amp;" winners in pod","")),IF(U235&lt;V235,"Some = but not all players","")),IF(X235="Unknown","",IF(COUNTIFS($O$8:$O$257,O235,$Q$8:$Q$257,Q235,$X$8:$X$257,X235)&gt;1,"Name twice in pod",IF(COUNTIFS($O$8:$O$257,O235,$X$8:$X$257,X235)&gt;1,"Name in 2 pods this round","")))))</f>
        <v/>
      </c>
      <c r="AA235" s="3" t="str">
        <f>IF(L235&lt;&gt;"PLAYER","",IF(OR(M235="",ISNUMBER(FIND(" ",M235))),0,COUNTIF(Players[Name],M235&amp;" ?")))</f>
        <v/>
      </c>
    </row>
    <row r="236" spans="1:27" x14ac:dyDescent="0.45">
      <c r="A236" s="17"/>
      <c r="B236" s="6" t="str">
        <f t="shared" si="63"/>
        <v/>
      </c>
      <c r="C236" s="6" t="str">
        <f t="shared" si="64"/>
        <v/>
      </c>
      <c r="D236" s="6" t="str">
        <f t="shared" si="65"/>
        <v/>
      </c>
      <c r="E236" s="6" t="str">
        <f t="shared" si="66"/>
        <v/>
      </c>
      <c r="F236" s="6" t="str">
        <f t="shared" si="67"/>
        <v/>
      </c>
      <c r="G236" s="6" t="str">
        <f t="shared" si="68"/>
        <v/>
      </c>
      <c r="H236" s="10" t="str">
        <f t="shared" si="69"/>
        <v/>
      </c>
      <c r="I236" s="6" t="str">
        <f t="shared" si="70"/>
        <v/>
      </c>
      <c r="J236" s="3" t="str">
        <f>IFERROR(MATCH(ROWS(J$8:J236),$S$8:$S$257,0),"")</f>
        <v/>
      </c>
      <c r="K236" s="3" t="str">
        <f t="shared" si="71"/>
        <v/>
      </c>
      <c r="L236" s="3" t="str">
        <f t="shared" si="72"/>
        <v/>
      </c>
      <c r="M236" s="3" t="str">
        <f t="shared" si="73"/>
        <v/>
      </c>
      <c r="N236" s="3" t="str">
        <f t="shared" si="74"/>
        <v/>
      </c>
      <c r="O236" s="3">
        <f t="shared" si="75"/>
        <v>1</v>
      </c>
      <c r="P236" s="3">
        <f t="shared" si="76"/>
        <v>0</v>
      </c>
      <c r="Q236" s="3">
        <f t="shared" si="77"/>
        <v>0</v>
      </c>
      <c r="R236" s="3" t="str">
        <f t="shared" si="78"/>
        <v/>
      </c>
      <c r="S236" s="3">
        <f t="shared" si="79"/>
        <v>0</v>
      </c>
      <c r="T236" s="3" t="str">
        <f t="shared" si="80"/>
        <v/>
      </c>
      <c r="U236" s="3" t="str">
        <f t="shared" si="81"/>
        <v/>
      </c>
      <c r="V236" s="3" t="str">
        <f t="shared" si="82"/>
        <v/>
      </c>
      <c r="W236" s="3" t="str">
        <f t="shared" si="83"/>
        <v/>
      </c>
      <c r="X236" s="3" t="str">
        <f>IF(L236&lt;&gt;"PLAYER","",IF(Y236="Y",INDEX(Players[Name],MATCH(M236,Players[Name],0)),IF(Y236="A",INDEX(Players[Name],MATCH(M236&amp;" ?",Players[Name],0)),M236)))</f>
        <v/>
      </c>
      <c r="Y236" s="3" t="str">
        <f>IF(L236&lt;&gt;"PLAYER","",IF(ISNUMBER(MATCH(M236,Players[Name],0)),"Y",IF(AA236=1,"A","N")))</f>
        <v/>
      </c>
      <c r="Z236" s="3" t="str">
        <f>IF(L236&lt;&gt;"PLAYER","",_xlfn.TEXTJOIN("; ",TRUE,IF(M236="","Empty name",IF(Y236="N",IF(AA236&gt;1,"Which "&amp;M236&amp;"? "&amp;AA236&amp;" players start with it (like "&amp;INDEX(Players[Name],MATCH(M236&amp;" ?",Players[Name],0))&amp;") - type the last initial",IF(ISNUMBER(FIND(" ",M236)),IF(IFERROR(IF(M236="",FALSE,OR(M236="Unknown",AND(LEN(M236)-LEN(SUBSTITUTE(M236," ",""))=1,LEN(M236)&gt;=4,MID(M236,LEN(M236)-1,1)=" ",CODE(RIGHT(M236,1))&gt;=65,CODE(RIGHT(M236,1))&lt;=90))),FALSE),"New player? Not on Players list - add it there first","Not on Players list and not First L format (like Zack B)")&amp;IF(ISNUMBER(MATCH(LEFT(M236,FIND(" ",M236)-1)&amp;" ?",Players[Name],0))," (same first name as "&amp;INDEX(Players[Name],MATCH(LEFT(M236,FIND(" ",M236)-1)&amp;" ?",Players[Name],0))&amp;")",""),"Not on Players list - type first name + last initial (like Zack B)")),"")),IF(OR(V236&lt;Pod_Min,V236&gt;Pod_Max),"Pod has "&amp;V236&amp;" players",""),IF(U236=0,IF(T236=0,"No winner (*) in pod",IF(T236&gt;1,T236&amp;" winners in pod","")),IF(U236&lt;V236,"Some = but not all players","")),IF(X236="Unknown","",IF(COUNTIFS($O$8:$O$257,O236,$Q$8:$Q$257,Q236,$X$8:$X$257,X236)&gt;1,"Name twice in pod",IF(COUNTIFS($O$8:$O$257,O236,$X$8:$X$257,X236)&gt;1,"Name in 2 pods this round","")))))</f>
        <v/>
      </c>
      <c r="AA236" s="3" t="str">
        <f>IF(L236&lt;&gt;"PLAYER","",IF(OR(M236="",ISNUMBER(FIND(" ",M236))),0,COUNTIF(Players[Name],M236&amp;" ?")))</f>
        <v/>
      </c>
    </row>
    <row r="237" spans="1:27" x14ac:dyDescent="0.45">
      <c r="A237" s="17"/>
      <c r="B237" s="6" t="str">
        <f t="shared" si="63"/>
        <v/>
      </c>
      <c r="C237" s="6" t="str">
        <f t="shared" si="64"/>
        <v/>
      </c>
      <c r="D237" s="6" t="str">
        <f t="shared" si="65"/>
        <v/>
      </c>
      <c r="E237" s="6" t="str">
        <f t="shared" si="66"/>
        <v/>
      </c>
      <c r="F237" s="6" t="str">
        <f t="shared" si="67"/>
        <v/>
      </c>
      <c r="G237" s="6" t="str">
        <f t="shared" si="68"/>
        <v/>
      </c>
      <c r="H237" s="10" t="str">
        <f t="shared" si="69"/>
        <v/>
      </c>
      <c r="I237" s="6" t="str">
        <f t="shared" si="70"/>
        <v/>
      </c>
      <c r="J237" s="3" t="str">
        <f>IFERROR(MATCH(ROWS(J$8:J237),$S$8:$S$257,0),"")</f>
        <v/>
      </c>
      <c r="K237" s="3" t="str">
        <f t="shared" si="71"/>
        <v/>
      </c>
      <c r="L237" s="3" t="str">
        <f t="shared" si="72"/>
        <v/>
      </c>
      <c r="M237" s="3" t="str">
        <f t="shared" si="73"/>
        <v/>
      </c>
      <c r="N237" s="3" t="str">
        <f t="shared" si="74"/>
        <v/>
      </c>
      <c r="O237" s="3">
        <f t="shared" si="75"/>
        <v>1</v>
      </c>
      <c r="P237" s="3">
        <f t="shared" si="76"/>
        <v>0</v>
      </c>
      <c r="Q237" s="3">
        <f t="shared" si="77"/>
        <v>0</v>
      </c>
      <c r="R237" s="3" t="str">
        <f t="shared" si="78"/>
        <v/>
      </c>
      <c r="S237" s="3">
        <f t="shared" si="79"/>
        <v>0</v>
      </c>
      <c r="T237" s="3" t="str">
        <f t="shared" si="80"/>
        <v/>
      </c>
      <c r="U237" s="3" t="str">
        <f t="shared" si="81"/>
        <v/>
      </c>
      <c r="V237" s="3" t="str">
        <f t="shared" si="82"/>
        <v/>
      </c>
      <c r="W237" s="3" t="str">
        <f t="shared" si="83"/>
        <v/>
      </c>
      <c r="X237" s="3" t="str">
        <f>IF(L237&lt;&gt;"PLAYER","",IF(Y237="Y",INDEX(Players[Name],MATCH(M237,Players[Name],0)),IF(Y237="A",INDEX(Players[Name],MATCH(M237&amp;" ?",Players[Name],0)),M237)))</f>
        <v/>
      </c>
      <c r="Y237" s="3" t="str">
        <f>IF(L237&lt;&gt;"PLAYER","",IF(ISNUMBER(MATCH(M237,Players[Name],0)),"Y",IF(AA237=1,"A","N")))</f>
        <v/>
      </c>
      <c r="Z237" s="3" t="str">
        <f>IF(L237&lt;&gt;"PLAYER","",_xlfn.TEXTJOIN("; ",TRUE,IF(M237="","Empty name",IF(Y237="N",IF(AA237&gt;1,"Which "&amp;M237&amp;"? "&amp;AA237&amp;" players start with it (like "&amp;INDEX(Players[Name],MATCH(M237&amp;" ?",Players[Name],0))&amp;") - type the last initial",IF(ISNUMBER(FIND(" ",M237)),IF(IFERROR(IF(M237="",FALSE,OR(M237="Unknown",AND(LEN(M237)-LEN(SUBSTITUTE(M237," ",""))=1,LEN(M237)&gt;=4,MID(M237,LEN(M237)-1,1)=" ",CODE(RIGHT(M237,1))&gt;=65,CODE(RIGHT(M237,1))&lt;=90))),FALSE),"New player? Not on Players list - add it there first","Not on Players list and not First L format (like Zack B)")&amp;IF(ISNUMBER(MATCH(LEFT(M237,FIND(" ",M237)-1)&amp;" ?",Players[Name],0))," (same first name as "&amp;INDEX(Players[Name],MATCH(LEFT(M237,FIND(" ",M237)-1)&amp;" ?",Players[Name],0))&amp;")",""),"Not on Players list - type first name + last initial (like Zack B)")),"")),IF(OR(V237&lt;Pod_Min,V237&gt;Pod_Max),"Pod has "&amp;V237&amp;" players",""),IF(U237=0,IF(T237=0,"No winner (*) in pod",IF(T237&gt;1,T237&amp;" winners in pod","")),IF(U237&lt;V237,"Some = but not all players","")),IF(X237="Unknown","",IF(COUNTIFS($O$8:$O$257,O237,$Q$8:$Q$257,Q237,$X$8:$X$257,X237)&gt;1,"Name twice in pod",IF(COUNTIFS($O$8:$O$257,O237,$X$8:$X$257,X237)&gt;1,"Name in 2 pods this round","")))))</f>
        <v/>
      </c>
      <c r="AA237" s="3" t="str">
        <f>IF(L237&lt;&gt;"PLAYER","",IF(OR(M237="",ISNUMBER(FIND(" ",M237))),0,COUNTIF(Players[Name],M237&amp;" ?")))</f>
        <v/>
      </c>
    </row>
    <row r="238" spans="1:27" x14ac:dyDescent="0.45">
      <c r="A238" s="17"/>
      <c r="B238" s="6" t="str">
        <f t="shared" si="63"/>
        <v/>
      </c>
      <c r="C238" s="6" t="str">
        <f t="shared" si="64"/>
        <v/>
      </c>
      <c r="D238" s="6" t="str">
        <f t="shared" si="65"/>
        <v/>
      </c>
      <c r="E238" s="6" t="str">
        <f t="shared" si="66"/>
        <v/>
      </c>
      <c r="F238" s="6" t="str">
        <f t="shared" si="67"/>
        <v/>
      </c>
      <c r="G238" s="6" t="str">
        <f t="shared" si="68"/>
        <v/>
      </c>
      <c r="H238" s="10" t="str">
        <f t="shared" si="69"/>
        <v/>
      </c>
      <c r="I238" s="6" t="str">
        <f t="shared" si="70"/>
        <v/>
      </c>
      <c r="J238" s="3" t="str">
        <f>IFERROR(MATCH(ROWS(J$8:J238),$S$8:$S$257,0),"")</f>
        <v/>
      </c>
      <c r="K238" s="3" t="str">
        <f t="shared" si="71"/>
        <v/>
      </c>
      <c r="L238" s="3" t="str">
        <f t="shared" si="72"/>
        <v/>
      </c>
      <c r="M238" s="3" t="str">
        <f t="shared" si="73"/>
        <v/>
      </c>
      <c r="N238" s="3" t="str">
        <f t="shared" si="74"/>
        <v/>
      </c>
      <c r="O238" s="3">
        <f t="shared" si="75"/>
        <v>1</v>
      </c>
      <c r="P238" s="3">
        <f t="shared" si="76"/>
        <v>0</v>
      </c>
      <c r="Q238" s="3">
        <f t="shared" si="77"/>
        <v>0</v>
      </c>
      <c r="R238" s="3" t="str">
        <f t="shared" si="78"/>
        <v/>
      </c>
      <c r="S238" s="3">
        <f t="shared" si="79"/>
        <v>0</v>
      </c>
      <c r="T238" s="3" t="str">
        <f t="shared" si="80"/>
        <v/>
      </c>
      <c r="U238" s="3" t="str">
        <f t="shared" si="81"/>
        <v/>
      </c>
      <c r="V238" s="3" t="str">
        <f t="shared" si="82"/>
        <v/>
      </c>
      <c r="W238" s="3" t="str">
        <f t="shared" si="83"/>
        <v/>
      </c>
      <c r="X238" s="3" t="str">
        <f>IF(L238&lt;&gt;"PLAYER","",IF(Y238="Y",INDEX(Players[Name],MATCH(M238,Players[Name],0)),IF(Y238="A",INDEX(Players[Name],MATCH(M238&amp;" ?",Players[Name],0)),M238)))</f>
        <v/>
      </c>
      <c r="Y238" s="3" t="str">
        <f>IF(L238&lt;&gt;"PLAYER","",IF(ISNUMBER(MATCH(M238,Players[Name],0)),"Y",IF(AA238=1,"A","N")))</f>
        <v/>
      </c>
      <c r="Z238" s="3" t="str">
        <f>IF(L238&lt;&gt;"PLAYER","",_xlfn.TEXTJOIN("; ",TRUE,IF(M238="","Empty name",IF(Y238="N",IF(AA238&gt;1,"Which "&amp;M238&amp;"? "&amp;AA238&amp;" players start with it (like "&amp;INDEX(Players[Name],MATCH(M238&amp;" ?",Players[Name],0))&amp;") - type the last initial",IF(ISNUMBER(FIND(" ",M238)),IF(IFERROR(IF(M238="",FALSE,OR(M238="Unknown",AND(LEN(M238)-LEN(SUBSTITUTE(M238," ",""))=1,LEN(M238)&gt;=4,MID(M238,LEN(M238)-1,1)=" ",CODE(RIGHT(M238,1))&gt;=65,CODE(RIGHT(M238,1))&lt;=90))),FALSE),"New player? Not on Players list - add it there first","Not on Players list and not First L format (like Zack B)")&amp;IF(ISNUMBER(MATCH(LEFT(M238,FIND(" ",M238)-1)&amp;" ?",Players[Name],0))," (same first name as "&amp;INDEX(Players[Name],MATCH(LEFT(M238,FIND(" ",M238)-1)&amp;" ?",Players[Name],0))&amp;")",""),"Not on Players list - type first name + last initial (like Zack B)")),"")),IF(OR(V238&lt;Pod_Min,V238&gt;Pod_Max),"Pod has "&amp;V238&amp;" players",""),IF(U238=0,IF(T238=0,"No winner (*) in pod",IF(T238&gt;1,T238&amp;" winners in pod","")),IF(U238&lt;V238,"Some = but not all players","")),IF(X238="Unknown","",IF(COUNTIFS($O$8:$O$257,O238,$Q$8:$Q$257,Q238,$X$8:$X$257,X238)&gt;1,"Name twice in pod",IF(COUNTIFS($O$8:$O$257,O238,$X$8:$X$257,X238)&gt;1,"Name in 2 pods this round","")))))</f>
        <v/>
      </c>
      <c r="AA238" s="3" t="str">
        <f>IF(L238&lt;&gt;"PLAYER","",IF(OR(M238="",ISNUMBER(FIND(" ",M238))),0,COUNTIF(Players[Name],M238&amp;" ?")))</f>
        <v/>
      </c>
    </row>
    <row r="239" spans="1:27" x14ac:dyDescent="0.45">
      <c r="A239" s="17"/>
      <c r="B239" s="6" t="str">
        <f t="shared" si="63"/>
        <v/>
      </c>
      <c r="C239" s="6" t="str">
        <f t="shared" si="64"/>
        <v/>
      </c>
      <c r="D239" s="6" t="str">
        <f t="shared" si="65"/>
        <v/>
      </c>
      <c r="E239" s="6" t="str">
        <f t="shared" si="66"/>
        <v/>
      </c>
      <c r="F239" s="6" t="str">
        <f t="shared" si="67"/>
        <v/>
      </c>
      <c r="G239" s="6" t="str">
        <f t="shared" si="68"/>
        <v/>
      </c>
      <c r="H239" s="10" t="str">
        <f t="shared" si="69"/>
        <v/>
      </c>
      <c r="I239" s="6" t="str">
        <f t="shared" si="70"/>
        <v/>
      </c>
      <c r="J239" s="3" t="str">
        <f>IFERROR(MATCH(ROWS(J$8:J239),$S$8:$S$257,0),"")</f>
        <v/>
      </c>
      <c r="K239" s="3" t="str">
        <f t="shared" si="71"/>
        <v/>
      </c>
      <c r="L239" s="3" t="str">
        <f t="shared" si="72"/>
        <v/>
      </c>
      <c r="M239" s="3" t="str">
        <f t="shared" si="73"/>
        <v/>
      </c>
      <c r="N239" s="3" t="str">
        <f t="shared" si="74"/>
        <v/>
      </c>
      <c r="O239" s="3">
        <f t="shared" si="75"/>
        <v>1</v>
      </c>
      <c r="P239" s="3">
        <f t="shared" si="76"/>
        <v>0</v>
      </c>
      <c r="Q239" s="3">
        <f t="shared" si="77"/>
        <v>0</v>
      </c>
      <c r="R239" s="3" t="str">
        <f t="shared" si="78"/>
        <v/>
      </c>
      <c r="S239" s="3">
        <f t="shared" si="79"/>
        <v>0</v>
      </c>
      <c r="T239" s="3" t="str">
        <f t="shared" si="80"/>
        <v/>
      </c>
      <c r="U239" s="3" t="str">
        <f t="shared" si="81"/>
        <v/>
      </c>
      <c r="V239" s="3" t="str">
        <f t="shared" si="82"/>
        <v/>
      </c>
      <c r="W239" s="3" t="str">
        <f t="shared" si="83"/>
        <v/>
      </c>
      <c r="X239" s="3" t="str">
        <f>IF(L239&lt;&gt;"PLAYER","",IF(Y239="Y",INDEX(Players[Name],MATCH(M239,Players[Name],0)),IF(Y239="A",INDEX(Players[Name],MATCH(M239&amp;" ?",Players[Name],0)),M239)))</f>
        <v/>
      </c>
      <c r="Y239" s="3" t="str">
        <f>IF(L239&lt;&gt;"PLAYER","",IF(ISNUMBER(MATCH(M239,Players[Name],0)),"Y",IF(AA239=1,"A","N")))</f>
        <v/>
      </c>
      <c r="Z239" s="3" t="str">
        <f>IF(L239&lt;&gt;"PLAYER","",_xlfn.TEXTJOIN("; ",TRUE,IF(M239="","Empty name",IF(Y239="N",IF(AA239&gt;1,"Which "&amp;M239&amp;"? "&amp;AA239&amp;" players start with it (like "&amp;INDEX(Players[Name],MATCH(M239&amp;" ?",Players[Name],0))&amp;") - type the last initial",IF(ISNUMBER(FIND(" ",M239)),IF(IFERROR(IF(M239="",FALSE,OR(M239="Unknown",AND(LEN(M239)-LEN(SUBSTITUTE(M239," ",""))=1,LEN(M239)&gt;=4,MID(M239,LEN(M239)-1,1)=" ",CODE(RIGHT(M239,1))&gt;=65,CODE(RIGHT(M239,1))&lt;=90))),FALSE),"New player? Not on Players list - add it there first","Not on Players list and not First L format (like Zack B)")&amp;IF(ISNUMBER(MATCH(LEFT(M239,FIND(" ",M239)-1)&amp;" ?",Players[Name],0))," (same first name as "&amp;INDEX(Players[Name],MATCH(LEFT(M239,FIND(" ",M239)-1)&amp;" ?",Players[Name],0))&amp;")",""),"Not on Players list - type first name + last initial (like Zack B)")),"")),IF(OR(V239&lt;Pod_Min,V239&gt;Pod_Max),"Pod has "&amp;V239&amp;" players",""),IF(U239=0,IF(T239=0,"No winner (*) in pod",IF(T239&gt;1,T239&amp;" winners in pod","")),IF(U239&lt;V239,"Some = but not all players","")),IF(X239="Unknown","",IF(COUNTIFS($O$8:$O$257,O239,$Q$8:$Q$257,Q239,$X$8:$X$257,X239)&gt;1,"Name twice in pod",IF(COUNTIFS($O$8:$O$257,O239,$X$8:$X$257,X239)&gt;1,"Name in 2 pods this round","")))))</f>
        <v/>
      </c>
      <c r="AA239" s="3" t="str">
        <f>IF(L239&lt;&gt;"PLAYER","",IF(OR(M239="",ISNUMBER(FIND(" ",M239))),0,COUNTIF(Players[Name],M239&amp;" ?")))</f>
        <v/>
      </c>
    </row>
    <row r="240" spans="1:27" x14ac:dyDescent="0.45">
      <c r="A240" s="17"/>
      <c r="B240" s="6" t="str">
        <f t="shared" si="63"/>
        <v/>
      </c>
      <c r="C240" s="6" t="str">
        <f t="shared" si="64"/>
        <v/>
      </c>
      <c r="D240" s="6" t="str">
        <f t="shared" si="65"/>
        <v/>
      </c>
      <c r="E240" s="6" t="str">
        <f t="shared" si="66"/>
        <v/>
      </c>
      <c r="F240" s="6" t="str">
        <f t="shared" si="67"/>
        <v/>
      </c>
      <c r="G240" s="6" t="str">
        <f t="shared" si="68"/>
        <v/>
      </c>
      <c r="H240" s="10" t="str">
        <f t="shared" si="69"/>
        <v/>
      </c>
      <c r="I240" s="6" t="str">
        <f t="shared" si="70"/>
        <v/>
      </c>
      <c r="J240" s="3" t="str">
        <f>IFERROR(MATCH(ROWS(J$8:J240),$S$8:$S$257,0),"")</f>
        <v/>
      </c>
      <c r="K240" s="3" t="str">
        <f t="shared" si="71"/>
        <v/>
      </c>
      <c r="L240" s="3" t="str">
        <f t="shared" si="72"/>
        <v/>
      </c>
      <c r="M240" s="3" t="str">
        <f t="shared" si="73"/>
        <v/>
      </c>
      <c r="N240" s="3" t="str">
        <f t="shared" si="74"/>
        <v/>
      </c>
      <c r="O240" s="3">
        <f t="shared" si="75"/>
        <v>1</v>
      </c>
      <c r="P240" s="3">
        <f t="shared" si="76"/>
        <v>0</v>
      </c>
      <c r="Q240" s="3">
        <f t="shared" si="77"/>
        <v>0</v>
      </c>
      <c r="R240" s="3" t="str">
        <f t="shared" si="78"/>
        <v/>
      </c>
      <c r="S240" s="3">
        <f t="shared" si="79"/>
        <v>0</v>
      </c>
      <c r="T240" s="3" t="str">
        <f t="shared" si="80"/>
        <v/>
      </c>
      <c r="U240" s="3" t="str">
        <f t="shared" si="81"/>
        <v/>
      </c>
      <c r="V240" s="3" t="str">
        <f t="shared" si="82"/>
        <v/>
      </c>
      <c r="W240" s="3" t="str">
        <f t="shared" si="83"/>
        <v/>
      </c>
      <c r="X240" s="3" t="str">
        <f>IF(L240&lt;&gt;"PLAYER","",IF(Y240="Y",INDEX(Players[Name],MATCH(M240,Players[Name],0)),IF(Y240="A",INDEX(Players[Name],MATCH(M240&amp;" ?",Players[Name],0)),M240)))</f>
        <v/>
      </c>
      <c r="Y240" s="3" t="str">
        <f>IF(L240&lt;&gt;"PLAYER","",IF(ISNUMBER(MATCH(M240,Players[Name],0)),"Y",IF(AA240=1,"A","N")))</f>
        <v/>
      </c>
      <c r="Z240" s="3" t="str">
        <f>IF(L240&lt;&gt;"PLAYER","",_xlfn.TEXTJOIN("; ",TRUE,IF(M240="","Empty name",IF(Y240="N",IF(AA240&gt;1,"Which "&amp;M240&amp;"? "&amp;AA240&amp;" players start with it (like "&amp;INDEX(Players[Name],MATCH(M240&amp;" ?",Players[Name],0))&amp;") - type the last initial",IF(ISNUMBER(FIND(" ",M240)),IF(IFERROR(IF(M240="",FALSE,OR(M240="Unknown",AND(LEN(M240)-LEN(SUBSTITUTE(M240," ",""))=1,LEN(M240)&gt;=4,MID(M240,LEN(M240)-1,1)=" ",CODE(RIGHT(M240,1))&gt;=65,CODE(RIGHT(M240,1))&lt;=90))),FALSE),"New player? Not on Players list - add it there first","Not on Players list and not First L format (like Zack B)")&amp;IF(ISNUMBER(MATCH(LEFT(M240,FIND(" ",M240)-1)&amp;" ?",Players[Name],0))," (same first name as "&amp;INDEX(Players[Name],MATCH(LEFT(M240,FIND(" ",M240)-1)&amp;" ?",Players[Name],0))&amp;")",""),"Not on Players list - type first name + last initial (like Zack B)")),"")),IF(OR(V240&lt;Pod_Min,V240&gt;Pod_Max),"Pod has "&amp;V240&amp;" players",""),IF(U240=0,IF(T240=0,"No winner (*) in pod",IF(T240&gt;1,T240&amp;" winners in pod","")),IF(U240&lt;V240,"Some = but not all players","")),IF(X240="Unknown","",IF(COUNTIFS($O$8:$O$257,O240,$Q$8:$Q$257,Q240,$X$8:$X$257,X240)&gt;1,"Name twice in pod",IF(COUNTIFS($O$8:$O$257,O240,$X$8:$X$257,X240)&gt;1,"Name in 2 pods this round","")))))</f>
        <v/>
      </c>
      <c r="AA240" s="3" t="str">
        <f>IF(L240&lt;&gt;"PLAYER","",IF(OR(M240="",ISNUMBER(FIND(" ",M240))),0,COUNTIF(Players[Name],M240&amp;" ?")))</f>
        <v/>
      </c>
    </row>
    <row r="241" spans="1:27" x14ac:dyDescent="0.45">
      <c r="A241" s="17"/>
      <c r="B241" s="6" t="str">
        <f t="shared" si="63"/>
        <v/>
      </c>
      <c r="C241" s="6" t="str">
        <f t="shared" si="64"/>
        <v/>
      </c>
      <c r="D241" s="6" t="str">
        <f t="shared" si="65"/>
        <v/>
      </c>
      <c r="E241" s="6" t="str">
        <f t="shared" si="66"/>
        <v/>
      </c>
      <c r="F241" s="6" t="str">
        <f t="shared" si="67"/>
        <v/>
      </c>
      <c r="G241" s="6" t="str">
        <f t="shared" si="68"/>
        <v/>
      </c>
      <c r="H241" s="10" t="str">
        <f t="shared" si="69"/>
        <v/>
      </c>
      <c r="I241" s="6" t="str">
        <f t="shared" si="70"/>
        <v/>
      </c>
      <c r="J241" s="3" t="str">
        <f>IFERROR(MATCH(ROWS(J$8:J241),$S$8:$S$257,0),"")</f>
        <v/>
      </c>
      <c r="K241" s="3" t="str">
        <f t="shared" si="71"/>
        <v/>
      </c>
      <c r="L241" s="3" t="str">
        <f t="shared" si="72"/>
        <v/>
      </c>
      <c r="M241" s="3" t="str">
        <f t="shared" si="73"/>
        <v/>
      </c>
      <c r="N241" s="3" t="str">
        <f t="shared" si="74"/>
        <v/>
      </c>
      <c r="O241" s="3">
        <f t="shared" si="75"/>
        <v>1</v>
      </c>
      <c r="P241" s="3">
        <f t="shared" si="76"/>
        <v>0</v>
      </c>
      <c r="Q241" s="3">
        <f t="shared" si="77"/>
        <v>0</v>
      </c>
      <c r="R241" s="3" t="str">
        <f t="shared" si="78"/>
        <v/>
      </c>
      <c r="S241" s="3">
        <f t="shared" si="79"/>
        <v>0</v>
      </c>
      <c r="T241" s="3" t="str">
        <f t="shared" si="80"/>
        <v/>
      </c>
      <c r="U241" s="3" t="str">
        <f t="shared" si="81"/>
        <v/>
      </c>
      <c r="V241" s="3" t="str">
        <f t="shared" si="82"/>
        <v/>
      </c>
      <c r="W241" s="3" t="str">
        <f t="shared" si="83"/>
        <v/>
      </c>
      <c r="X241" s="3" t="str">
        <f>IF(L241&lt;&gt;"PLAYER","",IF(Y241="Y",INDEX(Players[Name],MATCH(M241,Players[Name],0)),IF(Y241="A",INDEX(Players[Name],MATCH(M241&amp;" ?",Players[Name],0)),M241)))</f>
        <v/>
      </c>
      <c r="Y241" s="3" t="str">
        <f>IF(L241&lt;&gt;"PLAYER","",IF(ISNUMBER(MATCH(M241,Players[Name],0)),"Y",IF(AA241=1,"A","N")))</f>
        <v/>
      </c>
      <c r="Z241" s="3" t="str">
        <f>IF(L241&lt;&gt;"PLAYER","",_xlfn.TEXTJOIN("; ",TRUE,IF(M241="","Empty name",IF(Y241="N",IF(AA241&gt;1,"Which "&amp;M241&amp;"? "&amp;AA241&amp;" players start with it (like "&amp;INDEX(Players[Name],MATCH(M241&amp;" ?",Players[Name],0))&amp;") - type the last initial",IF(ISNUMBER(FIND(" ",M241)),IF(IFERROR(IF(M241="",FALSE,OR(M241="Unknown",AND(LEN(M241)-LEN(SUBSTITUTE(M241," ",""))=1,LEN(M241)&gt;=4,MID(M241,LEN(M241)-1,1)=" ",CODE(RIGHT(M241,1))&gt;=65,CODE(RIGHT(M241,1))&lt;=90))),FALSE),"New player? Not on Players list - add it there first","Not on Players list and not First L format (like Zack B)")&amp;IF(ISNUMBER(MATCH(LEFT(M241,FIND(" ",M241)-1)&amp;" ?",Players[Name],0))," (same first name as "&amp;INDEX(Players[Name],MATCH(LEFT(M241,FIND(" ",M241)-1)&amp;" ?",Players[Name],0))&amp;")",""),"Not on Players list - type first name + last initial (like Zack B)")),"")),IF(OR(V241&lt;Pod_Min,V241&gt;Pod_Max),"Pod has "&amp;V241&amp;" players",""),IF(U241=0,IF(T241=0,"No winner (*) in pod",IF(T241&gt;1,T241&amp;" winners in pod","")),IF(U241&lt;V241,"Some = but not all players","")),IF(X241="Unknown","",IF(COUNTIFS($O$8:$O$257,O241,$Q$8:$Q$257,Q241,$X$8:$X$257,X241)&gt;1,"Name twice in pod",IF(COUNTIFS($O$8:$O$257,O241,$X$8:$X$257,X241)&gt;1,"Name in 2 pods this round","")))))</f>
        <v/>
      </c>
      <c r="AA241" s="3" t="str">
        <f>IF(L241&lt;&gt;"PLAYER","",IF(OR(M241="",ISNUMBER(FIND(" ",M241))),0,COUNTIF(Players[Name],M241&amp;" ?")))</f>
        <v/>
      </c>
    </row>
    <row r="242" spans="1:27" x14ac:dyDescent="0.45">
      <c r="A242" s="17"/>
      <c r="B242" s="6" t="str">
        <f t="shared" si="63"/>
        <v/>
      </c>
      <c r="C242" s="6" t="str">
        <f t="shared" si="64"/>
        <v/>
      </c>
      <c r="D242" s="6" t="str">
        <f t="shared" si="65"/>
        <v/>
      </c>
      <c r="E242" s="6" t="str">
        <f t="shared" si="66"/>
        <v/>
      </c>
      <c r="F242" s="6" t="str">
        <f t="shared" si="67"/>
        <v/>
      </c>
      <c r="G242" s="6" t="str">
        <f t="shared" si="68"/>
        <v/>
      </c>
      <c r="H242" s="10" t="str">
        <f t="shared" si="69"/>
        <v/>
      </c>
      <c r="I242" s="6" t="str">
        <f t="shared" si="70"/>
        <v/>
      </c>
      <c r="J242" s="3" t="str">
        <f>IFERROR(MATCH(ROWS(J$8:J242),$S$8:$S$257,0),"")</f>
        <v/>
      </c>
      <c r="K242" s="3" t="str">
        <f t="shared" si="71"/>
        <v/>
      </c>
      <c r="L242" s="3" t="str">
        <f t="shared" si="72"/>
        <v/>
      </c>
      <c r="M242" s="3" t="str">
        <f t="shared" si="73"/>
        <v/>
      </c>
      <c r="N242" s="3" t="str">
        <f t="shared" si="74"/>
        <v/>
      </c>
      <c r="O242" s="3">
        <f t="shared" si="75"/>
        <v>1</v>
      </c>
      <c r="P242" s="3">
        <f t="shared" si="76"/>
        <v>0</v>
      </c>
      <c r="Q242" s="3">
        <f t="shared" si="77"/>
        <v>0</v>
      </c>
      <c r="R242" s="3" t="str">
        <f t="shared" si="78"/>
        <v/>
      </c>
      <c r="S242" s="3">
        <f t="shared" si="79"/>
        <v>0</v>
      </c>
      <c r="T242" s="3" t="str">
        <f t="shared" si="80"/>
        <v/>
      </c>
      <c r="U242" s="3" t="str">
        <f t="shared" si="81"/>
        <v/>
      </c>
      <c r="V242" s="3" t="str">
        <f t="shared" si="82"/>
        <v/>
      </c>
      <c r="W242" s="3" t="str">
        <f t="shared" si="83"/>
        <v/>
      </c>
      <c r="X242" s="3" t="str">
        <f>IF(L242&lt;&gt;"PLAYER","",IF(Y242="Y",INDEX(Players[Name],MATCH(M242,Players[Name],0)),IF(Y242="A",INDEX(Players[Name],MATCH(M242&amp;" ?",Players[Name],0)),M242)))</f>
        <v/>
      </c>
      <c r="Y242" s="3" t="str">
        <f>IF(L242&lt;&gt;"PLAYER","",IF(ISNUMBER(MATCH(M242,Players[Name],0)),"Y",IF(AA242=1,"A","N")))</f>
        <v/>
      </c>
      <c r="Z242" s="3" t="str">
        <f>IF(L242&lt;&gt;"PLAYER","",_xlfn.TEXTJOIN("; ",TRUE,IF(M242="","Empty name",IF(Y242="N",IF(AA242&gt;1,"Which "&amp;M242&amp;"? "&amp;AA242&amp;" players start with it (like "&amp;INDEX(Players[Name],MATCH(M242&amp;" ?",Players[Name],0))&amp;") - type the last initial",IF(ISNUMBER(FIND(" ",M242)),IF(IFERROR(IF(M242="",FALSE,OR(M242="Unknown",AND(LEN(M242)-LEN(SUBSTITUTE(M242," ",""))=1,LEN(M242)&gt;=4,MID(M242,LEN(M242)-1,1)=" ",CODE(RIGHT(M242,1))&gt;=65,CODE(RIGHT(M242,1))&lt;=90))),FALSE),"New player? Not on Players list - add it there first","Not on Players list and not First L format (like Zack B)")&amp;IF(ISNUMBER(MATCH(LEFT(M242,FIND(" ",M242)-1)&amp;" ?",Players[Name],0))," (same first name as "&amp;INDEX(Players[Name],MATCH(LEFT(M242,FIND(" ",M242)-1)&amp;" ?",Players[Name],0))&amp;")",""),"Not on Players list - type first name + last initial (like Zack B)")),"")),IF(OR(V242&lt;Pod_Min,V242&gt;Pod_Max),"Pod has "&amp;V242&amp;" players",""),IF(U242=0,IF(T242=0,"No winner (*) in pod",IF(T242&gt;1,T242&amp;" winners in pod","")),IF(U242&lt;V242,"Some = but not all players","")),IF(X242="Unknown","",IF(COUNTIFS($O$8:$O$257,O242,$Q$8:$Q$257,Q242,$X$8:$X$257,X242)&gt;1,"Name twice in pod",IF(COUNTIFS($O$8:$O$257,O242,$X$8:$X$257,X242)&gt;1,"Name in 2 pods this round","")))))</f>
        <v/>
      </c>
      <c r="AA242" s="3" t="str">
        <f>IF(L242&lt;&gt;"PLAYER","",IF(OR(M242="",ISNUMBER(FIND(" ",M242))),0,COUNTIF(Players[Name],M242&amp;" ?")))</f>
        <v/>
      </c>
    </row>
    <row r="243" spans="1:27" x14ac:dyDescent="0.45">
      <c r="A243" s="17"/>
      <c r="B243" s="6" t="str">
        <f t="shared" si="63"/>
        <v/>
      </c>
      <c r="C243" s="6" t="str">
        <f t="shared" si="64"/>
        <v/>
      </c>
      <c r="D243" s="6" t="str">
        <f t="shared" si="65"/>
        <v/>
      </c>
      <c r="E243" s="6" t="str">
        <f t="shared" si="66"/>
        <v/>
      </c>
      <c r="F243" s="6" t="str">
        <f t="shared" si="67"/>
        <v/>
      </c>
      <c r="G243" s="6" t="str">
        <f t="shared" si="68"/>
        <v/>
      </c>
      <c r="H243" s="10" t="str">
        <f t="shared" si="69"/>
        <v/>
      </c>
      <c r="I243" s="6" t="str">
        <f t="shared" si="70"/>
        <v/>
      </c>
      <c r="J243" s="3" t="str">
        <f>IFERROR(MATCH(ROWS(J$8:J243),$S$8:$S$257,0),"")</f>
        <v/>
      </c>
      <c r="K243" s="3" t="str">
        <f t="shared" si="71"/>
        <v/>
      </c>
      <c r="L243" s="3" t="str">
        <f t="shared" si="72"/>
        <v/>
      </c>
      <c r="M243" s="3" t="str">
        <f t="shared" si="73"/>
        <v/>
      </c>
      <c r="N243" s="3" t="str">
        <f t="shared" si="74"/>
        <v/>
      </c>
      <c r="O243" s="3">
        <f t="shared" si="75"/>
        <v>1</v>
      </c>
      <c r="P243" s="3">
        <f t="shared" si="76"/>
        <v>0</v>
      </c>
      <c r="Q243" s="3">
        <f t="shared" si="77"/>
        <v>0</v>
      </c>
      <c r="R243" s="3" t="str">
        <f t="shared" si="78"/>
        <v/>
      </c>
      <c r="S243" s="3">
        <f t="shared" si="79"/>
        <v>0</v>
      </c>
      <c r="T243" s="3" t="str">
        <f t="shared" si="80"/>
        <v/>
      </c>
      <c r="U243" s="3" t="str">
        <f t="shared" si="81"/>
        <v/>
      </c>
      <c r="V243" s="3" t="str">
        <f t="shared" si="82"/>
        <v/>
      </c>
      <c r="W243" s="3" t="str">
        <f t="shared" si="83"/>
        <v/>
      </c>
      <c r="X243" s="3" t="str">
        <f>IF(L243&lt;&gt;"PLAYER","",IF(Y243="Y",INDEX(Players[Name],MATCH(M243,Players[Name],0)),IF(Y243="A",INDEX(Players[Name],MATCH(M243&amp;" ?",Players[Name],0)),M243)))</f>
        <v/>
      </c>
      <c r="Y243" s="3" t="str">
        <f>IF(L243&lt;&gt;"PLAYER","",IF(ISNUMBER(MATCH(M243,Players[Name],0)),"Y",IF(AA243=1,"A","N")))</f>
        <v/>
      </c>
      <c r="Z243" s="3" t="str">
        <f>IF(L243&lt;&gt;"PLAYER","",_xlfn.TEXTJOIN("; ",TRUE,IF(M243="","Empty name",IF(Y243="N",IF(AA243&gt;1,"Which "&amp;M243&amp;"? "&amp;AA243&amp;" players start with it (like "&amp;INDEX(Players[Name],MATCH(M243&amp;" ?",Players[Name],0))&amp;") - type the last initial",IF(ISNUMBER(FIND(" ",M243)),IF(IFERROR(IF(M243="",FALSE,OR(M243="Unknown",AND(LEN(M243)-LEN(SUBSTITUTE(M243," ",""))=1,LEN(M243)&gt;=4,MID(M243,LEN(M243)-1,1)=" ",CODE(RIGHT(M243,1))&gt;=65,CODE(RIGHT(M243,1))&lt;=90))),FALSE),"New player? Not on Players list - add it there first","Not on Players list and not First L format (like Zack B)")&amp;IF(ISNUMBER(MATCH(LEFT(M243,FIND(" ",M243)-1)&amp;" ?",Players[Name],0))," (same first name as "&amp;INDEX(Players[Name],MATCH(LEFT(M243,FIND(" ",M243)-1)&amp;" ?",Players[Name],0))&amp;")",""),"Not on Players list - type first name + last initial (like Zack B)")),"")),IF(OR(V243&lt;Pod_Min,V243&gt;Pod_Max),"Pod has "&amp;V243&amp;" players",""),IF(U243=0,IF(T243=0,"No winner (*) in pod",IF(T243&gt;1,T243&amp;" winners in pod","")),IF(U243&lt;V243,"Some = but not all players","")),IF(X243="Unknown","",IF(COUNTIFS($O$8:$O$257,O243,$Q$8:$Q$257,Q243,$X$8:$X$257,X243)&gt;1,"Name twice in pod",IF(COUNTIFS($O$8:$O$257,O243,$X$8:$X$257,X243)&gt;1,"Name in 2 pods this round","")))))</f>
        <v/>
      </c>
      <c r="AA243" s="3" t="str">
        <f>IF(L243&lt;&gt;"PLAYER","",IF(OR(M243="",ISNUMBER(FIND(" ",M243))),0,COUNTIF(Players[Name],M243&amp;" ?")))</f>
        <v/>
      </c>
    </row>
    <row r="244" spans="1:27" x14ac:dyDescent="0.45">
      <c r="A244" s="17"/>
      <c r="B244" s="6" t="str">
        <f t="shared" si="63"/>
        <v/>
      </c>
      <c r="C244" s="6" t="str">
        <f t="shared" si="64"/>
        <v/>
      </c>
      <c r="D244" s="6" t="str">
        <f t="shared" si="65"/>
        <v/>
      </c>
      <c r="E244" s="6" t="str">
        <f t="shared" si="66"/>
        <v/>
      </c>
      <c r="F244" s="6" t="str">
        <f t="shared" si="67"/>
        <v/>
      </c>
      <c r="G244" s="6" t="str">
        <f t="shared" si="68"/>
        <v/>
      </c>
      <c r="H244" s="10" t="str">
        <f t="shared" si="69"/>
        <v/>
      </c>
      <c r="I244" s="6" t="str">
        <f t="shared" si="70"/>
        <v/>
      </c>
      <c r="J244" s="3" t="str">
        <f>IFERROR(MATCH(ROWS(J$8:J244),$S$8:$S$257,0),"")</f>
        <v/>
      </c>
      <c r="K244" s="3" t="str">
        <f t="shared" si="71"/>
        <v/>
      </c>
      <c r="L244" s="3" t="str">
        <f t="shared" si="72"/>
        <v/>
      </c>
      <c r="M244" s="3" t="str">
        <f t="shared" si="73"/>
        <v/>
      </c>
      <c r="N244" s="3" t="str">
        <f t="shared" si="74"/>
        <v/>
      </c>
      <c r="O244" s="3">
        <f t="shared" si="75"/>
        <v>1</v>
      </c>
      <c r="P244" s="3">
        <f t="shared" si="76"/>
        <v>0</v>
      </c>
      <c r="Q244" s="3">
        <f t="shared" si="77"/>
        <v>0</v>
      </c>
      <c r="R244" s="3" t="str">
        <f t="shared" si="78"/>
        <v/>
      </c>
      <c r="S244" s="3">
        <f t="shared" si="79"/>
        <v>0</v>
      </c>
      <c r="T244" s="3" t="str">
        <f t="shared" si="80"/>
        <v/>
      </c>
      <c r="U244" s="3" t="str">
        <f t="shared" si="81"/>
        <v/>
      </c>
      <c r="V244" s="3" t="str">
        <f t="shared" si="82"/>
        <v/>
      </c>
      <c r="W244" s="3" t="str">
        <f t="shared" si="83"/>
        <v/>
      </c>
      <c r="X244" s="3" t="str">
        <f>IF(L244&lt;&gt;"PLAYER","",IF(Y244="Y",INDEX(Players[Name],MATCH(M244,Players[Name],0)),IF(Y244="A",INDEX(Players[Name],MATCH(M244&amp;" ?",Players[Name],0)),M244)))</f>
        <v/>
      </c>
      <c r="Y244" s="3" t="str">
        <f>IF(L244&lt;&gt;"PLAYER","",IF(ISNUMBER(MATCH(M244,Players[Name],0)),"Y",IF(AA244=1,"A","N")))</f>
        <v/>
      </c>
      <c r="Z244" s="3" t="str">
        <f>IF(L244&lt;&gt;"PLAYER","",_xlfn.TEXTJOIN("; ",TRUE,IF(M244="","Empty name",IF(Y244="N",IF(AA244&gt;1,"Which "&amp;M244&amp;"? "&amp;AA244&amp;" players start with it (like "&amp;INDEX(Players[Name],MATCH(M244&amp;" ?",Players[Name],0))&amp;") - type the last initial",IF(ISNUMBER(FIND(" ",M244)),IF(IFERROR(IF(M244="",FALSE,OR(M244="Unknown",AND(LEN(M244)-LEN(SUBSTITUTE(M244," ",""))=1,LEN(M244)&gt;=4,MID(M244,LEN(M244)-1,1)=" ",CODE(RIGHT(M244,1))&gt;=65,CODE(RIGHT(M244,1))&lt;=90))),FALSE),"New player? Not on Players list - add it there first","Not on Players list and not First L format (like Zack B)")&amp;IF(ISNUMBER(MATCH(LEFT(M244,FIND(" ",M244)-1)&amp;" ?",Players[Name],0))," (same first name as "&amp;INDEX(Players[Name],MATCH(LEFT(M244,FIND(" ",M244)-1)&amp;" ?",Players[Name],0))&amp;")",""),"Not on Players list - type first name + last initial (like Zack B)")),"")),IF(OR(V244&lt;Pod_Min,V244&gt;Pod_Max),"Pod has "&amp;V244&amp;" players",""),IF(U244=0,IF(T244=0,"No winner (*) in pod",IF(T244&gt;1,T244&amp;" winners in pod","")),IF(U244&lt;V244,"Some = but not all players","")),IF(X244="Unknown","",IF(COUNTIFS($O$8:$O$257,O244,$Q$8:$Q$257,Q244,$X$8:$X$257,X244)&gt;1,"Name twice in pod",IF(COUNTIFS($O$8:$O$257,O244,$X$8:$X$257,X244)&gt;1,"Name in 2 pods this round","")))))</f>
        <v/>
      </c>
      <c r="AA244" s="3" t="str">
        <f>IF(L244&lt;&gt;"PLAYER","",IF(OR(M244="",ISNUMBER(FIND(" ",M244))),0,COUNTIF(Players[Name],M244&amp;" ?")))</f>
        <v/>
      </c>
    </row>
    <row r="245" spans="1:27" x14ac:dyDescent="0.45">
      <c r="A245" s="17"/>
      <c r="B245" s="6" t="str">
        <f t="shared" si="63"/>
        <v/>
      </c>
      <c r="C245" s="6" t="str">
        <f t="shared" si="64"/>
        <v/>
      </c>
      <c r="D245" s="6" t="str">
        <f t="shared" si="65"/>
        <v/>
      </c>
      <c r="E245" s="6" t="str">
        <f t="shared" si="66"/>
        <v/>
      </c>
      <c r="F245" s="6" t="str">
        <f t="shared" si="67"/>
        <v/>
      </c>
      <c r="G245" s="6" t="str">
        <f t="shared" si="68"/>
        <v/>
      </c>
      <c r="H245" s="10" t="str">
        <f t="shared" si="69"/>
        <v/>
      </c>
      <c r="I245" s="6" t="str">
        <f t="shared" si="70"/>
        <v/>
      </c>
      <c r="J245" s="3" t="str">
        <f>IFERROR(MATCH(ROWS(J$8:J245),$S$8:$S$257,0),"")</f>
        <v/>
      </c>
      <c r="K245" s="3" t="str">
        <f t="shared" si="71"/>
        <v/>
      </c>
      <c r="L245" s="3" t="str">
        <f t="shared" si="72"/>
        <v/>
      </c>
      <c r="M245" s="3" t="str">
        <f t="shared" si="73"/>
        <v/>
      </c>
      <c r="N245" s="3" t="str">
        <f t="shared" si="74"/>
        <v/>
      </c>
      <c r="O245" s="3">
        <f t="shared" si="75"/>
        <v>1</v>
      </c>
      <c r="P245" s="3">
        <f t="shared" si="76"/>
        <v>0</v>
      </c>
      <c r="Q245" s="3">
        <f t="shared" si="77"/>
        <v>0</v>
      </c>
      <c r="R245" s="3" t="str">
        <f t="shared" si="78"/>
        <v/>
      </c>
      <c r="S245" s="3">
        <f t="shared" si="79"/>
        <v>0</v>
      </c>
      <c r="T245" s="3" t="str">
        <f t="shared" si="80"/>
        <v/>
      </c>
      <c r="U245" s="3" t="str">
        <f t="shared" si="81"/>
        <v/>
      </c>
      <c r="V245" s="3" t="str">
        <f t="shared" si="82"/>
        <v/>
      </c>
      <c r="W245" s="3" t="str">
        <f t="shared" si="83"/>
        <v/>
      </c>
      <c r="X245" s="3" t="str">
        <f>IF(L245&lt;&gt;"PLAYER","",IF(Y245="Y",INDEX(Players[Name],MATCH(M245,Players[Name],0)),IF(Y245="A",INDEX(Players[Name],MATCH(M245&amp;" ?",Players[Name],0)),M245)))</f>
        <v/>
      </c>
      <c r="Y245" s="3" t="str">
        <f>IF(L245&lt;&gt;"PLAYER","",IF(ISNUMBER(MATCH(M245,Players[Name],0)),"Y",IF(AA245=1,"A","N")))</f>
        <v/>
      </c>
      <c r="Z245" s="3" t="str">
        <f>IF(L245&lt;&gt;"PLAYER","",_xlfn.TEXTJOIN("; ",TRUE,IF(M245="","Empty name",IF(Y245="N",IF(AA245&gt;1,"Which "&amp;M245&amp;"? "&amp;AA245&amp;" players start with it (like "&amp;INDEX(Players[Name],MATCH(M245&amp;" ?",Players[Name],0))&amp;") - type the last initial",IF(ISNUMBER(FIND(" ",M245)),IF(IFERROR(IF(M245="",FALSE,OR(M245="Unknown",AND(LEN(M245)-LEN(SUBSTITUTE(M245," ",""))=1,LEN(M245)&gt;=4,MID(M245,LEN(M245)-1,1)=" ",CODE(RIGHT(M245,1))&gt;=65,CODE(RIGHT(M245,1))&lt;=90))),FALSE),"New player? Not on Players list - add it there first","Not on Players list and not First L format (like Zack B)")&amp;IF(ISNUMBER(MATCH(LEFT(M245,FIND(" ",M245)-1)&amp;" ?",Players[Name],0))," (same first name as "&amp;INDEX(Players[Name],MATCH(LEFT(M245,FIND(" ",M245)-1)&amp;" ?",Players[Name],0))&amp;")",""),"Not on Players list - type first name + last initial (like Zack B)")),"")),IF(OR(V245&lt;Pod_Min,V245&gt;Pod_Max),"Pod has "&amp;V245&amp;" players",""),IF(U245=0,IF(T245=0,"No winner (*) in pod",IF(T245&gt;1,T245&amp;" winners in pod","")),IF(U245&lt;V245,"Some = but not all players","")),IF(X245="Unknown","",IF(COUNTIFS($O$8:$O$257,O245,$Q$8:$Q$257,Q245,$X$8:$X$257,X245)&gt;1,"Name twice in pod",IF(COUNTIFS($O$8:$O$257,O245,$X$8:$X$257,X245)&gt;1,"Name in 2 pods this round","")))))</f>
        <v/>
      </c>
      <c r="AA245" s="3" t="str">
        <f>IF(L245&lt;&gt;"PLAYER","",IF(OR(M245="",ISNUMBER(FIND(" ",M245))),0,COUNTIF(Players[Name],M245&amp;" ?")))</f>
        <v/>
      </c>
    </row>
    <row r="246" spans="1:27" x14ac:dyDescent="0.45">
      <c r="A246" s="17"/>
      <c r="B246" s="6" t="str">
        <f t="shared" si="63"/>
        <v/>
      </c>
      <c r="C246" s="6" t="str">
        <f t="shared" si="64"/>
        <v/>
      </c>
      <c r="D246" s="6" t="str">
        <f t="shared" si="65"/>
        <v/>
      </c>
      <c r="E246" s="6" t="str">
        <f t="shared" si="66"/>
        <v/>
      </c>
      <c r="F246" s="6" t="str">
        <f t="shared" si="67"/>
        <v/>
      </c>
      <c r="G246" s="6" t="str">
        <f t="shared" si="68"/>
        <v/>
      </c>
      <c r="H246" s="10" t="str">
        <f t="shared" si="69"/>
        <v/>
      </c>
      <c r="I246" s="6" t="str">
        <f t="shared" si="70"/>
        <v/>
      </c>
      <c r="J246" s="3" t="str">
        <f>IFERROR(MATCH(ROWS(J$8:J246),$S$8:$S$257,0),"")</f>
        <v/>
      </c>
      <c r="K246" s="3" t="str">
        <f t="shared" si="71"/>
        <v/>
      </c>
      <c r="L246" s="3" t="str">
        <f t="shared" si="72"/>
        <v/>
      </c>
      <c r="M246" s="3" t="str">
        <f t="shared" si="73"/>
        <v/>
      </c>
      <c r="N246" s="3" t="str">
        <f t="shared" si="74"/>
        <v/>
      </c>
      <c r="O246" s="3">
        <f t="shared" si="75"/>
        <v>1</v>
      </c>
      <c r="P246" s="3">
        <f t="shared" si="76"/>
        <v>0</v>
      </c>
      <c r="Q246" s="3">
        <f t="shared" si="77"/>
        <v>0</v>
      </c>
      <c r="R246" s="3" t="str">
        <f t="shared" si="78"/>
        <v/>
      </c>
      <c r="S246" s="3">
        <f t="shared" si="79"/>
        <v>0</v>
      </c>
      <c r="T246" s="3" t="str">
        <f t="shared" si="80"/>
        <v/>
      </c>
      <c r="U246" s="3" t="str">
        <f t="shared" si="81"/>
        <v/>
      </c>
      <c r="V246" s="3" t="str">
        <f t="shared" si="82"/>
        <v/>
      </c>
      <c r="W246" s="3" t="str">
        <f t="shared" si="83"/>
        <v/>
      </c>
      <c r="X246" s="3" t="str">
        <f>IF(L246&lt;&gt;"PLAYER","",IF(Y246="Y",INDEX(Players[Name],MATCH(M246,Players[Name],0)),IF(Y246="A",INDEX(Players[Name],MATCH(M246&amp;" ?",Players[Name],0)),M246)))</f>
        <v/>
      </c>
      <c r="Y246" s="3" t="str">
        <f>IF(L246&lt;&gt;"PLAYER","",IF(ISNUMBER(MATCH(M246,Players[Name],0)),"Y",IF(AA246=1,"A","N")))</f>
        <v/>
      </c>
      <c r="Z246" s="3" t="str">
        <f>IF(L246&lt;&gt;"PLAYER","",_xlfn.TEXTJOIN("; ",TRUE,IF(M246="","Empty name",IF(Y246="N",IF(AA246&gt;1,"Which "&amp;M246&amp;"? "&amp;AA246&amp;" players start with it (like "&amp;INDEX(Players[Name],MATCH(M246&amp;" ?",Players[Name],0))&amp;") - type the last initial",IF(ISNUMBER(FIND(" ",M246)),IF(IFERROR(IF(M246="",FALSE,OR(M246="Unknown",AND(LEN(M246)-LEN(SUBSTITUTE(M246," ",""))=1,LEN(M246)&gt;=4,MID(M246,LEN(M246)-1,1)=" ",CODE(RIGHT(M246,1))&gt;=65,CODE(RIGHT(M246,1))&lt;=90))),FALSE),"New player? Not on Players list - add it there first","Not on Players list and not First L format (like Zack B)")&amp;IF(ISNUMBER(MATCH(LEFT(M246,FIND(" ",M246)-1)&amp;" ?",Players[Name],0))," (same first name as "&amp;INDEX(Players[Name],MATCH(LEFT(M246,FIND(" ",M246)-1)&amp;" ?",Players[Name],0))&amp;")",""),"Not on Players list - type first name + last initial (like Zack B)")),"")),IF(OR(V246&lt;Pod_Min,V246&gt;Pod_Max),"Pod has "&amp;V246&amp;" players",""),IF(U246=0,IF(T246=0,"No winner (*) in pod",IF(T246&gt;1,T246&amp;" winners in pod","")),IF(U246&lt;V246,"Some = but not all players","")),IF(X246="Unknown","",IF(COUNTIFS($O$8:$O$257,O246,$Q$8:$Q$257,Q246,$X$8:$X$257,X246)&gt;1,"Name twice in pod",IF(COUNTIFS($O$8:$O$257,O246,$X$8:$X$257,X246)&gt;1,"Name in 2 pods this round","")))))</f>
        <v/>
      </c>
      <c r="AA246" s="3" t="str">
        <f>IF(L246&lt;&gt;"PLAYER","",IF(OR(M246="",ISNUMBER(FIND(" ",M246))),0,COUNTIF(Players[Name],M246&amp;" ?")))</f>
        <v/>
      </c>
    </row>
    <row r="247" spans="1:27" x14ac:dyDescent="0.45">
      <c r="A247" s="17"/>
      <c r="B247" s="6" t="str">
        <f t="shared" si="63"/>
        <v/>
      </c>
      <c r="C247" s="6" t="str">
        <f t="shared" si="64"/>
        <v/>
      </c>
      <c r="D247" s="6" t="str">
        <f t="shared" si="65"/>
        <v/>
      </c>
      <c r="E247" s="6" t="str">
        <f t="shared" si="66"/>
        <v/>
      </c>
      <c r="F247" s="6" t="str">
        <f t="shared" si="67"/>
        <v/>
      </c>
      <c r="G247" s="6" t="str">
        <f t="shared" si="68"/>
        <v/>
      </c>
      <c r="H247" s="10" t="str">
        <f t="shared" si="69"/>
        <v/>
      </c>
      <c r="I247" s="6" t="str">
        <f t="shared" si="70"/>
        <v/>
      </c>
      <c r="J247" s="3" t="str">
        <f>IFERROR(MATCH(ROWS(J$8:J247),$S$8:$S$257,0),"")</f>
        <v/>
      </c>
      <c r="K247" s="3" t="str">
        <f t="shared" si="71"/>
        <v/>
      </c>
      <c r="L247" s="3" t="str">
        <f t="shared" si="72"/>
        <v/>
      </c>
      <c r="M247" s="3" t="str">
        <f t="shared" si="73"/>
        <v/>
      </c>
      <c r="N247" s="3" t="str">
        <f t="shared" si="74"/>
        <v/>
      </c>
      <c r="O247" s="3">
        <f t="shared" si="75"/>
        <v>1</v>
      </c>
      <c r="P247" s="3">
        <f t="shared" si="76"/>
        <v>0</v>
      </c>
      <c r="Q247" s="3">
        <f t="shared" si="77"/>
        <v>0</v>
      </c>
      <c r="R247" s="3" t="str">
        <f t="shared" si="78"/>
        <v/>
      </c>
      <c r="S247" s="3">
        <f t="shared" si="79"/>
        <v>0</v>
      </c>
      <c r="T247" s="3" t="str">
        <f t="shared" si="80"/>
        <v/>
      </c>
      <c r="U247" s="3" t="str">
        <f t="shared" si="81"/>
        <v/>
      </c>
      <c r="V247" s="3" t="str">
        <f t="shared" si="82"/>
        <v/>
      </c>
      <c r="W247" s="3" t="str">
        <f t="shared" si="83"/>
        <v/>
      </c>
      <c r="X247" s="3" t="str">
        <f>IF(L247&lt;&gt;"PLAYER","",IF(Y247="Y",INDEX(Players[Name],MATCH(M247,Players[Name],0)),IF(Y247="A",INDEX(Players[Name],MATCH(M247&amp;" ?",Players[Name],0)),M247)))</f>
        <v/>
      </c>
      <c r="Y247" s="3" t="str">
        <f>IF(L247&lt;&gt;"PLAYER","",IF(ISNUMBER(MATCH(M247,Players[Name],0)),"Y",IF(AA247=1,"A","N")))</f>
        <v/>
      </c>
      <c r="Z247" s="3" t="str">
        <f>IF(L247&lt;&gt;"PLAYER","",_xlfn.TEXTJOIN("; ",TRUE,IF(M247="","Empty name",IF(Y247="N",IF(AA247&gt;1,"Which "&amp;M247&amp;"? "&amp;AA247&amp;" players start with it (like "&amp;INDEX(Players[Name],MATCH(M247&amp;" ?",Players[Name],0))&amp;") - type the last initial",IF(ISNUMBER(FIND(" ",M247)),IF(IFERROR(IF(M247="",FALSE,OR(M247="Unknown",AND(LEN(M247)-LEN(SUBSTITUTE(M247," ",""))=1,LEN(M247)&gt;=4,MID(M247,LEN(M247)-1,1)=" ",CODE(RIGHT(M247,1))&gt;=65,CODE(RIGHT(M247,1))&lt;=90))),FALSE),"New player? Not on Players list - add it there first","Not on Players list and not First L format (like Zack B)")&amp;IF(ISNUMBER(MATCH(LEFT(M247,FIND(" ",M247)-1)&amp;" ?",Players[Name],0))," (same first name as "&amp;INDEX(Players[Name],MATCH(LEFT(M247,FIND(" ",M247)-1)&amp;" ?",Players[Name],0))&amp;")",""),"Not on Players list - type first name + last initial (like Zack B)")),"")),IF(OR(V247&lt;Pod_Min,V247&gt;Pod_Max),"Pod has "&amp;V247&amp;" players",""),IF(U247=0,IF(T247=0,"No winner (*) in pod",IF(T247&gt;1,T247&amp;" winners in pod","")),IF(U247&lt;V247,"Some = but not all players","")),IF(X247="Unknown","",IF(COUNTIFS($O$8:$O$257,O247,$Q$8:$Q$257,Q247,$X$8:$X$257,X247)&gt;1,"Name twice in pod",IF(COUNTIFS($O$8:$O$257,O247,$X$8:$X$257,X247)&gt;1,"Name in 2 pods this round","")))))</f>
        <v/>
      </c>
      <c r="AA247" s="3" t="str">
        <f>IF(L247&lt;&gt;"PLAYER","",IF(OR(M247="",ISNUMBER(FIND(" ",M247))),0,COUNTIF(Players[Name],M247&amp;" ?")))</f>
        <v/>
      </c>
    </row>
    <row r="248" spans="1:27" x14ac:dyDescent="0.45">
      <c r="A248" s="17"/>
      <c r="B248" s="6" t="str">
        <f t="shared" si="63"/>
        <v/>
      </c>
      <c r="C248" s="6" t="str">
        <f t="shared" si="64"/>
        <v/>
      </c>
      <c r="D248" s="6" t="str">
        <f t="shared" si="65"/>
        <v/>
      </c>
      <c r="E248" s="6" t="str">
        <f t="shared" si="66"/>
        <v/>
      </c>
      <c r="F248" s="6" t="str">
        <f t="shared" si="67"/>
        <v/>
      </c>
      <c r="G248" s="6" t="str">
        <f t="shared" si="68"/>
        <v/>
      </c>
      <c r="H248" s="10" t="str">
        <f t="shared" si="69"/>
        <v/>
      </c>
      <c r="I248" s="6" t="str">
        <f t="shared" si="70"/>
        <v/>
      </c>
      <c r="J248" s="3" t="str">
        <f>IFERROR(MATCH(ROWS(J$8:J248),$S$8:$S$257,0),"")</f>
        <v/>
      </c>
      <c r="K248" s="3" t="str">
        <f t="shared" si="71"/>
        <v/>
      </c>
      <c r="L248" s="3" t="str">
        <f t="shared" si="72"/>
        <v/>
      </c>
      <c r="M248" s="3" t="str">
        <f t="shared" si="73"/>
        <v/>
      </c>
      <c r="N248" s="3" t="str">
        <f t="shared" si="74"/>
        <v/>
      </c>
      <c r="O248" s="3">
        <f t="shared" si="75"/>
        <v>1</v>
      </c>
      <c r="P248" s="3">
        <f t="shared" si="76"/>
        <v>0</v>
      </c>
      <c r="Q248" s="3">
        <f t="shared" si="77"/>
        <v>0</v>
      </c>
      <c r="R248" s="3" t="str">
        <f t="shared" si="78"/>
        <v/>
      </c>
      <c r="S248" s="3">
        <f t="shared" si="79"/>
        <v>0</v>
      </c>
      <c r="T248" s="3" t="str">
        <f t="shared" si="80"/>
        <v/>
      </c>
      <c r="U248" s="3" t="str">
        <f t="shared" si="81"/>
        <v/>
      </c>
      <c r="V248" s="3" t="str">
        <f t="shared" si="82"/>
        <v/>
      </c>
      <c r="W248" s="3" t="str">
        <f t="shared" si="83"/>
        <v/>
      </c>
      <c r="X248" s="3" t="str">
        <f>IF(L248&lt;&gt;"PLAYER","",IF(Y248="Y",INDEX(Players[Name],MATCH(M248,Players[Name],0)),IF(Y248="A",INDEX(Players[Name],MATCH(M248&amp;" ?",Players[Name],0)),M248)))</f>
        <v/>
      </c>
      <c r="Y248" s="3" t="str">
        <f>IF(L248&lt;&gt;"PLAYER","",IF(ISNUMBER(MATCH(M248,Players[Name],0)),"Y",IF(AA248=1,"A","N")))</f>
        <v/>
      </c>
      <c r="Z248" s="3" t="str">
        <f>IF(L248&lt;&gt;"PLAYER","",_xlfn.TEXTJOIN("; ",TRUE,IF(M248="","Empty name",IF(Y248="N",IF(AA248&gt;1,"Which "&amp;M248&amp;"? "&amp;AA248&amp;" players start with it (like "&amp;INDEX(Players[Name],MATCH(M248&amp;" ?",Players[Name],0))&amp;") - type the last initial",IF(ISNUMBER(FIND(" ",M248)),IF(IFERROR(IF(M248="",FALSE,OR(M248="Unknown",AND(LEN(M248)-LEN(SUBSTITUTE(M248," ",""))=1,LEN(M248)&gt;=4,MID(M248,LEN(M248)-1,1)=" ",CODE(RIGHT(M248,1))&gt;=65,CODE(RIGHT(M248,1))&lt;=90))),FALSE),"New player? Not on Players list - add it there first","Not on Players list and not First L format (like Zack B)")&amp;IF(ISNUMBER(MATCH(LEFT(M248,FIND(" ",M248)-1)&amp;" ?",Players[Name],0))," (same first name as "&amp;INDEX(Players[Name],MATCH(LEFT(M248,FIND(" ",M248)-1)&amp;" ?",Players[Name],0))&amp;")",""),"Not on Players list - type first name + last initial (like Zack B)")),"")),IF(OR(V248&lt;Pod_Min,V248&gt;Pod_Max),"Pod has "&amp;V248&amp;" players",""),IF(U248=0,IF(T248=0,"No winner (*) in pod",IF(T248&gt;1,T248&amp;" winners in pod","")),IF(U248&lt;V248,"Some = but not all players","")),IF(X248="Unknown","",IF(COUNTIFS($O$8:$O$257,O248,$Q$8:$Q$257,Q248,$X$8:$X$257,X248)&gt;1,"Name twice in pod",IF(COUNTIFS($O$8:$O$257,O248,$X$8:$X$257,X248)&gt;1,"Name in 2 pods this round","")))))</f>
        <v/>
      </c>
      <c r="AA248" s="3" t="str">
        <f>IF(L248&lt;&gt;"PLAYER","",IF(OR(M248="",ISNUMBER(FIND(" ",M248))),0,COUNTIF(Players[Name],M248&amp;" ?")))</f>
        <v/>
      </c>
    </row>
    <row r="249" spans="1:27" x14ac:dyDescent="0.45">
      <c r="A249" s="17"/>
      <c r="B249" s="6" t="str">
        <f t="shared" si="63"/>
        <v/>
      </c>
      <c r="C249" s="6" t="str">
        <f t="shared" si="64"/>
        <v/>
      </c>
      <c r="D249" s="6" t="str">
        <f t="shared" si="65"/>
        <v/>
      </c>
      <c r="E249" s="6" t="str">
        <f t="shared" si="66"/>
        <v/>
      </c>
      <c r="F249" s="6" t="str">
        <f t="shared" si="67"/>
        <v/>
      </c>
      <c r="G249" s="6" t="str">
        <f t="shared" si="68"/>
        <v/>
      </c>
      <c r="H249" s="10" t="str">
        <f t="shared" si="69"/>
        <v/>
      </c>
      <c r="I249" s="6" t="str">
        <f t="shared" si="70"/>
        <v/>
      </c>
      <c r="J249" s="3" t="str">
        <f>IFERROR(MATCH(ROWS(J$8:J249),$S$8:$S$257,0),"")</f>
        <v/>
      </c>
      <c r="K249" s="3" t="str">
        <f t="shared" si="71"/>
        <v/>
      </c>
      <c r="L249" s="3" t="str">
        <f t="shared" si="72"/>
        <v/>
      </c>
      <c r="M249" s="3" t="str">
        <f t="shared" si="73"/>
        <v/>
      </c>
      <c r="N249" s="3" t="str">
        <f t="shared" si="74"/>
        <v/>
      </c>
      <c r="O249" s="3">
        <f t="shared" si="75"/>
        <v>1</v>
      </c>
      <c r="P249" s="3">
        <f t="shared" si="76"/>
        <v>0</v>
      </c>
      <c r="Q249" s="3">
        <f t="shared" si="77"/>
        <v>0</v>
      </c>
      <c r="R249" s="3" t="str">
        <f t="shared" si="78"/>
        <v/>
      </c>
      <c r="S249" s="3">
        <f t="shared" si="79"/>
        <v>0</v>
      </c>
      <c r="T249" s="3" t="str">
        <f t="shared" si="80"/>
        <v/>
      </c>
      <c r="U249" s="3" t="str">
        <f t="shared" si="81"/>
        <v/>
      </c>
      <c r="V249" s="3" t="str">
        <f t="shared" si="82"/>
        <v/>
      </c>
      <c r="W249" s="3" t="str">
        <f t="shared" si="83"/>
        <v/>
      </c>
      <c r="X249" s="3" t="str">
        <f>IF(L249&lt;&gt;"PLAYER","",IF(Y249="Y",INDEX(Players[Name],MATCH(M249,Players[Name],0)),IF(Y249="A",INDEX(Players[Name],MATCH(M249&amp;" ?",Players[Name],0)),M249)))</f>
        <v/>
      </c>
      <c r="Y249" s="3" t="str">
        <f>IF(L249&lt;&gt;"PLAYER","",IF(ISNUMBER(MATCH(M249,Players[Name],0)),"Y",IF(AA249=1,"A","N")))</f>
        <v/>
      </c>
      <c r="Z249" s="3" t="str">
        <f>IF(L249&lt;&gt;"PLAYER","",_xlfn.TEXTJOIN("; ",TRUE,IF(M249="","Empty name",IF(Y249="N",IF(AA249&gt;1,"Which "&amp;M249&amp;"? "&amp;AA249&amp;" players start with it (like "&amp;INDEX(Players[Name],MATCH(M249&amp;" ?",Players[Name],0))&amp;") - type the last initial",IF(ISNUMBER(FIND(" ",M249)),IF(IFERROR(IF(M249="",FALSE,OR(M249="Unknown",AND(LEN(M249)-LEN(SUBSTITUTE(M249," ",""))=1,LEN(M249)&gt;=4,MID(M249,LEN(M249)-1,1)=" ",CODE(RIGHT(M249,1))&gt;=65,CODE(RIGHT(M249,1))&lt;=90))),FALSE),"New player? Not on Players list - add it there first","Not on Players list and not First L format (like Zack B)")&amp;IF(ISNUMBER(MATCH(LEFT(M249,FIND(" ",M249)-1)&amp;" ?",Players[Name],0))," (same first name as "&amp;INDEX(Players[Name],MATCH(LEFT(M249,FIND(" ",M249)-1)&amp;" ?",Players[Name],0))&amp;")",""),"Not on Players list - type first name + last initial (like Zack B)")),"")),IF(OR(V249&lt;Pod_Min,V249&gt;Pod_Max),"Pod has "&amp;V249&amp;" players",""),IF(U249=0,IF(T249=0,"No winner (*) in pod",IF(T249&gt;1,T249&amp;" winners in pod","")),IF(U249&lt;V249,"Some = but not all players","")),IF(X249="Unknown","",IF(COUNTIFS($O$8:$O$257,O249,$Q$8:$Q$257,Q249,$X$8:$X$257,X249)&gt;1,"Name twice in pod",IF(COUNTIFS($O$8:$O$257,O249,$X$8:$X$257,X249)&gt;1,"Name in 2 pods this round","")))))</f>
        <v/>
      </c>
      <c r="AA249" s="3" t="str">
        <f>IF(L249&lt;&gt;"PLAYER","",IF(OR(M249="",ISNUMBER(FIND(" ",M249))),0,COUNTIF(Players[Name],M249&amp;" ?")))</f>
        <v/>
      </c>
    </row>
    <row r="250" spans="1:27" x14ac:dyDescent="0.45">
      <c r="A250" s="17"/>
      <c r="B250" s="6" t="str">
        <f t="shared" si="63"/>
        <v/>
      </c>
      <c r="C250" s="6" t="str">
        <f t="shared" si="64"/>
        <v/>
      </c>
      <c r="D250" s="6" t="str">
        <f t="shared" si="65"/>
        <v/>
      </c>
      <c r="E250" s="6" t="str">
        <f t="shared" si="66"/>
        <v/>
      </c>
      <c r="F250" s="6" t="str">
        <f t="shared" si="67"/>
        <v/>
      </c>
      <c r="G250" s="6" t="str">
        <f t="shared" si="68"/>
        <v/>
      </c>
      <c r="H250" s="10" t="str">
        <f t="shared" si="69"/>
        <v/>
      </c>
      <c r="I250" s="6" t="str">
        <f t="shared" si="70"/>
        <v/>
      </c>
      <c r="J250" s="3" t="str">
        <f>IFERROR(MATCH(ROWS(J$8:J250),$S$8:$S$257,0),"")</f>
        <v/>
      </c>
      <c r="K250" s="3" t="str">
        <f t="shared" si="71"/>
        <v/>
      </c>
      <c r="L250" s="3" t="str">
        <f t="shared" si="72"/>
        <v/>
      </c>
      <c r="M250" s="3" t="str">
        <f t="shared" si="73"/>
        <v/>
      </c>
      <c r="N250" s="3" t="str">
        <f t="shared" si="74"/>
        <v/>
      </c>
      <c r="O250" s="3">
        <f t="shared" si="75"/>
        <v>1</v>
      </c>
      <c r="P250" s="3">
        <f t="shared" si="76"/>
        <v>0</v>
      </c>
      <c r="Q250" s="3">
        <f t="shared" si="77"/>
        <v>0</v>
      </c>
      <c r="R250" s="3" t="str">
        <f t="shared" si="78"/>
        <v/>
      </c>
      <c r="S250" s="3">
        <f t="shared" si="79"/>
        <v>0</v>
      </c>
      <c r="T250" s="3" t="str">
        <f t="shared" si="80"/>
        <v/>
      </c>
      <c r="U250" s="3" t="str">
        <f t="shared" si="81"/>
        <v/>
      </c>
      <c r="V250" s="3" t="str">
        <f t="shared" si="82"/>
        <v/>
      </c>
      <c r="W250" s="3" t="str">
        <f t="shared" si="83"/>
        <v/>
      </c>
      <c r="X250" s="3" t="str">
        <f>IF(L250&lt;&gt;"PLAYER","",IF(Y250="Y",INDEX(Players[Name],MATCH(M250,Players[Name],0)),IF(Y250="A",INDEX(Players[Name],MATCH(M250&amp;" ?",Players[Name],0)),M250)))</f>
        <v/>
      </c>
      <c r="Y250" s="3" t="str">
        <f>IF(L250&lt;&gt;"PLAYER","",IF(ISNUMBER(MATCH(M250,Players[Name],0)),"Y",IF(AA250=1,"A","N")))</f>
        <v/>
      </c>
      <c r="Z250" s="3" t="str">
        <f>IF(L250&lt;&gt;"PLAYER","",_xlfn.TEXTJOIN("; ",TRUE,IF(M250="","Empty name",IF(Y250="N",IF(AA250&gt;1,"Which "&amp;M250&amp;"? "&amp;AA250&amp;" players start with it (like "&amp;INDEX(Players[Name],MATCH(M250&amp;" ?",Players[Name],0))&amp;") - type the last initial",IF(ISNUMBER(FIND(" ",M250)),IF(IFERROR(IF(M250="",FALSE,OR(M250="Unknown",AND(LEN(M250)-LEN(SUBSTITUTE(M250," ",""))=1,LEN(M250)&gt;=4,MID(M250,LEN(M250)-1,1)=" ",CODE(RIGHT(M250,1))&gt;=65,CODE(RIGHT(M250,1))&lt;=90))),FALSE),"New player? Not on Players list - add it there first","Not on Players list and not First L format (like Zack B)")&amp;IF(ISNUMBER(MATCH(LEFT(M250,FIND(" ",M250)-1)&amp;" ?",Players[Name],0))," (same first name as "&amp;INDEX(Players[Name],MATCH(LEFT(M250,FIND(" ",M250)-1)&amp;" ?",Players[Name],0))&amp;")",""),"Not on Players list - type first name + last initial (like Zack B)")),"")),IF(OR(V250&lt;Pod_Min,V250&gt;Pod_Max),"Pod has "&amp;V250&amp;" players",""),IF(U250=0,IF(T250=0,"No winner (*) in pod",IF(T250&gt;1,T250&amp;" winners in pod","")),IF(U250&lt;V250,"Some = but not all players","")),IF(X250="Unknown","",IF(COUNTIFS($O$8:$O$257,O250,$Q$8:$Q$257,Q250,$X$8:$X$257,X250)&gt;1,"Name twice in pod",IF(COUNTIFS($O$8:$O$257,O250,$X$8:$X$257,X250)&gt;1,"Name in 2 pods this round","")))))</f>
        <v/>
      </c>
      <c r="AA250" s="3" t="str">
        <f>IF(L250&lt;&gt;"PLAYER","",IF(OR(M250="",ISNUMBER(FIND(" ",M250))),0,COUNTIF(Players[Name],M250&amp;" ?")))</f>
        <v/>
      </c>
    </row>
    <row r="251" spans="1:27" x14ac:dyDescent="0.45">
      <c r="A251" s="17"/>
      <c r="B251" s="6" t="str">
        <f t="shared" si="63"/>
        <v/>
      </c>
      <c r="C251" s="6" t="str">
        <f t="shared" si="64"/>
        <v/>
      </c>
      <c r="D251" s="6" t="str">
        <f t="shared" si="65"/>
        <v/>
      </c>
      <c r="E251" s="6" t="str">
        <f t="shared" si="66"/>
        <v/>
      </c>
      <c r="F251" s="6" t="str">
        <f t="shared" si="67"/>
        <v/>
      </c>
      <c r="G251" s="6" t="str">
        <f t="shared" si="68"/>
        <v/>
      </c>
      <c r="H251" s="10" t="str">
        <f t="shared" si="69"/>
        <v/>
      </c>
      <c r="I251" s="6" t="str">
        <f t="shared" si="70"/>
        <v/>
      </c>
      <c r="J251" s="3" t="str">
        <f>IFERROR(MATCH(ROWS(J$8:J251),$S$8:$S$257,0),"")</f>
        <v/>
      </c>
      <c r="K251" s="3" t="str">
        <f t="shared" si="71"/>
        <v/>
      </c>
      <c r="L251" s="3" t="str">
        <f t="shared" si="72"/>
        <v/>
      </c>
      <c r="M251" s="3" t="str">
        <f t="shared" si="73"/>
        <v/>
      </c>
      <c r="N251" s="3" t="str">
        <f t="shared" si="74"/>
        <v/>
      </c>
      <c r="O251" s="3">
        <f t="shared" si="75"/>
        <v>1</v>
      </c>
      <c r="P251" s="3">
        <f t="shared" si="76"/>
        <v>0</v>
      </c>
      <c r="Q251" s="3">
        <f t="shared" si="77"/>
        <v>0</v>
      </c>
      <c r="R251" s="3" t="str">
        <f t="shared" si="78"/>
        <v/>
      </c>
      <c r="S251" s="3">
        <f t="shared" si="79"/>
        <v>0</v>
      </c>
      <c r="T251" s="3" t="str">
        <f t="shared" si="80"/>
        <v/>
      </c>
      <c r="U251" s="3" t="str">
        <f t="shared" si="81"/>
        <v/>
      </c>
      <c r="V251" s="3" t="str">
        <f t="shared" si="82"/>
        <v/>
      </c>
      <c r="W251" s="3" t="str">
        <f t="shared" si="83"/>
        <v/>
      </c>
      <c r="X251" s="3" t="str">
        <f>IF(L251&lt;&gt;"PLAYER","",IF(Y251="Y",INDEX(Players[Name],MATCH(M251,Players[Name],0)),IF(Y251="A",INDEX(Players[Name],MATCH(M251&amp;" ?",Players[Name],0)),M251)))</f>
        <v/>
      </c>
      <c r="Y251" s="3" t="str">
        <f>IF(L251&lt;&gt;"PLAYER","",IF(ISNUMBER(MATCH(M251,Players[Name],0)),"Y",IF(AA251=1,"A","N")))</f>
        <v/>
      </c>
      <c r="Z251" s="3" t="str">
        <f>IF(L251&lt;&gt;"PLAYER","",_xlfn.TEXTJOIN("; ",TRUE,IF(M251="","Empty name",IF(Y251="N",IF(AA251&gt;1,"Which "&amp;M251&amp;"? "&amp;AA251&amp;" players start with it (like "&amp;INDEX(Players[Name],MATCH(M251&amp;" ?",Players[Name],0))&amp;") - type the last initial",IF(ISNUMBER(FIND(" ",M251)),IF(IFERROR(IF(M251="",FALSE,OR(M251="Unknown",AND(LEN(M251)-LEN(SUBSTITUTE(M251," ",""))=1,LEN(M251)&gt;=4,MID(M251,LEN(M251)-1,1)=" ",CODE(RIGHT(M251,1))&gt;=65,CODE(RIGHT(M251,1))&lt;=90))),FALSE),"New player? Not on Players list - add it there first","Not on Players list and not First L format (like Zack B)")&amp;IF(ISNUMBER(MATCH(LEFT(M251,FIND(" ",M251)-1)&amp;" ?",Players[Name],0))," (same first name as "&amp;INDEX(Players[Name],MATCH(LEFT(M251,FIND(" ",M251)-1)&amp;" ?",Players[Name],0))&amp;")",""),"Not on Players list - type first name + last initial (like Zack B)")),"")),IF(OR(V251&lt;Pod_Min,V251&gt;Pod_Max),"Pod has "&amp;V251&amp;" players",""),IF(U251=0,IF(T251=0,"No winner (*) in pod",IF(T251&gt;1,T251&amp;" winners in pod","")),IF(U251&lt;V251,"Some = but not all players","")),IF(X251="Unknown","",IF(COUNTIFS($O$8:$O$257,O251,$Q$8:$Q$257,Q251,$X$8:$X$257,X251)&gt;1,"Name twice in pod",IF(COUNTIFS($O$8:$O$257,O251,$X$8:$X$257,X251)&gt;1,"Name in 2 pods this round","")))))</f>
        <v/>
      </c>
      <c r="AA251" s="3" t="str">
        <f>IF(L251&lt;&gt;"PLAYER","",IF(OR(M251="",ISNUMBER(FIND(" ",M251))),0,COUNTIF(Players[Name],M251&amp;" ?")))</f>
        <v/>
      </c>
    </row>
    <row r="252" spans="1:27" x14ac:dyDescent="0.45">
      <c r="A252" s="17"/>
      <c r="B252" s="6" t="str">
        <f t="shared" si="63"/>
        <v/>
      </c>
      <c r="C252" s="6" t="str">
        <f t="shared" si="64"/>
        <v/>
      </c>
      <c r="D252" s="6" t="str">
        <f t="shared" si="65"/>
        <v/>
      </c>
      <c r="E252" s="6" t="str">
        <f t="shared" si="66"/>
        <v/>
      </c>
      <c r="F252" s="6" t="str">
        <f t="shared" si="67"/>
        <v/>
      </c>
      <c r="G252" s="6" t="str">
        <f t="shared" si="68"/>
        <v/>
      </c>
      <c r="H252" s="10" t="str">
        <f t="shared" si="69"/>
        <v/>
      </c>
      <c r="I252" s="6" t="str">
        <f t="shared" si="70"/>
        <v/>
      </c>
      <c r="J252" s="3" t="str">
        <f>IFERROR(MATCH(ROWS(J$8:J252),$S$8:$S$257,0),"")</f>
        <v/>
      </c>
      <c r="K252" s="3" t="str">
        <f t="shared" si="71"/>
        <v/>
      </c>
      <c r="L252" s="3" t="str">
        <f t="shared" si="72"/>
        <v/>
      </c>
      <c r="M252" s="3" t="str">
        <f t="shared" si="73"/>
        <v/>
      </c>
      <c r="N252" s="3" t="str">
        <f t="shared" si="74"/>
        <v/>
      </c>
      <c r="O252" s="3">
        <f t="shared" si="75"/>
        <v>1</v>
      </c>
      <c r="P252" s="3">
        <f t="shared" si="76"/>
        <v>0</v>
      </c>
      <c r="Q252" s="3">
        <f t="shared" si="77"/>
        <v>0</v>
      </c>
      <c r="R252" s="3" t="str">
        <f t="shared" si="78"/>
        <v/>
      </c>
      <c r="S252" s="3">
        <f t="shared" si="79"/>
        <v>0</v>
      </c>
      <c r="T252" s="3" t="str">
        <f t="shared" si="80"/>
        <v/>
      </c>
      <c r="U252" s="3" t="str">
        <f t="shared" si="81"/>
        <v/>
      </c>
      <c r="V252" s="3" t="str">
        <f t="shared" si="82"/>
        <v/>
      </c>
      <c r="W252" s="3" t="str">
        <f t="shared" si="83"/>
        <v/>
      </c>
      <c r="X252" s="3" t="str">
        <f>IF(L252&lt;&gt;"PLAYER","",IF(Y252="Y",INDEX(Players[Name],MATCH(M252,Players[Name],0)),IF(Y252="A",INDEX(Players[Name],MATCH(M252&amp;" ?",Players[Name],0)),M252)))</f>
        <v/>
      </c>
      <c r="Y252" s="3" t="str">
        <f>IF(L252&lt;&gt;"PLAYER","",IF(ISNUMBER(MATCH(M252,Players[Name],0)),"Y",IF(AA252=1,"A","N")))</f>
        <v/>
      </c>
      <c r="Z252" s="3" t="str">
        <f>IF(L252&lt;&gt;"PLAYER","",_xlfn.TEXTJOIN("; ",TRUE,IF(M252="","Empty name",IF(Y252="N",IF(AA252&gt;1,"Which "&amp;M252&amp;"? "&amp;AA252&amp;" players start with it (like "&amp;INDEX(Players[Name],MATCH(M252&amp;" ?",Players[Name],0))&amp;") - type the last initial",IF(ISNUMBER(FIND(" ",M252)),IF(IFERROR(IF(M252="",FALSE,OR(M252="Unknown",AND(LEN(M252)-LEN(SUBSTITUTE(M252," ",""))=1,LEN(M252)&gt;=4,MID(M252,LEN(M252)-1,1)=" ",CODE(RIGHT(M252,1))&gt;=65,CODE(RIGHT(M252,1))&lt;=90))),FALSE),"New player? Not on Players list - add it there first","Not on Players list and not First L format (like Zack B)")&amp;IF(ISNUMBER(MATCH(LEFT(M252,FIND(" ",M252)-1)&amp;" ?",Players[Name],0))," (same first name as "&amp;INDEX(Players[Name],MATCH(LEFT(M252,FIND(" ",M252)-1)&amp;" ?",Players[Name],0))&amp;")",""),"Not on Players list - type first name + last initial (like Zack B)")),"")),IF(OR(V252&lt;Pod_Min,V252&gt;Pod_Max),"Pod has "&amp;V252&amp;" players",""),IF(U252=0,IF(T252=0,"No winner (*) in pod",IF(T252&gt;1,T252&amp;" winners in pod","")),IF(U252&lt;V252,"Some = but not all players","")),IF(X252="Unknown","",IF(COUNTIFS($O$8:$O$257,O252,$Q$8:$Q$257,Q252,$X$8:$X$257,X252)&gt;1,"Name twice in pod",IF(COUNTIFS($O$8:$O$257,O252,$X$8:$X$257,X252)&gt;1,"Name in 2 pods this round","")))))</f>
        <v/>
      </c>
      <c r="AA252" s="3" t="str">
        <f>IF(L252&lt;&gt;"PLAYER","",IF(OR(M252="",ISNUMBER(FIND(" ",M252))),0,COUNTIF(Players[Name],M252&amp;" ?")))</f>
        <v/>
      </c>
    </row>
    <row r="253" spans="1:27" x14ac:dyDescent="0.45">
      <c r="A253" s="17"/>
      <c r="B253" s="6" t="str">
        <f t="shared" si="63"/>
        <v/>
      </c>
      <c r="C253" s="6" t="str">
        <f t="shared" si="64"/>
        <v/>
      </c>
      <c r="D253" s="6" t="str">
        <f t="shared" si="65"/>
        <v/>
      </c>
      <c r="E253" s="6" t="str">
        <f t="shared" si="66"/>
        <v/>
      </c>
      <c r="F253" s="6" t="str">
        <f t="shared" si="67"/>
        <v/>
      </c>
      <c r="G253" s="6" t="str">
        <f t="shared" si="68"/>
        <v/>
      </c>
      <c r="H253" s="10" t="str">
        <f t="shared" si="69"/>
        <v/>
      </c>
      <c r="I253" s="6" t="str">
        <f t="shared" si="70"/>
        <v/>
      </c>
      <c r="J253" s="3" t="str">
        <f>IFERROR(MATCH(ROWS(J$8:J253),$S$8:$S$257,0),"")</f>
        <v/>
      </c>
      <c r="K253" s="3" t="str">
        <f t="shared" si="71"/>
        <v/>
      </c>
      <c r="L253" s="3" t="str">
        <f t="shared" si="72"/>
        <v/>
      </c>
      <c r="M253" s="3" t="str">
        <f t="shared" si="73"/>
        <v/>
      </c>
      <c r="N253" s="3" t="str">
        <f t="shared" si="74"/>
        <v/>
      </c>
      <c r="O253" s="3">
        <f t="shared" si="75"/>
        <v>1</v>
      </c>
      <c r="P253" s="3">
        <f t="shared" si="76"/>
        <v>0</v>
      </c>
      <c r="Q253" s="3">
        <f t="shared" si="77"/>
        <v>0</v>
      </c>
      <c r="R253" s="3" t="str">
        <f t="shared" si="78"/>
        <v/>
      </c>
      <c r="S253" s="3">
        <f t="shared" si="79"/>
        <v>0</v>
      </c>
      <c r="T253" s="3" t="str">
        <f t="shared" si="80"/>
        <v/>
      </c>
      <c r="U253" s="3" t="str">
        <f t="shared" si="81"/>
        <v/>
      </c>
      <c r="V253" s="3" t="str">
        <f t="shared" si="82"/>
        <v/>
      </c>
      <c r="W253" s="3" t="str">
        <f t="shared" si="83"/>
        <v/>
      </c>
      <c r="X253" s="3" t="str">
        <f>IF(L253&lt;&gt;"PLAYER","",IF(Y253="Y",INDEX(Players[Name],MATCH(M253,Players[Name],0)),IF(Y253="A",INDEX(Players[Name],MATCH(M253&amp;" ?",Players[Name],0)),M253)))</f>
        <v/>
      </c>
      <c r="Y253" s="3" t="str">
        <f>IF(L253&lt;&gt;"PLAYER","",IF(ISNUMBER(MATCH(M253,Players[Name],0)),"Y",IF(AA253=1,"A","N")))</f>
        <v/>
      </c>
      <c r="Z253" s="3" t="str">
        <f>IF(L253&lt;&gt;"PLAYER","",_xlfn.TEXTJOIN("; ",TRUE,IF(M253="","Empty name",IF(Y253="N",IF(AA253&gt;1,"Which "&amp;M253&amp;"? "&amp;AA253&amp;" players start with it (like "&amp;INDEX(Players[Name],MATCH(M253&amp;" ?",Players[Name],0))&amp;") - type the last initial",IF(ISNUMBER(FIND(" ",M253)),IF(IFERROR(IF(M253="",FALSE,OR(M253="Unknown",AND(LEN(M253)-LEN(SUBSTITUTE(M253," ",""))=1,LEN(M253)&gt;=4,MID(M253,LEN(M253)-1,1)=" ",CODE(RIGHT(M253,1))&gt;=65,CODE(RIGHT(M253,1))&lt;=90))),FALSE),"New player? Not on Players list - add it there first","Not on Players list and not First L format (like Zack B)")&amp;IF(ISNUMBER(MATCH(LEFT(M253,FIND(" ",M253)-1)&amp;" ?",Players[Name],0))," (same first name as "&amp;INDEX(Players[Name],MATCH(LEFT(M253,FIND(" ",M253)-1)&amp;" ?",Players[Name],0))&amp;")",""),"Not on Players list - type first name + last initial (like Zack B)")),"")),IF(OR(V253&lt;Pod_Min,V253&gt;Pod_Max),"Pod has "&amp;V253&amp;" players",""),IF(U253=0,IF(T253=0,"No winner (*) in pod",IF(T253&gt;1,T253&amp;" winners in pod","")),IF(U253&lt;V253,"Some = but not all players","")),IF(X253="Unknown","",IF(COUNTIFS($O$8:$O$257,O253,$Q$8:$Q$257,Q253,$X$8:$X$257,X253)&gt;1,"Name twice in pod",IF(COUNTIFS($O$8:$O$257,O253,$X$8:$X$257,X253)&gt;1,"Name in 2 pods this round","")))))</f>
        <v/>
      </c>
      <c r="AA253" s="3" t="str">
        <f>IF(L253&lt;&gt;"PLAYER","",IF(OR(M253="",ISNUMBER(FIND(" ",M253))),0,COUNTIF(Players[Name],M253&amp;" ?")))</f>
        <v/>
      </c>
    </row>
    <row r="254" spans="1:27" x14ac:dyDescent="0.45">
      <c r="A254" s="17"/>
      <c r="B254" s="6" t="str">
        <f t="shared" si="63"/>
        <v/>
      </c>
      <c r="C254" s="6" t="str">
        <f t="shared" si="64"/>
        <v/>
      </c>
      <c r="D254" s="6" t="str">
        <f t="shared" si="65"/>
        <v/>
      </c>
      <c r="E254" s="6" t="str">
        <f t="shared" si="66"/>
        <v/>
      </c>
      <c r="F254" s="6" t="str">
        <f t="shared" si="67"/>
        <v/>
      </c>
      <c r="G254" s="6" t="str">
        <f t="shared" si="68"/>
        <v/>
      </c>
      <c r="H254" s="10" t="str">
        <f t="shared" si="69"/>
        <v/>
      </c>
      <c r="I254" s="6" t="str">
        <f t="shared" si="70"/>
        <v/>
      </c>
      <c r="J254" s="3" t="str">
        <f>IFERROR(MATCH(ROWS(J$8:J254),$S$8:$S$257,0),"")</f>
        <v/>
      </c>
      <c r="K254" s="3" t="str">
        <f t="shared" si="71"/>
        <v/>
      </c>
      <c r="L254" s="3" t="str">
        <f t="shared" si="72"/>
        <v/>
      </c>
      <c r="M254" s="3" t="str">
        <f t="shared" si="73"/>
        <v/>
      </c>
      <c r="N254" s="3" t="str">
        <f t="shared" si="74"/>
        <v/>
      </c>
      <c r="O254" s="3">
        <f t="shared" si="75"/>
        <v>1</v>
      </c>
      <c r="P254" s="3">
        <f t="shared" si="76"/>
        <v>0</v>
      </c>
      <c r="Q254" s="3">
        <f t="shared" si="77"/>
        <v>0</v>
      </c>
      <c r="R254" s="3" t="str">
        <f t="shared" si="78"/>
        <v/>
      </c>
      <c r="S254" s="3">
        <f t="shared" si="79"/>
        <v>0</v>
      </c>
      <c r="T254" s="3" t="str">
        <f t="shared" si="80"/>
        <v/>
      </c>
      <c r="U254" s="3" t="str">
        <f t="shared" si="81"/>
        <v/>
      </c>
      <c r="V254" s="3" t="str">
        <f t="shared" si="82"/>
        <v/>
      </c>
      <c r="W254" s="3" t="str">
        <f t="shared" si="83"/>
        <v/>
      </c>
      <c r="X254" s="3" t="str">
        <f>IF(L254&lt;&gt;"PLAYER","",IF(Y254="Y",INDEX(Players[Name],MATCH(M254,Players[Name],0)),IF(Y254="A",INDEX(Players[Name],MATCH(M254&amp;" ?",Players[Name],0)),M254)))</f>
        <v/>
      </c>
      <c r="Y254" s="3" t="str">
        <f>IF(L254&lt;&gt;"PLAYER","",IF(ISNUMBER(MATCH(M254,Players[Name],0)),"Y",IF(AA254=1,"A","N")))</f>
        <v/>
      </c>
      <c r="Z254" s="3" t="str">
        <f>IF(L254&lt;&gt;"PLAYER","",_xlfn.TEXTJOIN("; ",TRUE,IF(M254="","Empty name",IF(Y254="N",IF(AA254&gt;1,"Which "&amp;M254&amp;"? "&amp;AA254&amp;" players start with it (like "&amp;INDEX(Players[Name],MATCH(M254&amp;" ?",Players[Name],0))&amp;") - type the last initial",IF(ISNUMBER(FIND(" ",M254)),IF(IFERROR(IF(M254="",FALSE,OR(M254="Unknown",AND(LEN(M254)-LEN(SUBSTITUTE(M254," ",""))=1,LEN(M254)&gt;=4,MID(M254,LEN(M254)-1,1)=" ",CODE(RIGHT(M254,1))&gt;=65,CODE(RIGHT(M254,1))&lt;=90))),FALSE),"New player? Not on Players list - add it there first","Not on Players list and not First L format (like Zack B)")&amp;IF(ISNUMBER(MATCH(LEFT(M254,FIND(" ",M254)-1)&amp;" ?",Players[Name],0))," (same first name as "&amp;INDEX(Players[Name],MATCH(LEFT(M254,FIND(" ",M254)-1)&amp;" ?",Players[Name],0))&amp;")",""),"Not on Players list - type first name + last initial (like Zack B)")),"")),IF(OR(V254&lt;Pod_Min,V254&gt;Pod_Max),"Pod has "&amp;V254&amp;" players",""),IF(U254=0,IF(T254=0,"No winner (*) in pod",IF(T254&gt;1,T254&amp;" winners in pod","")),IF(U254&lt;V254,"Some = but not all players","")),IF(X254="Unknown","",IF(COUNTIFS($O$8:$O$257,O254,$Q$8:$Q$257,Q254,$X$8:$X$257,X254)&gt;1,"Name twice in pod",IF(COUNTIFS($O$8:$O$257,O254,$X$8:$X$257,X254)&gt;1,"Name in 2 pods this round","")))))</f>
        <v/>
      </c>
      <c r="AA254" s="3" t="str">
        <f>IF(L254&lt;&gt;"PLAYER","",IF(OR(M254="",ISNUMBER(FIND(" ",M254))),0,COUNTIF(Players[Name],M254&amp;" ?")))</f>
        <v/>
      </c>
    </row>
    <row r="255" spans="1:27" x14ac:dyDescent="0.45">
      <c r="A255" s="17"/>
      <c r="B255" s="6" t="str">
        <f t="shared" si="63"/>
        <v/>
      </c>
      <c r="C255" s="6" t="str">
        <f t="shared" si="64"/>
        <v/>
      </c>
      <c r="D255" s="6" t="str">
        <f t="shared" si="65"/>
        <v/>
      </c>
      <c r="E255" s="6" t="str">
        <f t="shared" si="66"/>
        <v/>
      </c>
      <c r="F255" s="6" t="str">
        <f t="shared" si="67"/>
        <v/>
      </c>
      <c r="G255" s="6" t="str">
        <f t="shared" si="68"/>
        <v/>
      </c>
      <c r="H255" s="10" t="str">
        <f t="shared" si="69"/>
        <v/>
      </c>
      <c r="I255" s="6" t="str">
        <f t="shared" si="70"/>
        <v/>
      </c>
      <c r="J255" s="3" t="str">
        <f>IFERROR(MATCH(ROWS(J$8:J255),$S$8:$S$257,0),"")</f>
        <v/>
      </c>
      <c r="K255" s="3" t="str">
        <f t="shared" si="71"/>
        <v/>
      </c>
      <c r="L255" s="3" t="str">
        <f t="shared" si="72"/>
        <v/>
      </c>
      <c r="M255" s="3" t="str">
        <f t="shared" si="73"/>
        <v/>
      </c>
      <c r="N255" s="3" t="str">
        <f t="shared" si="74"/>
        <v/>
      </c>
      <c r="O255" s="3">
        <f t="shared" si="75"/>
        <v>1</v>
      </c>
      <c r="P255" s="3">
        <f t="shared" si="76"/>
        <v>0</v>
      </c>
      <c r="Q255" s="3">
        <f t="shared" si="77"/>
        <v>0</v>
      </c>
      <c r="R255" s="3" t="str">
        <f t="shared" si="78"/>
        <v/>
      </c>
      <c r="S255" s="3">
        <f t="shared" si="79"/>
        <v>0</v>
      </c>
      <c r="T255" s="3" t="str">
        <f t="shared" si="80"/>
        <v/>
      </c>
      <c r="U255" s="3" t="str">
        <f t="shared" si="81"/>
        <v/>
      </c>
      <c r="V255" s="3" t="str">
        <f t="shared" si="82"/>
        <v/>
      </c>
      <c r="W255" s="3" t="str">
        <f t="shared" si="83"/>
        <v/>
      </c>
      <c r="X255" s="3" t="str">
        <f>IF(L255&lt;&gt;"PLAYER","",IF(Y255="Y",INDEX(Players[Name],MATCH(M255,Players[Name],0)),IF(Y255="A",INDEX(Players[Name],MATCH(M255&amp;" ?",Players[Name],0)),M255)))</f>
        <v/>
      </c>
      <c r="Y255" s="3" t="str">
        <f>IF(L255&lt;&gt;"PLAYER","",IF(ISNUMBER(MATCH(M255,Players[Name],0)),"Y",IF(AA255=1,"A","N")))</f>
        <v/>
      </c>
      <c r="Z255" s="3" t="str">
        <f>IF(L255&lt;&gt;"PLAYER","",_xlfn.TEXTJOIN("; ",TRUE,IF(M255="","Empty name",IF(Y255="N",IF(AA255&gt;1,"Which "&amp;M255&amp;"? "&amp;AA255&amp;" players start with it (like "&amp;INDEX(Players[Name],MATCH(M255&amp;" ?",Players[Name],0))&amp;") - type the last initial",IF(ISNUMBER(FIND(" ",M255)),IF(IFERROR(IF(M255="",FALSE,OR(M255="Unknown",AND(LEN(M255)-LEN(SUBSTITUTE(M255," ",""))=1,LEN(M255)&gt;=4,MID(M255,LEN(M255)-1,1)=" ",CODE(RIGHT(M255,1))&gt;=65,CODE(RIGHT(M255,1))&lt;=90))),FALSE),"New player? Not on Players list - add it there first","Not on Players list and not First L format (like Zack B)")&amp;IF(ISNUMBER(MATCH(LEFT(M255,FIND(" ",M255)-1)&amp;" ?",Players[Name],0))," (same first name as "&amp;INDEX(Players[Name],MATCH(LEFT(M255,FIND(" ",M255)-1)&amp;" ?",Players[Name],0))&amp;")",""),"Not on Players list - type first name + last initial (like Zack B)")),"")),IF(OR(V255&lt;Pod_Min,V255&gt;Pod_Max),"Pod has "&amp;V255&amp;" players",""),IF(U255=0,IF(T255=0,"No winner (*) in pod",IF(T255&gt;1,T255&amp;" winners in pod","")),IF(U255&lt;V255,"Some = but not all players","")),IF(X255="Unknown","",IF(COUNTIFS($O$8:$O$257,O255,$Q$8:$Q$257,Q255,$X$8:$X$257,X255)&gt;1,"Name twice in pod",IF(COUNTIFS($O$8:$O$257,O255,$X$8:$X$257,X255)&gt;1,"Name in 2 pods this round","")))))</f>
        <v/>
      </c>
      <c r="AA255" s="3" t="str">
        <f>IF(L255&lt;&gt;"PLAYER","",IF(OR(M255="",ISNUMBER(FIND(" ",M255))),0,COUNTIF(Players[Name],M255&amp;" ?")))</f>
        <v/>
      </c>
    </row>
    <row r="256" spans="1:27" x14ac:dyDescent="0.45">
      <c r="A256" s="17"/>
      <c r="B256" s="6" t="str">
        <f t="shared" si="63"/>
        <v/>
      </c>
      <c r="C256" s="6" t="str">
        <f t="shared" si="64"/>
        <v/>
      </c>
      <c r="D256" s="6" t="str">
        <f t="shared" si="65"/>
        <v/>
      </c>
      <c r="E256" s="6" t="str">
        <f t="shared" si="66"/>
        <v/>
      </c>
      <c r="F256" s="6" t="str">
        <f t="shared" si="67"/>
        <v/>
      </c>
      <c r="G256" s="6" t="str">
        <f t="shared" si="68"/>
        <v/>
      </c>
      <c r="H256" s="10" t="str">
        <f t="shared" si="69"/>
        <v/>
      </c>
      <c r="I256" s="6" t="str">
        <f t="shared" si="70"/>
        <v/>
      </c>
      <c r="J256" s="3" t="str">
        <f>IFERROR(MATCH(ROWS(J$8:J256),$S$8:$S$257,0),"")</f>
        <v/>
      </c>
      <c r="K256" s="3" t="str">
        <f t="shared" si="71"/>
        <v/>
      </c>
      <c r="L256" s="3" t="str">
        <f t="shared" si="72"/>
        <v/>
      </c>
      <c r="M256" s="3" t="str">
        <f t="shared" si="73"/>
        <v/>
      </c>
      <c r="N256" s="3" t="str">
        <f t="shared" si="74"/>
        <v/>
      </c>
      <c r="O256" s="3">
        <f t="shared" si="75"/>
        <v>1</v>
      </c>
      <c r="P256" s="3">
        <f t="shared" si="76"/>
        <v>0</v>
      </c>
      <c r="Q256" s="3">
        <f t="shared" si="77"/>
        <v>0</v>
      </c>
      <c r="R256" s="3" t="str">
        <f t="shared" si="78"/>
        <v/>
      </c>
      <c r="S256" s="3">
        <f t="shared" si="79"/>
        <v>0</v>
      </c>
      <c r="T256" s="3" t="str">
        <f t="shared" si="80"/>
        <v/>
      </c>
      <c r="U256" s="3" t="str">
        <f t="shared" si="81"/>
        <v/>
      </c>
      <c r="V256" s="3" t="str">
        <f t="shared" si="82"/>
        <v/>
      </c>
      <c r="W256" s="3" t="str">
        <f t="shared" si="83"/>
        <v/>
      </c>
      <c r="X256" s="3" t="str">
        <f>IF(L256&lt;&gt;"PLAYER","",IF(Y256="Y",INDEX(Players[Name],MATCH(M256,Players[Name],0)),IF(Y256="A",INDEX(Players[Name],MATCH(M256&amp;" ?",Players[Name],0)),M256)))</f>
        <v/>
      </c>
      <c r="Y256" s="3" t="str">
        <f>IF(L256&lt;&gt;"PLAYER","",IF(ISNUMBER(MATCH(M256,Players[Name],0)),"Y",IF(AA256=1,"A","N")))</f>
        <v/>
      </c>
      <c r="Z256" s="3" t="str">
        <f>IF(L256&lt;&gt;"PLAYER","",_xlfn.TEXTJOIN("; ",TRUE,IF(M256="","Empty name",IF(Y256="N",IF(AA256&gt;1,"Which "&amp;M256&amp;"? "&amp;AA256&amp;" players start with it (like "&amp;INDEX(Players[Name],MATCH(M256&amp;" ?",Players[Name],0))&amp;") - type the last initial",IF(ISNUMBER(FIND(" ",M256)),IF(IFERROR(IF(M256="",FALSE,OR(M256="Unknown",AND(LEN(M256)-LEN(SUBSTITUTE(M256," ",""))=1,LEN(M256)&gt;=4,MID(M256,LEN(M256)-1,1)=" ",CODE(RIGHT(M256,1))&gt;=65,CODE(RIGHT(M256,1))&lt;=90))),FALSE),"New player? Not on Players list - add it there first","Not on Players list and not First L format (like Zack B)")&amp;IF(ISNUMBER(MATCH(LEFT(M256,FIND(" ",M256)-1)&amp;" ?",Players[Name],0))," (same first name as "&amp;INDEX(Players[Name],MATCH(LEFT(M256,FIND(" ",M256)-1)&amp;" ?",Players[Name],0))&amp;")",""),"Not on Players list - type first name + last initial (like Zack B)")),"")),IF(OR(V256&lt;Pod_Min,V256&gt;Pod_Max),"Pod has "&amp;V256&amp;" players",""),IF(U256=0,IF(T256=0,"No winner (*) in pod",IF(T256&gt;1,T256&amp;" winners in pod","")),IF(U256&lt;V256,"Some = but not all players","")),IF(X256="Unknown","",IF(COUNTIFS($O$8:$O$257,O256,$Q$8:$Q$257,Q256,$X$8:$X$257,X256)&gt;1,"Name twice in pod",IF(COUNTIFS($O$8:$O$257,O256,$X$8:$X$257,X256)&gt;1,"Name in 2 pods this round","")))))</f>
        <v/>
      </c>
      <c r="AA256" s="3" t="str">
        <f>IF(L256&lt;&gt;"PLAYER","",IF(OR(M256="",ISNUMBER(FIND(" ",M256))),0,COUNTIF(Players[Name],M256&amp;" ?")))</f>
        <v/>
      </c>
    </row>
    <row r="257" spans="1:27" x14ac:dyDescent="0.45">
      <c r="A257" s="17"/>
      <c r="B257" s="6" t="str">
        <f t="shared" si="63"/>
        <v/>
      </c>
      <c r="C257" s="6" t="str">
        <f t="shared" si="64"/>
        <v/>
      </c>
      <c r="D257" s="6" t="str">
        <f t="shared" si="65"/>
        <v/>
      </c>
      <c r="E257" s="6" t="str">
        <f t="shared" si="66"/>
        <v/>
      </c>
      <c r="F257" s="6" t="str">
        <f t="shared" si="67"/>
        <v/>
      </c>
      <c r="G257" s="6" t="str">
        <f t="shared" si="68"/>
        <v/>
      </c>
      <c r="H257" s="10" t="str">
        <f t="shared" si="69"/>
        <v/>
      </c>
      <c r="I257" s="6" t="str">
        <f t="shared" si="70"/>
        <v/>
      </c>
      <c r="J257" s="3" t="str">
        <f>IFERROR(MATCH(ROWS(J$8:J257),$S$8:$S$257,0),"")</f>
        <v/>
      </c>
      <c r="K257" s="3" t="str">
        <f t="shared" si="71"/>
        <v/>
      </c>
      <c r="L257" s="3" t="str">
        <f t="shared" si="72"/>
        <v/>
      </c>
      <c r="M257" s="3" t="str">
        <f t="shared" si="73"/>
        <v/>
      </c>
      <c r="N257" s="3" t="str">
        <f t="shared" si="74"/>
        <v/>
      </c>
      <c r="O257" s="3">
        <f t="shared" si="75"/>
        <v>1</v>
      </c>
      <c r="P257" s="3">
        <f t="shared" si="76"/>
        <v>0</v>
      </c>
      <c r="Q257" s="3">
        <f t="shared" si="77"/>
        <v>0</v>
      </c>
      <c r="R257" s="3" t="str">
        <f t="shared" si="78"/>
        <v/>
      </c>
      <c r="S257" s="3">
        <f t="shared" si="79"/>
        <v>0</v>
      </c>
      <c r="T257" s="3" t="str">
        <f t="shared" si="80"/>
        <v/>
      </c>
      <c r="U257" s="3" t="str">
        <f t="shared" si="81"/>
        <v/>
      </c>
      <c r="V257" s="3" t="str">
        <f t="shared" si="82"/>
        <v/>
      </c>
      <c r="W257" s="3" t="str">
        <f t="shared" si="83"/>
        <v/>
      </c>
      <c r="X257" s="3" t="str">
        <f>IF(L257&lt;&gt;"PLAYER","",IF(Y257="Y",INDEX(Players[Name],MATCH(M257,Players[Name],0)),IF(Y257="A",INDEX(Players[Name],MATCH(M257&amp;" ?",Players[Name],0)),M257)))</f>
        <v/>
      </c>
      <c r="Y257" s="3" t="str">
        <f>IF(L257&lt;&gt;"PLAYER","",IF(ISNUMBER(MATCH(M257,Players[Name],0)),"Y",IF(AA257=1,"A","N")))</f>
        <v/>
      </c>
      <c r="Z257" s="3" t="str">
        <f>IF(L257&lt;&gt;"PLAYER","",_xlfn.TEXTJOIN("; ",TRUE,IF(M257="","Empty name",IF(Y257="N",IF(AA257&gt;1,"Which "&amp;M257&amp;"? "&amp;AA257&amp;" players start with it (like "&amp;INDEX(Players[Name],MATCH(M257&amp;" ?",Players[Name],0))&amp;") - type the last initial",IF(ISNUMBER(FIND(" ",M257)),IF(IFERROR(IF(M257="",FALSE,OR(M257="Unknown",AND(LEN(M257)-LEN(SUBSTITUTE(M257," ",""))=1,LEN(M257)&gt;=4,MID(M257,LEN(M257)-1,1)=" ",CODE(RIGHT(M257,1))&gt;=65,CODE(RIGHT(M257,1))&lt;=90))),FALSE),"New player? Not on Players list - add it there first","Not on Players list and not First L format (like Zack B)")&amp;IF(ISNUMBER(MATCH(LEFT(M257,FIND(" ",M257)-1)&amp;" ?",Players[Name],0))," (same first name as "&amp;INDEX(Players[Name],MATCH(LEFT(M257,FIND(" ",M257)-1)&amp;" ?",Players[Name],0))&amp;")",""),"Not on Players list - type first name + last initial (like Zack B)")),"")),IF(OR(V257&lt;Pod_Min,V257&gt;Pod_Max),"Pod has "&amp;V257&amp;" players",""),IF(U257=0,IF(T257=0,"No winner (*) in pod",IF(T257&gt;1,T257&amp;" winners in pod","")),IF(U257&lt;V257,"Some = but not all players","")),IF(X257="Unknown","",IF(COUNTIFS($O$8:$O$257,O257,$Q$8:$Q$257,Q257,$X$8:$X$257,X257)&gt;1,"Name twice in pod",IF(COUNTIFS($O$8:$O$257,O257,$X$8:$X$257,X257)&gt;1,"Name in 2 pods this round","")))))</f>
        <v/>
      </c>
      <c r="AA257" s="3" t="str">
        <f>IF(L257&lt;&gt;"PLAYER","",IF(OR(M257="",ISNUMBER(FIND(" ",M257))),0,COUNTIF(Players[Name],M257&amp;" ?")))</f>
        <v/>
      </c>
    </row>
  </sheetData>
  <conditionalFormatting sqref="A8:A257">
    <cfRule type="expression" dxfId="25" priority="3">
      <formula>$Z8&lt;&gt;""</formula>
    </cfRule>
    <cfRule type="expression" dxfId="24" priority="4">
      <formula>OR($L8="ROUND",$L8="DATE")</formula>
    </cfRule>
  </conditionalFormatting>
  <conditionalFormatting sqref="B8:B257">
    <cfRule type="expression" dxfId="23" priority="5">
      <formula>LEFT($B8,3)="FIX"</formula>
    </cfRule>
    <cfRule type="expression" dxfId="22" priority="6">
      <formula>LEFT($B8,2)="OK"</formula>
    </cfRule>
    <cfRule type="expression" dxfId="21" priority="7">
      <formula>OR($L8="ROUND",$L8="DATE")</formula>
    </cfRule>
  </conditionalFormatting>
  <conditionalFormatting sqref="C5">
    <cfRule type="expression" dxfId="20" priority="10">
      <formula>OR(LEFT($C$5,2)="No",LEFT($C$5,3)="Not",LEFT($C$5,4)="Date")</formula>
    </cfRule>
    <cfRule type="expression" dxfId="19" priority="11">
      <formula>LEFT($C$5,5)="Heads"</formula>
    </cfRule>
  </conditionalFormatting>
  <conditionalFormatting sqref="C6">
    <cfRule type="expression" dxfId="18" priority="8">
      <formula>LEFT($C$6,3)="FIX"</formula>
    </cfRule>
    <cfRule type="expression" dxfId="17" priority="9">
      <formula>LEFT($C$6,5)="READY"</formula>
    </cfRule>
  </conditionalFormatting>
  <conditionalFormatting sqref="C8:I257">
    <cfRule type="expression" dxfId="16" priority="1">
      <formula>LEFT($I8,3)="FIX"</formula>
    </cfRule>
    <cfRule type="expression" dxfId="15" priority="2">
      <formula>$I8="OK"</formula>
    </cfRule>
  </conditionalFormatting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tnPaste">
              <controlPr defaultSize="0" print="0" autoFill="0" autoPict="0" macro="[0]!PasteSession">
                <anchor moveWithCells="1" sizeWithCells="1">
                  <from>
                    <xdr:col>1</xdr:col>
                    <xdr:colOff>47625</xdr:colOff>
                    <xdr:row>0</xdr:row>
                    <xdr:rowOff>47625</xdr:rowOff>
                  </from>
                  <to>
                    <xdr:col>1</xdr:col>
                    <xdr:colOff>1828800</xdr:colOff>
                    <xdr:row>0</xdr:row>
                    <xdr:rowOff>328613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tnAdd">
              <controlPr defaultSize="0" print="0" autoFill="0" autoPict="0" macro="[0]!CommitSession">
                <anchor moveWithCells="1" sizeWithCells="1">
                  <from>
                    <xdr:col>1</xdr:col>
                    <xdr:colOff>1905000</xdr:colOff>
                    <xdr:row>0</xdr:row>
                    <xdr:rowOff>47625</xdr:rowOff>
                  </from>
                  <to>
                    <xdr:col>1</xdr:col>
                    <xdr:colOff>3429000</xdr:colOff>
                    <xdr:row>0</xdr:row>
                    <xdr:rowOff>328613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tnUndo">
              <controlPr defaultSize="0" print="0" autoFill="0" autoPict="0" macro="[0]!UndoLastAdd">
                <anchor moveWithCells="1" sizeWithCells="1">
                  <from>
                    <xdr:col>1</xdr:col>
                    <xdr:colOff>3505200</xdr:colOff>
                    <xdr:row>0</xdr:row>
                    <xdr:rowOff>47625</xdr:rowOff>
                  </from>
                  <to>
                    <xdr:col>1</xdr:col>
                    <xdr:colOff>4772025</xdr:colOff>
                    <xdr:row>0</xdr:row>
                    <xdr:rowOff>328613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2329"/>
  <sheetViews>
    <sheetView workbookViewId="0">
      <pane ySplit="1" topLeftCell="A2246" activePane="bottomLeft" state="frozen"/>
      <selection pane="bottomLeft"/>
    </sheetView>
  </sheetViews>
  <sheetFormatPr defaultRowHeight="14.25" x14ac:dyDescent="0.45"/>
  <cols>
    <col min="1" max="1" width="16" customWidth="1"/>
    <col min="2" max="2" width="9" customWidth="1"/>
    <col min="3" max="3" width="7" customWidth="1"/>
    <col min="4" max="4" width="6" customWidth="1"/>
    <col min="5" max="5" width="8" customWidth="1"/>
    <col min="6" max="6" width="11" customWidth="1"/>
    <col min="7" max="7" width="22" customWidth="1"/>
    <col min="8" max="8" width="10" customWidth="1"/>
    <col min="9" max="9" width="7" customWidth="1"/>
    <col min="10" max="10" width="8" customWidth="1"/>
    <col min="11" max="11" width="12" customWidth="1"/>
    <col min="12" max="12" width="11" customWidth="1"/>
    <col min="13" max="13" width="60" customWidth="1"/>
    <col min="14" max="14" width="8" customWidth="1"/>
    <col min="15" max="15" width="16" customWidth="1"/>
  </cols>
  <sheetData>
    <row r="1" spans="1:15" x14ac:dyDescent="0.4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2" t="s">
        <v>45</v>
      </c>
      <c r="M1" s="12" t="s">
        <v>46</v>
      </c>
      <c r="N1" s="12" t="s">
        <v>47</v>
      </c>
      <c r="O1" s="12" t="s">
        <v>48</v>
      </c>
    </row>
    <row r="2" spans="1:15" x14ac:dyDescent="0.45">
      <c r="A2" s="6" t="s">
        <v>49</v>
      </c>
      <c r="B2" s="6" t="s">
        <v>50</v>
      </c>
      <c r="C2" s="6"/>
      <c r="D2" s="6">
        <v>1</v>
      </c>
      <c r="E2" s="6">
        <v>1</v>
      </c>
      <c r="F2" s="10">
        <v>45859</v>
      </c>
      <c r="G2" s="6" t="str">
        <f>_xlfn.TEXTJOIN("|",TRUE,GameLog[[#This Row],[Pod]],TEXT(INT(GameLog[[#This Row],[Round]]),"yyyymmdd"),GameLog[[#This Row],[Date]])</f>
        <v>1|19000101|45859</v>
      </c>
      <c r="H2" s="6">
        <f>COUNTIF(GameLog[Pod ID],GameLog[[#This Row],[Pod ID]])</f>
        <v>4</v>
      </c>
      <c r="I2" s="6">
        <f>YEAR(GameLog[[#This Row],[Date]])</f>
        <v>2025</v>
      </c>
      <c r="J2" s="6">
        <f>MONTH(GameLog[[#This Row],[Date]])</f>
        <v>7</v>
      </c>
      <c r="K2" s="6" t="str">
        <f>IF(GameLog[[#This Row],[Date]]=MAX(GameLog[Date]),"Current","Previous")</f>
        <v>Previous</v>
      </c>
      <c r="L2" s="6" t="s">
        <v>51</v>
      </c>
      <c r="M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" s="6" t="str">
        <f ca="1">IF(GameLog[[#This Row],[Check]]="","",COUNTIF(GameLog[[#Headers],[Check]]:GameLog[[#This Row],[Check]],"?*")-1)</f>
        <v/>
      </c>
      <c r="O2" s="6" t="str">
        <f>IFERROR(INDEX(Players[New name],MATCH(GameLog[[#This Row],[Player]],Players[Name],0)),GameLog[[#This Row],[Player]])</f>
        <v>Brett R</v>
      </c>
    </row>
    <row r="3" spans="1:15" x14ac:dyDescent="0.45">
      <c r="A3" s="6" t="s">
        <v>52</v>
      </c>
      <c r="B3" s="6" t="s">
        <v>53</v>
      </c>
      <c r="C3" s="6"/>
      <c r="D3" s="6">
        <v>1</v>
      </c>
      <c r="E3" s="6">
        <v>1</v>
      </c>
      <c r="F3" s="10">
        <v>45859</v>
      </c>
      <c r="G3" s="6" t="str">
        <f>_xlfn.TEXTJOIN("|",TRUE,GameLog[[#This Row],[Pod]],TEXT(INT(GameLog[[#This Row],[Round]]),"yyyymmdd"),GameLog[[#This Row],[Date]])</f>
        <v>1|19000101|45859</v>
      </c>
      <c r="H3" s="6">
        <f>COUNTIF(GameLog[Pod ID],GameLog[[#This Row],[Pod ID]])</f>
        <v>4</v>
      </c>
      <c r="I3" s="6">
        <f>YEAR(GameLog[[#This Row],[Date]])</f>
        <v>2025</v>
      </c>
      <c r="J3" s="6">
        <f>MONTH(GameLog[[#This Row],[Date]])</f>
        <v>7</v>
      </c>
      <c r="K3" s="6" t="str">
        <f>IF(GameLog[[#This Row],[Date]]=MAX(GameLog[Date]),"Current","Previous")</f>
        <v>Previous</v>
      </c>
      <c r="L3" s="6" t="s">
        <v>51</v>
      </c>
      <c r="M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" s="6" t="str">
        <f ca="1">IF(GameLog[[#This Row],[Check]]="","",COUNTIF(GameLog[[#Headers],[Check]]:GameLog[[#This Row],[Check]],"?*")-1)</f>
        <v/>
      </c>
      <c r="O3" s="6" t="str">
        <f>IFERROR(INDEX(Players[New name],MATCH(GameLog[[#This Row],[Player]],Players[Name],0)),GameLog[[#This Row],[Player]])</f>
        <v>Unknown</v>
      </c>
    </row>
    <row r="4" spans="1:15" x14ac:dyDescent="0.45">
      <c r="A4" s="6" t="s">
        <v>52</v>
      </c>
      <c r="B4" s="6" t="s">
        <v>53</v>
      </c>
      <c r="C4" s="6"/>
      <c r="D4" s="6">
        <v>1</v>
      </c>
      <c r="E4" s="6">
        <v>1</v>
      </c>
      <c r="F4" s="10">
        <v>45859</v>
      </c>
      <c r="G4" s="6" t="str">
        <f>_xlfn.TEXTJOIN("|",TRUE,GameLog[[#This Row],[Pod]],TEXT(INT(GameLog[[#This Row],[Round]]),"yyyymmdd"),GameLog[[#This Row],[Date]])</f>
        <v>1|19000101|45859</v>
      </c>
      <c r="H4" s="6">
        <f>COUNTIF(GameLog[Pod ID],GameLog[[#This Row],[Pod ID]])</f>
        <v>4</v>
      </c>
      <c r="I4" s="6">
        <f>YEAR(GameLog[[#This Row],[Date]])</f>
        <v>2025</v>
      </c>
      <c r="J4" s="6">
        <f>MONTH(GameLog[[#This Row],[Date]])</f>
        <v>7</v>
      </c>
      <c r="K4" s="6" t="str">
        <f>IF(GameLog[[#This Row],[Date]]=MAX(GameLog[Date]),"Current","Previous")</f>
        <v>Previous</v>
      </c>
      <c r="L4" s="6" t="s">
        <v>51</v>
      </c>
      <c r="M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" s="6" t="str">
        <f ca="1">IF(GameLog[[#This Row],[Check]]="","",COUNTIF(GameLog[[#Headers],[Check]]:GameLog[[#This Row],[Check]],"?*")-1)</f>
        <v/>
      </c>
      <c r="O4" s="6" t="str">
        <f>IFERROR(INDEX(Players[New name],MATCH(GameLog[[#This Row],[Player]],Players[Name],0)),GameLog[[#This Row],[Player]])</f>
        <v>Unknown</v>
      </c>
    </row>
    <row r="5" spans="1:15" x14ac:dyDescent="0.45">
      <c r="A5" s="6" t="s">
        <v>54</v>
      </c>
      <c r="B5" s="6" t="s">
        <v>53</v>
      </c>
      <c r="C5" s="6"/>
      <c r="D5" s="6">
        <v>1</v>
      </c>
      <c r="E5" s="6">
        <v>1</v>
      </c>
      <c r="F5" s="10">
        <v>45859</v>
      </c>
      <c r="G5" s="6" t="str">
        <f>_xlfn.TEXTJOIN("|",TRUE,GameLog[[#This Row],[Pod]],TEXT(INT(GameLog[[#This Row],[Round]]),"yyyymmdd"),GameLog[[#This Row],[Date]])</f>
        <v>1|19000101|45859</v>
      </c>
      <c r="H5" s="6">
        <f>COUNTIF(GameLog[Pod ID],GameLog[[#This Row],[Pod ID]])</f>
        <v>4</v>
      </c>
      <c r="I5" s="6">
        <f>YEAR(GameLog[[#This Row],[Date]])</f>
        <v>2025</v>
      </c>
      <c r="J5" s="6">
        <f>MONTH(GameLog[[#This Row],[Date]])</f>
        <v>7</v>
      </c>
      <c r="K5" s="6" t="str">
        <f>IF(GameLog[[#This Row],[Date]]=MAX(GameLog[Date]),"Current","Previous")</f>
        <v>Previous</v>
      </c>
      <c r="L5" s="6" t="s">
        <v>51</v>
      </c>
      <c r="M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" s="6" t="str">
        <f ca="1">IF(GameLog[[#This Row],[Check]]="","",COUNTIF(GameLog[[#Headers],[Check]]:GameLog[[#This Row],[Check]],"?*")-1)</f>
        <v/>
      </c>
      <c r="O5" s="6" t="str">
        <f>IFERROR(INDEX(Players[New name],MATCH(GameLog[[#This Row],[Player]],Players[Name],0)),GameLog[[#This Row],[Player]])</f>
        <v>Vance C</v>
      </c>
    </row>
    <row r="6" spans="1:15" x14ac:dyDescent="0.45">
      <c r="A6" s="6" t="s">
        <v>55</v>
      </c>
      <c r="B6" s="6" t="s">
        <v>53</v>
      </c>
      <c r="C6" s="6"/>
      <c r="D6" s="6">
        <v>2</v>
      </c>
      <c r="E6" s="6">
        <v>1</v>
      </c>
      <c r="F6" s="10">
        <v>45859</v>
      </c>
      <c r="G6" s="6" t="str">
        <f>_xlfn.TEXTJOIN("|",TRUE,GameLog[[#This Row],[Pod]],TEXT(INT(GameLog[[#This Row],[Round]]),"yyyymmdd"),GameLog[[#This Row],[Date]])</f>
        <v>2|19000101|45859</v>
      </c>
      <c r="H6" s="6">
        <f>COUNTIF(GameLog[Pod ID],GameLog[[#This Row],[Pod ID]])</f>
        <v>4</v>
      </c>
      <c r="I6" s="6">
        <f>YEAR(GameLog[[#This Row],[Date]])</f>
        <v>2025</v>
      </c>
      <c r="J6" s="6">
        <f>MONTH(GameLog[[#This Row],[Date]])</f>
        <v>7</v>
      </c>
      <c r="K6" s="6" t="str">
        <f>IF(GameLog[[#This Row],[Date]]=MAX(GameLog[Date]),"Current","Previous")</f>
        <v>Previous</v>
      </c>
      <c r="L6" s="6" t="s">
        <v>51</v>
      </c>
      <c r="M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" s="6" t="str">
        <f ca="1">IF(GameLog[[#This Row],[Check]]="","",COUNTIF(GameLog[[#Headers],[Check]]:GameLog[[#This Row],[Check]],"?*")-1)</f>
        <v/>
      </c>
      <c r="O6" s="6" t="str">
        <f>IFERROR(INDEX(Players[New name],MATCH(GameLog[[#This Row],[Player]],Players[Name],0)),GameLog[[#This Row],[Player]])</f>
        <v>Bryce C</v>
      </c>
    </row>
    <row r="7" spans="1:15" x14ac:dyDescent="0.45">
      <c r="A7" s="6" t="s">
        <v>56</v>
      </c>
      <c r="B7" s="6" t="s">
        <v>50</v>
      </c>
      <c r="C7" s="6"/>
      <c r="D7" s="6">
        <v>2</v>
      </c>
      <c r="E7" s="6">
        <v>1</v>
      </c>
      <c r="F7" s="10">
        <v>45859</v>
      </c>
      <c r="G7" s="6" t="str">
        <f>_xlfn.TEXTJOIN("|",TRUE,GameLog[[#This Row],[Pod]],TEXT(INT(GameLog[[#This Row],[Round]]),"yyyymmdd"),GameLog[[#This Row],[Date]])</f>
        <v>2|19000101|45859</v>
      </c>
      <c r="H7" s="6">
        <f>COUNTIF(GameLog[Pod ID],GameLog[[#This Row],[Pod ID]])</f>
        <v>4</v>
      </c>
      <c r="I7" s="6">
        <f>YEAR(GameLog[[#This Row],[Date]])</f>
        <v>2025</v>
      </c>
      <c r="J7" s="6">
        <f>MONTH(GameLog[[#This Row],[Date]])</f>
        <v>7</v>
      </c>
      <c r="K7" s="6" t="str">
        <f>IF(GameLog[[#This Row],[Date]]=MAX(GameLog[Date]),"Current","Previous")</f>
        <v>Previous</v>
      </c>
      <c r="L7" s="6" t="s">
        <v>51</v>
      </c>
      <c r="M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" s="6" t="str">
        <f ca="1">IF(GameLog[[#This Row],[Check]]="","",COUNTIF(GameLog[[#Headers],[Check]]:GameLog[[#This Row],[Check]],"?*")-1)</f>
        <v/>
      </c>
      <c r="O7" s="6" t="str">
        <f>IFERROR(INDEX(Players[New name],MATCH(GameLog[[#This Row],[Player]],Players[Name],0)),GameLog[[#This Row],[Player]])</f>
        <v>Mark D</v>
      </c>
    </row>
    <row r="8" spans="1:15" x14ac:dyDescent="0.45">
      <c r="A8" s="6" t="s">
        <v>52</v>
      </c>
      <c r="B8" s="6" t="s">
        <v>53</v>
      </c>
      <c r="C8" s="6"/>
      <c r="D8" s="6">
        <v>2</v>
      </c>
      <c r="E8" s="6">
        <v>1</v>
      </c>
      <c r="F8" s="10">
        <v>45859</v>
      </c>
      <c r="G8" s="6" t="str">
        <f>_xlfn.TEXTJOIN("|",TRUE,GameLog[[#This Row],[Pod]],TEXT(INT(GameLog[[#This Row],[Round]]),"yyyymmdd"),GameLog[[#This Row],[Date]])</f>
        <v>2|19000101|45859</v>
      </c>
      <c r="H8" s="6">
        <f>COUNTIF(GameLog[Pod ID],GameLog[[#This Row],[Pod ID]])</f>
        <v>4</v>
      </c>
      <c r="I8" s="6">
        <f>YEAR(GameLog[[#This Row],[Date]])</f>
        <v>2025</v>
      </c>
      <c r="J8" s="6">
        <f>MONTH(GameLog[[#This Row],[Date]])</f>
        <v>7</v>
      </c>
      <c r="K8" s="6" t="str">
        <f>IF(GameLog[[#This Row],[Date]]=MAX(GameLog[Date]),"Current","Previous")</f>
        <v>Previous</v>
      </c>
      <c r="L8" s="6" t="s">
        <v>51</v>
      </c>
      <c r="M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" s="6" t="str">
        <f ca="1">IF(GameLog[[#This Row],[Check]]="","",COUNTIF(GameLog[[#Headers],[Check]]:GameLog[[#This Row],[Check]],"?*")-1)</f>
        <v/>
      </c>
      <c r="O8" s="6" t="str">
        <f>IFERROR(INDEX(Players[New name],MATCH(GameLog[[#This Row],[Player]],Players[Name],0)),GameLog[[#This Row],[Player]])</f>
        <v>Unknown</v>
      </c>
    </row>
    <row r="9" spans="1:15" x14ac:dyDescent="0.45">
      <c r="A9" s="6" t="s">
        <v>52</v>
      </c>
      <c r="B9" s="6" t="s">
        <v>53</v>
      </c>
      <c r="C9" s="6"/>
      <c r="D9" s="6">
        <v>2</v>
      </c>
      <c r="E9" s="6">
        <v>1</v>
      </c>
      <c r="F9" s="10">
        <v>45859</v>
      </c>
      <c r="G9" s="6" t="str">
        <f>_xlfn.TEXTJOIN("|",TRUE,GameLog[[#This Row],[Pod]],TEXT(INT(GameLog[[#This Row],[Round]]),"yyyymmdd"),GameLog[[#This Row],[Date]])</f>
        <v>2|19000101|45859</v>
      </c>
      <c r="H9" s="6">
        <f>COUNTIF(GameLog[Pod ID],GameLog[[#This Row],[Pod ID]])</f>
        <v>4</v>
      </c>
      <c r="I9" s="6">
        <f>YEAR(GameLog[[#This Row],[Date]])</f>
        <v>2025</v>
      </c>
      <c r="J9" s="6">
        <f>MONTH(GameLog[[#This Row],[Date]])</f>
        <v>7</v>
      </c>
      <c r="K9" s="6" t="str">
        <f>IF(GameLog[[#This Row],[Date]]=MAX(GameLog[Date]),"Current","Previous")</f>
        <v>Previous</v>
      </c>
      <c r="L9" s="6" t="s">
        <v>51</v>
      </c>
      <c r="M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" s="6" t="str">
        <f ca="1">IF(GameLog[[#This Row],[Check]]="","",COUNTIF(GameLog[[#Headers],[Check]]:GameLog[[#This Row],[Check]],"?*")-1)</f>
        <v/>
      </c>
      <c r="O9" s="6" t="str">
        <f>IFERROR(INDEX(Players[New name],MATCH(GameLog[[#This Row],[Player]],Players[Name],0)),GameLog[[#This Row],[Player]])</f>
        <v>Unknown</v>
      </c>
    </row>
    <row r="10" spans="1:15" x14ac:dyDescent="0.45">
      <c r="A10" s="6" t="s">
        <v>57</v>
      </c>
      <c r="B10" s="6" t="s">
        <v>50</v>
      </c>
      <c r="C10" s="6"/>
      <c r="D10" s="6">
        <v>3</v>
      </c>
      <c r="E10" s="6">
        <v>1</v>
      </c>
      <c r="F10" s="10">
        <v>45859</v>
      </c>
      <c r="G10" s="6" t="str">
        <f>_xlfn.TEXTJOIN("|",TRUE,GameLog[[#This Row],[Pod]],TEXT(INT(GameLog[[#This Row],[Round]]),"yyyymmdd"),GameLog[[#This Row],[Date]])</f>
        <v>3|19000101|45859</v>
      </c>
      <c r="H10" s="6">
        <f>COUNTIF(GameLog[Pod ID],GameLog[[#This Row],[Pod ID]])</f>
        <v>4</v>
      </c>
      <c r="I10" s="6">
        <f>YEAR(GameLog[[#This Row],[Date]])</f>
        <v>2025</v>
      </c>
      <c r="J10" s="6">
        <f>MONTH(GameLog[[#This Row],[Date]])</f>
        <v>7</v>
      </c>
      <c r="K10" s="6" t="str">
        <f>IF(GameLog[[#This Row],[Date]]=MAX(GameLog[Date]),"Current","Previous")</f>
        <v>Previous</v>
      </c>
      <c r="L10" s="6" t="s">
        <v>51</v>
      </c>
      <c r="M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" s="6" t="str">
        <f ca="1">IF(GameLog[[#This Row],[Check]]="","",COUNTIF(GameLog[[#Headers],[Check]]:GameLog[[#This Row],[Check]],"?*")-1)</f>
        <v/>
      </c>
      <c r="O10" s="6" t="str">
        <f>IFERROR(INDEX(Players[New name],MATCH(GameLog[[#This Row],[Player]],Players[Name],0)),GameLog[[#This Row],[Player]])</f>
        <v>AJ W</v>
      </c>
    </row>
    <row r="11" spans="1:15" x14ac:dyDescent="0.45">
      <c r="A11" s="6" t="s">
        <v>52</v>
      </c>
      <c r="B11" s="6" t="s">
        <v>53</v>
      </c>
      <c r="C11" s="6"/>
      <c r="D11" s="6">
        <v>3</v>
      </c>
      <c r="E11" s="6">
        <v>1</v>
      </c>
      <c r="F11" s="10">
        <v>45859</v>
      </c>
      <c r="G11" s="6" t="str">
        <f>_xlfn.TEXTJOIN("|",TRUE,GameLog[[#This Row],[Pod]],TEXT(INT(GameLog[[#This Row],[Round]]),"yyyymmdd"),GameLog[[#This Row],[Date]])</f>
        <v>3|19000101|45859</v>
      </c>
      <c r="H11" s="6">
        <f>COUNTIF(GameLog[Pod ID],GameLog[[#This Row],[Pod ID]])</f>
        <v>4</v>
      </c>
      <c r="I11" s="6">
        <f>YEAR(GameLog[[#This Row],[Date]])</f>
        <v>2025</v>
      </c>
      <c r="J11" s="6">
        <f>MONTH(GameLog[[#This Row],[Date]])</f>
        <v>7</v>
      </c>
      <c r="K11" s="6" t="str">
        <f>IF(GameLog[[#This Row],[Date]]=MAX(GameLog[Date]),"Current","Previous")</f>
        <v>Previous</v>
      </c>
      <c r="L11" s="6" t="s">
        <v>51</v>
      </c>
      <c r="M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" s="6" t="str">
        <f ca="1">IF(GameLog[[#This Row],[Check]]="","",COUNTIF(GameLog[[#Headers],[Check]]:GameLog[[#This Row],[Check]],"?*")-1)</f>
        <v/>
      </c>
      <c r="O11" s="6" t="str">
        <f>IFERROR(INDEX(Players[New name],MATCH(GameLog[[#This Row],[Player]],Players[Name],0)),GameLog[[#This Row],[Player]])</f>
        <v>Unknown</v>
      </c>
    </row>
    <row r="12" spans="1:15" x14ac:dyDescent="0.45">
      <c r="A12" s="6" t="s">
        <v>52</v>
      </c>
      <c r="B12" s="6" t="s">
        <v>53</v>
      </c>
      <c r="C12" s="6"/>
      <c r="D12" s="6">
        <v>3</v>
      </c>
      <c r="E12" s="6">
        <v>1</v>
      </c>
      <c r="F12" s="10">
        <v>45859</v>
      </c>
      <c r="G12" s="6" t="str">
        <f>_xlfn.TEXTJOIN("|",TRUE,GameLog[[#This Row],[Pod]],TEXT(INT(GameLog[[#This Row],[Round]]),"yyyymmdd"),GameLog[[#This Row],[Date]])</f>
        <v>3|19000101|45859</v>
      </c>
      <c r="H12" s="6">
        <f>COUNTIF(GameLog[Pod ID],GameLog[[#This Row],[Pod ID]])</f>
        <v>4</v>
      </c>
      <c r="I12" s="6">
        <f>YEAR(GameLog[[#This Row],[Date]])</f>
        <v>2025</v>
      </c>
      <c r="J12" s="6">
        <f>MONTH(GameLog[[#This Row],[Date]])</f>
        <v>7</v>
      </c>
      <c r="K12" s="6" t="str">
        <f>IF(GameLog[[#This Row],[Date]]=MAX(GameLog[Date]),"Current","Previous")</f>
        <v>Previous</v>
      </c>
      <c r="L12" s="6" t="s">
        <v>51</v>
      </c>
      <c r="M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" s="6" t="str">
        <f ca="1">IF(GameLog[[#This Row],[Check]]="","",COUNTIF(GameLog[[#Headers],[Check]]:GameLog[[#This Row],[Check]],"?*")-1)</f>
        <v/>
      </c>
      <c r="O12" s="6" t="str">
        <f>IFERROR(INDEX(Players[New name],MATCH(GameLog[[#This Row],[Player]],Players[Name],0)),GameLog[[#This Row],[Player]])</f>
        <v>Unknown</v>
      </c>
    </row>
    <row r="13" spans="1:15" x14ac:dyDescent="0.45">
      <c r="A13" s="6" t="s">
        <v>52</v>
      </c>
      <c r="B13" s="6" t="s">
        <v>53</v>
      </c>
      <c r="C13" s="6"/>
      <c r="D13" s="6">
        <v>3</v>
      </c>
      <c r="E13" s="6">
        <v>1</v>
      </c>
      <c r="F13" s="10">
        <v>45859</v>
      </c>
      <c r="G13" s="6" t="str">
        <f>_xlfn.TEXTJOIN("|",TRUE,GameLog[[#This Row],[Pod]],TEXT(INT(GameLog[[#This Row],[Round]]),"yyyymmdd"),GameLog[[#This Row],[Date]])</f>
        <v>3|19000101|45859</v>
      </c>
      <c r="H13" s="6">
        <f>COUNTIF(GameLog[Pod ID],GameLog[[#This Row],[Pod ID]])</f>
        <v>4</v>
      </c>
      <c r="I13" s="6">
        <f>YEAR(GameLog[[#This Row],[Date]])</f>
        <v>2025</v>
      </c>
      <c r="J13" s="6">
        <f>MONTH(GameLog[[#This Row],[Date]])</f>
        <v>7</v>
      </c>
      <c r="K13" s="6" t="str">
        <f>IF(GameLog[[#This Row],[Date]]=MAX(GameLog[Date]),"Current","Previous")</f>
        <v>Previous</v>
      </c>
      <c r="L13" s="6" t="s">
        <v>51</v>
      </c>
      <c r="M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" s="6" t="str">
        <f ca="1">IF(GameLog[[#This Row],[Check]]="","",COUNTIF(GameLog[[#Headers],[Check]]:GameLog[[#This Row],[Check]],"?*")-1)</f>
        <v/>
      </c>
      <c r="O13" s="6" t="str">
        <f>IFERROR(INDEX(Players[New name],MATCH(GameLog[[#This Row],[Player]],Players[Name],0)),GameLog[[#This Row],[Player]])</f>
        <v>Unknown</v>
      </c>
    </row>
    <row r="14" spans="1:15" x14ac:dyDescent="0.45">
      <c r="A14" s="6" t="s">
        <v>52</v>
      </c>
      <c r="B14" s="6" t="s">
        <v>53</v>
      </c>
      <c r="C14" s="6"/>
      <c r="D14" s="6">
        <v>1</v>
      </c>
      <c r="E14" s="6">
        <v>2</v>
      </c>
      <c r="F14" s="10">
        <v>45859</v>
      </c>
      <c r="G14" s="6" t="str">
        <f>_xlfn.TEXTJOIN("|",TRUE,GameLog[[#This Row],[Pod]],TEXT(INT(GameLog[[#This Row],[Round]]),"yyyymmdd"),GameLog[[#This Row],[Date]])</f>
        <v>1|19000102|45859</v>
      </c>
      <c r="H14" s="6">
        <f>COUNTIF(GameLog[Pod ID],GameLog[[#This Row],[Pod ID]])</f>
        <v>4</v>
      </c>
      <c r="I14" s="6">
        <f>YEAR(GameLog[[#This Row],[Date]])</f>
        <v>2025</v>
      </c>
      <c r="J14" s="6">
        <f>MONTH(GameLog[[#This Row],[Date]])</f>
        <v>7</v>
      </c>
      <c r="K14" s="6" t="str">
        <f>IF(GameLog[[#This Row],[Date]]=MAX(GameLog[Date]),"Current","Previous")</f>
        <v>Previous</v>
      </c>
      <c r="L14" s="6" t="s">
        <v>51</v>
      </c>
      <c r="M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" s="6" t="str">
        <f ca="1">IF(GameLog[[#This Row],[Check]]="","",COUNTIF(GameLog[[#Headers],[Check]]:GameLog[[#This Row],[Check]],"?*")-1)</f>
        <v/>
      </c>
      <c r="O14" s="6" t="str">
        <f>IFERROR(INDEX(Players[New name],MATCH(GameLog[[#This Row],[Player]],Players[Name],0)),GameLog[[#This Row],[Player]])</f>
        <v>Unknown</v>
      </c>
    </row>
    <row r="15" spans="1:15" x14ac:dyDescent="0.45">
      <c r="A15" s="6" t="s">
        <v>52</v>
      </c>
      <c r="B15" s="6" t="s">
        <v>53</v>
      </c>
      <c r="C15" s="6"/>
      <c r="D15" s="6">
        <v>1</v>
      </c>
      <c r="E15" s="6">
        <v>2</v>
      </c>
      <c r="F15" s="10">
        <v>45859</v>
      </c>
      <c r="G15" s="6" t="str">
        <f>_xlfn.TEXTJOIN("|",TRUE,GameLog[[#This Row],[Pod]],TEXT(INT(GameLog[[#This Row],[Round]]),"yyyymmdd"),GameLog[[#This Row],[Date]])</f>
        <v>1|19000102|45859</v>
      </c>
      <c r="H15" s="6">
        <f>COUNTIF(GameLog[Pod ID],GameLog[[#This Row],[Pod ID]])</f>
        <v>4</v>
      </c>
      <c r="I15" s="6">
        <f>YEAR(GameLog[[#This Row],[Date]])</f>
        <v>2025</v>
      </c>
      <c r="J15" s="6">
        <f>MONTH(GameLog[[#This Row],[Date]])</f>
        <v>7</v>
      </c>
      <c r="K15" s="6" t="str">
        <f>IF(GameLog[[#This Row],[Date]]=MAX(GameLog[Date]),"Current","Previous")</f>
        <v>Previous</v>
      </c>
      <c r="L15" s="6" t="s">
        <v>51</v>
      </c>
      <c r="M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" s="6" t="str">
        <f ca="1">IF(GameLog[[#This Row],[Check]]="","",COUNTIF(GameLog[[#Headers],[Check]]:GameLog[[#This Row],[Check]],"?*")-1)</f>
        <v/>
      </c>
      <c r="O15" s="6" t="str">
        <f>IFERROR(INDEX(Players[New name],MATCH(GameLog[[#This Row],[Player]],Players[Name],0)),GameLog[[#This Row],[Player]])</f>
        <v>Unknown</v>
      </c>
    </row>
    <row r="16" spans="1:15" x14ac:dyDescent="0.45">
      <c r="A16" s="6" t="s">
        <v>52</v>
      </c>
      <c r="B16" s="6" t="s">
        <v>53</v>
      </c>
      <c r="C16" s="6"/>
      <c r="D16" s="6">
        <v>1</v>
      </c>
      <c r="E16" s="6">
        <v>2</v>
      </c>
      <c r="F16" s="10">
        <v>45859</v>
      </c>
      <c r="G16" s="6" t="str">
        <f>_xlfn.TEXTJOIN("|",TRUE,GameLog[[#This Row],[Pod]],TEXT(INT(GameLog[[#This Row],[Round]]),"yyyymmdd"),GameLog[[#This Row],[Date]])</f>
        <v>1|19000102|45859</v>
      </c>
      <c r="H16" s="6">
        <f>COUNTIF(GameLog[Pod ID],GameLog[[#This Row],[Pod ID]])</f>
        <v>4</v>
      </c>
      <c r="I16" s="6">
        <f>YEAR(GameLog[[#This Row],[Date]])</f>
        <v>2025</v>
      </c>
      <c r="J16" s="6">
        <f>MONTH(GameLog[[#This Row],[Date]])</f>
        <v>7</v>
      </c>
      <c r="K16" s="6" t="str">
        <f>IF(GameLog[[#This Row],[Date]]=MAX(GameLog[Date]),"Current","Previous")</f>
        <v>Previous</v>
      </c>
      <c r="L16" s="6" t="s">
        <v>51</v>
      </c>
      <c r="M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" s="6" t="str">
        <f ca="1">IF(GameLog[[#This Row],[Check]]="","",COUNTIF(GameLog[[#Headers],[Check]]:GameLog[[#This Row],[Check]],"?*")-1)</f>
        <v/>
      </c>
      <c r="O16" s="6" t="str">
        <f>IFERROR(INDEX(Players[New name],MATCH(GameLog[[#This Row],[Player]],Players[Name],0)),GameLog[[#This Row],[Player]])</f>
        <v>Unknown</v>
      </c>
    </row>
    <row r="17" spans="1:15" x14ac:dyDescent="0.45">
      <c r="A17" s="6" t="s">
        <v>54</v>
      </c>
      <c r="B17" s="6" t="s">
        <v>50</v>
      </c>
      <c r="C17" s="6"/>
      <c r="D17" s="6">
        <v>1</v>
      </c>
      <c r="E17" s="6">
        <v>2</v>
      </c>
      <c r="F17" s="10">
        <v>45859</v>
      </c>
      <c r="G17" s="6" t="str">
        <f>_xlfn.TEXTJOIN("|",TRUE,GameLog[[#This Row],[Pod]],TEXT(INT(GameLog[[#This Row],[Round]]),"yyyymmdd"),GameLog[[#This Row],[Date]])</f>
        <v>1|19000102|45859</v>
      </c>
      <c r="H17" s="6">
        <f>COUNTIF(GameLog[Pod ID],GameLog[[#This Row],[Pod ID]])</f>
        <v>4</v>
      </c>
      <c r="I17" s="6">
        <f>YEAR(GameLog[[#This Row],[Date]])</f>
        <v>2025</v>
      </c>
      <c r="J17" s="6">
        <f>MONTH(GameLog[[#This Row],[Date]])</f>
        <v>7</v>
      </c>
      <c r="K17" s="6" t="str">
        <f>IF(GameLog[[#This Row],[Date]]=MAX(GameLog[Date]),"Current","Previous")</f>
        <v>Previous</v>
      </c>
      <c r="L17" s="6" t="s">
        <v>51</v>
      </c>
      <c r="M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" s="6" t="str">
        <f ca="1">IF(GameLog[[#This Row],[Check]]="","",COUNTIF(GameLog[[#Headers],[Check]]:GameLog[[#This Row],[Check]],"?*")-1)</f>
        <v/>
      </c>
      <c r="O17" s="6" t="str">
        <f>IFERROR(INDEX(Players[New name],MATCH(GameLog[[#This Row],[Player]],Players[Name],0)),GameLog[[#This Row],[Player]])</f>
        <v>Vance C</v>
      </c>
    </row>
    <row r="18" spans="1:15" x14ac:dyDescent="0.45">
      <c r="A18" s="6" t="s">
        <v>55</v>
      </c>
      <c r="B18" s="6" t="s">
        <v>50</v>
      </c>
      <c r="C18" s="6"/>
      <c r="D18" s="6">
        <v>2</v>
      </c>
      <c r="E18" s="6">
        <v>2</v>
      </c>
      <c r="F18" s="10">
        <v>45859</v>
      </c>
      <c r="G18" s="6" t="str">
        <f>_xlfn.TEXTJOIN("|",TRUE,GameLog[[#This Row],[Pod]],TEXT(INT(GameLog[[#This Row],[Round]]),"yyyymmdd"),GameLog[[#This Row],[Date]])</f>
        <v>2|19000102|45859</v>
      </c>
      <c r="H18" s="6">
        <f>COUNTIF(GameLog[Pod ID],GameLog[[#This Row],[Pod ID]])</f>
        <v>4</v>
      </c>
      <c r="I18" s="6">
        <f>YEAR(GameLog[[#This Row],[Date]])</f>
        <v>2025</v>
      </c>
      <c r="J18" s="6">
        <f>MONTH(GameLog[[#This Row],[Date]])</f>
        <v>7</v>
      </c>
      <c r="K18" s="6" t="str">
        <f>IF(GameLog[[#This Row],[Date]]=MAX(GameLog[Date]),"Current","Previous")</f>
        <v>Previous</v>
      </c>
      <c r="L18" s="6" t="s">
        <v>51</v>
      </c>
      <c r="M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" s="6" t="str">
        <f ca="1">IF(GameLog[[#This Row],[Check]]="","",COUNTIF(GameLog[[#Headers],[Check]]:GameLog[[#This Row],[Check]],"?*")-1)</f>
        <v/>
      </c>
      <c r="O18" s="6" t="str">
        <f>IFERROR(INDEX(Players[New name],MATCH(GameLog[[#This Row],[Player]],Players[Name],0)),GameLog[[#This Row],[Player]])</f>
        <v>Bryce C</v>
      </c>
    </row>
    <row r="19" spans="1:15" x14ac:dyDescent="0.45">
      <c r="A19" s="6" t="s">
        <v>56</v>
      </c>
      <c r="B19" s="6" t="s">
        <v>53</v>
      </c>
      <c r="C19" s="6"/>
      <c r="D19" s="6">
        <v>2</v>
      </c>
      <c r="E19" s="6">
        <v>2</v>
      </c>
      <c r="F19" s="10">
        <v>45859</v>
      </c>
      <c r="G19" s="6" t="str">
        <f>_xlfn.TEXTJOIN("|",TRUE,GameLog[[#This Row],[Pod]],TEXT(INT(GameLog[[#This Row],[Round]]),"yyyymmdd"),GameLog[[#This Row],[Date]])</f>
        <v>2|19000102|45859</v>
      </c>
      <c r="H19" s="6">
        <f>COUNTIF(GameLog[Pod ID],GameLog[[#This Row],[Pod ID]])</f>
        <v>4</v>
      </c>
      <c r="I19" s="6">
        <f>YEAR(GameLog[[#This Row],[Date]])</f>
        <v>2025</v>
      </c>
      <c r="J19" s="6">
        <f>MONTH(GameLog[[#This Row],[Date]])</f>
        <v>7</v>
      </c>
      <c r="K19" s="6" t="str">
        <f>IF(GameLog[[#This Row],[Date]]=MAX(GameLog[Date]),"Current","Previous")</f>
        <v>Previous</v>
      </c>
      <c r="L19" s="6" t="s">
        <v>51</v>
      </c>
      <c r="M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" s="6" t="str">
        <f ca="1">IF(GameLog[[#This Row],[Check]]="","",COUNTIF(GameLog[[#Headers],[Check]]:GameLog[[#This Row],[Check]],"?*")-1)</f>
        <v/>
      </c>
      <c r="O19" s="6" t="str">
        <f>IFERROR(INDEX(Players[New name],MATCH(GameLog[[#This Row],[Player]],Players[Name],0)),GameLog[[#This Row],[Player]])</f>
        <v>Mark D</v>
      </c>
    </row>
    <row r="20" spans="1:15" x14ac:dyDescent="0.45">
      <c r="A20" s="6" t="s">
        <v>52</v>
      </c>
      <c r="B20" s="6" t="s">
        <v>53</v>
      </c>
      <c r="C20" s="6"/>
      <c r="D20" s="6">
        <v>2</v>
      </c>
      <c r="E20" s="6">
        <v>2</v>
      </c>
      <c r="F20" s="10">
        <v>45859</v>
      </c>
      <c r="G20" s="6" t="str">
        <f>_xlfn.TEXTJOIN("|",TRUE,GameLog[[#This Row],[Pod]],TEXT(INT(GameLog[[#This Row],[Round]]),"yyyymmdd"),GameLog[[#This Row],[Date]])</f>
        <v>2|19000102|45859</v>
      </c>
      <c r="H20" s="6">
        <f>COUNTIF(GameLog[Pod ID],GameLog[[#This Row],[Pod ID]])</f>
        <v>4</v>
      </c>
      <c r="I20" s="6">
        <f>YEAR(GameLog[[#This Row],[Date]])</f>
        <v>2025</v>
      </c>
      <c r="J20" s="6">
        <f>MONTH(GameLog[[#This Row],[Date]])</f>
        <v>7</v>
      </c>
      <c r="K20" s="6" t="str">
        <f>IF(GameLog[[#This Row],[Date]]=MAX(GameLog[Date]),"Current","Previous")</f>
        <v>Previous</v>
      </c>
      <c r="L20" s="6" t="s">
        <v>51</v>
      </c>
      <c r="M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" s="6" t="str">
        <f ca="1">IF(GameLog[[#This Row],[Check]]="","",COUNTIF(GameLog[[#Headers],[Check]]:GameLog[[#This Row],[Check]],"?*")-1)</f>
        <v/>
      </c>
      <c r="O20" s="6" t="str">
        <f>IFERROR(INDEX(Players[New name],MATCH(GameLog[[#This Row],[Player]],Players[Name],0)),GameLog[[#This Row],[Player]])</f>
        <v>Unknown</v>
      </c>
    </row>
    <row r="21" spans="1:15" x14ac:dyDescent="0.45">
      <c r="A21" s="6" t="s">
        <v>52</v>
      </c>
      <c r="B21" s="6" t="s">
        <v>53</v>
      </c>
      <c r="C21" s="6"/>
      <c r="D21" s="6">
        <v>2</v>
      </c>
      <c r="E21" s="6">
        <v>2</v>
      </c>
      <c r="F21" s="10">
        <v>45859</v>
      </c>
      <c r="G21" s="6" t="str">
        <f>_xlfn.TEXTJOIN("|",TRUE,GameLog[[#This Row],[Pod]],TEXT(INT(GameLog[[#This Row],[Round]]),"yyyymmdd"),GameLog[[#This Row],[Date]])</f>
        <v>2|19000102|45859</v>
      </c>
      <c r="H21" s="6">
        <f>COUNTIF(GameLog[Pod ID],GameLog[[#This Row],[Pod ID]])</f>
        <v>4</v>
      </c>
      <c r="I21" s="6">
        <f>YEAR(GameLog[[#This Row],[Date]])</f>
        <v>2025</v>
      </c>
      <c r="J21" s="6">
        <f>MONTH(GameLog[[#This Row],[Date]])</f>
        <v>7</v>
      </c>
      <c r="K21" s="6" t="str">
        <f>IF(GameLog[[#This Row],[Date]]=MAX(GameLog[Date]),"Current","Previous")</f>
        <v>Previous</v>
      </c>
      <c r="L21" s="6" t="s">
        <v>51</v>
      </c>
      <c r="M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" s="6" t="str">
        <f ca="1">IF(GameLog[[#This Row],[Check]]="","",COUNTIF(GameLog[[#Headers],[Check]]:GameLog[[#This Row],[Check]],"?*")-1)</f>
        <v/>
      </c>
      <c r="O21" s="6" t="str">
        <f>IFERROR(INDEX(Players[New name],MATCH(GameLog[[#This Row],[Player]],Players[Name],0)),GameLog[[#This Row],[Player]])</f>
        <v>Unknown</v>
      </c>
    </row>
    <row r="22" spans="1:15" x14ac:dyDescent="0.45">
      <c r="A22" s="6" t="s">
        <v>57</v>
      </c>
      <c r="B22" s="6" t="s">
        <v>53</v>
      </c>
      <c r="C22" s="6"/>
      <c r="D22" s="6">
        <v>3</v>
      </c>
      <c r="E22" s="6">
        <v>2</v>
      </c>
      <c r="F22" s="10">
        <v>45859</v>
      </c>
      <c r="G22" s="6" t="str">
        <f>_xlfn.TEXTJOIN("|",TRUE,GameLog[[#This Row],[Pod]],TEXT(INT(GameLog[[#This Row],[Round]]),"yyyymmdd"),GameLog[[#This Row],[Date]])</f>
        <v>3|19000102|45859</v>
      </c>
      <c r="H22" s="6">
        <f>COUNTIF(GameLog[Pod ID],GameLog[[#This Row],[Pod ID]])</f>
        <v>4</v>
      </c>
      <c r="I22" s="6">
        <f>YEAR(GameLog[[#This Row],[Date]])</f>
        <v>2025</v>
      </c>
      <c r="J22" s="6">
        <f>MONTH(GameLog[[#This Row],[Date]])</f>
        <v>7</v>
      </c>
      <c r="K22" s="6" t="str">
        <f>IF(GameLog[[#This Row],[Date]]=MAX(GameLog[Date]),"Current","Previous")</f>
        <v>Previous</v>
      </c>
      <c r="L22" s="6" t="s">
        <v>51</v>
      </c>
      <c r="M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" s="6" t="str">
        <f ca="1">IF(GameLog[[#This Row],[Check]]="","",COUNTIF(GameLog[[#Headers],[Check]]:GameLog[[#This Row],[Check]],"?*")-1)</f>
        <v/>
      </c>
      <c r="O22" s="6" t="str">
        <f>IFERROR(INDEX(Players[New name],MATCH(GameLog[[#This Row],[Player]],Players[Name],0)),GameLog[[#This Row],[Player]])</f>
        <v>AJ W</v>
      </c>
    </row>
    <row r="23" spans="1:15" x14ac:dyDescent="0.45">
      <c r="A23" s="6" t="s">
        <v>49</v>
      </c>
      <c r="B23" s="6" t="s">
        <v>50</v>
      </c>
      <c r="C23" s="6"/>
      <c r="D23" s="6">
        <v>3</v>
      </c>
      <c r="E23" s="6">
        <v>2</v>
      </c>
      <c r="F23" s="10">
        <v>45859</v>
      </c>
      <c r="G23" s="6" t="str">
        <f>_xlfn.TEXTJOIN("|",TRUE,GameLog[[#This Row],[Pod]],TEXT(INT(GameLog[[#This Row],[Round]]),"yyyymmdd"),GameLog[[#This Row],[Date]])</f>
        <v>3|19000102|45859</v>
      </c>
      <c r="H23" s="6">
        <f>COUNTIF(GameLog[Pod ID],GameLog[[#This Row],[Pod ID]])</f>
        <v>4</v>
      </c>
      <c r="I23" s="6">
        <f>YEAR(GameLog[[#This Row],[Date]])</f>
        <v>2025</v>
      </c>
      <c r="J23" s="6">
        <f>MONTH(GameLog[[#This Row],[Date]])</f>
        <v>7</v>
      </c>
      <c r="K23" s="6" t="str">
        <f>IF(GameLog[[#This Row],[Date]]=MAX(GameLog[Date]),"Current","Previous")</f>
        <v>Previous</v>
      </c>
      <c r="L23" s="6" t="s">
        <v>51</v>
      </c>
      <c r="M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" s="6" t="str">
        <f ca="1">IF(GameLog[[#This Row],[Check]]="","",COUNTIF(GameLog[[#Headers],[Check]]:GameLog[[#This Row],[Check]],"?*")-1)</f>
        <v/>
      </c>
      <c r="O23" s="6" t="str">
        <f>IFERROR(INDEX(Players[New name],MATCH(GameLog[[#This Row],[Player]],Players[Name],0)),GameLog[[#This Row],[Player]])</f>
        <v>Brett R</v>
      </c>
    </row>
    <row r="24" spans="1:15" x14ac:dyDescent="0.45">
      <c r="A24" s="6" t="s">
        <v>52</v>
      </c>
      <c r="B24" s="6" t="s">
        <v>53</v>
      </c>
      <c r="C24" s="6"/>
      <c r="D24" s="6">
        <v>3</v>
      </c>
      <c r="E24" s="6">
        <v>2</v>
      </c>
      <c r="F24" s="10">
        <v>45859</v>
      </c>
      <c r="G24" s="6" t="str">
        <f>_xlfn.TEXTJOIN("|",TRUE,GameLog[[#This Row],[Pod]],TEXT(INT(GameLog[[#This Row],[Round]]),"yyyymmdd"),GameLog[[#This Row],[Date]])</f>
        <v>3|19000102|45859</v>
      </c>
      <c r="H24" s="6">
        <f>COUNTIF(GameLog[Pod ID],GameLog[[#This Row],[Pod ID]])</f>
        <v>4</v>
      </c>
      <c r="I24" s="6">
        <f>YEAR(GameLog[[#This Row],[Date]])</f>
        <v>2025</v>
      </c>
      <c r="J24" s="6">
        <f>MONTH(GameLog[[#This Row],[Date]])</f>
        <v>7</v>
      </c>
      <c r="K24" s="6" t="str">
        <f>IF(GameLog[[#This Row],[Date]]=MAX(GameLog[Date]),"Current","Previous")</f>
        <v>Previous</v>
      </c>
      <c r="L24" s="6" t="s">
        <v>51</v>
      </c>
      <c r="M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" s="6" t="str">
        <f ca="1">IF(GameLog[[#This Row],[Check]]="","",COUNTIF(GameLog[[#Headers],[Check]]:GameLog[[#This Row],[Check]],"?*")-1)</f>
        <v/>
      </c>
      <c r="O24" s="6" t="str">
        <f>IFERROR(INDEX(Players[New name],MATCH(GameLog[[#This Row],[Player]],Players[Name],0)),GameLog[[#This Row],[Player]])</f>
        <v>Unknown</v>
      </c>
    </row>
    <row r="25" spans="1:15" x14ac:dyDescent="0.45">
      <c r="A25" s="6" t="s">
        <v>52</v>
      </c>
      <c r="B25" s="6" t="s">
        <v>53</v>
      </c>
      <c r="C25" s="6"/>
      <c r="D25" s="6">
        <v>3</v>
      </c>
      <c r="E25" s="6">
        <v>2</v>
      </c>
      <c r="F25" s="10">
        <v>45859</v>
      </c>
      <c r="G25" s="6" t="str">
        <f>_xlfn.TEXTJOIN("|",TRUE,GameLog[[#This Row],[Pod]],TEXT(INT(GameLog[[#This Row],[Round]]),"yyyymmdd"),GameLog[[#This Row],[Date]])</f>
        <v>3|19000102|45859</v>
      </c>
      <c r="H25" s="6">
        <f>COUNTIF(GameLog[Pod ID],GameLog[[#This Row],[Pod ID]])</f>
        <v>4</v>
      </c>
      <c r="I25" s="6">
        <f>YEAR(GameLog[[#This Row],[Date]])</f>
        <v>2025</v>
      </c>
      <c r="J25" s="6">
        <f>MONTH(GameLog[[#This Row],[Date]])</f>
        <v>7</v>
      </c>
      <c r="K25" s="6" t="str">
        <f>IF(GameLog[[#This Row],[Date]]=MAX(GameLog[Date]),"Current","Previous")</f>
        <v>Previous</v>
      </c>
      <c r="L25" s="6" t="s">
        <v>51</v>
      </c>
      <c r="M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" s="6" t="str">
        <f ca="1">IF(GameLog[[#This Row],[Check]]="","",COUNTIF(GameLog[[#Headers],[Check]]:GameLog[[#This Row],[Check]],"?*")-1)</f>
        <v/>
      </c>
      <c r="O25" s="6" t="str">
        <f>IFERROR(INDEX(Players[New name],MATCH(GameLog[[#This Row],[Player]],Players[Name],0)),GameLog[[#This Row],[Player]])</f>
        <v>Unknown</v>
      </c>
    </row>
    <row r="26" spans="1:15" x14ac:dyDescent="0.45">
      <c r="A26" s="6" t="s">
        <v>58</v>
      </c>
      <c r="B26" s="6" t="s">
        <v>53</v>
      </c>
      <c r="C26" s="6">
        <v>1</v>
      </c>
      <c r="D26" s="6">
        <v>1</v>
      </c>
      <c r="E26" s="6">
        <v>1</v>
      </c>
      <c r="F26" s="10">
        <v>45866</v>
      </c>
      <c r="G26" s="6" t="str">
        <f>_xlfn.TEXTJOIN("|",TRUE,GameLog[[#This Row],[Pod]],TEXT(INT(GameLog[[#This Row],[Round]]),"yyyymmdd"),GameLog[[#This Row],[Date]])</f>
        <v>1|19000101|45866</v>
      </c>
      <c r="H26" s="6">
        <f>COUNTIF(GameLog[Pod ID],GameLog[[#This Row],[Pod ID]])</f>
        <v>4</v>
      </c>
      <c r="I26" s="6">
        <f>YEAR(GameLog[[#This Row],[Date]])</f>
        <v>2025</v>
      </c>
      <c r="J26" s="6">
        <f>MONTH(GameLog[[#This Row],[Date]])</f>
        <v>7</v>
      </c>
      <c r="K26" s="6" t="str">
        <f>IF(GameLog[[#This Row],[Date]]=MAX(GameLog[Date]),"Current","Previous")</f>
        <v>Previous</v>
      </c>
      <c r="L26" s="6"/>
      <c r="M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" s="6" t="str">
        <f ca="1">IF(GameLog[[#This Row],[Check]]="","",COUNTIF(GameLog[[#Headers],[Check]]:GameLog[[#This Row],[Check]],"?*")-1)</f>
        <v/>
      </c>
      <c r="O26" s="6" t="str">
        <f>IFERROR(INDEX(Players[New name],MATCH(GameLog[[#This Row],[Player]],Players[Name],0)),GameLog[[#This Row],[Player]])</f>
        <v>Dakota P</v>
      </c>
    </row>
    <row r="27" spans="1:15" x14ac:dyDescent="0.45">
      <c r="A27" s="6" t="s">
        <v>59</v>
      </c>
      <c r="B27" s="6" t="s">
        <v>53</v>
      </c>
      <c r="C27" s="6">
        <v>2</v>
      </c>
      <c r="D27" s="6">
        <v>1</v>
      </c>
      <c r="E27" s="6">
        <v>1</v>
      </c>
      <c r="F27" s="10">
        <v>45866</v>
      </c>
      <c r="G27" s="6" t="str">
        <f>_xlfn.TEXTJOIN("|",TRUE,GameLog[[#This Row],[Pod]],TEXT(INT(GameLog[[#This Row],[Round]]),"yyyymmdd"),GameLog[[#This Row],[Date]])</f>
        <v>1|19000101|45866</v>
      </c>
      <c r="H27" s="6">
        <f>COUNTIF(GameLog[Pod ID],GameLog[[#This Row],[Pod ID]])</f>
        <v>4</v>
      </c>
      <c r="I27" s="6">
        <f>YEAR(GameLog[[#This Row],[Date]])</f>
        <v>2025</v>
      </c>
      <c r="J27" s="6">
        <f>MONTH(GameLog[[#This Row],[Date]])</f>
        <v>7</v>
      </c>
      <c r="K27" s="6" t="str">
        <f>IF(GameLog[[#This Row],[Date]]=MAX(GameLog[Date]),"Current","Previous")</f>
        <v>Previous</v>
      </c>
      <c r="L27" s="6"/>
      <c r="M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" s="6" t="str">
        <f ca="1">IF(GameLog[[#This Row],[Check]]="","",COUNTIF(GameLog[[#Headers],[Check]]:GameLog[[#This Row],[Check]],"?*")-1)</f>
        <v/>
      </c>
      <c r="O27" s="6" t="str">
        <f>IFERROR(INDEX(Players[New name],MATCH(GameLog[[#This Row],[Player]],Players[Name],0)),GameLog[[#This Row],[Player]])</f>
        <v>Zack B</v>
      </c>
    </row>
    <row r="28" spans="1:15" x14ac:dyDescent="0.45">
      <c r="A28" s="6" t="s">
        <v>60</v>
      </c>
      <c r="B28" s="6" t="s">
        <v>53</v>
      </c>
      <c r="C28" s="6">
        <v>3</v>
      </c>
      <c r="D28" s="6">
        <v>1</v>
      </c>
      <c r="E28" s="6">
        <v>1</v>
      </c>
      <c r="F28" s="10">
        <v>45866</v>
      </c>
      <c r="G28" s="6" t="str">
        <f>_xlfn.TEXTJOIN("|",TRUE,GameLog[[#This Row],[Pod]],TEXT(INT(GameLog[[#This Row],[Round]]),"yyyymmdd"),GameLog[[#This Row],[Date]])</f>
        <v>1|19000101|45866</v>
      </c>
      <c r="H28" s="6">
        <f>COUNTIF(GameLog[Pod ID],GameLog[[#This Row],[Pod ID]])</f>
        <v>4</v>
      </c>
      <c r="I28" s="6">
        <f>YEAR(GameLog[[#This Row],[Date]])</f>
        <v>2025</v>
      </c>
      <c r="J28" s="6">
        <f>MONTH(GameLog[[#This Row],[Date]])</f>
        <v>7</v>
      </c>
      <c r="K28" s="6" t="str">
        <f>IF(GameLog[[#This Row],[Date]]=MAX(GameLog[Date]),"Current","Previous")</f>
        <v>Previous</v>
      </c>
      <c r="L28" s="6"/>
      <c r="M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" s="6" t="str">
        <f ca="1">IF(GameLog[[#This Row],[Check]]="","",COUNTIF(GameLog[[#Headers],[Check]]:GameLog[[#This Row],[Check]],"?*")-1)</f>
        <v/>
      </c>
      <c r="O28" s="6" t="str">
        <f>IFERROR(INDEX(Players[New name],MATCH(GameLog[[#This Row],[Player]],Players[Name],0)),GameLog[[#This Row],[Player]])</f>
        <v>Brendan H</v>
      </c>
    </row>
    <row r="29" spans="1:15" x14ac:dyDescent="0.45">
      <c r="A29" s="6" t="s">
        <v>61</v>
      </c>
      <c r="B29" s="6" t="s">
        <v>50</v>
      </c>
      <c r="C29" s="6">
        <v>4</v>
      </c>
      <c r="D29" s="6">
        <v>1</v>
      </c>
      <c r="E29" s="6">
        <v>1</v>
      </c>
      <c r="F29" s="10">
        <v>45866</v>
      </c>
      <c r="G29" s="6" t="str">
        <f>_xlfn.TEXTJOIN("|",TRUE,GameLog[[#This Row],[Pod]],TEXT(INT(GameLog[[#This Row],[Round]]),"yyyymmdd"),GameLog[[#This Row],[Date]])</f>
        <v>1|19000101|45866</v>
      </c>
      <c r="H29" s="6">
        <f>COUNTIF(GameLog[Pod ID],GameLog[[#This Row],[Pod ID]])</f>
        <v>4</v>
      </c>
      <c r="I29" s="6">
        <f>YEAR(GameLog[[#This Row],[Date]])</f>
        <v>2025</v>
      </c>
      <c r="J29" s="6">
        <f>MONTH(GameLog[[#This Row],[Date]])</f>
        <v>7</v>
      </c>
      <c r="K29" s="6" t="str">
        <f>IF(GameLog[[#This Row],[Date]]=MAX(GameLog[Date]),"Current","Previous")</f>
        <v>Previous</v>
      </c>
      <c r="L29" s="6"/>
      <c r="M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" s="6" t="str">
        <f ca="1">IF(GameLog[[#This Row],[Check]]="","",COUNTIF(GameLog[[#Headers],[Check]]:GameLog[[#This Row],[Check]],"?*")-1)</f>
        <v/>
      </c>
      <c r="O29" s="6" t="str">
        <f>IFERROR(INDEX(Players[New name],MATCH(GameLog[[#This Row],[Player]],Players[Name],0)),GameLog[[#This Row],[Player]])</f>
        <v>Trevor</v>
      </c>
    </row>
    <row r="30" spans="1:15" x14ac:dyDescent="0.45">
      <c r="A30" s="6" t="s">
        <v>56</v>
      </c>
      <c r="B30" s="6" t="s">
        <v>50</v>
      </c>
      <c r="C30" s="6">
        <v>1</v>
      </c>
      <c r="D30" s="6">
        <v>2</v>
      </c>
      <c r="E30" s="6">
        <v>1</v>
      </c>
      <c r="F30" s="10">
        <v>45866</v>
      </c>
      <c r="G30" s="6" t="str">
        <f>_xlfn.TEXTJOIN("|",TRUE,GameLog[[#This Row],[Pod]],TEXT(INT(GameLog[[#This Row],[Round]]),"yyyymmdd"),GameLog[[#This Row],[Date]])</f>
        <v>2|19000101|45866</v>
      </c>
      <c r="H30" s="6">
        <f>COUNTIF(GameLog[Pod ID],GameLog[[#This Row],[Pod ID]])</f>
        <v>3</v>
      </c>
      <c r="I30" s="6">
        <f>YEAR(GameLog[[#This Row],[Date]])</f>
        <v>2025</v>
      </c>
      <c r="J30" s="6">
        <f>MONTH(GameLog[[#This Row],[Date]])</f>
        <v>7</v>
      </c>
      <c r="K30" s="6" t="str">
        <f>IF(GameLog[[#This Row],[Date]]=MAX(GameLog[Date]),"Current","Previous")</f>
        <v>Previous</v>
      </c>
      <c r="L30" s="6"/>
      <c r="M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" s="6" t="str">
        <f ca="1">IF(GameLog[[#This Row],[Check]]="","",COUNTIF(GameLog[[#Headers],[Check]]:GameLog[[#This Row],[Check]],"?*")-1)</f>
        <v/>
      </c>
      <c r="O30" s="6" t="str">
        <f>IFERROR(INDEX(Players[New name],MATCH(GameLog[[#This Row],[Player]],Players[Name],0)),GameLog[[#This Row],[Player]])</f>
        <v>Mark D</v>
      </c>
    </row>
    <row r="31" spans="1:15" x14ac:dyDescent="0.45">
      <c r="A31" s="6" t="s">
        <v>62</v>
      </c>
      <c r="B31" s="6" t="s">
        <v>53</v>
      </c>
      <c r="C31" s="6">
        <v>2</v>
      </c>
      <c r="D31" s="6">
        <v>2</v>
      </c>
      <c r="E31" s="6">
        <v>1</v>
      </c>
      <c r="F31" s="10">
        <v>45866</v>
      </c>
      <c r="G31" s="6" t="str">
        <f>_xlfn.TEXTJOIN("|",TRUE,GameLog[[#This Row],[Pod]],TEXT(INT(GameLog[[#This Row],[Round]]),"yyyymmdd"),GameLog[[#This Row],[Date]])</f>
        <v>2|19000101|45866</v>
      </c>
      <c r="H31" s="6">
        <f>COUNTIF(GameLog[Pod ID],GameLog[[#This Row],[Pod ID]])</f>
        <v>3</v>
      </c>
      <c r="I31" s="6">
        <f>YEAR(GameLog[[#This Row],[Date]])</f>
        <v>2025</v>
      </c>
      <c r="J31" s="6">
        <f>MONTH(GameLog[[#This Row],[Date]])</f>
        <v>7</v>
      </c>
      <c r="K31" s="6" t="str">
        <f>IF(GameLog[[#This Row],[Date]]=MAX(GameLog[Date]),"Current","Previous")</f>
        <v>Previous</v>
      </c>
      <c r="L31" s="6"/>
      <c r="M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" s="6" t="str">
        <f ca="1">IF(GameLog[[#This Row],[Check]]="","",COUNTIF(GameLog[[#Headers],[Check]]:GameLog[[#This Row],[Check]],"?*")-1)</f>
        <v/>
      </c>
      <c r="O31" s="6" t="str">
        <f>IFERROR(INDEX(Players[New name],MATCH(GameLog[[#This Row],[Player]],Players[Name],0)),GameLog[[#This Row],[Player]])</f>
        <v>Nicholas S</v>
      </c>
    </row>
    <row r="32" spans="1:15" x14ac:dyDescent="0.45">
      <c r="A32" s="6" t="s">
        <v>54</v>
      </c>
      <c r="B32" s="6" t="s">
        <v>53</v>
      </c>
      <c r="C32" s="6">
        <v>3</v>
      </c>
      <c r="D32" s="6">
        <v>2</v>
      </c>
      <c r="E32" s="6">
        <v>1</v>
      </c>
      <c r="F32" s="10">
        <v>45866</v>
      </c>
      <c r="G32" s="6" t="str">
        <f>_xlfn.TEXTJOIN("|",TRUE,GameLog[[#This Row],[Pod]],TEXT(INT(GameLog[[#This Row],[Round]]),"yyyymmdd"),GameLog[[#This Row],[Date]])</f>
        <v>2|19000101|45866</v>
      </c>
      <c r="H32" s="6">
        <f>COUNTIF(GameLog[Pod ID],GameLog[[#This Row],[Pod ID]])</f>
        <v>3</v>
      </c>
      <c r="I32" s="6">
        <f>YEAR(GameLog[[#This Row],[Date]])</f>
        <v>2025</v>
      </c>
      <c r="J32" s="6">
        <f>MONTH(GameLog[[#This Row],[Date]])</f>
        <v>7</v>
      </c>
      <c r="K32" s="6" t="str">
        <f>IF(GameLog[[#This Row],[Date]]=MAX(GameLog[Date]),"Current","Previous")</f>
        <v>Previous</v>
      </c>
      <c r="L32" s="6"/>
      <c r="M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" s="6" t="str">
        <f ca="1">IF(GameLog[[#This Row],[Check]]="","",COUNTIF(GameLog[[#Headers],[Check]]:GameLog[[#This Row],[Check]],"?*")-1)</f>
        <v/>
      </c>
      <c r="O32" s="6" t="str">
        <f>IFERROR(INDEX(Players[New name],MATCH(GameLog[[#This Row],[Player]],Players[Name],0)),GameLog[[#This Row],[Player]])</f>
        <v>Vance C</v>
      </c>
    </row>
    <row r="33" spans="1:15" x14ac:dyDescent="0.45">
      <c r="A33" s="6" t="s">
        <v>55</v>
      </c>
      <c r="B33" s="6" t="s">
        <v>50</v>
      </c>
      <c r="C33" s="6">
        <v>1</v>
      </c>
      <c r="D33" s="6">
        <v>3</v>
      </c>
      <c r="E33" s="6">
        <v>1</v>
      </c>
      <c r="F33" s="10">
        <v>45866</v>
      </c>
      <c r="G33" s="6" t="str">
        <f>_xlfn.TEXTJOIN("|",TRUE,GameLog[[#This Row],[Pod]],TEXT(INT(GameLog[[#This Row],[Round]]),"yyyymmdd"),GameLog[[#This Row],[Date]])</f>
        <v>3|19000101|45866</v>
      </c>
      <c r="H33" s="6">
        <f>COUNTIF(GameLog[Pod ID],GameLog[[#This Row],[Pod ID]])</f>
        <v>3</v>
      </c>
      <c r="I33" s="6">
        <f>YEAR(GameLog[[#This Row],[Date]])</f>
        <v>2025</v>
      </c>
      <c r="J33" s="6">
        <f>MONTH(GameLog[[#This Row],[Date]])</f>
        <v>7</v>
      </c>
      <c r="K33" s="6" t="str">
        <f>IF(GameLog[[#This Row],[Date]]=MAX(GameLog[Date]),"Current","Previous")</f>
        <v>Previous</v>
      </c>
      <c r="L33" s="6"/>
      <c r="M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" s="6" t="str">
        <f ca="1">IF(GameLog[[#This Row],[Check]]="","",COUNTIF(GameLog[[#Headers],[Check]]:GameLog[[#This Row],[Check]],"?*")-1)</f>
        <v/>
      </c>
      <c r="O33" s="6" t="str">
        <f>IFERROR(INDEX(Players[New name],MATCH(GameLog[[#This Row],[Player]],Players[Name],0)),GameLog[[#This Row],[Player]])</f>
        <v>Bryce C</v>
      </c>
    </row>
    <row r="34" spans="1:15" x14ac:dyDescent="0.45">
      <c r="A34" s="6" t="s">
        <v>63</v>
      </c>
      <c r="B34" s="6" t="s">
        <v>53</v>
      </c>
      <c r="C34" s="6">
        <v>2</v>
      </c>
      <c r="D34" s="6">
        <v>3</v>
      </c>
      <c r="E34" s="6">
        <v>1</v>
      </c>
      <c r="F34" s="10">
        <v>45866</v>
      </c>
      <c r="G34" s="6" t="str">
        <f>_xlfn.TEXTJOIN("|",TRUE,GameLog[[#This Row],[Pod]],TEXT(INT(GameLog[[#This Row],[Round]]),"yyyymmdd"),GameLog[[#This Row],[Date]])</f>
        <v>3|19000101|45866</v>
      </c>
      <c r="H34" s="6">
        <f>COUNTIF(GameLog[Pod ID],GameLog[[#This Row],[Pod ID]])</f>
        <v>3</v>
      </c>
      <c r="I34" s="6">
        <f>YEAR(GameLog[[#This Row],[Date]])</f>
        <v>2025</v>
      </c>
      <c r="J34" s="6">
        <f>MONTH(GameLog[[#This Row],[Date]])</f>
        <v>7</v>
      </c>
      <c r="K34" s="6" t="str">
        <f>IF(GameLog[[#This Row],[Date]]=MAX(GameLog[Date]),"Current","Previous")</f>
        <v>Previous</v>
      </c>
      <c r="L34" s="6"/>
      <c r="M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" s="6" t="str">
        <f ca="1">IF(GameLog[[#This Row],[Check]]="","",COUNTIF(GameLog[[#Headers],[Check]]:GameLog[[#This Row],[Check]],"?*")-1)</f>
        <v/>
      </c>
      <c r="O34" s="6" t="str">
        <f>IFERROR(INDEX(Players[New name],MATCH(GameLog[[#This Row],[Player]],Players[Name],0)),GameLog[[#This Row],[Player]])</f>
        <v>Jake D</v>
      </c>
    </row>
    <row r="35" spans="1:15" x14ac:dyDescent="0.45">
      <c r="A35" s="6" t="s">
        <v>49</v>
      </c>
      <c r="B35" s="6" t="s">
        <v>53</v>
      </c>
      <c r="C35" s="6">
        <v>3</v>
      </c>
      <c r="D35" s="6">
        <v>3</v>
      </c>
      <c r="E35" s="6">
        <v>1</v>
      </c>
      <c r="F35" s="10">
        <v>45866</v>
      </c>
      <c r="G35" s="6" t="str">
        <f>_xlfn.TEXTJOIN("|",TRUE,GameLog[[#This Row],[Pod]],TEXT(INT(GameLog[[#This Row],[Round]]),"yyyymmdd"),GameLog[[#This Row],[Date]])</f>
        <v>3|19000101|45866</v>
      </c>
      <c r="H35" s="6">
        <f>COUNTIF(GameLog[Pod ID],GameLog[[#This Row],[Pod ID]])</f>
        <v>3</v>
      </c>
      <c r="I35" s="6">
        <f>YEAR(GameLog[[#This Row],[Date]])</f>
        <v>2025</v>
      </c>
      <c r="J35" s="6">
        <f>MONTH(GameLog[[#This Row],[Date]])</f>
        <v>7</v>
      </c>
      <c r="K35" s="6" t="str">
        <f>IF(GameLog[[#This Row],[Date]]=MAX(GameLog[Date]),"Current","Previous")</f>
        <v>Previous</v>
      </c>
      <c r="L35" s="6"/>
      <c r="M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" s="6" t="str">
        <f ca="1">IF(GameLog[[#This Row],[Check]]="","",COUNTIF(GameLog[[#Headers],[Check]]:GameLog[[#This Row],[Check]],"?*")-1)</f>
        <v/>
      </c>
      <c r="O35" s="6" t="str">
        <f>IFERROR(INDEX(Players[New name],MATCH(GameLog[[#This Row],[Player]],Players[Name],0)),GameLog[[#This Row],[Player]])</f>
        <v>Brett R</v>
      </c>
    </row>
    <row r="36" spans="1:15" x14ac:dyDescent="0.45">
      <c r="A36" s="6" t="s">
        <v>64</v>
      </c>
      <c r="B36" s="6" t="s">
        <v>50</v>
      </c>
      <c r="C36" s="6">
        <v>1</v>
      </c>
      <c r="D36" s="6">
        <v>4</v>
      </c>
      <c r="E36" s="6">
        <v>1</v>
      </c>
      <c r="F36" s="10">
        <v>45866</v>
      </c>
      <c r="G36" s="6" t="str">
        <f>_xlfn.TEXTJOIN("|",TRUE,GameLog[[#This Row],[Pod]],TEXT(INT(GameLog[[#This Row],[Round]]),"yyyymmdd"),GameLog[[#This Row],[Date]])</f>
        <v>4|19000101|45866</v>
      </c>
      <c r="H36" s="6">
        <f>COUNTIF(GameLog[Pod ID],GameLog[[#This Row],[Pod ID]])</f>
        <v>3</v>
      </c>
      <c r="I36" s="6">
        <f>YEAR(GameLog[[#This Row],[Date]])</f>
        <v>2025</v>
      </c>
      <c r="J36" s="6">
        <f>MONTH(GameLog[[#This Row],[Date]])</f>
        <v>7</v>
      </c>
      <c r="K36" s="6" t="str">
        <f>IF(GameLog[[#This Row],[Date]]=MAX(GameLog[Date]),"Current","Previous")</f>
        <v>Previous</v>
      </c>
      <c r="L36" s="6"/>
      <c r="M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" s="6" t="str">
        <f ca="1">IF(GameLog[[#This Row],[Check]]="","",COUNTIF(GameLog[[#Headers],[Check]]:GameLog[[#This Row],[Check]],"?*")-1)</f>
        <v/>
      </c>
      <c r="O36" s="6" t="str">
        <f>IFERROR(INDEX(Players[New name],MATCH(GameLog[[#This Row],[Player]],Players[Name],0)),GameLog[[#This Row],[Player]])</f>
        <v>Tyler B</v>
      </c>
    </row>
    <row r="37" spans="1:15" x14ac:dyDescent="0.45">
      <c r="A37" s="6" t="s">
        <v>57</v>
      </c>
      <c r="B37" s="6" t="s">
        <v>53</v>
      </c>
      <c r="C37" s="6">
        <v>2</v>
      </c>
      <c r="D37" s="6">
        <v>4</v>
      </c>
      <c r="E37" s="6">
        <v>1</v>
      </c>
      <c r="F37" s="10">
        <v>45866</v>
      </c>
      <c r="G37" s="6" t="str">
        <f>_xlfn.TEXTJOIN("|",TRUE,GameLog[[#This Row],[Pod]],TEXT(INT(GameLog[[#This Row],[Round]]),"yyyymmdd"),GameLog[[#This Row],[Date]])</f>
        <v>4|19000101|45866</v>
      </c>
      <c r="H37" s="6">
        <f>COUNTIF(GameLog[Pod ID],GameLog[[#This Row],[Pod ID]])</f>
        <v>3</v>
      </c>
      <c r="I37" s="6">
        <f>YEAR(GameLog[[#This Row],[Date]])</f>
        <v>2025</v>
      </c>
      <c r="J37" s="6">
        <f>MONTH(GameLog[[#This Row],[Date]])</f>
        <v>7</v>
      </c>
      <c r="K37" s="6" t="str">
        <f>IF(GameLog[[#This Row],[Date]]=MAX(GameLog[Date]),"Current","Previous")</f>
        <v>Previous</v>
      </c>
      <c r="L37" s="6"/>
      <c r="M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" s="6" t="str">
        <f ca="1">IF(GameLog[[#This Row],[Check]]="","",COUNTIF(GameLog[[#Headers],[Check]]:GameLog[[#This Row],[Check]],"?*")-1)</f>
        <v/>
      </c>
      <c r="O37" s="6" t="str">
        <f>IFERROR(INDEX(Players[New name],MATCH(GameLog[[#This Row],[Player]],Players[Name],0)),GameLog[[#This Row],[Player]])</f>
        <v>AJ W</v>
      </c>
    </row>
    <row r="38" spans="1:15" x14ac:dyDescent="0.45">
      <c r="A38" s="6" t="s">
        <v>65</v>
      </c>
      <c r="B38" s="6" t="s">
        <v>53</v>
      </c>
      <c r="C38" s="6">
        <v>3</v>
      </c>
      <c r="D38" s="6">
        <v>4</v>
      </c>
      <c r="E38" s="6">
        <v>1</v>
      </c>
      <c r="F38" s="10">
        <v>45866</v>
      </c>
      <c r="G38" s="6" t="str">
        <f>_xlfn.TEXTJOIN("|",TRUE,GameLog[[#This Row],[Pod]],TEXT(INT(GameLog[[#This Row],[Round]]),"yyyymmdd"),GameLog[[#This Row],[Date]])</f>
        <v>4|19000101|45866</v>
      </c>
      <c r="H38" s="6">
        <f>COUNTIF(GameLog[Pod ID],GameLog[[#This Row],[Pod ID]])</f>
        <v>3</v>
      </c>
      <c r="I38" s="6">
        <f>YEAR(GameLog[[#This Row],[Date]])</f>
        <v>2025</v>
      </c>
      <c r="J38" s="6">
        <f>MONTH(GameLog[[#This Row],[Date]])</f>
        <v>7</v>
      </c>
      <c r="K38" s="6" t="str">
        <f>IF(GameLog[[#This Row],[Date]]=MAX(GameLog[Date]),"Current","Previous")</f>
        <v>Previous</v>
      </c>
      <c r="L38" s="6"/>
      <c r="M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" s="6" t="str">
        <f ca="1">IF(GameLog[[#This Row],[Check]]="","",COUNTIF(GameLog[[#Headers],[Check]]:GameLog[[#This Row],[Check]],"?*")-1)</f>
        <v/>
      </c>
      <c r="O38" s="6" t="str">
        <f>IFERROR(INDEX(Players[New name],MATCH(GameLog[[#This Row],[Player]],Players[Name],0)),GameLog[[#This Row],[Player]])</f>
        <v>Mitch</v>
      </c>
    </row>
    <row r="39" spans="1:15" x14ac:dyDescent="0.45">
      <c r="A39" s="6" t="s">
        <v>61</v>
      </c>
      <c r="B39" s="6" t="s">
        <v>53</v>
      </c>
      <c r="C39" s="6">
        <v>1</v>
      </c>
      <c r="D39" s="6">
        <v>1</v>
      </c>
      <c r="E39" s="6">
        <v>2</v>
      </c>
      <c r="F39" s="10">
        <v>45866</v>
      </c>
      <c r="G39" s="6" t="str">
        <f>_xlfn.TEXTJOIN("|",TRUE,GameLog[[#This Row],[Pod]],TEXT(INT(GameLog[[#This Row],[Round]]),"yyyymmdd"),GameLog[[#This Row],[Date]])</f>
        <v>1|19000102|45866</v>
      </c>
      <c r="H39" s="6">
        <f>COUNTIF(GameLog[Pod ID],GameLog[[#This Row],[Pod ID]])</f>
        <v>4</v>
      </c>
      <c r="I39" s="6">
        <f>YEAR(GameLog[[#This Row],[Date]])</f>
        <v>2025</v>
      </c>
      <c r="J39" s="6">
        <f>MONTH(GameLog[[#This Row],[Date]])</f>
        <v>7</v>
      </c>
      <c r="K39" s="6" t="str">
        <f>IF(GameLog[[#This Row],[Date]]=MAX(GameLog[Date]),"Current","Previous")</f>
        <v>Previous</v>
      </c>
      <c r="L39" s="6"/>
      <c r="M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" s="6" t="str">
        <f ca="1">IF(GameLog[[#This Row],[Check]]="","",COUNTIF(GameLog[[#Headers],[Check]]:GameLog[[#This Row],[Check]],"?*")-1)</f>
        <v/>
      </c>
      <c r="O39" s="6" t="str">
        <f>IFERROR(INDEX(Players[New name],MATCH(GameLog[[#This Row],[Player]],Players[Name],0)),GameLog[[#This Row],[Player]])</f>
        <v>Trevor</v>
      </c>
    </row>
    <row r="40" spans="1:15" x14ac:dyDescent="0.45">
      <c r="A40" s="6" t="s">
        <v>64</v>
      </c>
      <c r="B40" s="6" t="s">
        <v>53</v>
      </c>
      <c r="C40" s="6">
        <v>2</v>
      </c>
      <c r="D40" s="6">
        <v>1</v>
      </c>
      <c r="E40" s="6">
        <v>2</v>
      </c>
      <c r="F40" s="10">
        <v>45866</v>
      </c>
      <c r="G40" s="6" t="str">
        <f>_xlfn.TEXTJOIN("|",TRUE,GameLog[[#This Row],[Pod]],TEXT(INT(GameLog[[#This Row],[Round]]),"yyyymmdd"),GameLog[[#This Row],[Date]])</f>
        <v>1|19000102|45866</v>
      </c>
      <c r="H40" s="6">
        <f>COUNTIF(GameLog[Pod ID],GameLog[[#This Row],[Pod ID]])</f>
        <v>4</v>
      </c>
      <c r="I40" s="6">
        <f>YEAR(GameLog[[#This Row],[Date]])</f>
        <v>2025</v>
      </c>
      <c r="J40" s="6">
        <f>MONTH(GameLog[[#This Row],[Date]])</f>
        <v>7</v>
      </c>
      <c r="K40" s="6" t="str">
        <f>IF(GameLog[[#This Row],[Date]]=MAX(GameLog[Date]),"Current","Previous")</f>
        <v>Previous</v>
      </c>
      <c r="L40" s="6"/>
      <c r="M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" s="6" t="str">
        <f ca="1">IF(GameLog[[#This Row],[Check]]="","",COUNTIF(GameLog[[#Headers],[Check]]:GameLog[[#This Row],[Check]],"?*")-1)</f>
        <v/>
      </c>
      <c r="O40" s="6" t="str">
        <f>IFERROR(INDEX(Players[New name],MATCH(GameLog[[#This Row],[Player]],Players[Name],0)),GameLog[[#This Row],[Player]])</f>
        <v>Tyler B</v>
      </c>
    </row>
    <row r="41" spans="1:15" x14ac:dyDescent="0.45">
      <c r="A41" s="6" t="s">
        <v>55</v>
      </c>
      <c r="B41" s="6" t="s">
        <v>50</v>
      </c>
      <c r="C41" s="6">
        <v>3</v>
      </c>
      <c r="D41" s="6">
        <v>1</v>
      </c>
      <c r="E41" s="6">
        <v>2</v>
      </c>
      <c r="F41" s="10">
        <v>45866</v>
      </c>
      <c r="G41" s="6" t="str">
        <f>_xlfn.TEXTJOIN("|",TRUE,GameLog[[#This Row],[Pod]],TEXT(INT(GameLog[[#This Row],[Round]]),"yyyymmdd"),GameLog[[#This Row],[Date]])</f>
        <v>1|19000102|45866</v>
      </c>
      <c r="H41" s="6">
        <f>COUNTIF(GameLog[Pod ID],GameLog[[#This Row],[Pod ID]])</f>
        <v>4</v>
      </c>
      <c r="I41" s="6">
        <f>YEAR(GameLog[[#This Row],[Date]])</f>
        <v>2025</v>
      </c>
      <c r="J41" s="6">
        <f>MONTH(GameLog[[#This Row],[Date]])</f>
        <v>7</v>
      </c>
      <c r="K41" s="6" t="str">
        <f>IF(GameLog[[#This Row],[Date]]=MAX(GameLog[Date]),"Current","Previous")</f>
        <v>Previous</v>
      </c>
      <c r="L41" s="6"/>
      <c r="M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" s="6" t="str">
        <f ca="1">IF(GameLog[[#This Row],[Check]]="","",COUNTIF(GameLog[[#Headers],[Check]]:GameLog[[#This Row],[Check]],"?*")-1)</f>
        <v/>
      </c>
      <c r="O41" s="6" t="str">
        <f>IFERROR(INDEX(Players[New name],MATCH(GameLog[[#This Row],[Player]],Players[Name],0)),GameLog[[#This Row],[Player]])</f>
        <v>Bryce C</v>
      </c>
    </row>
    <row r="42" spans="1:15" x14ac:dyDescent="0.45">
      <c r="A42" s="6" t="s">
        <v>56</v>
      </c>
      <c r="B42" s="6" t="s">
        <v>53</v>
      </c>
      <c r="C42" s="6">
        <v>4</v>
      </c>
      <c r="D42" s="6">
        <v>1</v>
      </c>
      <c r="E42" s="6">
        <v>2</v>
      </c>
      <c r="F42" s="10">
        <v>45866</v>
      </c>
      <c r="G42" s="6" t="str">
        <f>_xlfn.TEXTJOIN("|",TRUE,GameLog[[#This Row],[Pod]],TEXT(INT(GameLog[[#This Row],[Round]]),"yyyymmdd"),GameLog[[#This Row],[Date]])</f>
        <v>1|19000102|45866</v>
      </c>
      <c r="H42" s="6">
        <f>COUNTIF(GameLog[Pod ID],GameLog[[#This Row],[Pod ID]])</f>
        <v>4</v>
      </c>
      <c r="I42" s="6">
        <f>YEAR(GameLog[[#This Row],[Date]])</f>
        <v>2025</v>
      </c>
      <c r="J42" s="6">
        <f>MONTH(GameLog[[#This Row],[Date]])</f>
        <v>7</v>
      </c>
      <c r="K42" s="6" t="str">
        <f>IF(GameLog[[#This Row],[Date]]=MAX(GameLog[Date]),"Current","Previous")</f>
        <v>Previous</v>
      </c>
      <c r="L42" s="6"/>
      <c r="M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" s="6" t="str">
        <f ca="1">IF(GameLog[[#This Row],[Check]]="","",COUNTIF(GameLog[[#Headers],[Check]]:GameLog[[#This Row],[Check]],"?*")-1)</f>
        <v/>
      </c>
      <c r="O42" s="6" t="str">
        <f>IFERROR(INDEX(Players[New name],MATCH(GameLog[[#This Row],[Player]],Players[Name],0)),GameLog[[#This Row],[Player]])</f>
        <v>Mark D</v>
      </c>
    </row>
    <row r="43" spans="1:15" x14ac:dyDescent="0.45">
      <c r="A43" s="6" t="s">
        <v>57</v>
      </c>
      <c r="B43" s="6" t="s">
        <v>50</v>
      </c>
      <c r="C43" s="6">
        <v>1</v>
      </c>
      <c r="D43" s="6">
        <v>2</v>
      </c>
      <c r="E43" s="6">
        <v>2</v>
      </c>
      <c r="F43" s="10">
        <v>45866</v>
      </c>
      <c r="G43" s="6" t="str">
        <f>_xlfn.TEXTJOIN("|",TRUE,GameLog[[#This Row],[Pod]],TEXT(INT(GameLog[[#This Row],[Round]]),"yyyymmdd"),GameLog[[#This Row],[Date]])</f>
        <v>2|19000102|45866</v>
      </c>
      <c r="H43" s="6">
        <f>COUNTIF(GameLog[Pod ID],GameLog[[#This Row],[Pod ID]])</f>
        <v>3</v>
      </c>
      <c r="I43" s="6">
        <f>YEAR(GameLog[[#This Row],[Date]])</f>
        <v>2025</v>
      </c>
      <c r="J43" s="6">
        <f>MONTH(GameLog[[#This Row],[Date]])</f>
        <v>7</v>
      </c>
      <c r="K43" s="6" t="str">
        <f>IF(GameLog[[#This Row],[Date]]=MAX(GameLog[Date]),"Current","Previous")</f>
        <v>Previous</v>
      </c>
      <c r="L43" s="6"/>
      <c r="M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" s="6" t="str">
        <f ca="1">IF(GameLog[[#This Row],[Check]]="","",COUNTIF(GameLog[[#Headers],[Check]]:GameLog[[#This Row],[Check]],"?*")-1)</f>
        <v/>
      </c>
      <c r="O43" s="6" t="str">
        <f>IFERROR(INDEX(Players[New name],MATCH(GameLog[[#This Row],[Player]],Players[Name],0)),GameLog[[#This Row],[Player]])</f>
        <v>AJ W</v>
      </c>
    </row>
    <row r="44" spans="1:15" x14ac:dyDescent="0.45">
      <c r="A44" s="6" t="s">
        <v>49</v>
      </c>
      <c r="B44" s="6" t="s">
        <v>53</v>
      </c>
      <c r="C44" s="6">
        <v>2</v>
      </c>
      <c r="D44" s="6">
        <v>2</v>
      </c>
      <c r="E44" s="6">
        <v>2</v>
      </c>
      <c r="F44" s="10">
        <v>45866</v>
      </c>
      <c r="G44" s="6" t="str">
        <f>_xlfn.TEXTJOIN("|",TRUE,GameLog[[#This Row],[Pod]],TEXT(INT(GameLog[[#This Row],[Round]]),"yyyymmdd"),GameLog[[#This Row],[Date]])</f>
        <v>2|19000102|45866</v>
      </c>
      <c r="H44" s="6">
        <f>COUNTIF(GameLog[Pod ID],GameLog[[#This Row],[Pod ID]])</f>
        <v>3</v>
      </c>
      <c r="I44" s="6">
        <f>YEAR(GameLog[[#This Row],[Date]])</f>
        <v>2025</v>
      </c>
      <c r="J44" s="6">
        <f>MONTH(GameLog[[#This Row],[Date]])</f>
        <v>7</v>
      </c>
      <c r="K44" s="6" t="str">
        <f>IF(GameLog[[#This Row],[Date]]=MAX(GameLog[Date]),"Current","Previous")</f>
        <v>Previous</v>
      </c>
      <c r="L44" s="6"/>
      <c r="M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" s="6" t="str">
        <f ca="1">IF(GameLog[[#This Row],[Check]]="","",COUNTIF(GameLog[[#Headers],[Check]]:GameLog[[#This Row],[Check]],"?*")-1)</f>
        <v/>
      </c>
      <c r="O44" s="6" t="str">
        <f>IFERROR(INDEX(Players[New name],MATCH(GameLog[[#This Row],[Player]],Players[Name],0)),GameLog[[#This Row],[Player]])</f>
        <v>Brett R</v>
      </c>
    </row>
    <row r="45" spans="1:15" x14ac:dyDescent="0.45">
      <c r="A45" s="6" t="s">
        <v>58</v>
      </c>
      <c r="B45" s="6" t="s">
        <v>53</v>
      </c>
      <c r="C45" s="6">
        <v>3</v>
      </c>
      <c r="D45" s="6">
        <v>2</v>
      </c>
      <c r="E45" s="6">
        <v>2</v>
      </c>
      <c r="F45" s="10">
        <v>45866</v>
      </c>
      <c r="G45" s="6" t="str">
        <f>_xlfn.TEXTJOIN("|",TRUE,GameLog[[#This Row],[Pod]],TEXT(INT(GameLog[[#This Row],[Round]]),"yyyymmdd"),GameLog[[#This Row],[Date]])</f>
        <v>2|19000102|45866</v>
      </c>
      <c r="H45" s="6">
        <f>COUNTIF(GameLog[Pod ID],GameLog[[#This Row],[Pod ID]])</f>
        <v>3</v>
      </c>
      <c r="I45" s="6">
        <f>YEAR(GameLog[[#This Row],[Date]])</f>
        <v>2025</v>
      </c>
      <c r="J45" s="6">
        <f>MONTH(GameLog[[#This Row],[Date]])</f>
        <v>7</v>
      </c>
      <c r="K45" s="6" t="str">
        <f>IF(GameLog[[#This Row],[Date]]=MAX(GameLog[Date]),"Current","Previous")</f>
        <v>Previous</v>
      </c>
      <c r="L45" s="6"/>
      <c r="M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" s="6" t="str">
        <f ca="1">IF(GameLog[[#This Row],[Check]]="","",COUNTIF(GameLog[[#Headers],[Check]]:GameLog[[#This Row],[Check]],"?*")-1)</f>
        <v/>
      </c>
      <c r="O45" s="6" t="str">
        <f>IFERROR(INDEX(Players[New name],MATCH(GameLog[[#This Row],[Player]],Players[Name],0)),GameLog[[#This Row],[Player]])</f>
        <v>Dakota P</v>
      </c>
    </row>
    <row r="46" spans="1:15" x14ac:dyDescent="0.45">
      <c r="A46" s="6" t="s">
        <v>62</v>
      </c>
      <c r="B46" s="6" t="s">
        <v>53</v>
      </c>
      <c r="C46" s="6">
        <v>1</v>
      </c>
      <c r="D46" s="6">
        <v>3</v>
      </c>
      <c r="E46" s="6">
        <v>2</v>
      </c>
      <c r="F46" s="10">
        <v>45866</v>
      </c>
      <c r="G46" s="6" t="str">
        <f>_xlfn.TEXTJOIN("|",TRUE,GameLog[[#This Row],[Pod]],TEXT(INT(GameLog[[#This Row],[Round]]),"yyyymmdd"),GameLog[[#This Row],[Date]])</f>
        <v>3|19000102|45866</v>
      </c>
      <c r="H46" s="6">
        <f>COUNTIF(GameLog[Pod ID],GameLog[[#This Row],[Pod ID]])</f>
        <v>3</v>
      </c>
      <c r="I46" s="6">
        <f>YEAR(GameLog[[#This Row],[Date]])</f>
        <v>2025</v>
      </c>
      <c r="J46" s="6">
        <f>MONTH(GameLog[[#This Row],[Date]])</f>
        <v>7</v>
      </c>
      <c r="K46" s="6" t="str">
        <f>IF(GameLog[[#This Row],[Date]]=MAX(GameLog[Date]),"Current","Previous")</f>
        <v>Previous</v>
      </c>
      <c r="L46" s="6"/>
      <c r="M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" s="6" t="str">
        <f ca="1">IF(GameLog[[#This Row],[Check]]="","",COUNTIF(GameLog[[#Headers],[Check]]:GameLog[[#This Row],[Check]],"?*")-1)</f>
        <v/>
      </c>
      <c r="O46" s="6" t="str">
        <f>IFERROR(INDEX(Players[New name],MATCH(GameLog[[#This Row],[Player]],Players[Name],0)),GameLog[[#This Row],[Player]])</f>
        <v>Nicholas S</v>
      </c>
    </row>
    <row r="47" spans="1:15" x14ac:dyDescent="0.45">
      <c r="A47" s="6" t="s">
        <v>60</v>
      </c>
      <c r="B47" s="6" t="s">
        <v>50</v>
      </c>
      <c r="C47" s="6">
        <v>2</v>
      </c>
      <c r="D47" s="6">
        <v>3</v>
      </c>
      <c r="E47" s="6">
        <v>2</v>
      </c>
      <c r="F47" s="10">
        <v>45866</v>
      </c>
      <c r="G47" s="6" t="str">
        <f>_xlfn.TEXTJOIN("|",TRUE,GameLog[[#This Row],[Pod]],TEXT(INT(GameLog[[#This Row],[Round]]),"yyyymmdd"),GameLog[[#This Row],[Date]])</f>
        <v>3|19000102|45866</v>
      </c>
      <c r="H47" s="6">
        <f>COUNTIF(GameLog[Pod ID],GameLog[[#This Row],[Pod ID]])</f>
        <v>3</v>
      </c>
      <c r="I47" s="6">
        <f>YEAR(GameLog[[#This Row],[Date]])</f>
        <v>2025</v>
      </c>
      <c r="J47" s="6">
        <f>MONTH(GameLog[[#This Row],[Date]])</f>
        <v>7</v>
      </c>
      <c r="K47" s="6" t="str">
        <f>IF(GameLog[[#This Row],[Date]]=MAX(GameLog[Date]),"Current","Previous")</f>
        <v>Previous</v>
      </c>
      <c r="L47" s="6"/>
      <c r="M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" s="6" t="str">
        <f ca="1">IF(GameLog[[#This Row],[Check]]="","",COUNTIF(GameLog[[#Headers],[Check]]:GameLog[[#This Row],[Check]],"?*")-1)</f>
        <v/>
      </c>
      <c r="O47" s="6" t="str">
        <f>IFERROR(INDEX(Players[New name],MATCH(GameLog[[#This Row],[Player]],Players[Name],0)),GameLog[[#This Row],[Player]])</f>
        <v>Brendan H</v>
      </c>
    </row>
    <row r="48" spans="1:15" x14ac:dyDescent="0.45">
      <c r="A48" s="6" t="s">
        <v>65</v>
      </c>
      <c r="B48" s="6" t="s">
        <v>53</v>
      </c>
      <c r="C48" s="6">
        <v>3</v>
      </c>
      <c r="D48" s="6">
        <v>3</v>
      </c>
      <c r="E48" s="6">
        <v>2</v>
      </c>
      <c r="F48" s="10">
        <v>45866</v>
      </c>
      <c r="G48" s="6" t="str">
        <f>_xlfn.TEXTJOIN("|",TRUE,GameLog[[#This Row],[Pod]],TEXT(INT(GameLog[[#This Row],[Round]]),"yyyymmdd"),GameLog[[#This Row],[Date]])</f>
        <v>3|19000102|45866</v>
      </c>
      <c r="H48" s="6">
        <f>COUNTIF(GameLog[Pod ID],GameLog[[#This Row],[Pod ID]])</f>
        <v>3</v>
      </c>
      <c r="I48" s="6">
        <f>YEAR(GameLog[[#This Row],[Date]])</f>
        <v>2025</v>
      </c>
      <c r="J48" s="6">
        <f>MONTH(GameLog[[#This Row],[Date]])</f>
        <v>7</v>
      </c>
      <c r="K48" s="6" t="str">
        <f>IF(GameLog[[#This Row],[Date]]=MAX(GameLog[Date]),"Current","Previous")</f>
        <v>Previous</v>
      </c>
      <c r="L48" s="6"/>
      <c r="M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" s="6" t="str">
        <f ca="1">IF(GameLog[[#This Row],[Check]]="","",COUNTIF(GameLog[[#Headers],[Check]]:GameLog[[#This Row],[Check]],"?*")-1)</f>
        <v/>
      </c>
      <c r="O48" s="6" t="str">
        <f>IFERROR(INDEX(Players[New name],MATCH(GameLog[[#This Row],[Player]],Players[Name],0)),GameLog[[#This Row],[Player]])</f>
        <v>Mitch</v>
      </c>
    </row>
    <row r="49" spans="1:15" x14ac:dyDescent="0.45">
      <c r="A49" s="6" t="s">
        <v>54</v>
      </c>
      <c r="B49" s="6" t="s">
        <v>53</v>
      </c>
      <c r="C49" s="6">
        <v>1</v>
      </c>
      <c r="D49" s="6">
        <v>4</v>
      </c>
      <c r="E49" s="6">
        <v>2</v>
      </c>
      <c r="F49" s="10">
        <v>45866</v>
      </c>
      <c r="G49" s="6" t="str">
        <f>_xlfn.TEXTJOIN("|",TRUE,GameLog[[#This Row],[Pod]],TEXT(INT(GameLog[[#This Row],[Round]]),"yyyymmdd"),GameLog[[#This Row],[Date]])</f>
        <v>4|19000102|45866</v>
      </c>
      <c r="H49" s="6">
        <f>COUNTIF(GameLog[Pod ID],GameLog[[#This Row],[Pod ID]])</f>
        <v>3</v>
      </c>
      <c r="I49" s="6">
        <f>YEAR(GameLog[[#This Row],[Date]])</f>
        <v>2025</v>
      </c>
      <c r="J49" s="6">
        <f>MONTH(GameLog[[#This Row],[Date]])</f>
        <v>7</v>
      </c>
      <c r="K49" s="6" t="str">
        <f>IF(GameLog[[#This Row],[Date]]=MAX(GameLog[Date]),"Current","Previous")</f>
        <v>Previous</v>
      </c>
      <c r="L49" s="6"/>
      <c r="M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" s="6" t="str">
        <f ca="1">IF(GameLog[[#This Row],[Check]]="","",COUNTIF(GameLog[[#Headers],[Check]]:GameLog[[#This Row],[Check]],"?*")-1)</f>
        <v/>
      </c>
      <c r="O49" s="6" t="str">
        <f>IFERROR(INDEX(Players[New name],MATCH(GameLog[[#This Row],[Player]],Players[Name],0)),GameLog[[#This Row],[Player]])</f>
        <v>Vance C</v>
      </c>
    </row>
    <row r="50" spans="1:15" x14ac:dyDescent="0.45">
      <c r="A50" s="6" t="s">
        <v>63</v>
      </c>
      <c r="B50" s="6" t="s">
        <v>53</v>
      </c>
      <c r="C50" s="6">
        <v>2</v>
      </c>
      <c r="D50" s="6">
        <v>4</v>
      </c>
      <c r="E50" s="6">
        <v>2</v>
      </c>
      <c r="F50" s="10">
        <v>45866</v>
      </c>
      <c r="G50" s="6" t="str">
        <f>_xlfn.TEXTJOIN("|",TRUE,GameLog[[#This Row],[Pod]],TEXT(INT(GameLog[[#This Row],[Round]]),"yyyymmdd"),GameLog[[#This Row],[Date]])</f>
        <v>4|19000102|45866</v>
      </c>
      <c r="H50" s="6">
        <f>COUNTIF(GameLog[Pod ID],GameLog[[#This Row],[Pod ID]])</f>
        <v>3</v>
      </c>
      <c r="I50" s="6">
        <f>YEAR(GameLog[[#This Row],[Date]])</f>
        <v>2025</v>
      </c>
      <c r="J50" s="6">
        <f>MONTH(GameLog[[#This Row],[Date]])</f>
        <v>7</v>
      </c>
      <c r="K50" s="6" t="str">
        <f>IF(GameLog[[#This Row],[Date]]=MAX(GameLog[Date]),"Current","Previous")</f>
        <v>Previous</v>
      </c>
      <c r="L50" s="6"/>
      <c r="M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" s="6" t="str">
        <f ca="1">IF(GameLog[[#This Row],[Check]]="","",COUNTIF(GameLog[[#Headers],[Check]]:GameLog[[#This Row],[Check]],"?*")-1)</f>
        <v/>
      </c>
      <c r="O50" s="6" t="str">
        <f>IFERROR(INDEX(Players[New name],MATCH(GameLog[[#This Row],[Player]],Players[Name],0)),GameLog[[#This Row],[Player]])</f>
        <v>Jake D</v>
      </c>
    </row>
    <row r="51" spans="1:15" x14ac:dyDescent="0.45">
      <c r="A51" s="6" t="s">
        <v>59</v>
      </c>
      <c r="B51" s="6" t="s">
        <v>50</v>
      </c>
      <c r="C51" s="6">
        <v>3</v>
      </c>
      <c r="D51" s="6">
        <v>4</v>
      </c>
      <c r="E51" s="6">
        <v>2</v>
      </c>
      <c r="F51" s="10">
        <v>45866</v>
      </c>
      <c r="G51" s="6" t="str">
        <f>_xlfn.TEXTJOIN("|",TRUE,GameLog[[#This Row],[Pod]],TEXT(INT(GameLog[[#This Row],[Round]]),"yyyymmdd"),GameLog[[#This Row],[Date]])</f>
        <v>4|19000102|45866</v>
      </c>
      <c r="H51" s="6">
        <f>COUNTIF(GameLog[Pod ID],GameLog[[#This Row],[Pod ID]])</f>
        <v>3</v>
      </c>
      <c r="I51" s="6">
        <f>YEAR(GameLog[[#This Row],[Date]])</f>
        <v>2025</v>
      </c>
      <c r="J51" s="6">
        <f>MONTH(GameLog[[#This Row],[Date]])</f>
        <v>7</v>
      </c>
      <c r="K51" s="6" t="str">
        <f>IF(GameLog[[#This Row],[Date]]=MAX(GameLog[Date]),"Current","Previous")</f>
        <v>Previous</v>
      </c>
      <c r="L51" s="6"/>
      <c r="M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" s="6" t="str">
        <f ca="1">IF(GameLog[[#This Row],[Check]]="","",COUNTIF(GameLog[[#Headers],[Check]]:GameLog[[#This Row],[Check]],"?*")-1)</f>
        <v/>
      </c>
      <c r="O51" s="6" t="str">
        <f>IFERROR(INDEX(Players[New name],MATCH(GameLog[[#This Row],[Player]],Players[Name],0)),GameLog[[#This Row],[Player]])</f>
        <v>Zack B</v>
      </c>
    </row>
    <row r="52" spans="1:15" x14ac:dyDescent="0.45">
      <c r="A52" s="6" t="s">
        <v>66</v>
      </c>
      <c r="B52" s="6" t="s">
        <v>50</v>
      </c>
      <c r="C52" s="6">
        <v>1</v>
      </c>
      <c r="D52" s="6">
        <v>1</v>
      </c>
      <c r="E52" s="6">
        <v>1</v>
      </c>
      <c r="F52" s="10">
        <v>45873</v>
      </c>
      <c r="G52" s="6" t="str">
        <f>_xlfn.TEXTJOIN("|",TRUE,GameLog[[#This Row],[Pod]],TEXT(INT(GameLog[[#This Row],[Round]]),"yyyymmdd"),GameLog[[#This Row],[Date]])</f>
        <v>1|19000101|45873</v>
      </c>
      <c r="H52" s="6">
        <f>COUNTIF(GameLog[Pod ID],GameLog[[#This Row],[Pod ID]])</f>
        <v>3</v>
      </c>
      <c r="I52" s="6">
        <f>YEAR(GameLog[[#This Row],[Date]])</f>
        <v>2025</v>
      </c>
      <c r="J52" s="6">
        <f>MONTH(GameLog[[#This Row],[Date]])</f>
        <v>8</v>
      </c>
      <c r="K52" s="6" t="str">
        <f>IF(GameLog[[#This Row],[Date]]=MAX(GameLog[Date]),"Current","Previous")</f>
        <v>Previous</v>
      </c>
      <c r="L52" s="6"/>
      <c r="M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" s="6" t="str">
        <f ca="1">IF(GameLog[[#This Row],[Check]]="","",COUNTIF(GameLog[[#Headers],[Check]]:GameLog[[#This Row],[Check]],"?*")-1)</f>
        <v/>
      </c>
      <c r="O52" s="6" t="str">
        <f>IFERROR(INDEX(Players[New name],MATCH(GameLog[[#This Row],[Player]],Players[Name],0)),GameLog[[#This Row],[Player]])</f>
        <v>Jack</v>
      </c>
    </row>
    <row r="53" spans="1:15" x14ac:dyDescent="0.45">
      <c r="A53" s="6" t="s">
        <v>49</v>
      </c>
      <c r="B53" s="6" t="s">
        <v>53</v>
      </c>
      <c r="C53" s="6">
        <v>2</v>
      </c>
      <c r="D53" s="6">
        <v>1</v>
      </c>
      <c r="E53" s="6">
        <v>1</v>
      </c>
      <c r="F53" s="10">
        <v>45873</v>
      </c>
      <c r="G53" s="6" t="str">
        <f>_xlfn.TEXTJOIN("|",TRUE,GameLog[[#This Row],[Pod]],TEXT(INT(GameLog[[#This Row],[Round]]),"yyyymmdd"),GameLog[[#This Row],[Date]])</f>
        <v>1|19000101|45873</v>
      </c>
      <c r="H53" s="6">
        <f>COUNTIF(GameLog[Pod ID],GameLog[[#This Row],[Pod ID]])</f>
        <v>3</v>
      </c>
      <c r="I53" s="6">
        <f>YEAR(GameLog[[#This Row],[Date]])</f>
        <v>2025</v>
      </c>
      <c r="J53" s="6">
        <f>MONTH(GameLog[[#This Row],[Date]])</f>
        <v>8</v>
      </c>
      <c r="K53" s="6" t="str">
        <f>IF(GameLog[[#This Row],[Date]]=MAX(GameLog[Date]),"Current","Previous")</f>
        <v>Previous</v>
      </c>
      <c r="L53" s="6"/>
      <c r="M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" s="6" t="str">
        <f ca="1">IF(GameLog[[#This Row],[Check]]="","",COUNTIF(GameLog[[#Headers],[Check]]:GameLog[[#This Row],[Check]],"?*")-1)</f>
        <v/>
      </c>
      <c r="O53" s="6" t="str">
        <f>IFERROR(INDEX(Players[New name],MATCH(GameLog[[#This Row],[Player]],Players[Name],0)),GameLog[[#This Row],[Player]])</f>
        <v>Brett R</v>
      </c>
    </row>
    <row r="54" spans="1:15" x14ac:dyDescent="0.45">
      <c r="A54" s="6" t="s">
        <v>61</v>
      </c>
      <c r="B54" s="6" t="s">
        <v>53</v>
      </c>
      <c r="C54" s="6">
        <v>3</v>
      </c>
      <c r="D54" s="6">
        <v>1</v>
      </c>
      <c r="E54" s="6">
        <v>1</v>
      </c>
      <c r="F54" s="10">
        <v>45873</v>
      </c>
      <c r="G54" s="6" t="str">
        <f>_xlfn.TEXTJOIN("|",TRUE,GameLog[[#This Row],[Pod]],TEXT(INT(GameLog[[#This Row],[Round]]),"yyyymmdd"),GameLog[[#This Row],[Date]])</f>
        <v>1|19000101|45873</v>
      </c>
      <c r="H54" s="6">
        <f>COUNTIF(GameLog[Pod ID],GameLog[[#This Row],[Pod ID]])</f>
        <v>3</v>
      </c>
      <c r="I54" s="6">
        <f>YEAR(GameLog[[#This Row],[Date]])</f>
        <v>2025</v>
      </c>
      <c r="J54" s="6">
        <f>MONTH(GameLog[[#This Row],[Date]])</f>
        <v>8</v>
      </c>
      <c r="K54" s="6" t="str">
        <f>IF(GameLog[[#This Row],[Date]]=MAX(GameLog[Date]),"Current","Previous")</f>
        <v>Previous</v>
      </c>
      <c r="L54" s="6"/>
      <c r="M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" s="6" t="str">
        <f ca="1">IF(GameLog[[#This Row],[Check]]="","",COUNTIF(GameLog[[#Headers],[Check]]:GameLog[[#This Row],[Check]],"?*")-1)</f>
        <v/>
      </c>
      <c r="O54" s="6" t="str">
        <f>IFERROR(INDEX(Players[New name],MATCH(GameLog[[#This Row],[Player]],Players[Name],0)),GameLog[[#This Row],[Player]])</f>
        <v>Trevor</v>
      </c>
    </row>
    <row r="55" spans="1:15" x14ac:dyDescent="0.45">
      <c r="A55" s="6" t="s">
        <v>57</v>
      </c>
      <c r="B55" s="6" t="s">
        <v>50</v>
      </c>
      <c r="C55" s="6">
        <v>1</v>
      </c>
      <c r="D55" s="6">
        <v>2</v>
      </c>
      <c r="E55" s="6">
        <v>1</v>
      </c>
      <c r="F55" s="10">
        <v>45873</v>
      </c>
      <c r="G55" s="6" t="str">
        <f>_xlfn.TEXTJOIN("|",TRUE,GameLog[[#This Row],[Pod]],TEXT(INT(GameLog[[#This Row],[Round]]),"yyyymmdd"),GameLog[[#This Row],[Date]])</f>
        <v>2|19000101|45873</v>
      </c>
      <c r="H55" s="6">
        <f>COUNTIF(GameLog[Pod ID],GameLog[[#This Row],[Pod ID]])</f>
        <v>3</v>
      </c>
      <c r="I55" s="6">
        <f>YEAR(GameLog[[#This Row],[Date]])</f>
        <v>2025</v>
      </c>
      <c r="J55" s="6">
        <f>MONTH(GameLog[[#This Row],[Date]])</f>
        <v>8</v>
      </c>
      <c r="K55" s="6" t="str">
        <f>IF(GameLog[[#This Row],[Date]]=MAX(GameLog[Date]),"Current","Previous")</f>
        <v>Previous</v>
      </c>
      <c r="L55" s="6"/>
      <c r="M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" s="6" t="str">
        <f ca="1">IF(GameLog[[#This Row],[Check]]="","",COUNTIF(GameLog[[#Headers],[Check]]:GameLog[[#This Row],[Check]],"?*")-1)</f>
        <v/>
      </c>
      <c r="O55" s="6" t="str">
        <f>IFERROR(INDEX(Players[New name],MATCH(GameLog[[#This Row],[Player]],Players[Name],0)),GameLog[[#This Row],[Player]])</f>
        <v>AJ W</v>
      </c>
    </row>
    <row r="56" spans="1:15" x14ac:dyDescent="0.45">
      <c r="A56" s="6" t="s">
        <v>55</v>
      </c>
      <c r="B56" s="6" t="s">
        <v>53</v>
      </c>
      <c r="C56" s="6">
        <v>2</v>
      </c>
      <c r="D56" s="6">
        <v>2</v>
      </c>
      <c r="E56" s="6">
        <v>1</v>
      </c>
      <c r="F56" s="10">
        <v>45873</v>
      </c>
      <c r="G56" s="6" t="str">
        <f>_xlfn.TEXTJOIN("|",TRUE,GameLog[[#This Row],[Pod]],TEXT(INT(GameLog[[#This Row],[Round]]),"yyyymmdd"),GameLog[[#This Row],[Date]])</f>
        <v>2|19000101|45873</v>
      </c>
      <c r="H56" s="6">
        <f>COUNTIF(GameLog[Pod ID],GameLog[[#This Row],[Pod ID]])</f>
        <v>3</v>
      </c>
      <c r="I56" s="6">
        <f>YEAR(GameLog[[#This Row],[Date]])</f>
        <v>2025</v>
      </c>
      <c r="J56" s="6">
        <f>MONTH(GameLog[[#This Row],[Date]])</f>
        <v>8</v>
      </c>
      <c r="K56" s="6" t="str">
        <f>IF(GameLog[[#This Row],[Date]]=MAX(GameLog[Date]),"Current","Previous")</f>
        <v>Previous</v>
      </c>
      <c r="L56" s="6"/>
      <c r="M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" s="6" t="str">
        <f ca="1">IF(GameLog[[#This Row],[Check]]="","",COUNTIF(GameLog[[#Headers],[Check]]:GameLog[[#This Row],[Check]],"?*")-1)</f>
        <v/>
      </c>
      <c r="O56" s="6" t="str">
        <f>IFERROR(INDEX(Players[New name],MATCH(GameLog[[#This Row],[Player]],Players[Name],0)),GameLog[[#This Row],[Player]])</f>
        <v>Bryce C</v>
      </c>
    </row>
    <row r="57" spans="1:15" x14ac:dyDescent="0.45">
      <c r="A57" s="6" t="s">
        <v>67</v>
      </c>
      <c r="B57" s="6" t="s">
        <v>53</v>
      </c>
      <c r="C57" s="6">
        <v>3</v>
      </c>
      <c r="D57" s="6">
        <v>2</v>
      </c>
      <c r="E57" s="6">
        <v>1</v>
      </c>
      <c r="F57" s="10">
        <v>45873</v>
      </c>
      <c r="G57" s="6" t="str">
        <f>_xlfn.TEXTJOIN("|",TRUE,GameLog[[#This Row],[Pod]],TEXT(INT(GameLog[[#This Row],[Round]]),"yyyymmdd"),GameLog[[#This Row],[Date]])</f>
        <v>2|19000101|45873</v>
      </c>
      <c r="H57" s="6">
        <f>COUNTIF(GameLog[Pod ID],GameLog[[#This Row],[Pod ID]])</f>
        <v>3</v>
      </c>
      <c r="I57" s="6">
        <f>YEAR(GameLog[[#This Row],[Date]])</f>
        <v>2025</v>
      </c>
      <c r="J57" s="6">
        <f>MONTH(GameLog[[#This Row],[Date]])</f>
        <v>8</v>
      </c>
      <c r="K57" s="6" t="str">
        <f>IF(GameLog[[#This Row],[Date]]=MAX(GameLog[Date]),"Current","Previous")</f>
        <v>Previous</v>
      </c>
      <c r="L57" s="6"/>
      <c r="M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" s="6" t="str">
        <f ca="1">IF(GameLog[[#This Row],[Check]]="","",COUNTIF(GameLog[[#Headers],[Check]]:GameLog[[#This Row],[Check]],"?*")-1)</f>
        <v/>
      </c>
      <c r="O57" s="6" t="str">
        <f>IFERROR(INDEX(Players[New name],MATCH(GameLog[[#This Row],[Player]],Players[Name],0)),GameLog[[#This Row],[Player]])</f>
        <v>Sam</v>
      </c>
    </row>
    <row r="58" spans="1:15" x14ac:dyDescent="0.45">
      <c r="A58" s="6" t="s">
        <v>64</v>
      </c>
      <c r="B58" s="6" t="s">
        <v>53</v>
      </c>
      <c r="C58" s="6">
        <v>1</v>
      </c>
      <c r="D58" s="6">
        <v>3</v>
      </c>
      <c r="E58" s="6">
        <v>1</v>
      </c>
      <c r="F58" s="10">
        <v>45873</v>
      </c>
      <c r="G58" s="6" t="str">
        <f>_xlfn.TEXTJOIN("|",TRUE,GameLog[[#This Row],[Pod]],TEXT(INT(GameLog[[#This Row],[Round]]),"yyyymmdd"),GameLog[[#This Row],[Date]])</f>
        <v>3|19000101|45873</v>
      </c>
      <c r="H58" s="6">
        <f>COUNTIF(GameLog[Pod ID],GameLog[[#This Row],[Pod ID]])</f>
        <v>3</v>
      </c>
      <c r="I58" s="6">
        <f>YEAR(GameLog[[#This Row],[Date]])</f>
        <v>2025</v>
      </c>
      <c r="J58" s="6">
        <f>MONTH(GameLog[[#This Row],[Date]])</f>
        <v>8</v>
      </c>
      <c r="K58" s="6" t="str">
        <f>IF(GameLog[[#This Row],[Date]]=MAX(GameLog[Date]),"Current","Previous")</f>
        <v>Previous</v>
      </c>
      <c r="L58" s="6"/>
      <c r="M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" s="6" t="str">
        <f ca="1">IF(GameLog[[#This Row],[Check]]="","",COUNTIF(GameLog[[#Headers],[Check]]:GameLog[[#This Row],[Check]],"?*")-1)</f>
        <v/>
      </c>
      <c r="O58" s="6" t="str">
        <f>IFERROR(INDEX(Players[New name],MATCH(GameLog[[#This Row],[Player]],Players[Name],0)),GameLog[[#This Row],[Player]])</f>
        <v>Tyler B</v>
      </c>
    </row>
    <row r="59" spans="1:15" x14ac:dyDescent="0.45">
      <c r="A59" s="6" t="s">
        <v>68</v>
      </c>
      <c r="B59" s="6" t="s">
        <v>53</v>
      </c>
      <c r="C59" s="6">
        <v>2</v>
      </c>
      <c r="D59" s="6">
        <v>3</v>
      </c>
      <c r="E59" s="6">
        <v>1</v>
      </c>
      <c r="F59" s="10">
        <v>45873</v>
      </c>
      <c r="G59" s="6" t="str">
        <f>_xlfn.TEXTJOIN("|",TRUE,GameLog[[#This Row],[Pod]],TEXT(INT(GameLog[[#This Row],[Round]]),"yyyymmdd"),GameLog[[#This Row],[Date]])</f>
        <v>3|19000101|45873</v>
      </c>
      <c r="H59" s="6">
        <f>COUNTIF(GameLog[Pod ID],GameLog[[#This Row],[Pod ID]])</f>
        <v>3</v>
      </c>
      <c r="I59" s="6">
        <f>YEAR(GameLog[[#This Row],[Date]])</f>
        <v>2025</v>
      </c>
      <c r="J59" s="6">
        <f>MONTH(GameLog[[#This Row],[Date]])</f>
        <v>8</v>
      </c>
      <c r="K59" s="6" t="str">
        <f>IF(GameLog[[#This Row],[Date]]=MAX(GameLog[Date]),"Current","Previous")</f>
        <v>Previous</v>
      </c>
      <c r="L59" s="6"/>
      <c r="M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" s="6" t="str">
        <f ca="1">IF(GameLog[[#This Row],[Check]]="","",COUNTIF(GameLog[[#Headers],[Check]]:GameLog[[#This Row],[Check]],"?*")-1)</f>
        <v/>
      </c>
      <c r="O59" s="6" t="str">
        <f>IFERROR(INDEX(Players[New name],MATCH(GameLog[[#This Row],[Player]],Players[Name],0)),GameLog[[#This Row],[Player]])</f>
        <v>Edwin M</v>
      </c>
    </row>
    <row r="60" spans="1:15" x14ac:dyDescent="0.45">
      <c r="A60" s="6" t="s">
        <v>69</v>
      </c>
      <c r="B60" s="6" t="s">
        <v>50</v>
      </c>
      <c r="C60" s="6">
        <v>3</v>
      </c>
      <c r="D60" s="6">
        <v>3</v>
      </c>
      <c r="E60" s="6">
        <v>1</v>
      </c>
      <c r="F60" s="10">
        <v>45873</v>
      </c>
      <c r="G60" s="6" t="str">
        <f>_xlfn.TEXTJOIN("|",TRUE,GameLog[[#This Row],[Pod]],TEXT(INT(GameLog[[#This Row],[Round]]),"yyyymmdd"),GameLog[[#This Row],[Date]])</f>
        <v>3|19000101|45873</v>
      </c>
      <c r="H60" s="6">
        <f>COUNTIF(GameLog[Pod ID],GameLog[[#This Row],[Pod ID]])</f>
        <v>3</v>
      </c>
      <c r="I60" s="6">
        <f>YEAR(GameLog[[#This Row],[Date]])</f>
        <v>2025</v>
      </c>
      <c r="J60" s="6">
        <f>MONTH(GameLog[[#This Row],[Date]])</f>
        <v>8</v>
      </c>
      <c r="K60" s="6" t="str">
        <f>IF(GameLog[[#This Row],[Date]]=MAX(GameLog[Date]),"Current","Previous")</f>
        <v>Previous</v>
      </c>
      <c r="L60" s="6"/>
      <c r="M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" s="6" t="str">
        <f ca="1">IF(GameLog[[#This Row],[Check]]="","",COUNTIF(GameLog[[#Headers],[Check]]:GameLog[[#This Row],[Check]],"?*")-1)</f>
        <v/>
      </c>
      <c r="O60" s="6" t="str">
        <f>IFERROR(INDEX(Players[New name],MATCH(GameLog[[#This Row],[Player]],Players[Name],0)),GameLog[[#This Row],[Player]])</f>
        <v>Ryan T</v>
      </c>
    </row>
    <row r="61" spans="1:15" x14ac:dyDescent="0.45">
      <c r="A61" s="6" t="s">
        <v>56</v>
      </c>
      <c r="B61" s="6" t="s">
        <v>50</v>
      </c>
      <c r="C61" s="6">
        <v>1</v>
      </c>
      <c r="D61" s="6">
        <v>4</v>
      </c>
      <c r="E61" s="6">
        <v>1</v>
      </c>
      <c r="F61" s="10">
        <v>45873</v>
      </c>
      <c r="G61" s="6" t="str">
        <f>_xlfn.TEXTJOIN("|",TRUE,GameLog[[#This Row],[Pod]],TEXT(INT(GameLog[[#This Row],[Round]]),"yyyymmdd"),GameLog[[#This Row],[Date]])</f>
        <v>4|19000101|45873</v>
      </c>
      <c r="H61" s="6">
        <f>COUNTIF(GameLog[Pod ID],GameLog[[#This Row],[Pod ID]])</f>
        <v>3</v>
      </c>
      <c r="I61" s="6">
        <f>YEAR(GameLog[[#This Row],[Date]])</f>
        <v>2025</v>
      </c>
      <c r="J61" s="6">
        <f>MONTH(GameLog[[#This Row],[Date]])</f>
        <v>8</v>
      </c>
      <c r="K61" s="6" t="str">
        <f>IF(GameLog[[#This Row],[Date]]=MAX(GameLog[Date]),"Current","Previous")</f>
        <v>Previous</v>
      </c>
      <c r="L61" s="6"/>
      <c r="M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" s="6" t="str">
        <f ca="1">IF(GameLog[[#This Row],[Check]]="","",COUNTIF(GameLog[[#Headers],[Check]]:GameLog[[#This Row],[Check]],"?*")-1)</f>
        <v/>
      </c>
      <c r="O61" s="6" t="str">
        <f>IFERROR(INDEX(Players[New name],MATCH(GameLog[[#This Row],[Player]],Players[Name],0)),GameLog[[#This Row],[Player]])</f>
        <v>Mark D</v>
      </c>
    </row>
    <row r="62" spans="1:15" x14ac:dyDescent="0.45">
      <c r="A62" s="6" t="s">
        <v>63</v>
      </c>
      <c r="B62" s="6" t="s">
        <v>53</v>
      </c>
      <c r="C62" s="6">
        <v>2</v>
      </c>
      <c r="D62" s="6">
        <v>4</v>
      </c>
      <c r="E62" s="6">
        <v>1</v>
      </c>
      <c r="F62" s="10">
        <v>45873</v>
      </c>
      <c r="G62" s="6" t="str">
        <f>_xlfn.TEXTJOIN("|",TRUE,GameLog[[#This Row],[Pod]],TEXT(INT(GameLog[[#This Row],[Round]]),"yyyymmdd"),GameLog[[#This Row],[Date]])</f>
        <v>4|19000101|45873</v>
      </c>
      <c r="H62" s="6">
        <f>COUNTIF(GameLog[Pod ID],GameLog[[#This Row],[Pod ID]])</f>
        <v>3</v>
      </c>
      <c r="I62" s="6">
        <f>YEAR(GameLog[[#This Row],[Date]])</f>
        <v>2025</v>
      </c>
      <c r="J62" s="6">
        <f>MONTH(GameLog[[#This Row],[Date]])</f>
        <v>8</v>
      </c>
      <c r="K62" s="6" t="str">
        <f>IF(GameLog[[#This Row],[Date]]=MAX(GameLog[Date]),"Current","Previous")</f>
        <v>Previous</v>
      </c>
      <c r="L62" s="6"/>
      <c r="M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" s="6" t="str">
        <f ca="1">IF(GameLog[[#This Row],[Check]]="","",COUNTIF(GameLog[[#Headers],[Check]]:GameLog[[#This Row],[Check]],"?*")-1)</f>
        <v/>
      </c>
      <c r="O62" s="6" t="str">
        <f>IFERROR(INDEX(Players[New name],MATCH(GameLog[[#This Row],[Player]],Players[Name],0)),GameLog[[#This Row],[Player]])</f>
        <v>Jake D</v>
      </c>
    </row>
    <row r="63" spans="1:15" x14ac:dyDescent="0.45">
      <c r="A63" s="6" t="s">
        <v>58</v>
      </c>
      <c r="B63" s="6" t="s">
        <v>53</v>
      </c>
      <c r="C63" s="6">
        <v>3</v>
      </c>
      <c r="D63" s="6">
        <v>4</v>
      </c>
      <c r="E63" s="6">
        <v>1</v>
      </c>
      <c r="F63" s="10">
        <v>45873</v>
      </c>
      <c r="G63" s="6" t="str">
        <f>_xlfn.TEXTJOIN("|",TRUE,GameLog[[#This Row],[Pod]],TEXT(INT(GameLog[[#This Row],[Round]]),"yyyymmdd"),GameLog[[#This Row],[Date]])</f>
        <v>4|19000101|45873</v>
      </c>
      <c r="H63" s="6">
        <f>COUNTIF(GameLog[Pod ID],GameLog[[#This Row],[Pod ID]])</f>
        <v>3</v>
      </c>
      <c r="I63" s="6">
        <f>YEAR(GameLog[[#This Row],[Date]])</f>
        <v>2025</v>
      </c>
      <c r="J63" s="6">
        <f>MONTH(GameLog[[#This Row],[Date]])</f>
        <v>8</v>
      </c>
      <c r="K63" s="6" t="str">
        <f>IF(GameLog[[#This Row],[Date]]=MAX(GameLog[Date]),"Current","Previous")</f>
        <v>Previous</v>
      </c>
      <c r="L63" s="6"/>
      <c r="M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" s="6" t="str">
        <f ca="1">IF(GameLog[[#This Row],[Check]]="","",COUNTIF(GameLog[[#Headers],[Check]]:GameLog[[#This Row],[Check]],"?*")-1)</f>
        <v/>
      </c>
      <c r="O63" s="6" t="str">
        <f>IFERROR(INDEX(Players[New name],MATCH(GameLog[[#This Row],[Player]],Players[Name],0)),GameLog[[#This Row],[Player]])</f>
        <v>Dakota P</v>
      </c>
    </row>
    <row r="64" spans="1:15" x14ac:dyDescent="0.45">
      <c r="A64" s="6" t="s">
        <v>69</v>
      </c>
      <c r="B64" s="6" t="s">
        <v>53</v>
      </c>
      <c r="C64" s="6">
        <v>1</v>
      </c>
      <c r="D64" s="6">
        <v>1</v>
      </c>
      <c r="E64" s="6">
        <v>2</v>
      </c>
      <c r="F64" s="10">
        <v>45873</v>
      </c>
      <c r="G64" s="6" t="str">
        <f>_xlfn.TEXTJOIN("|",TRUE,GameLog[[#This Row],[Pod]],TEXT(INT(GameLog[[#This Row],[Round]]),"yyyymmdd"),GameLog[[#This Row],[Date]])</f>
        <v>1|19000102|45873</v>
      </c>
      <c r="H64" s="6">
        <f>COUNTIF(GameLog[Pod ID],GameLog[[#This Row],[Pod ID]])</f>
        <v>4</v>
      </c>
      <c r="I64" s="6">
        <f>YEAR(GameLog[[#This Row],[Date]])</f>
        <v>2025</v>
      </c>
      <c r="J64" s="6">
        <f>MONTH(GameLog[[#This Row],[Date]])</f>
        <v>8</v>
      </c>
      <c r="K64" s="6" t="str">
        <f>IF(GameLog[[#This Row],[Date]]=MAX(GameLog[Date]),"Current","Previous")</f>
        <v>Previous</v>
      </c>
      <c r="L64" s="6"/>
      <c r="M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" s="6" t="str">
        <f ca="1">IF(GameLog[[#This Row],[Check]]="","",COUNTIF(GameLog[[#Headers],[Check]]:GameLog[[#This Row],[Check]],"?*")-1)</f>
        <v/>
      </c>
      <c r="O64" s="6" t="str">
        <f>IFERROR(INDEX(Players[New name],MATCH(GameLog[[#This Row],[Player]],Players[Name],0)),GameLog[[#This Row],[Player]])</f>
        <v>Ryan T</v>
      </c>
    </row>
    <row r="65" spans="1:15" x14ac:dyDescent="0.45">
      <c r="A65" s="6" t="s">
        <v>66</v>
      </c>
      <c r="B65" s="6" t="s">
        <v>53</v>
      </c>
      <c r="C65" s="6">
        <v>2</v>
      </c>
      <c r="D65" s="6">
        <v>1</v>
      </c>
      <c r="E65" s="6">
        <v>2</v>
      </c>
      <c r="F65" s="10">
        <v>45873</v>
      </c>
      <c r="G65" s="6" t="str">
        <f>_xlfn.TEXTJOIN("|",TRUE,GameLog[[#This Row],[Pod]],TEXT(INT(GameLog[[#This Row],[Round]]),"yyyymmdd"),GameLog[[#This Row],[Date]])</f>
        <v>1|19000102|45873</v>
      </c>
      <c r="H65" s="6">
        <f>COUNTIF(GameLog[Pod ID],GameLog[[#This Row],[Pod ID]])</f>
        <v>4</v>
      </c>
      <c r="I65" s="6">
        <f>YEAR(GameLog[[#This Row],[Date]])</f>
        <v>2025</v>
      </c>
      <c r="J65" s="6">
        <f>MONTH(GameLog[[#This Row],[Date]])</f>
        <v>8</v>
      </c>
      <c r="K65" s="6" t="str">
        <f>IF(GameLog[[#This Row],[Date]]=MAX(GameLog[Date]),"Current","Previous")</f>
        <v>Previous</v>
      </c>
      <c r="L65" s="6"/>
      <c r="M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" s="6" t="str">
        <f ca="1">IF(GameLog[[#This Row],[Check]]="","",COUNTIF(GameLog[[#Headers],[Check]]:GameLog[[#This Row],[Check]],"?*")-1)</f>
        <v/>
      </c>
      <c r="O65" s="6" t="str">
        <f>IFERROR(INDEX(Players[New name],MATCH(GameLog[[#This Row],[Player]],Players[Name],0)),GameLog[[#This Row],[Player]])</f>
        <v>Jack</v>
      </c>
    </row>
    <row r="66" spans="1:15" x14ac:dyDescent="0.45">
      <c r="A66" s="6" t="s">
        <v>56</v>
      </c>
      <c r="B66" s="6" t="s">
        <v>50</v>
      </c>
      <c r="C66" s="6">
        <v>3</v>
      </c>
      <c r="D66" s="6">
        <v>1</v>
      </c>
      <c r="E66" s="6">
        <v>2</v>
      </c>
      <c r="F66" s="10">
        <v>45873</v>
      </c>
      <c r="G66" s="6" t="str">
        <f>_xlfn.TEXTJOIN("|",TRUE,GameLog[[#This Row],[Pod]],TEXT(INT(GameLog[[#This Row],[Round]]),"yyyymmdd"),GameLog[[#This Row],[Date]])</f>
        <v>1|19000102|45873</v>
      </c>
      <c r="H66" s="6">
        <f>COUNTIF(GameLog[Pod ID],GameLog[[#This Row],[Pod ID]])</f>
        <v>4</v>
      </c>
      <c r="I66" s="6">
        <f>YEAR(GameLog[[#This Row],[Date]])</f>
        <v>2025</v>
      </c>
      <c r="J66" s="6">
        <f>MONTH(GameLog[[#This Row],[Date]])</f>
        <v>8</v>
      </c>
      <c r="K66" s="6" t="str">
        <f>IF(GameLog[[#This Row],[Date]]=MAX(GameLog[Date]),"Current","Previous")</f>
        <v>Previous</v>
      </c>
      <c r="L66" s="6"/>
      <c r="M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" s="6" t="str">
        <f ca="1">IF(GameLog[[#This Row],[Check]]="","",COUNTIF(GameLog[[#Headers],[Check]]:GameLog[[#This Row],[Check]],"?*")-1)</f>
        <v/>
      </c>
      <c r="O66" s="6" t="str">
        <f>IFERROR(INDEX(Players[New name],MATCH(GameLog[[#This Row],[Player]],Players[Name],0)),GameLog[[#This Row],[Player]])</f>
        <v>Mark D</v>
      </c>
    </row>
    <row r="67" spans="1:15" x14ac:dyDescent="0.45">
      <c r="A67" s="6" t="s">
        <v>57</v>
      </c>
      <c r="B67" s="6" t="s">
        <v>53</v>
      </c>
      <c r="C67" s="6">
        <v>4</v>
      </c>
      <c r="D67" s="6">
        <v>1</v>
      </c>
      <c r="E67" s="6">
        <v>2</v>
      </c>
      <c r="F67" s="10">
        <v>45873</v>
      </c>
      <c r="G67" s="6" t="str">
        <f>_xlfn.TEXTJOIN("|",TRUE,GameLog[[#This Row],[Pod]],TEXT(INT(GameLog[[#This Row],[Round]]),"yyyymmdd"),GameLog[[#This Row],[Date]])</f>
        <v>1|19000102|45873</v>
      </c>
      <c r="H67" s="6">
        <f>COUNTIF(GameLog[Pod ID],GameLog[[#This Row],[Pod ID]])</f>
        <v>4</v>
      </c>
      <c r="I67" s="6">
        <f>YEAR(GameLog[[#This Row],[Date]])</f>
        <v>2025</v>
      </c>
      <c r="J67" s="6">
        <f>MONTH(GameLog[[#This Row],[Date]])</f>
        <v>8</v>
      </c>
      <c r="K67" s="6" t="str">
        <f>IF(GameLog[[#This Row],[Date]]=MAX(GameLog[Date]),"Current","Previous")</f>
        <v>Previous</v>
      </c>
      <c r="L67" s="6"/>
      <c r="M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" s="6" t="str">
        <f ca="1">IF(GameLog[[#This Row],[Check]]="","",COUNTIF(GameLog[[#Headers],[Check]]:GameLog[[#This Row],[Check]],"?*")-1)</f>
        <v/>
      </c>
      <c r="O67" s="6" t="str">
        <f>IFERROR(INDEX(Players[New name],MATCH(GameLog[[#This Row],[Player]],Players[Name],0)),GameLog[[#This Row],[Player]])</f>
        <v>AJ W</v>
      </c>
    </row>
    <row r="68" spans="1:15" x14ac:dyDescent="0.45">
      <c r="A68" s="6" t="s">
        <v>67</v>
      </c>
      <c r="B68" s="6" t="s">
        <v>53</v>
      </c>
      <c r="C68" s="6">
        <v>1</v>
      </c>
      <c r="D68" s="6">
        <v>2</v>
      </c>
      <c r="E68" s="6">
        <v>2</v>
      </c>
      <c r="F68" s="10">
        <v>45873</v>
      </c>
      <c r="G68" s="6" t="str">
        <f>_xlfn.TEXTJOIN("|",TRUE,GameLog[[#This Row],[Pod]],TEXT(INT(GameLog[[#This Row],[Round]]),"yyyymmdd"),GameLog[[#This Row],[Date]])</f>
        <v>2|19000102|45873</v>
      </c>
      <c r="H68" s="6">
        <f>COUNTIF(GameLog[Pod ID],GameLog[[#This Row],[Pod ID]])</f>
        <v>4</v>
      </c>
      <c r="I68" s="6">
        <f>YEAR(GameLog[[#This Row],[Date]])</f>
        <v>2025</v>
      </c>
      <c r="J68" s="6">
        <f>MONTH(GameLog[[#This Row],[Date]])</f>
        <v>8</v>
      </c>
      <c r="K68" s="6" t="str">
        <f>IF(GameLog[[#This Row],[Date]]=MAX(GameLog[Date]),"Current","Previous")</f>
        <v>Previous</v>
      </c>
      <c r="L68" s="6"/>
      <c r="M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" s="6" t="str">
        <f ca="1">IF(GameLog[[#This Row],[Check]]="","",COUNTIF(GameLog[[#Headers],[Check]]:GameLog[[#This Row],[Check]],"?*")-1)</f>
        <v/>
      </c>
      <c r="O68" s="6" t="str">
        <f>IFERROR(INDEX(Players[New name],MATCH(GameLog[[#This Row],[Player]],Players[Name],0)),GameLog[[#This Row],[Player]])</f>
        <v>Sam</v>
      </c>
    </row>
    <row r="69" spans="1:15" x14ac:dyDescent="0.45">
      <c r="A69" s="6" t="s">
        <v>49</v>
      </c>
      <c r="B69" s="6" t="s">
        <v>50</v>
      </c>
      <c r="C69" s="6">
        <v>2</v>
      </c>
      <c r="D69" s="6">
        <v>2</v>
      </c>
      <c r="E69" s="6">
        <v>2</v>
      </c>
      <c r="F69" s="10">
        <v>45873</v>
      </c>
      <c r="G69" s="6" t="str">
        <f>_xlfn.TEXTJOIN("|",TRUE,GameLog[[#This Row],[Pod]],TEXT(INT(GameLog[[#This Row],[Round]]),"yyyymmdd"),GameLog[[#This Row],[Date]])</f>
        <v>2|19000102|45873</v>
      </c>
      <c r="H69" s="6">
        <f>COUNTIF(GameLog[Pod ID],GameLog[[#This Row],[Pod ID]])</f>
        <v>4</v>
      </c>
      <c r="I69" s="6">
        <f>YEAR(GameLog[[#This Row],[Date]])</f>
        <v>2025</v>
      </c>
      <c r="J69" s="6">
        <f>MONTH(GameLog[[#This Row],[Date]])</f>
        <v>8</v>
      </c>
      <c r="K69" s="6" t="str">
        <f>IF(GameLog[[#This Row],[Date]]=MAX(GameLog[Date]),"Current","Previous")</f>
        <v>Previous</v>
      </c>
      <c r="L69" s="6"/>
      <c r="M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" s="6" t="str">
        <f ca="1">IF(GameLog[[#This Row],[Check]]="","",COUNTIF(GameLog[[#Headers],[Check]]:GameLog[[#This Row],[Check]],"?*")-1)</f>
        <v/>
      </c>
      <c r="O69" s="6" t="str">
        <f>IFERROR(INDEX(Players[New name],MATCH(GameLog[[#This Row],[Player]],Players[Name],0)),GameLog[[#This Row],[Player]])</f>
        <v>Brett R</v>
      </c>
    </row>
    <row r="70" spans="1:15" x14ac:dyDescent="0.45">
      <c r="A70" s="6" t="s">
        <v>63</v>
      </c>
      <c r="B70" s="6" t="s">
        <v>53</v>
      </c>
      <c r="C70" s="6">
        <v>3</v>
      </c>
      <c r="D70" s="6">
        <v>2</v>
      </c>
      <c r="E70" s="6">
        <v>2</v>
      </c>
      <c r="F70" s="10">
        <v>45873</v>
      </c>
      <c r="G70" s="6" t="str">
        <f>_xlfn.TEXTJOIN("|",TRUE,GameLog[[#This Row],[Pod]],TEXT(INT(GameLog[[#This Row],[Round]]),"yyyymmdd"),GameLog[[#This Row],[Date]])</f>
        <v>2|19000102|45873</v>
      </c>
      <c r="H70" s="6">
        <f>COUNTIF(GameLog[Pod ID],GameLog[[#This Row],[Pod ID]])</f>
        <v>4</v>
      </c>
      <c r="I70" s="6">
        <f>YEAR(GameLog[[#This Row],[Date]])</f>
        <v>2025</v>
      </c>
      <c r="J70" s="6">
        <f>MONTH(GameLog[[#This Row],[Date]])</f>
        <v>8</v>
      </c>
      <c r="K70" s="6" t="str">
        <f>IF(GameLog[[#This Row],[Date]]=MAX(GameLog[Date]),"Current","Previous")</f>
        <v>Previous</v>
      </c>
      <c r="L70" s="6"/>
      <c r="M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" s="6" t="str">
        <f ca="1">IF(GameLog[[#This Row],[Check]]="","",COUNTIF(GameLog[[#Headers],[Check]]:GameLog[[#This Row],[Check]],"?*")-1)</f>
        <v/>
      </c>
      <c r="O70" s="6" t="str">
        <f>IFERROR(INDEX(Players[New name],MATCH(GameLog[[#This Row],[Player]],Players[Name],0)),GameLog[[#This Row],[Player]])</f>
        <v>Jake D</v>
      </c>
    </row>
    <row r="71" spans="1:15" x14ac:dyDescent="0.45">
      <c r="A71" s="6" t="s">
        <v>64</v>
      </c>
      <c r="B71" s="6" t="s">
        <v>53</v>
      </c>
      <c r="C71" s="6">
        <v>4</v>
      </c>
      <c r="D71" s="6">
        <v>2</v>
      </c>
      <c r="E71" s="6">
        <v>2</v>
      </c>
      <c r="F71" s="10">
        <v>45873</v>
      </c>
      <c r="G71" s="6" t="str">
        <f>_xlfn.TEXTJOIN("|",TRUE,GameLog[[#This Row],[Pod]],TEXT(INT(GameLog[[#This Row],[Round]]),"yyyymmdd"),GameLog[[#This Row],[Date]])</f>
        <v>2|19000102|45873</v>
      </c>
      <c r="H71" s="6">
        <f>COUNTIF(GameLog[Pod ID],GameLog[[#This Row],[Pod ID]])</f>
        <v>4</v>
      </c>
      <c r="I71" s="6">
        <f>YEAR(GameLog[[#This Row],[Date]])</f>
        <v>2025</v>
      </c>
      <c r="J71" s="6">
        <f>MONTH(GameLog[[#This Row],[Date]])</f>
        <v>8</v>
      </c>
      <c r="K71" s="6" t="str">
        <f>IF(GameLog[[#This Row],[Date]]=MAX(GameLog[Date]),"Current","Previous")</f>
        <v>Previous</v>
      </c>
      <c r="L71" s="6"/>
      <c r="M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" s="6" t="str">
        <f ca="1">IF(GameLog[[#This Row],[Check]]="","",COUNTIF(GameLog[[#Headers],[Check]]:GameLog[[#This Row],[Check]],"?*")-1)</f>
        <v/>
      </c>
      <c r="O71" s="6" t="str">
        <f>IFERROR(INDEX(Players[New name],MATCH(GameLog[[#This Row],[Player]],Players[Name],0)),GameLog[[#This Row],[Player]])</f>
        <v>Tyler B</v>
      </c>
    </row>
    <row r="72" spans="1:15" x14ac:dyDescent="0.45">
      <c r="A72" s="6" t="s">
        <v>58</v>
      </c>
      <c r="B72" s="6" t="s">
        <v>53</v>
      </c>
      <c r="C72" s="6">
        <v>1</v>
      </c>
      <c r="D72" s="6">
        <v>3</v>
      </c>
      <c r="E72" s="6">
        <v>2</v>
      </c>
      <c r="F72" s="10">
        <v>45873</v>
      </c>
      <c r="G72" s="6" t="str">
        <f>_xlfn.TEXTJOIN("|",TRUE,GameLog[[#This Row],[Pod]],TEXT(INT(GameLog[[#This Row],[Round]]),"yyyymmdd"),GameLog[[#This Row],[Date]])</f>
        <v>3|19000102|45873</v>
      </c>
      <c r="H72" s="6">
        <f>COUNTIF(GameLog[Pod ID],GameLog[[#This Row],[Pod ID]])</f>
        <v>4</v>
      </c>
      <c r="I72" s="6">
        <f>YEAR(GameLog[[#This Row],[Date]])</f>
        <v>2025</v>
      </c>
      <c r="J72" s="6">
        <f>MONTH(GameLog[[#This Row],[Date]])</f>
        <v>8</v>
      </c>
      <c r="K72" s="6" t="str">
        <f>IF(GameLog[[#This Row],[Date]]=MAX(GameLog[Date]),"Current","Previous")</f>
        <v>Previous</v>
      </c>
      <c r="L72" s="6"/>
      <c r="M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" s="6" t="str">
        <f ca="1">IF(GameLog[[#This Row],[Check]]="","",COUNTIF(GameLog[[#Headers],[Check]]:GameLog[[#This Row],[Check]],"?*")-1)</f>
        <v/>
      </c>
      <c r="O72" s="6" t="str">
        <f>IFERROR(INDEX(Players[New name],MATCH(GameLog[[#This Row],[Player]],Players[Name],0)),GameLog[[#This Row],[Player]])</f>
        <v>Dakota P</v>
      </c>
    </row>
    <row r="73" spans="1:15" x14ac:dyDescent="0.45">
      <c r="A73" s="6" t="s">
        <v>68</v>
      </c>
      <c r="B73" s="6" t="s">
        <v>50</v>
      </c>
      <c r="C73" s="6">
        <v>2</v>
      </c>
      <c r="D73" s="6">
        <v>3</v>
      </c>
      <c r="E73" s="6">
        <v>2</v>
      </c>
      <c r="F73" s="10">
        <v>45873</v>
      </c>
      <c r="G73" s="6" t="str">
        <f>_xlfn.TEXTJOIN("|",TRUE,GameLog[[#This Row],[Pod]],TEXT(INT(GameLog[[#This Row],[Round]]),"yyyymmdd"),GameLog[[#This Row],[Date]])</f>
        <v>3|19000102|45873</v>
      </c>
      <c r="H73" s="6">
        <f>COUNTIF(GameLog[Pod ID],GameLog[[#This Row],[Pod ID]])</f>
        <v>4</v>
      </c>
      <c r="I73" s="6">
        <f>YEAR(GameLog[[#This Row],[Date]])</f>
        <v>2025</v>
      </c>
      <c r="J73" s="6">
        <f>MONTH(GameLog[[#This Row],[Date]])</f>
        <v>8</v>
      </c>
      <c r="K73" s="6" t="str">
        <f>IF(GameLog[[#This Row],[Date]]=MAX(GameLog[Date]),"Current","Previous")</f>
        <v>Previous</v>
      </c>
      <c r="L73" s="6"/>
      <c r="M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" s="6" t="str">
        <f ca="1">IF(GameLog[[#This Row],[Check]]="","",COUNTIF(GameLog[[#Headers],[Check]]:GameLog[[#This Row],[Check]],"?*")-1)</f>
        <v/>
      </c>
      <c r="O73" s="6" t="str">
        <f>IFERROR(INDEX(Players[New name],MATCH(GameLog[[#This Row],[Player]],Players[Name],0)),GameLog[[#This Row],[Player]])</f>
        <v>Edwin M</v>
      </c>
    </row>
    <row r="74" spans="1:15" x14ac:dyDescent="0.45">
      <c r="A74" s="6" t="s">
        <v>61</v>
      </c>
      <c r="B74" s="6" t="s">
        <v>53</v>
      </c>
      <c r="C74" s="6">
        <v>3</v>
      </c>
      <c r="D74" s="6">
        <v>3</v>
      </c>
      <c r="E74" s="6">
        <v>2</v>
      </c>
      <c r="F74" s="10">
        <v>45873</v>
      </c>
      <c r="G74" s="6" t="str">
        <f>_xlfn.TEXTJOIN("|",TRUE,GameLog[[#This Row],[Pod]],TEXT(INT(GameLog[[#This Row],[Round]]),"yyyymmdd"),GameLog[[#This Row],[Date]])</f>
        <v>3|19000102|45873</v>
      </c>
      <c r="H74" s="6">
        <f>COUNTIF(GameLog[Pod ID],GameLog[[#This Row],[Pod ID]])</f>
        <v>4</v>
      </c>
      <c r="I74" s="6">
        <f>YEAR(GameLog[[#This Row],[Date]])</f>
        <v>2025</v>
      </c>
      <c r="J74" s="6">
        <f>MONTH(GameLog[[#This Row],[Date]])</f>
        <v>8</v>
      </c>
      <c r="K74" s="6" t="str">
        <f>IF(GameLog[[#This Row],[Date]]=MAX(GameLog[Date]),"Current","Previous")</f>
        <v>Previous</v>
      </c>
      <c r="L74" s="6"/>
      <c r="M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" s="6" t="str">
        <f ca="1">IF(GameLog[[#This Row],[Check]]="","",COUNTIF(GameLog[[#Headers],[Check]]:GameLog[[#This Row],[Check]],"?*")-1)</f>
        <v/>
      </c>
      <c r="O74" s="6" t="str">
        <f>IFERROR(INDEX(Players[New name],MATCH(GameLog[[#This Row],[Player]],Players[Name],0)),GameLog[[#This Row],[Player]])</f>
        <v>Trevor</v>
      </c>
    </row>
    <row r="75" spans="1:15" x14ac:dyDescent="0.45">
      <c r="A75" s="6" t="s">
        <v>55</v>
      </c>
      <c r="B75" s="6" t="s">
        <v>53</v>
      </c>
      <c r="C75" s="6">
        <v>4</v>
      </c>
      <c r="D75" s="6">
        <v>3</v>
      </c>
      <c r="E75" s="6">
        <v>2</v>
      </c>
      <c r="F75" s="10">
        <v>45873</v>
      </c>
      <c r="G75" s="6" t="str">
        <f>_xlfn.TEXTJOIN("|",TRUE,GameLog[[#This Row],[Pod]],TEXT(INT(GameLog[[#This Row],[Round]]),"yyyymmdd"),GameLog[[#This Row],[Date]])</f>
        <v>3|19000102|45873</v>
      </c>
      <c r="H75" s="6">
        <f>COUNTIF(GameLog[Pod ID],GameLog[[#This Row],[Pod ID]])</f>
        <v>4</v>
      </c>
      <c r="I75" s="6">
        <f>YEAR(GameLog[[#This Row],[Date]])</f>
        <v>2025</v>
      </c>
      <c r="J75" s="6">
        <f>MONTH(GameLog[[#This Row],[Date]])</f>
        <v>8</v>
      </c>
      <c r="K75" s="6" t="str">
        <f>IF(GameLog[[#This Row],[Date]]=MAX(GameLog[Date]),"Current","Previous")</f>
        <v>Previous</v>
      </c>
      <c r="L75" s="6"/>
      <c r="M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" s="6" t="str">
        <f ca="1">IF(GameLog[[#This Row],[Check]]="","",COUNTIF(GameLog[[#Headers],[Check]]:GameLog[[#This Row],[Check]],"?*")-1)</f>
        <v/>
      </c>
      <c r="O75" s="6" t="str">
        <f>IFERROR(INDEX(Players[New name],MATCH(GameLog[[#This Row],[Player]],Players[Name],0)),GameLog[[#This Row],[Player]])</f>
        <v>Bryce C</v>
      </c>
    </row>
    <row r="76" spans="1:15" x14ac:dyDescent="0.45">
      <c r="A76" s="6" t="s">
        <v>65</v>
      </c>
      <c r="B76" s="6" t="s">
        <v>53</v>
      </c>
      <c r="C76" s="6">
        <v>1</v>
      </c>
      <c r="D76" s="6">
        <v>1</v>
      </c>
      <c r="E76" s="6">
        <v>1</v>
      </c>
      <c r="F76" s="10">
        <v>45880</v>
      </c>
      <c r="G76" s="6" t="str">
        <f>_xlfn.TEXTJOIN("|",TRUE,GameLog[[#This Row],[Pod]],TEXT(INT(GameLog[[#This Row],[Round]]),"yyyymmdd"),GameLog[[#This Row],[Date]])</f>
        <v>1|19000101|45880</v>
      </c>
      <c r="H76" s="6">
        <f>COUNTIF(GameLog[Pod ID],GameLog[[#This Row],[Pod ID]])</f>
        <v>4</v>
      </c>
      <c r="I76" s="6">
        <f>YEAR(GameLog[[#This Row],[Date]])</f>
        <v>2025</v>
      </c>
      <c r="J76" s="6">
        <f>MONTH(GameLog[[#This Row],[Date]])</f>
        <v>8</v>
      </c>
      <c r="K76" s="6" t="str">
        <f>IF(GameLog[[#This Row],[Date]]=MAX(GameLog[Date]),"Current","Previous")</f>
        <v>Previous</v>
      </c>
      <c r="L76" s="6"/>
      <c r="M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" s="6" t="str">
        <f ca="1">IF(GameLog[[#This Row],[Check]]="","",COUNTIF(GameLog[[#Headers],[Check]]:GameLog[[#This Row],[Check]],"?*")-1)</f>
        <v/>
      </c>
      <c r="O76" s="6" t="str">
        <f>IFERROR(INDEX(Players[New name],MATCH(GameLog[[#This Row],[Player]],Players[Name],0)),GameLog[[#This Row],[Player]])</f>
        <v>Mitch</v>
      </c>
    </row>
    <row r="77" spans="1:15" x14ac:dyDescent="0.45">
      <c r="A77" s="6" t="s">
        <v>67</v>
      </c>
      <c r="B77" s="6" t="s">
        <v>53</v>
      </c>
      <c r="C77" s="6">
        <v>2</v>
      </c>
      <c r="D77" s="6">
        <v>1</v>
      </c>
      <c r="E77" s="6">
        <v>1</v>
      </c>
      <c r="F77" s="10">
        <v>45880</v>
      </c>
      <c r="G77" s="6" t="str">
        <f>_xlfn.TEXTJOIN("|",TRUE,GameLog[[#This Row],[Pod]],TEXT(INT(GameLog[[#This Row],[Round]]),"yyyymmdd"),GameLog[[#This Row],[Date]])</f>
        <v>1|19000101|45880</v>
      </c>
      <c r="H77" s="6">
        <f>COUNTIF(GameLog[Pod ID],GameLog[[#This Row],[Pod ID]])</f>
        <v>4</v>
      </c>
      <c r="I77" s="6">
        <f>YEAR(GameLog[[#This Row],[Date]])</f>
        <v>2025</v>
      </c>
      <c r="J77" s="6">
        <f>MONTH(GameLog[[#This Row],[Date]])</f>
        <v>8</v>
      </c>
      <c r="K77" s="6" t="str">
        <f>IF(GameLog[[#This Row],[Date]]=MAX(GameLog[Date]),"Current","Previous")</f>
        <v>Previous</v>
      </c>
      <c r="L77" s="6"/>
      <c r="M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" s="6" t="str">
        <f ca="1">IF(GameLog[[#This Row],[Check]]="","",COUNTIF(GameLog[[#Headers],[Check]]:GameLog[[#This Row],[Check]],"?*")-1)</f>
        <v/>
      </c>
      <c r="O77" s="6" t="str">
        <f>IFERROR(INDEX(Players[New name],MATCH(GameLog[[#This Row],[Player]],Players[Name],0)),GameLog[[#This Row],[Player]])</f>
        <v>Sam</v>
      </c>
    </row>
    <row r="78" spans="1:15" x14ac:dyDescent="0.45">
      <c r="A78" s="6" t="s">
        <v>59</v>
      </c>
      <c r="B78" s="6" t="s">
        <v>53</v>
      </c>
      <c r="C78" s="6">
        <v>3</v>
      </c>
      <c r="D78" s="6">
        <v>1</v>
      </c>
      <c r="E78" s="6">
        <v>1</v>
      </c>
      <c r="F78" s="10">
        <v>45880</v>
      </c>
      <c r="G78" s="6" t="str">
        <f>_xlfn.TEXTJOIN("|",TRUE,GameLog[[#This Row],[Pod]],TEXT(INT(GameLog[[#This Row],[Round]]),"yyyymmdd"),GameLog[[#This Row],[Date]])</f>
        <v>1|19000101|45880</v>
      </c>
      <c r="H78" s="6">
        <f>COUNTIF(GameLog[Pod ID],GameLog[[#This Row],[Pod ID]])</f>
        <v>4</v>
      </c>
      <c r="I78" s="6">
        <f>YEAR(GameLog[[#This Row],[Date]])</f>
        <v>2025</v>
      </c>
      <c r="J78" s="6">
        <f>MONTH(GameLog[[#This Row],[Date]])</f>
        <v>8</v>
      </c>
      <c r="K78" s="6" t="str">
        <f>IF(GameLog[[#This Row],[Date]]=MAX(GameLog[Date]),"Current","Previous")</f>
        <v>Previous</v>
      </c>
      <c r="L78" s="6"/>
      <c r="M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" s="6" t="str">
        <f ca="1">IF(GameLog[[#This Row],[Check]]="","",COUNTIF(GameLog[[#Headers],[Check]]:GameLog[[#This Row],[Check]],"?*")-1)</f>
        <v/>
      </c>
      <c r="O78" s="6" t="str">
        <f>IFERROR(INDEX(Players[New name],MATCH(GameLog[[#This Row],[Player]],Players[Name],0)),GameLog[[#This Row],[Player]])</f>
        <v>Zack B</v>
      </c>
    </row>
    <row r="79" spans="1:15" x14ac:dyDescent="0.45">
      <c r="A79" s="6" t="s">
        <v>55</v>
      </c>
      <c r="B79" s="6" t="s">
        <v>50</v>
      </c>
      <c r="C79" s="6">
        <v>4</v>
      </c>
      <c r="D79" s="6">
        <v>1</v>
      </c>
      <c r="E79" s="6">
        <v>1</v>
      </c>
      <c r="F79" s="10">
        <v>45880</v>
      </c>
      <c r="G79" s="6" t="str">
        <f>_xlfn.TEXTJOIN("|",TRUE,GameLog[[#This Row],[Pod]],TEXT(INT(GameLog[[#This Row],[Round]]),"yyyymmdd"),GameLog[[#This Row],[Date]])</f>
        <v>1|19000101|45880</v>
      </c>
      <c r="H79" s="6">
        <f>COUNTIF(GameLog[Pod ID],GameLog[[#This Row],[Pod ID]])</f>
        <v>4</v>
      </c>
      <c r="I79" s="6">
        <f>YEAR(GameLog[[#This Row],[Date]])</f>
        <v>2025</v>
      </c>
      <c r="J79" s="6">
        <f>MONTH(GameLog[[#This Row],[Date]])</f>
        <v>8</v>
      </c>
      <c r="K79" s="6" t="str">
        <f>IF(GameLog[[#This Row],[Date]]=MAX(GameLog[Date]),"Current","Previous")</f>
        <v>Previous</v>
      </c>
      <c r="L79" s="6"/>
      <c r="M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" s="6" t="str">
        <f ca="1">IF(GameLog[[#This Row],[Check]]="","",COUNTIF(GameLog[[#Headers],[Check]]:GameLog[[#This Row],[Check]],"?*")-1)</f>
        <v/>
      </c>
      <c r="O79" s="6" t="str">
        <f>IFERROR(INDEX(Players[New name],MATCH(GameLog[[#This Row],[Player]],Players[Name],0)),GameLog[[#This Row],[Player]])</f>
        <v>Bryce C</v>
      </c>
    </row>
    <row r="80" spans="1:15" x14ac:dyDescent="0.45">
      <c r="A80" s="6" t="s">
        <v>68</v>
      </c>
      <c r="B80" s="6" t="s">
        <v>53</v>
      </c>
      <c r="C80" s="6">
        <v>1</v>
      </c>
      <c r="D80" s="6">
        <v>2</v>
      </c>
      <c r="E80" s="6">
        <v>1</v>
      </c>
      <c r="F80" s="10">
        <v>45880</v>
      </c>
      <c r="G80" s="6" t="str">
        <f>_xlfn.TEXTJOIN("|",TRUE,GameLog[[#This Row],[Pod]],TEXT(INT(GameLog[[#This Row],[Round]]),"yyyymmdd"),GameLog[[#This Row],[Date]])</f>
        <v>2|19000101|45880</v>
      </c>
      <c r="H80" s="6">
        <f>COUNTIF(GameLog[Pod ID],GameLog[[#This Row],[Pod ID]])</f>
        <v>4</v>
      </c>
      <c r="I80" s="6">
        <f>YEAR(GameLog[[#This Row],[Date]])</f>
        <v>2025</v>
      </c>
      <c r="J80" s="6">
        <f>MONTH(GameLog[[#This Row],[Date]])</f>
        <v>8</v>
      </c>
      <c r="K80" s="6" t="str">
        <f>IF(GameLog[[#This Row],[Date]]=MAX(GameLog[Date]),"Current","Previous")</f>
        <v>Previous</v>
      </c>
      <c r="L80" s="6"/>
      <c r="M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" s="6" t="str">
        <f ca="1">IF(GameLog[[#This Row],[Check]]="","",COUNTIF(GameLog[[#Headers],[Check]]:GameLog[[#This Row],[Check]],"?*")-1)</f>
        <v/>
      </c>
      <c r="O80" s="6" t="str">
        <f>IFERROR(INDEX(Players[New name],MATCH(GameLog[[#This Row],[Player]],Players[Name],0)),GameLog[[#This Row],[Player]])</f>
        <v>Edwin M</v>
      </c>
    </row>
    <row r="81" spans="1:15" x14ac:dyDescent="0.45">
      <c r="A81" s="6" t="s">
        <v>61</v>
      </c>
      <c r="B81" s="6" t="s">
        <v>53</v>
      </c>
      <c r="C81" s="6">
        <v>2</v>
      </c>
      <c r="D81" s="6">
        <v>2</v>
      </c>
      <c r="E81" s="6">
        <v>1</v>
      </c>
      <c r="F81" s="10">
        <v>45880</v>
      </c>
      <c r="G81" s="6" t="str">
        <f>_xlfn.TEXTJOIN("|",TRUE,GameLog[[#This Row],[Pod]],TEXT(INT(GameLog[[#This Row],[Round]]),"yyyymmdd"),GameLog[[#This Row],[Date]])</f>
        <v>2|19000101|45880</v>
      </c>
      <c r="H81" s="6">
        <f>COUNTIF(GameLog[Pod ID],GameLog[[#This Row],[Pod ID]])</f>
        <v>4</v>
      </c>
      <c r="I81" s="6">
        <f>YEAR(GameLog[[#This Row],[Date]])</f>
        <v>2025</v>
      </c>
      <c r="J81" s="6">
        <f>MONTH(GameLog[[#This Row],[Date]])</f>
        <v>8</v>
      </c>
      <c r="K81" s="6" t="str">
        <f>IF(GameLog[[#This Row],[Date]]=MAX(GameLog[Date]),"Current","Previous")</f>
        <v>Previous</v>
      </c>
      <c r="L81" s="6"/>
      <c r="M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" s="6" t="str">
        <f ca="1">IF(GameLog[[#This Row],[Check]]="","",COUNTIF(GameLog[[#Headers],[Check]]:GameLog[[#This Row],[Check]],"?*")-1)</f>
        <v/>
      </c>
      <c r="O81" s="6" t="str">
        <f>IFERROR(INDEX(Players[New name],MATCH(GameLog[[#This Row],[Player]],Players[Name],0)),GameLog[[#This Row],[Player]])</f>
        <v>Trevor</v>
      </c>
    </row>
    <row r="82" spans="1:15" x14ac:dyDescent="0.45">
      <c r="A82" s="6" t="s">
        <v>49</v>
      </c>
      <c r="B82" s="6" t="s">
        <v>53</v>
      </c>
      <c r="C82" s="6">
        <v>3</v>
      </c>
      <c r="D82" s="6">
        <v>2</v>
      </c>
      <c r="E82" s="6">
        <v>1</v>
      </c>
      <c r="F82" s="10">
        <v>45880</v>
      </c>
      <c r="G82" s="6" t="str">
        <f>_xlfn.TEXTJOIN("|",TRUE,GameLog[[#This Row],[Pod]],TEXT(INT(GameLog[[#This Row],[Round]]),"yyyymmdd"),GameLog[[#This Row],[Date]])</f>
        <v>2|19000101|45880</v>
      </c>
      <c r="H82" s="6">
        <f>COUNTIF(GameLog[Pod ID],GameLog[[#This Row],[Pod ID]])</f>
        <v>4</v>
      </c>
      <c r="I82" s="6">
        <f>YEAR(GameLog[[#This Row],[Date]])</f>
        <v>2025</v>
      </c>
      <c r="J82" s="6">
        <f>MONTH(GameLog[[#This Row],[Date]])</f>
        <v>8</v>
      </c>
      <c r="K82" s="6" t="str">
        <f>IF(GameLog[[#This Row],[Date]]=MAX(GameLog[Date]),"Current","Previous")</f>
        <v>Previous</v>
      </c>
      <c r="L82" s="6"/>
      <c r="M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" s="6" t="str">
        <f ca="1">IF(GameLog[[#This Row],[Check]]="","",COUNTIF(GameLog[[#Headers],[Check]]:GameLog[[#This Row],[Check]],"?*")-1)</f>
        <v/>
      </c>
      <c r="O82" s="6" t="str">
        <f>IFERROR(INDEX(Players[New name],MATCH(GameLog[[#This Row],[Player]],Players[Name],0)),GameLog[[#This Row],[Player]])</f>
        <v>Brett R</v>
      </c>
    </row>
    <row r="83" spans="1:15" x14ac:dyDescent="0.45">
      <c r="A83" s="6" t="s">
        <v>62</v>
      </c>
      <c r="B83" s="6" t="s">
        <v>50</v>
      </c>
      <c r="C83" s="6">
        <v>4</v>
      </c>
      <c r="D83" s="6">
        <v>2</v>
      </c>
      <c r="E83" s="6">
        <v>1</v>
      </c>
      <c r="F83" s="10">
        <v>45880</v>
      </c>
      <c r="G83" s="6" t="str">
        <f>_xlfn.TEXTJOIN("|",TRUE,GameLog[[#This Row],[Pod]],TEXT(INT(GameLog[[#This Row],[Round]]),"yyyymmdd"),GameLog[[#This Row],[Date]])</f>
        <v>2|19000101|45880</v>
      </c>
      <c r="H83" s="6">
        <f>COUNTIF(GameLog[Pod ID],GameLog[[#This Row],[Pod ID]])</f>
        <v>4</v>
      </c>
      <c r="I83" s="6">
        <f>YEAR(GameLog[[#This Row],[Date]])</f>
        <v>2025</v>
      </c>
      <c r="J83" s="6">
        <f>MONTH(GameLog[[#This Row],[Date]])</f>
        <v>8</v>
      </c>
      <c r="K83" s="6" t="str">
        <f>IF(GameLog[[#This Row],[Date]]=MAX(GameLog[Date]),"Current","Previous")</f>
        <v>Previous</v>
      </c>
      <c r="L83" s="6"/>
      <c r="M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" s="6" t="str">
        <f ca="1">IF(GameLog[[#This Row],[Check]]="","",COUNTIF(GameLog[[#Headers],[Check]]:GameLog[[#This Row],[Check]],"?*")-1)</f>
        <v/>
      </c>
      <c r="O83" s="6" t="str">
        <f>IFERROR(INDEX(Players[New name],MATCH(GameLog[[#This Row],[Player]],Players[Name],0)),GameLog[[#This Row],[Player]])</f>
        <v>Nicholas S</v>
      </c>
    </row>
    <row r="84" spans="1:15" x14ac:dyDescent="0.45">
      <c r="A84" s="6" t="s">
        <v>70</v>
      </c>
      <c r="B84" s="6" t="s">
        <v>53</v>
      </c>
      <c r="C84" s="6">
        <v>1</v>
      </c>
      <c r="D84" s="6">
        <v>3</v>
      </c>
      <c r="E84" s="6">
        <v>1</v>
      </c>
      <c r="F84" s="10">
        <v>45880</v>
      </c>
      <c r="G84" s="6" t="str">
        <f>_xlfn.TEXTJOIN("|",TRUE,GameLog[[#This Row],[Pod]],TEXT(INT(GameLog[[#This Row],[Round]]),"yyyymmdd"),GameLog[[#This Row],[Date]])</f>
        <v>3|19000101|45880</v>
      </c>
      <c r="H84" s="6">
        <f>COUNTIF(GameLog[Pod ID],GameLog[[#This Row],[Pod ID]])</f>
        <v>4</v>
      </c>
      <c r="I84" s="6">
        <f>YEAR(GameLog[[#This Row],[Date]])</f>
        <v>2025</v>
      </c>
      <c r="J84" s="6">
        <f>MONTH(GameLog[[#This Row],[Date]])</f>
        <v>8</v>
      </c>
      <c r="K84" s="6" t="str">
        <f>IF(GameLog[[#This Row],[Date]]=MAX(GameLog[Date]),"Current","Previous")</f>
        <v>Previous</v>
      </c>
      <c r="L84" s="6"/>
      <c r="M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" s="6" t="str">
        <f ca="1">IF(GameLog[[#This Row],[Check]]="","",COUNTIF(GameLog[[#Headers],[Check]]:GameLog[[#This Row],[Check]],"?*")-1)</f>
        <v/>
      </c>
      <c r="O84" s="6" t="str">
        <f>IFERROR(INDEX(Players[New name],MATCH(GameLog[[#This Row],[Player]],Players[Name],0)),GameLog[[#This Row],[Player]])</f>
        <v>Brad F</v>
      </c>
    </row>
    <row r="85" spans="1:15" x14ac:dyDescent="0.45">
      <c r="A85" s="6" t="s">
        <v>52</v>
      </c>
      <c r="B85" s="6" t="s">
        <v>53</v>
      </c>
      <c r="C85" s="6">
        <v>2</v>
      </c>
      <c r="D85" s="6">
        <v>3</v>
      </c>
      <c r="E85" s="6">
        <v>1</v>
      </c>
      <c r="F85" s="10">
        <v>45880</v>
      </c>
      <c r="G85" s="6" t="str">
        <f>_xlfn.TEXTJOIN("|",TRUE,GameLog[[#This Row],[Pod]],TEXT(INT(GameLog[[#This Row],[Round]]),"yyyymmdd"),GameLog[[#This Row],[Date]])</f>
        <v>3|19000101|45880</v>
      </c>
      <c r="H85" s="6">
        <f>COUNTIF(GameLog[Pod ID],GameLog[[#This Row],[Pod ID]])</f>
        <v>4</v>
      </c>
      <c r="I85" s="6">
        <f>YEAR(GameLog[[#This Row],[Date]])</f>
        <v>2025</v>
      </c>
      <c r="J85" s="6">
        <f>MONTH(GameLog[[#This Row],[Date]])</f>
        <v>8</v>
      </c>
      <c r="K85" s="6" t="str">
        <f>IF(GameLog[[#This Row],[Date]]=MAX(GameLog[Date]),"Current","Previous")</f>
        <v>Previous</v>
      </c>
      <c r="L85" s="6"/>
      <c r="M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" s="6" t="str">
        <f ca="1">IF(GameLog[[#This Row],[Check]]="","",COUNTIF(GameLog[[#Headers],[Check]]:GameLog[[#This Row],[Check]],"?*")-1)</f>
        <v/>
      </c>
      <c r="O85" s="6" t="str">
        <f>IFERROR(INDEX(Players[New name],MATCH(GameLog[[#This Row],[Player]],Players[Name],0)),GameLog[[#This Row],[Player]])</f>
        <v>Unknown</v>
      </c>
    </row>
    <row r="86" spans="1:15" x14ac:dyDescent="0.45">
      <c r="A86" s="6" t="s">
        <v>64</v>
      </c>
      <c r="B86" s="6" t="s">
        <v>53</v>
      </c>
      <c r="C86" s="6">
        <v>3</v>
      </c>
      <c r="D86" s="6">
        <v>3</v>
      </c>
      <c r="E86" s="6">
        <v>1</v>
      </c>
      <c r="F86" s="10">
        <v>45880</v>
      </c>
      <c r="G86" s="6" t="str">
        <f>_xlfn.TEXTJOIN("|",TRUE,GameLog[[#This Row],[Pod]],TEXT(INT(GameLog[[#This Row],[Round]]),"yyyymmdd"),GameLog[[#This Row],[Date]])</f>
        <v>3|19000101|45880</v>
      </c>
      <c r="H86" s="6">
        <f>COUNTIF(GameLog[Pod ID],GameLog[[#This Row],[Pod ID]])</f>
        <v>4</v>
      </c>
      <c r="I86" s="6">
        <f>YEAR(GameLog[[#This Row],[Date]])</f>
        <v>2025</v>
      </c>
      <c r="J86" s="6">
        <f>MONTH(GameLog[[#This Row],[Date]])</f>
        <v>8</v>
      </c>
      <c r="K86" s="6" t="str">
        <f>IF(GameLog[[#This Row],[Date]]=MAX(GameLog[Date]),"Current","Previous")</f>
        <v>Previous</v>
      </c>
      <c r="L86" s="6"/>
      <c r="M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" s="6" t="str">
        <f ca="1">IF(GameLog[[#This Row],[Check]]="","",COUNTIF(GameLog[[#Headers],[Check]]:GameLog[[#This Row],[Check]],"?*")-1)</f>
        <v/>
      </c>
      <c r="O86" s="6" t="str">
        <f>IFERROR(INDEX(Players[New name],MATCH(GameLog[[#This Row],[Player]],Players[Name],0)),GameLog[[#This Row],[Player]])</f>
        <v>Tyler B</v>
      </c>
    </row>
    <row r="87" spans="1:15" x14ac:dyDescent="0.45">
      <c r="A87" s="6" t="s">
        <v>71</v>
      </c>
      <c r="B87" s="6" t="s">
        <v>50</v>
      </c>
      <c r="C87" s="6">
        <v>4</v>
      </c>
      <c r="D87" s="6">
        <v>3</v>
      </c>
      <c r="E87" s="6">
        <v>1</v>
      </c>
      <c r="F87" s="10">
        <v>45880</v>
      </c>
      <c r="G87" s="6" t="str">
        <f>_xlfn.TEXTJOIN("|",TRUE,GameLog[[#This Row],[Pod]],TEXT(INT(GameLog[[#This Row],[Round]]),"yyyymmdd"),GameLog[[#This Row],[Date]])</f>
        <v>3|19000101|45880</v>
      </c>
      <c r="H87" s="6">
        <f>COUNTIF(GameLog[Pod ID],GameLog[[#This Row],[Pod ID]])</f>
        <v>4</v>
      </c>
      <c r="I87" s="6">
        <f>YEAR(GameLog[[#This Row],[Date]])</f>
        <v>2025</v>
      </c>
      <c r="J87" s="6">
        <f>MONTH(GameLog[[#This Row],[Date]])</f>
        <v>8</v>
      </c>
      <c r="K87" s="6" t="str">
        <f>IF(GameLog[[#This Row],[Date]]=MAX(GameLog[Date]),"Current","Previous")</f>
        <v>Previous</v>
      </c>
      <c r="L87" s="6"/>
      <c r="M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" s="6" t="str">
        <f ca="1">IF(GameLog[[#This Row],[Check]]="","",COUNTIF(GameLog[[#Headers],[Check]]:GameLog[[#This Row],[Check]],"?*")-1)</f>
        <v/>
      </c>
      <c r="O87" s="6" t="str">
        <f>IFERROR(INDEX(Players[New name],MATCH(GameLog[[#This Row],[Player]],Players[Name],0)),GameLog[[#This Row],[Player]])</f>
        <v>Rodney Y</v>
      </c>
    </row>
    <row r="88" spans="1:15" x14ac:dyDescent="0.45">
      <c r="A88" s="6" t="s">
        <v>58</v>
      </c>
      <c r="B88" s="6" t="s">
        <v>50</v>
      </c>
      <c r="C88" s="6">
        <v>1</v>
      </c>
      <c r="D88" s="6">
        <v>4</v>
      </c>
      <c r="E88" s="6">
        <v>1</v>
      </c>
      <c r="F88" s="10">
        <v>45880</v>
      </c>
      <c r="G88" s="6" t="str">
        <f>_xlfn.TEXTJOIN("|",TRUE,GameLog[[#This Row],[Pod]],TEXT(INT(GameLog[[#This Row],[Round]]),"yyyymmdd"),GameLog[[#This Row],[Date]])</f>
        <v>4|19000101|45880</v>
      </c>
      <c r="H88" s="6">
        <f>COUNTIF(GameLog[Pod ID],GameLog[[#This Row],[Pod ID]])</f>
        <v>4</v>
      </c>
      <c r="I88" s="6">
        <f>YEAR(GameLog[[#This Row],[Date]])</f>
        <v>2025</v>
      </c>
      <c r="J88" s="6">
        <f>MONTH(GameLog[[#This Row],[Date]])</f>
        <v>8</v>
      </c>
      <c r="K88" s="6" t="str">
        <f>IF(GameLog[[#This Row],[Date]]=MAX(GameLog[Date]),"Current","Previous")</f>
        <v>Previous</v>
      </c>
      <c r="L88" s="6"/>
      <c r="M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" s="6" t="str">
        <f ca="1">IF(GameLog[[#This Row],[Check]]="","",COUNTIF(GameLog[[#Headers],[Check]]:GameLog[[#This Row],[Check]],"?*")-1)</f>
        <v/>
      </c>
      <c r="O88" s="6" t="str">
        <f>IFERROR(INDEX(Players[New name],MATCH(GameLog[[#This Row],[Player]],Players[Name],0)),GameLog[[#This Row],[Player]])</f>
        <v>Dakota P</v>
      </c>
    </row>
    <row r="89" spans="1:15" x14ac:dyDescent="0.45">
      <c r="A89" s="6" t="s">
        <v>63</v>
      </c>
      <c r="B89" s="6" t="s">
        <v>53</v>
      </c>
      <c r="C89" s="6">
        <v>2</v>
      </c>
      <c r="D89" s="6">
        <v>4</v>
      </c>
      <c r="E89" s="6">
        <v>1</v>
      </c>
      <c r="F89" s="10">
        <v>45880</v>
      </c>
      <c r="G89" s="6" t="str">
        <f>_xlfn.TEXTJOIN("|",TRUE,GameLog[[#This Row],[Pod]],TEXT(INT(GameLog[[#This Row],[Round]]),"yyyymmdd"),GameLog[[#This Row],[Date]])</f>
        <v>4|19000101|45880</v>
      </c>
      <c r="H89" s="6">
        <f>COUNTIF(GameLog[Pod ID],GameLog[[#This Row],[Pod ID]])</f>
        <v>4</v>
      </c>
      <c r="I89" s="6">
        <f>YEAR(GameLog[[#This Row],[Date]])</f>
        <v>2025</v>
      </c>
      <c r="J89" s="6">
        <f>MONTH(GameLog[[#This Row],[Date]])</f>
        <v>8</v>
      </c>
      <c r="K89" s="6" t="str">
        <f>IF(GameLog[[#This Row],[Date]]=MAX(GameLog[Date]),"Current","Previous")</f>
        <v>Previous</v>
      </c>
      <c r="L89" s="6"/>
      <c r="M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" s="6" t="str">
        <f ca="1">IF(GameLog[[#This Row],[Check]]="","",COUNTIF(GameLog[[#Headers],[Check]]:GameLog[[#This Row],[Check]],"?*")-1)</f>
        <v/>
      </c>
      <c r="O89" s="6" t="str">
        <f>IFERROR(INDEX(Players[New name],MATCH(GameLog[[#This Row],[Player]],Players[Name],0)),GameLog[[#This Row],[Player]])</f>
        <v>Jake D</v>
      </c>
    </row>
    <row r="90" spans="1:15" x14ac:dyDescent="0.45">
      <c r="A90" s="6" t="s">
        <v>69</v>
      </c>
      <c r="B90" s="6" t="s">
        <v>53</v>
      </c>
      <c r="C90" s="6">
        <v>3</v>
      </c>
      <c r="D90" s="6">
        <v>4</v>
      </c>
      <c r="E90" s="6">
        <v>1</v>
      </c>
      <c r="F90" s="10">
        <v>45880</v>
      </c>
      <c r="G90" s="6" t="str">
        <f>_xlfn.TEXTJOIN("|",TRUE,GameLog[[#This Row],[Pod]],TEXT(INT(GameLog[[#This Row],[Round]]),"yyyymmdd"),GameLog[[#This Row],[Date]])</f>
        <v>4|19000101|45880</v>
      </c>
      <c r="H90" s="6">
        <f>COUNTIF(GameLog[Pod ID],GameLog[[#This Row],[Pod ID]])</f>
        <v>4</v>
      </c>
      <c r="I90" s="6">
        <f>YEAR(GameLog[[#This Row],[Date]])</f>
        <v>2025</v>
      </c>
      <c r="J90" s="6">
        <f>MONTH(GameLog[[#This Row],[Date]])</f>
        <v>8</v>
      </c>
      <c r="K90" s="6" t="str">
        <f>IF(GameLog[[#This Row],[Date]]=MAX(GameLog[Date]),"Current","Previous")</f>
        <v>Previous</v>
      </c>
      <c r="L90" s="6"/>
      <c r="M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" s="6" t="str">
        <f ca="1">IF(GameLog[[#This Row],[Check]]="","",COUNTIF(GameLog[[#Headers],[Check]]:GameLog[[#This Row],[Check]],"?*")-1)</f>
        <v/>
      </c>
      <c r="O90" s="6" t="str">
        <f>IFERROR(INDEX(Players[New name],MATCH(GameLog[[#This Row],[Player]],Players[Name],0)),GameLog[[#This Row],[Player]])</f>
        <v>Ryan T</v>
      </c>
    </row>
    <row r="91" spans="1:15" x14ac:dyDescent="0.45">
      <c r="A91" s="6" t="s">
        <v>60</v>
      </c>
      <c r="B91" s="6" t="s">
        <v>53</v>
      </c>
      <c r="C91" s="6">
        <v>4</v>
      </c>
      <c r="D91" s="6">
        <v>4</v>
      </c>
      <c r="E91" s="6">
        <v>1</v>
      </c>
      <c r="F91" s="10">
        <v>45880</v>
      </c>
      <c r="G91" s="6" t="str">
        <f>_xlfn.TEXTJOIN("|",TRUE,GameLog[[#This Row],[Pod]],TEXT(INT(GameLog[[#This Row],[Round]]),"yyyymmdd"),GameLog[[#This Row],[Date]])</f>
        <v>4|19000101|45880</v>
      </c>
      <c r="H91" s="6">
        <f>COUNTIF(GameLog[Pod ID],GameLog[[#This Row],[Pod ID]])</f>
        <v>4</v>
      </c>
      <c r="I91" s="6">
        <f>YEAR(GameLog[[#This Row],[Date]])</f>
        <v>2025</v>
      </c>
      <c r="J91" s="6">
        <f>MONTH(GameLog[[#This Row],[Date]])</f>
        <v>8</v>
      </c>
      <c r="K91" s="6" t="str">
        <f>IF(GameLog[[#This Row],[Date]]=MAX(GameLog[Date]),"Current","Previous")</f>
        <v>Previous</v>
      </c>
      <c r="L91" s="6"/>
      <c r="M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" s="6" t="str">
        <f ca="1">IF(GameLog[[#This Row],[Check]]="","",COUNTIF(GameLog[[#Headers],[Check]]:GameLog[[#This Row],[Check]],"?*")-1)</f>
        <v/>
      </c>
      <c r="O91" s="6" t="str">
        <f>IFERROR(INDEX(Players[New name],MATCH(GameLog[[#This Row],[Player]],Players[Name],0)),GameLog[[#This Row],[Player]])</f>
        <v>Brendan H</v>
      </c>
    </row>
    <row r="92" spans="1:15" x14ac:dyDescent="0.45">
      <c r="A92" s="6" t="s">
        <v>58</v>
      </c>
      <c r="B92" s="6" t="s">
        <v>53</v>
      </c>
      <c r="C92" s="6">
        <v>1</v>
      </c>
      <c r="D92" s="6">
        <v>1</v>
      </c>
      <c r="E92" s="6">
        <v>2</v>
      </c>
      <c r="F92" s="10">
        <v>45880</v>
      </c>
      <c r="G92" s="6" t="str">
        <f>_xlfn.TEXTJOIN("|",TRUE,GameLog[[#This Row],[Pod]],TEXT(INT(GameLog[[#This Row],[Round]]),"yyyymmdd"),GameLog[[#This Row],[Date]])</f>
        <v>1|19000102|45880</v>
      </c>
      <c r="H92" s="6">
        <f>COUNTIF(GameLog[Pod ID],GameLog[[#This Row],[Pod ID]])</f>
        <v>4</v>
      </c>
      <c r="I92" s="6">
        <f>YEAR(GameLog[[#This Row],[Date]])</f>
        <v>2025</v>
      </c>
      <c r="J92" s="6">
        <f>MONTH(GameLog[[#This Row],[Date]])</f>
        <v>8</v>
      </c>
      <c r="K92" s="6" t="str">
        <f>IF(GameLog[[#This Row],[Date]]=MAX(GameLog[Date]),"Current","Previous")</f>
        <v>Previous</v>
      </c>
      <c r="L92" s="6"/>
      <c r="M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" s="6" t="str">
        <f ca="1">IF(GameLog[[#This Row],[Check]]="","",COUNTIF(GameLog[[#Headers],[Check]]:GameLog[[#This Row],[Check]],"?*")-1)</f>
        <v/>
      </c>
      <c r="O92" s="6" t="str">
        <f>IFERROR(INDEX(Players[New name],MATCH(GameLog[[#This Row],[Player]],Players[Name],0)),GameLog[[#This Row],[Player]])</f>
        <v>Dakota P</v>
      </c>
    </row>
    <row r="93" spans="1:15" x14ac:dyDescent="0.45">
      <c r="A93" s="6" t="s">
        <v>71</v>
      </c>
      <c r="B93" s="6" t="s">
        <v>53</v>
      </c>
      <c r="C93" s="6">
        <v>2</v>
      </c>
      <c r="D93" s="6">
        <v>1</v>
      </c>
      <c r="E93" s="6">
        <v>2</v>
      </c>
      <c r="F93" s="10">
        <v>45880</v>
      </c>
      <c r="G93" s="6" t="str">
        <f>_xlfn.TEXTJOIN("|",TRUE,GameLog[[#This Row],[Pod]],TEXT(INT(GameLog[[#This Row],[Round]]),"yyyymmdd"),GameLog[[#This Row],[Date]])</f>
        <v>1|19000102|45880</v>
      </c>
      <c r="H93" s="6">
        <f>COUNTIF(GameLog[Pod ID],GameLog[[#This Row],[Pod ID]])</f>
        <v>4</v>
      </c>
      <c r="I93" s="6">
        <f>YEAR(GameLog[[#This Row],[Date]])</f>
        <v>2025</v>
      </c>
      <c r="J93" s="6">
        <f>MONTH(GameLog[[#This Row],[Date]])</f>
        <v>8</v>
      </c>
      <c r="K93" s="6" t="str">
        <f>IF(GameLog[[#This Row],[Date]]=MAX(GameLog[Date]),"Current","Previous")</f>
        <v>Previous</v>
      </c>
      <c r="L93" s="6"/>
      <c r="M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" s="6" t="str">
        <f ca="1">IF(GameLog[[#This Row],[Check]]="","",COUNTIF(GameLog[[#Headers],[Check]]:GameLog[[#This Row],[Check]],"?*")-1)</f>
        <v/>
      </c>
      <c r="O93" s="6" t="str">
        <f>IFERROR(INDEX(Players[New name],MATCH(GameLog[[#This Row],[Player]],Players[Name],0)),GameLog[[#This Row],[Player]])</f>
        <v>Rodney Y</v>
      </c>
    </row>
    <row r="94" spans="1:15" x14ac:dyDescent="0.45">
      <c r="A94" s="6" t="s">
        <v>62</v>
      </c>
      <c r="B94" s="6" t="s">
        <v>53</v>
      </c>
      <c r="C94" s="6">
        <v>3</v>
      </c>
      <c r="D94" s="6">
        <v>1</v>
      </c>
      <c r="E94" s="6">
        <v>2</v>
      </c>
      <c r="F94" s="10">
        <v>45880</v>
      </c>
      <c r="G94" s="6" t="str">
        <f>_xlfn.TEXTJOIN("|",TRUE,GameLog[[#This Row],[Pod]],TEXT(INT(GameLog[[#This Row],[Round]]),"yyyymmdd"),GameLog[[#This Row],[Date]])</f>
        <v>1|19000102|45880</v>
      </c>
      <c r="H94" s="6">
        <f>COUNTIF(GameLog[Pod ID],GameLog[[#This Row],[Pod ID]])</f>
        <v>4</v>
      </c>
      <c r="I94" s="6">
        <f>YEAR(GameLog[[#This Row],[Date]])</f>
        <v>2025</v>
      </c>
      <c r="J94" s="6">
        <f>MONTH(GameLog[[#This Row],[Date]])</f>
        <v>8</v>
      </c>
      <c r="K94" s="6" t="str">
        <f>IF(GameLog[[#This Row],[Date]]=MAX(GameLog[Date]),"Current","Previous")</f>
        <v>Previous</v>
      </c>
      <c r="L94" s="6"/>
      <c r="M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" s="6" t="str">
        <f ca="1">IF(GameLog[[#This Row],[Check]]="","",COUNTIF(GameLog[[#Headers],[Check]]:GameLog[[#This Row],[Check]],"?*")-1)</f>
        <v/>
      </c>
      <c r="O94" s="6" t="str">
        <f>IFERROR(INDEX(Players[New name],MATCH(GameLog[[#This Row],[Player]],Players[Name],0)),GameLog[[#This Row],[Player]])</f>
        <v>Nicholas S</v>
      </c>
    </row>
    <row r="95" spans="1:15" x14ac:dyDescent="0.45">
      <c r="A95" s="6" t="s">
        <v>55</v>
      </c>
      <c r="B95" s="6" t="s">
        <v>50</v>
      </c>
      <c r="C95" s="6">
        <v>4</v>
      </c>
      <c r="D95" s="6">
        <v>1</v>
      </c>
      <c r="E95" s="6">
        <v>2</v>
      </c>
      <c r="F95" s="10">
        <v>45880</v>
      </c>
      <c r="G95" s="6" t="str">
        <f>_xlfn.TEXTJOIN("|",TRUE,GameLog[[#This Row],[Pod]],TEXT(INT(GameLog[[#This Row],[Round]]),"yyyymmdd"),GameLog[[#This Row],[Date]])</f>
        <v>1|19000102|45880</v>
      </c>
      <c r="H95" s="6">
        <f>COUNTIF(GameLog[Pod ID],GameLog[[#This Row],[Pod ID]])</f>
        <v>4</v>
      </c>
      <c r="I95" s="6">
        <f>YEAR(GameLog[[#This Row],[Date]])</f>
        <v>2025</v>
      </c>
      <c r="J95" s="6">
        <f>MONTH(GameLog[[#This Row],[Date]])</f>
        <v>8</v>
      </c>
      <c r="K95" s="6" t="str">
        <f>IF(GameLog[[#This Row],[Date]]=MAX(GameLog[Date]),"Current","Previous")</f>
        <v>Previous</v>
      </c>
      <c r="L95" s="6"/>
      <c r="M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" s="6" t="str">
        <f ca="1">IF(GameLog[[#This Row],[Check]]="","",COUNTIF(GameLog[[#Headers],[Check]]:GameLog[[#This Row],[Check]],"?*")-1)</f>
        <v/>
      </c>
      <c r="O95" s="6" t="str">
        <f>IFERROR(INDEX(Players[New name],MATCH(GameLog[[#This Row],[Player]],Players[Name],0)),GameLog[[#This Row],[Player]])</f>
        <v>Bryce C</v>
      </c>
    </row>
    <row r="96" spans="1:15" x14ac:dyDescent="0.45">
      <c r="A96" s="6" t="s">
        <v>61</v>
      </c>
      <c r="B96" s="6" t="s">
        <v>53</v>
      </c>
      <c r="C96" s="6">
        <v>1</v>
      </c>
      <c r="D96" s="6">
        <v>2</v>
      </c>
      <c r="E96" s="6">
        <v>2</v>
      </c>
      <c r="F96" s="10">
        <v>45880</v>
      </c>
      <c r="G96" s="6" t="str">
        <f>_xlfn.TEXTJOIN("|",TRUE,GameLog[[#This Row],[Pod]],TEXT(INT(GameLog[[#This Row],[Round]]),"yyyymmdd"),GameLog[[#This Row],[Date]])</f>
        <v>2|19000102|45880</v>
      </c>
      <c r="H96" s="6">
        <f>COUNTIF(GameLog[Pod ID],GameLog[[#This Row],[Pod ID]])</f>
        <v>4</v>
      </c>
      <c r="I96" s="6">
        <f>YEAR(GameLog[[#This Row],[Date]])</f>
        <v>2025</v>
      </c>
      <c r="J96" s="6">
        <f>MONTH(GameLog[[#This Row],[Date]])</f>
        <v>8</v>
      </c>
      <c r="K96" s="6" t="str">
        <f>IF(GameLog[[#This Row],[Date]]=MAX(GameLog[Date]),"Current","Previous")</f>
        <v>Previous</v>
      </c>
      <c r="L96" s="6"/>
      <c r="M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" s="6" t="str">
        <f ca="1">IF(GameLog[[#This Row],[Check]]="","",COUNTIF(GameLog[[#Headers],[Check]]:GameLog[[#This Row],[Check]],"?*")-1)</f>
        <v/>
      </c>
      <c r="O96" s="6" t="str">
        <f>IFERROR(INDEX(Players[New name],MATCH(GameLog[[#This Row],[Player]],Players[Name],0)),GameLog[[#This Row],[Player]])</f>
        <v>Trevor</v>
      </c>
    </row>
    <row r="97" spans="1:15" x14ac:dyDescent="0.45">
      <c r="A97" s="6" t="s">
        <v>67</v>
      </c>
      <c r="B97" s="6" t="s">
        <v>53</v>
      </c>
      <c r="C97" s="6">
        <v>2</v>
      </c>
      <c r="D97" s="6">
        <v>2</v>
      </c>
      <c r="E97" s="6">
        <v>2</v>
      </c>
      <c r="F97" s="10">
        <v>45880</v>
      </c>
      <c r="G97" s="6" t="str">
        <f>_xlfn.TEXTJOIN("|",TRUE,GameLog[[#This Row],[Pod]],TEXT(INT(GameLog[[#This Row],[Round]]),"yyyymmdd"),GameLog[[#This Row],[Date]])</f>
        <v>2|19000102|45880</v>
      </c>
      <c r="H97" s="6">
        <f>COUNTIF(GameLog[Pod ID],GameLog[[#This Row],[Pod ID]])</f>
        <v>4</v>
      </c>
      <c r="I97" s="6">
        <f>YEAR(GameLog[[#This Row],[Date]])</f>
        <v>2025</v>
      </c>
      <c r="J97" s="6">
        <f>MONTH(GameLog[[#This Row],[Date]])</f>
        <v>8</v>
      </c>
      <c r="K97" s="6" t="str">
        <f>IF(GameLog[[#This Row],[Date]]=MAX(GameLog[Date]),"Current","Previous")</f>
        <v>Previous</v>
      </c>
      <c r="L97" s="6"/>
      <c r="M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" s="6" t="str">
        <f ca="1">IF(GameLog[[#This Row],[Check]]="","",COUNTIF(GameLog[[#Headers],[Check]]:GameLog[[#This Row],[Check]],"?*")-1)</f>
        <v/>
      </c>
      <c r="O97" s="6" t="str">
        <f>IFERROR(INDEX(Players[New name],MATCH(GameLog[[#This Row],[Player]],Players[Name],0)),GameLog[[#This Row],[Player]])</f>
        <v>Sam</v>
      </c>
    </row>
    <row r="98" spans="1:15" x14ac:dyDescent="0.45">
      <c r="A98" s="6" t="s">
        <v>63</v>
      </c>
      <c r="B98" s="6" t="s">
        <v>50</v>
      </c>
      <c r="C98" s="6">
        <v>3</v>
      </c>
      <c r="D98" s="6">
        <v>2</v>
      </c>
      <c r="E98" s="6">
        <v>2</v>
      </c>
      <c r="F98" s="10">
        <v>45880</v>
      </c>
      <c r="G98" s="6" t="str">
        <f>_xlfn.TEXTJOIN("|",TRUE,GameLog[[#This Row],[Pod]],TEXT(INT(GameLog[[#This Row],[Round]]),"yyyymmdd"),GameLog[[#This Row],[Date]])</f>
        <v>2|19000102|45880</v>
      </c>
      <c r="H98" s="6">
        <f>COUNTIF(GameLog[Pod ID],GameLog[[#This Row],[Pod ID]])</f>
        <v>4</v>
      </c>
      <c r="I98" s="6">
        <f>YEAR(GameLog[[#This Row],[Date]])</f>
        <v>2025</v>
      </c>
      <c r="J98" s="6">
        <f>MONTH(GameLog[[#This Row],[Date]])</f>
        <v>8</v>
      </c>
      <c r="K98" s="6" t="str">
        <f>IF(GameLog[[#This Row],[Date]]=MAX(GameLog[Date]),"Current","Previous")</f>
        <v>Previous</v>
      </c>
      <c r="L98" s="6"/>
      <c r="M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" s="6" t="str">
        <f ca="1">IF(GameLog[[#This Row],[Check]]="","",COUNTIF(GameLog[[#Headers],[Check]]:GameLog[[#This Row],[Check]],"?*")-1)</f>
        <v/>
      </c>
      <c r="O98" s="6" t="str">
        <f>IFERROR(INDEX(Players[New name],MATCH(GameLog[[#This Row],[Player]],Players[Name],0)),GameLog[[#This Row],[Player]])</f>
        <v>Jake D</v>
      </c>
    </row>
    <row r="99" spans="1:15" x14ac:dyDescent="0.45">
      <c r="A99" s="6" t="s">
        <v>70</v>
      </c>
      <c r="B99" s="6" t="s">
        <v>53</v>
      </c>
      <c r="C99" s="6">
        <v>4</v>
      </c>
      <c r="D99" s="6">
        <v>2</v>
      </c>
      <c r="E99" s="6">
        <v>2</v>
      </c>
      <c r="F99" s="10">
        <v>45880</v>
      </c>
      <c r="G99" s="6" t="str">
        <f>_xlfn.TEXTJOIN("|",TRUE,GameLog[[#This Row],[Pod]],TEXT(INT(GameLog[[#This Row],[Round]]),"yyyymmdd"),GameLog[[#This Row],[Date]])</f>
        <v>2|19000102|45880</v>
      </c>
      <c r="H99" s="6">
        <f>COUNTIF(GameLog[Pod ID],GameLog[[#This Row],[Pod ID]])</f>
        <v>4</v>
      </c>
      <c r="I99" s="6">
        <f>YEAR(GameLog[[#This Row],[Date]])</f>
        <v>2025</v>
      </c>
      <c r="J99" s="6">
        <f>MONTH(GameLog[[#This Row],[Date]])</f>
        <v>8</v>
      </c>
      <c r="K99" s="6" t="str">
        <f>IF(GameLog[[#This Row],[Date]]=MAX(GameLog[Date]),"Current","Previous")</f>
        <v>Previous</v>
      </c>
      <c r="L99" s="6"/>
      <c r="M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" s="6" t="str">
        <f ca="1">IF(GameLog[[#This Row],[Check]]="","",COUNTIF(GameLog[[#Headers],[Check]]:GameLog[[#This Row],[Check]],"?*")-1)</f>
        <v/>
      </c>
      <c r="O99" s="6" t="str">
        <f>IFERROR(INDEX(Players[New name],MATCH(GameLog[[#This Row],[Player]],Players[Name],0)),GameLog[[#This Row],[Player]])</f>
        <v>Brad F</v>
      </c>
    </row>
    <row r="100" spans="1:15" x14ac:dyDescent="0.45">
      <c r="A100" s="6" t="s">
        <v>59</v>
      </c>
      <c r="B100" s="6" t="s">
        <v>53</v>
      </c>
      <c r="C100" s="6">
        <v>1</v>
      </c>
      <c r="D100" s="6">
        <v>3</v>
      </c>
      <c r="E100" s="6">
        <v>2</v>
      </c>
      <c r="F100" s="10">
        <v>45880</v>
      </c>
      <c r="G100" s="6" t="str">
        <f>_xlfn.TEXTJOIN("|",TRUE,GameLog[[#This Row],[Pod]],TEXT(INT(GameLog[[#This Row],[Round]]),"yyyymmdd"),GameLog[[#This Row],[Date]])</f>
        <v>3|19000102|45880</v>
      </c>
      <c r="H100" s="6">
        <f>COUNTIF(GameLog[Pod ID],GameLog[[#This Row],[Pod ID]])</f>
        <v>4</v>
      </c>
      <c r="I100" s="6">
        <f>YEAR(GameLog[[#This Row],[Date]])</f>
        <v>2025</v>
      </c>
      <c r="J100" s="6">
        <f>MONTH(GameLog[[#This Row],[Date]])</f>
        <v>8</v>
      </c>
      <c r="K100" s="6" t="str">
        <f>IF(GameLog[[#This Row],[Date]]=MAX(GameLog[Date]),"Current","Previous")</f>
        <v>Previous</v>
      </c>
      <c r="L100" s="6"/>
      <c r="M1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" s="6" t="str">
        <f ca="1">IF(GameLog[[#This Row],[Check]]="","",COUNTIF(GameLog[[#Headers],[Check]]:GameLog[[#This Row],[Check]],"?*")-1)</f>
        <v/>
      </c>
      <c r="O100" s="6" t="str">
        <f>IFERROR(INDEX(Players[New name],MATCH(GameLog[[#This Row],[Player]],Players[Name],0)),GameLog[[#This Row],[Player]])</f>
        <v>Zack B</v>
      </c>
    </row>
    <row r="101" spans="1:15" x14ac:dyDescent="0.45">
      <c r="A101" s="6" t="s">
        <v>68</v>
      </c>
      <c r="B101" s="6" t="s">
        <v>53</v>
      </c>
      <c r="C101" s="6">
        <v>2</v>
      </c>
      <c r="D101" s="6">
        <v>3</v>
      </c>
      <c r="E101" s="6">
        <v>2</v>
      </c>
      <c r="F101" s="10">
        <v>45880</v>
      </c>
      <c r="G101" s="6" t="str">
        <f>_xlfn.TEXTJOIN("|",TRUE,GameLog[[#This Row],[Pod]],TEXT(INT(GameLog[[#This Row],[Round]]),"yyyymmdd"),GameLog[[#This Row],[Date]])</f>
        <v>3|19000102|45880</v>
      </c>
      <c r="H101" s="6">
        <f>COUNTIF(GameLog[Pod ID],GameLog[[#This Row],[Pod ID]])</f>
        <v>4</v>
      </c>
      <c r="I101" s="6">
        <f>YEAR(GameLog[[#This Row],[Date]])</f>
        <v>2025</v>
      </c>
      <c r="J101" s="6">
        <f>MONTH(GameLog[[#This Row],[Date]])</f>
        <v>8</v>
      </c>
      <c r="K101" s="6" t="str">
        <f>IF(GameLog[[#This Row],[Date]]=MAX(GameLog[Date]),"Current","Previous")</f>
        <v>Previous</v>
      </c>
      <c r="L101" s="6"/>
      <c r="M1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" s="6" t="str">
        <f ca="1">IF(GameLog[[#This Row],[Check]]="","",COUNTIF(GameLog[[#Headers],[Check]]:GameLog[[#This Row],[Check]],"?*")-1)</f>
        <v/>
      </c>
      <c r="O101" s="6" t="str">
        <f>IFERROR(INDEX(Players[New name],MATCH(GameLog[[#This Row],[Player]],Players[Name],0)),GameLog[[#This Row],[Player]])</f>
        <v>Edwin M</v>
      </c>
    </row>
    <row r="102" spans="1:15" x14ac:dyDescent="0.45">
      <c r="A102" s="6" t="s">
        <v>69</v>
      </c>
      <c r="B102" s="6" t="s">
        <v>50</v>
      </c>
      <c r="C102" s="6">
        <v>3</v>
      </c>
      <c r="D102" s="6">
        <v>3</v>
      </c>
      <c r="E102" s="6">
        <v>2</v>
      </c>
      <c r="F102" s="10">
        <v>45880</v>
      </c>
      <c r="G102" s="6" t="str">
        <f>_xlfn.TEXTJOIN("|",TRUE,GameLog[[#This Row],[Pod]],TEXT(INT(GameLog[[#This Row],[Round]]),"yyyymmdd"),GameLog[[#This Row],[Date]])</f>
        <v>3|19000102|45880</v>
      </c>
      <c r="H102" s="6">
        <f>COUNTIF(GameLog[Pod ID],GameLog[[#This Row],[Pod ID]])</f>
        <v>4</v>
      </c>
      <c r="I102" s="6">
        <f>YEAR(GameLog[[#This Row],[Date]])</f>
        <v>2025</v>
      </c>
      <c r="J102" s="6">
        <f>MONTH(GameLog[[#This Row],[Date]])</f>
        <v>8</v>
      </c>
      <c r="K102" s="6" t="str">
        <f>IF(GameLog[[#This Row],[Date]]=MAX(GameLog[Date]),"Current","Previous")</f>
        <v>Previous</v>
      </c>
      <c r="L102" s="6"/>
      <c r="M1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" s="6" t="str">
        <f ca="1">IF(GameLog[[#This Row],[Check]]="","",COUNTIF(GameLog[[#Headers],[Check]]:GameLog[[#This Row],[Check]],"?*")-1)</f>
        <v/>
      </c>
      <c r="O102" s="6" t="str">
        <f>IFERROR(INDEX(Players[New name],MATCH(GameLog[[#This Row],[Player]],Players[Name],0)),GameLog[[#This Row],[Player]])</f>
        <v>Ryan T</v>
      </c>
    </row>
    <row r="103" spans="1:15" x14ac:dyDescent="0.45">
      <c r="A103" s="6" t="s">
        <v>52</v>
      </c>
      <c r="B103" s="6" t="s">
        <v>53</v>
      </c>
      <c r="C103" s="6">
        <v>4</v>
      </c>
      <c r="D103" s="6">
        <v>3</v>
      </c>
      <c r="E103" s="6">
        <v>2</v>
      </c>
      <c r="F103" s="10">
        <v>45880</v>
      </c>
      <c r="G103" s="6" t="str">
        <f>_xlfn.TEXTJOIN("|",TRUE,GameLog[[#This Row],[Pod]],TEXT(INT(GameLog[[#This Row],[Round]]),"yyyymmdd"),GameLog[[#This Row],[Date]])</f>
        <v>3|19000102|45880</v>
      </c>
      <c r="H103" s="6">
        <f>COUNTIF(GameLog[Pod ID],GameLog[[#This Row],[Pod ID]])</f>
        <v>4</v>
      </c>
      <c r="I103" s="6">
        <f>YEAR(GameLog[[#This Row],[Date]])</f>
        <v>2025</v>
      </c>
      <c r="J103" s="6">
        <f>MONTH(GameLog[[#This Row],[Date]])</f>
        <v>8</v>
      </c>
      <c r="K103" s="6" t="str">
        <f>IF(GameLog[[#This Row],[Date]]=MAX(GameLog[Date]),"Current","Previous")</f>
        <v>Previous</v>
      </c>
      <c r="L103" s="6"/>
      <c r="M1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" s="6" t="str">
        <f ca="1">IF(GameLog[[#This Row],[Check]]="","",COUNTIF(GameLog[[#Headers],[Check]]:GameLog[[#This Row],[Check]],"?*")-1)</f>
        <v/>
      </c>
      <c r="O103" s="6" t="str">
        <f>IFERROR(INDEX(Players[New name],MATCH(GameLog[[#This Row],[Player]],Players[Name],0)),GameLog[[#This Row],[Player]])</f>
        <v>Unknown</v>
      </c>
    </row>
    <row r="104" spans="1:15" x14ac:dyDescent="0.45">
      <c r="A104" s="6" t="s">
        <v>60</v>
      </c>
      <c r="B104" s="6" t="s">
        <v>50</v>
      </c>
      <c r="C104" s="6">
        <v>1</v>
      </c>
      <c r="D104" s="6">
        <v>4</v>
      </c>
      <c r="E104" s="6">
        <v>2</v>
      </c>
      <c r="F104" s="10">
        <v>45880</v>
      </c>
      <c r="G104" s="6" t="str">
        <f>_xlfn.TEXTJOIN("|",TRUE,GameLog[[#This Row],[Pod]],TEXT(INT(GameLog[[#This Row],[Round]]),"yyyymmdd"),GameLog[[#This Row],[Date]])</f>
        <v>4|19000102|45880</v>
      </c>
      <c r="H104" s="6">
        <f>COUNTIF(GameLog[Pod ID],GameLog[[#This Row],[Pod ID]])</f>
        <v>4</v>
      </c>
      <c r="I104" s="6">
        <f>YEAR(GameLog[[#This Row],[Date]])</f>
        <v>2025</v>
      </c>
      <c r="J104" s="6">
        <f>MONTH(GameLog[[#This Row],[Date]])</f>
        <v>8</v>
      </c>
      <c r="K104" s="6" t="str">
        <f>IF(GameLog[[#This Row],[Date]]=MAX(GameLog[Date]),"Current","Previous")</f>
        <v>Previous</v>
      </c>
      <c r="L104" s="6"/>
      <c r="M1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" s="6" t="str">
        <f ca="1">IF(GameLog[[#This Row],[Check]]="","",COUNTIF(GameLog[[#Headers],[Check]]:GameLog[[#This Row],[Check]],"?*")-1)</f>
        <v/>
      </c>
      <c r="O104" s="6" t="str">
        <f>IFERROR(INDEX(Players[New name],MATCH(GameLog[[#This Row],[Player]],Players[Name],0)),GameLog[[#This Row],[Player]])</f>
        <v>Brendan H</v>
      </c>
    </row>
    <row r="105" spans="1:15" x14ac:dyDescent="0.45">
      <c r="A105" s="6" t="s">
        <v>49</v>
      </c>
      <c r="B105" s="6" t="s">
        <v>53</v>
      </c>
      <c r="C105" s="6">
        <v>2</v>
      </c>
      <c r="D105" s="6">
        <v>4</v>
      </c>
      <c r="E105" s="6">
        <v>2</v>
      </c>
      <c r="F105" s="10">
        <v>45880</v>
      </c>
      <c r="G105" s="6" t="str">
        <f>_xlfn.TEXTJOIN("|",TRUE,GameLog[[#This Row],[Pod]],TEXT(INT(GameLog[[#This Row],[Round]]),"yyyymmdd"),GameLog[[#This Row],[Date]])</f>
        <v>4|19000102|45880</v>
      </c>
      <c r="H105" s="6">
        <f>COUNTIF(GameLog[Pod ID],GameLog[[#This Row],[Pod ID]])</f>
        <v>4</v>
      </c>
      <c r="I105" s="6">
        <f>YEAR(GameLog[[#This Row],[Date]])</f>
        <v>2025</v>
      </c>
      <c r="J105" s="6">
        <f>MONTH(GameLog[[#This Row],[Date]])</f>
        <v>8</v>
      </c>
      <c r="K105" s="6" t="str">
        <f>IF(GameLog[[#This Row],[Date]]=MAX(GameLog[Date]),"Current","Previous")</f>
        <v>Previous</v>
      </c>
      <c r="L105" s="6"/>
      <c r="M1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" s="6" t="str">
        <f ca="1">IF(GameLog[[#This Row],[Check]]="","",COUNTIF(GameLog[[#Headers],[Check]]:GameLog[[#This Row],[Check]],"?*")-1)</f>
        <v/>
      </c>
      <c r="O105" s="6" t="str">
        <f>IFERROR(INDEX(Players[New name],MATCH(GameLog[[#This Row],[Player]],Players[Name],0)),GameLog[[#This Row],[Player]])</f>
        <v>Brett R</v>
      </c>
    </row>
    <row r="106" spans="1:15" x14ac:dyDescent="0.45">
      <c r="A106" s="6" t="s">
        <v>65</v>
      </c>
      <c r="B106" s="6" t="s">
        <v>53</v>
      </c>
      <c r="C106" s="6">
        <v>3</v>
      </c>
      <c r="D106" s="6">
        <v>4</v>
      </c>
      <c r="E106" s="6">
        <v>2</v>
      </c>
      <c r="F106" s="10">
        <v>45880</v>
      </c>
      <c r="G106" s="6" t="str">
        <f>_xlfn.TEXTJOIN("|",TRUE,GameLog[[#This Row],[Pod]],TEXT(INT(GameLog[[#This Row],[Round]]),"yyyymmdd"),GameLog[[#This Row],[Date]])</f>
        <v>4|19000102|45880</v>
      </c>
      <c r="H106" s="6">
        <f>COUNTIF(GameLog[Pod ID],GameLog[[#This Row],[Pod ID]])</f>
        <v>4</v>
      </c>
      <c r="I106" s="6">
        <f>YEAR(GameLog[[#This Row],[Date]])</f>
        <v>2025</v>
      </c>
      <c r="J106" s="6">
        <f>MONTH(GameLog[[#This Row],[Date]])</f>
        <v>8</v>
      </c>
      <c r="K106" s="6" t="str">
        <f>IF(GameLog[[#This Row],[Date]]=MAX(GameLog[Date]),"Current","Previous")</f>
        <v>Previous</v>
      </c>
      <c r="L106" s="6"/>
      <c r="M1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" s="6" t="str">
        <f ca="1">IF(GameLog[[#This Row],[Check]]="","",COUNTIF(GameLog[[#Headers],[Check]]:GameLog[[#This Row],[Check]],"?*")-1)</f>
        <v/>
      </c>
      <c r="O106" s="6" t="str">
        <f>IFERROR(INDEX(Players[New name],MATCH(GameLog[[#This Row],[Player]],Players[Name],0)),GameLog[[#This Row],[Player]])</f>
        <v>Mitch</v>
      </c>
    </row>
    <row r="107" spans="1:15" x14ac:dyDescent="0.45">
      <c r="A107" s="6" t="s">
        <v>64</v>
      </c>
      <c r="B107" s="6" t="s">
        <v>53</v>
      </c>
      <c r="C107" s="6">
        <v>4</v>
      </c>
      <c r="D107" s="6">
        <v>4</v>
      </c>
      <c r="E107" s="6">
        <v>2</v>
      </c>
      <c r="F107" s="10">
        <v>45880</v>
      </c>
      <c r="G107" s="6" t="str">
        <f>_xlfn.TEXTJOIN("|",TRUE,GameLog[[#This Row],[Pod]],TEXT(INT(GameLog[[#This Row],[Round]]),"yyyymmdd"),GameLog[[#This Row],[Date]])</f>
        <v>4|19000102|45880</v>
      </c>
      <c r="H107" s="6">
        <f>COUNTIF(GameLog[Pod ID],GameLog[[#This Row],[Pod ID]])</f>
        <v>4</v>
      </c>
      <c r="I107" s="6">
        <f>YEAR(GameLog[[#This Row],[Date]])</f>
        <v>2025</v>
      </c>
      <c r="J107" s="6">
        <f>MONTH(GameLog[[#This Row],[Date]])</f>
        <v>8</v>
      </c>
      <c r="K107" s="6" t="str">
        <f>IF(GameLog[[#This Row],[Date]]=MAX(GameLog[Date]),"Current","Previous")</f>
        <v>Previous</v>
      </c>
      <c r="L107" s="6"/>
      <c r="M1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" s="6" t="str">
        <f ca="1">IF(GameLog[[#This Row],[Check]]="","",COUNTIF(GameLog[[#Headers],[Check]]:GameLog[[#This Row],[Check]],"?*")-1)</f>
        <v/>
      </c>
      <c r="O107" s="6" t="str">
        <f>IFERROR(INDEX(Players[New name],MATCH(GameLog[[#This Row],[Player]],Players[Name],0)),GameLog[[#This Row],[Player]])</f>
        <v>Tyler B</v>
      </c>
    </row>
    <row r="108" spans="1:15" x14ac:dyDescent="0.45">
      <c r="A108" s="6" t="s">
        <v>64</v>
      </c>
      <c r="B108" s="6" t="s">
        <v>53</v>
      </c>
      <c r="C108" s="6">
        <v>1</v>
      </c>
      <c r="D108" s="6">
        <v>1</v>
      </c>
      <c r="E108" s="6">
        <v>1</v>
      </c>
      <c r="F108" s="10">
        <v>45887</v>
      </c>
      <c r="G108" s="6" t="str">
        <f>_xlfn.TEXTJOIN("|",TRUE,GameLog[[#This Row],[Pod]],TEXT(INT(GameLog[[#This Row],[Round]]),"yyyymmdd"),GameLog[[#This Row],[Date]])</f>
        <v>1|19000101|45887</v>
      </c>
      <c r="H108" s="6">
        <f>COUNTIF(GameLog[Pod ID],GameLog[[#This Row],[Pod ID]])</f>
        <v>4</v>
      </c>
      <c r="I108" s="6">
        <f>YEAR(GameLog[[#This Row],[Date]])</f>
        <v>2025</v>
      </c>
      <c r="J108" s="6">
        <f>MONTH(GameLog[[#This Row],[Date]])</f>
        <v>8</v>
      </c>
      <c r="K108" s="6" t="str">
        <f>IF(GameLog[[#This Row],[Date]]=MAX(GameLog[Date]),"Current","Previous")</f>
        <v>Previous</v>
      </c>
      <c r="L108" s="6"/>
      <c r="M1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" s="6" t="str">
        <f ca="1">IF(GameLog[[#This Row],[Check]]="","",COUNTIF(GameLog[[#Headers],[Check]]:GameLog[[#This Row],[Check]],"?*")-1)</f>
        <v/>
      </c>
      <c r="O108" s="6" t="str">
        <f>IFERROR(INDEX(Players[New name],MATCH(GameLog[[#This Row],[Player]],Players[Name],0)),GameLog[[#This Row],[Player]])</f>
        <v>Tyler B</v>
      </c>
    </row>
    <row r="109" spans="1:15" x14ac:dyDescent="0.45">
      <c r="A109" s="6" t="s">
        <v>58</v>
      </c>
      <c r="B109" s="6" t="s">
        <v>53</v>
      </c>
      <c r="C109" s="6">
        <v>2</v>
      </c>
      <c r="D109" s="6">
        <v>1</v>
      </c>
      <c r="E109" s="6">
        <v>1</v>
      </c>
      <c r="F109" s="10">
        <v>45887</v>
      </c>
      <c r="G109" s="6" t="str">
        <f>_xlfn.TEXTJOIN("|",TRUE,GameLog[[#This Row],[Pod]],TEXT(INT(GameLog[[#This Row],[Round]]),"yyyymmdd"),GameLog[[#This Row],[Date]])</f>
        <v>1|19000101|45887</v>
      </c>
      <c r="H109" s="6">
        <f>COUNTIF(GameLog[Pod ID],GameLog[[#This Row],[Pod ID]])</f>
        <v>4</v>
      </c>
      <c r="I109" s="6">
        <f>YEAR(GameLog[[#This Row],[Date]])</f>
        <v>2025</v>
      </c>
      <c r="J109" s="6">
        <f>MONTH(GameLog[[#This Row],[Date]])</f>
        <v>8</v>
      </c>
      <c r="K109" s="6" t="str">
        <f>IF(GameLog[[#This Row],[Date]]=MAX(GameLog[Date]),"Current","Previous")</f>
        <v>Previous</v>
      </c>
      <c r="L109" s="6"/>
      <c r="M1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" s="6" t="str">
        <f ca="1">IF(GameLog[[#This Row],[Check]]="","",COUNTIF(GameLog[[#Headers],[Check]]:GameLog[[#This Row],[Check]],"?*")-1)</f>
        <v/>
      </c>
      <c r="O109" s="6" t="str">
        <f>IFERROR(INDEX(Players[New name],MATCH(GameLog[[#This Row],[Player]],Players[Name],0)),GameLog[[#This Row],[Player]])</f>
        <v>Dakota P</v>
      </c>
    </row>
    <row r="110" spans="1:15" x14ac:dyDescent="0.45">
      <c r="A110" s="6" t="s">
        <v>72</v>
      </c>
      <c r="B110" s="6" t="s">
        <v>53</v>
      </c>
      <c r="C110" s="6">
        <v>3</v>
      </c>
      <c r="D110" s="6">
        <v>1</v>
      </c>
      <c r="E110" s="6">
        <v>1</v>
      </c>
      <c r="F110" s="10">
        <v>45887</v>
      </c>
      <c r="G110" s="6" t="str">
        <f>_xlfn.TEXTJOIN("|",TRUE,GameLog[[#This Row],[Pod]],TEXT(INT(GameLog[[#This Row],[Round]]),"yyyymmdd"),GameLog[[#This Row],[Date]])</f>
        <v>1|19000101|45887</v>
      </c>
      <c r="H110" s="6">
        <f>COUNTIF(GameLog[Pod ID],GameLog[[#This Row],[Pod ID]])</f>
        <v>4</v>
      </c>
      <c r="I110" s="6">
        <f>YEAR(GameLog[[#This Row],[Date]])</f>
        <v>2025</v>
      </c>
      <c r="J110" s="6">
        <f>MONTH(GameLog[[#This Row],[Date]])</f>
        <v>8</v>
      </c>
      <c r="K110" s="6" t="str">
        <f>IF(GameLog[[#This Row],[Date]]=MAX(GameLog[Date]),"Current","Previous")</f>
        <v>Previous</v>
      </c>
      <c r="L110" s="6"/>
      <c r="M1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" s="6" t="str">
        <f ca="1">IF(GameLog[[#This Row],[Check]]="","",COUNTIF(GameLog[[#Headers],[Check]]:GameLog[[#This Row],[Check]],"?*")-1)</f>
        <v/>
      </c>
      <c r="O110" s="6" t="str">
        <f>IFERROR(INDEX(Players[New name],MATCH(GameLog[[#This Row],[Player]],Players[Name],0)),GameLog[[#This Row],[Player]])</f>
        <v>Ben H</v>
      </c>
    </row>
    <row r="111" spans="1:15" x14ac:dyDescent="0.45">
      <c r="A111" s="6" t="s">
        <v>61</v>
      </c>
      <c r="B111" s="6" t="s">
        <v>50</v>
      </c>
      <c r="C111" s="6">
        <v>4</v>
      </c>
      <c r="D111" s="6">
        <v>1</v>
      </c>
      <c r="E111" s="6">
        <v>1</v>
      </c>
      <c r="F111" s="10">
        <v>45887</v>
      </c>
      <c r="G111" s="6" t="str">
        <f>_xlfn.TEXTJOIN("|",TRUE,GameLog[[#This Row],[Pod]],TEXT(INT(GameLog[[#This Row],[Round]]),"yyyymmdd"),GameLog[[#This Row],[Date]])</f>
        <v>1|19000101|45887</v>
      </c>
      <c r="H111" s="6">
        <f>COUNTIF(GameLog[Pod ID],GameLog[[#This Row],[Pod ID]])</f>
        <v>4</v>
      </c>
      <c r="I111" s="6">
        <f>YEAR(GameLog[[#This Row],[Date]])</f>
        <v>2025</v>
      </c>
      <c r="J111" s="6">
        <f>MONTH(GameLog[[#This Row],[Date]])</f>
        <v>8</v>
      </c>
      <c r="K111" s="6" t="str">
        <f>IF(GameLog[[#This Row],[Date]]=MAX(GameLog[Date]),"Current","Previous")</f>
        <v>Previous</v>
      </c>
      <c r="L111" s="6"/>
      <c r="M1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" s="6" t="str">
        <f ca="1">IF(GameLog[[#This Row],[Check]]="","",COUNTIF(GameLog[[#Headers],[Check]]:GameLog[[#This Row],[Check]],"?*")-1)</f>
        <v/>
      </c>
      <c r="O111" s="6" t="str">
        <f>IFERROR(INDEX(Players[New name],MATCH(GameLog[[#This Row],[Player]],Players[Name],0)),GameLog[[#This Row],[Player]])</f>
        <v>Trevor</v>
      </c>
    </row>
    <row r="112" spans="1:15" x14ac:dyDescent="0.45">
      <c r="A112" s="6" t="s">
        <v>55</v>
      </c>
      <c r="B112" s="6" t="s">
        <v>53</v>
      </c>
      <c r="C112" s="6">
        <v>1</v>
      </c>
      <c r="D112" s="6">
        <v>2</v>
      </c>
      <c r="E112" s="6">
        <v>1</v>
      </c>
      <c r="F112" s="10">
        <v>45887</v>
      </c>
      <c r="G112" s="6" t="str">
        <f>_xlfn.TEXTJOIN("|",TRUE,GameLog[[#This Row],[Pod]],TEXT(INT(GameLog[[#This Row],[Round]]),"yyyymmdd"),GameLog[[#This Row],[Date]])</f>
        <v>2|19000101|45887</v>
      </c>
      <c r="H112" s="6">
        <f>COUNTIF(GameLog[Pod ID],GameLog[[#This Row],[Pod ID]])</f>
        <v>3</v>
      </c>
      <c r="I112" s="6">
        <f>YEAR(GameLog[[#This Row],[Date]])</f>
        <v>2025</v>
      </c>
      <c r="J112" s="6">
        <f>MONTH(GameLog[[#This Row],[Date]])</f>
        <v>8</v>
      </c>
      <c r="K112" s="6" t="str">
        <f>IF(GameLog[[#This Row],[Date]]=MAX(GameLog[Date]),"Current","Previous")</f>
        <v>Previous</v>
      </c>
      <c r="L112" s="6"/>
      <c r="M1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" s="6" t="str">
        <f ca="1">IF(GameLog[[#This Row],[Check]]="","",COUNTIF(GameLog[[#Headers],[Check]]:GameLog[[#This Row],[Check]],"?*")-1)</f>
        <v/>
      </c>
      <c r="O112" s="6" t="str">
        <f>IFERROR(INDEX(Players[New name],MATCH(GameLog[[#This Row],[Player]],Players[Name],0)),GameLog[[#This Row],[Player]])</f>
        <v>Bryce C</v>
      </c>
    </row>
    <row r="113" spans="1:15" x14ac:dyDescent="0.45">
      <c r="A113" s="6" t="s">
        <v>69</v>
      </c>
      <c r="B113" s="6" t="s">
        <v>50</v>
      </c>
      <c r="C113" s="6">
        <v>2</v>
      </c>
      <c r="D113" s="6">
        <v>2</v>
      </c>
      <c r="E113" s="6">
        <v>1</v>
      </c>
      <c r="F113" s="10">
        <v>45887</v>
      </c>
      <c r="G113" s="6" t="str">
        <f>_xlfn.TEXTJOIN("|",TRUE,GameLog[[#This Row],[Pod]],TEXT(INT(GameLog[[#This Row],[Round]]),"yyyymmdd"),GameLog[[#This Row],[Date]])</f>
        <v>2|19000101|45887</v>
      </c>
      <c r="H113" s="6">
        <f>COUNTIF(GameLog[Pod ID],GameLog[[#This Row],[Pod ID]])</f>
        <v>3</v>
      </c>
      <c r="I113" s="6">
        <f>YEAR(GameLog[[#This Row],[Date]])</f>
        <v>2025</v>
      </c>
      <c r="J113" s="6">
        <f>MONTH(GameLog[[#This Row],[Date]])</f>
        <v>8</v>
      </c>
      <c r="K113" s="6" t="str">
        <f>IF(GameLog[[#This Row],[Date]]=MAX(GameLog[Date]),"Current","Previous")</f>
        <v>Previous</v>
      </c>
      <c r="L113" s="6"/>
      <c r="M1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" s="6" t="str">
        <f ca="1">IF(GameLog[[#This Row],[Check]]="","",COUNTIF(GameLog[[#Headers],[Check]]:GameLog[[#This Row],[Check]],"?*")-1)</f>
        <v/>
      </c>
      <c r="O113" s="6" t="str">
        <f>IFERROR(INDEX(Players[New name],MATCH(GameLog[[#This Row],[Player]],Players[Name],0)),GameLog[[#This Row],[Player]])</f>
        <v>Ryan T</v>
      </c>
    </row>
    <row r="114" spans="1:15" x14ac:dyDescent="0.45">
      <c r="A114" s="6" t="s">
        <v>56</v>
      </c>
      <c r="B114" s="6" t="s">
        <v>53</v>
      </c>
      <c r="C114" s="6">
        <v>3</v>
      </c>
      <c r="D114" s="6">
        <v>2</v>
      </c>
      <c r="E114" s="6">
        <v>1</v>
      </c>
      <c r="F114" s="10">
        <v>45887</v>
      </c>
      <c r="G114" s="6" t="str">
        <f>_xlfn.TEXTJOIN("|",TRUE,GameLog[[#This Row],[Pod]],TEXT(INT(GameLog[[#This Row],[Round]]),"yyyymmdd"),GameLog[[#This Row],[Date]])</f>
        <v>2|19000101|45887</v>
      </c>
      <c r="H114" s="6">
        <f>COUNTIF(GameLog[Pod ID],GameLog[[#This Row],[Pod ID]])</f>
        <v>3</v>
      </c>
      <c r="I114" s="6">
        <f>YEAR(GameLog[[#This Row],[Date]])</f>
        <v>2025</v>
      </c>
      <c r="J114" s="6">
        <f>MONTH(GameLog[[#This Row],[Date]])</f>
        <v>8</v>
      </c>
      <c r="K114" s="6" t="str">
        <f>IF(GameLog[[#This Row],[Date]]=MAX(GameLog[Date]),"Current","Previous")</f>
        <v>Previous</v>
      </c>
      <c r="L114" s="6"/>
      <c r="M1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" s="6" t="str">
        <f ca="1">IF(GameLog[[#This Row],[Check]]="","",COUNTIF(GameLog[[#Headers],[Check]]:GameLog[[#This Row],[Check]],"?*")-1)</f>
        <v/>
      </c>
      <c r="O114" s="6" t="str">
        <f>IFERROR(INDEX(Players[New name],MATCH(GameLog[[#This Row],[Player]],Players[Name],0)),GameLog[[#This Row],[Player]])</f>
        <v>Mark D</v>
      </c>
    </row>
    <row r="115" spans="1:15" x14ac:dyDescent="0.45">
      <c r="A115" s="6" t="s">
        <v>63</v>
      </c>
      <c r="B115" s="6" t="s">
        <v>50</v>
      </c>
      <c r="C115" s="6">
        <v>1</v>
      </c>
      <c r="D115" s="6">
        <v>3</v>
      </c>
      <c r="E115" s="6">
        <v>1</v>
      </c>
      <c r="F115" s="10">
        <v>45887</v>
      </c>
      <c r="G115" s="6" t="str">
        <f>_xlfn.TEXTJOIN("|",TRUE,GameLog[[#This Row],[Pod]],TEXT(INT(GameLog[[#This Row],[Round]]),"yyyymmdd"),GameLog[[#This Row],[Date]])</f>
        <v>3|19000101|45887</v>
      </c>
      <c r="H115" s="6">
        <f>COUNTIF(GameLog[Pod ID],GameLog[[#This Row],[Pod ID]])</f>
        <v>3</v>
      </c>
      <c r="I115" s="6">
        <f>YEAR(GameLog[[#This Row],[Date]])</f>
        <v>2025</v>
      </c>
      <c r="J115" s="6">
        <f>MONTH(GameLog[[#This Row],[Date]])</f>
        <v>8</v>
      </c>
      <c r="K115" s="6" t="str">
        <f>IF(GameLog[[#This Row],[Date]]=MAX(GameLog[Date]),"Current","Previous")</f>
        <v>Previous</v>
      </c>
      <c r="L115" s="6"/>
      <c r="M1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" s="6" t="str">
        <f ca="1">IF(GameLog[[#This Row],[Check]]="","",COUNTIF(GameLog[[#Headers],[Check]]:GameLog[[#This Row],[Check]],"?*")-1)</f>
        <v/>
      </c>
      <c r="O115" s="6" t="str">
        <f>IFERROR(INDEX(Players[New name],MATCH(GameLog[[#This Row],[Player]],Players[Name],0)),GameLog[[#This Row],[Player]])</f>
        <v>Jake D</v>
      </c>
    </row>
    <row r="116" spans="1:15" x14ac:dyDescent="0.45">
      <c r="A116" s="6" t="s">
        <v>68</v>
      </c>
      <c r="B116" s="6" t="s">
        <v>53</v>
      </c>
      <c r="C116" s="6">
        <v>2</v>
      </c>
      <c r="D116" s="6">
        <v>3</v>
      </c>
      <c r="E116" s="6">
        <v>1</v>
      </c>
      <c r="F116" s="10">
        <v>45887</v>
      </c>
      <c r="G116" s="6" t="str">
        <f>_xlfn.TEXTJOIN("|",TRUE,GameLog[[#This Row],[Pod]],TEXT(INT(GameLog[[#This Row],[Round]]),"yyyymmdd"),GameLog[[#This Row],[Date]])</f>
        <v>3|19000101|45887</v>
      </c>
      <c r="H116" s="6">
        <f>COUNTIF(GameLog[Pod ID],GameLog[[#This Row],[Pod ID]])</f>
        <v>3</v>
      </c>
      <c r="I116" s="6">
        <f>YEAR(GameLog[[#This Row],[Date]])</f>
        <v>2025</v>
      </c>
      <c r="J116" s="6">
        <f>MONTH(GameLog[[#This Row],[Date]])</f>
        <v>8</v>
      </c>
      <c r="K116" s="6" t="str">
        <f>IF(GameLog[[#This Row],[Date]]=MAX(GameLog[Date]),"Current","Previous")</f>
        <v>Previous</v>
      </c>
      <c r="L116" s="6"/>
      <c r="M1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" s="6" t="str">
        <f ca="1">IF(GameLog[[#This Row],[Check]]="","",COUNTIF(GameLog[[#Headers],[Check]]:GameLog[[#This Row],[Check]],"?*")-1)</f>
        <v/>
      </c>
      <c r="O116" s="6" t="str">
        <f>IFERROR(INDEX(Players[New name],MATCH(GameLog[[#This Row],[Player]],Players[Name],0)),GameLog[[#This Row],[Player]])</f>
        <v>Edwin M</v>
      </c>
    </row>
    <row r="117" spans="1:15" x14ac:dyDescent="0.45">
      <c r="A117" s="6" t="s">
        <v>60</v>
      </c>
      <c r="B117" s="6" t="s">
        <v>53</v>
      </c>
      <c r="C117" s="6">
        <v>3</v>
      </c>
      <c r="D117" s="6">
        <v>3</v>
      </c>
      <c r="E117" s="6">
        <v>1</v>
      </c>
      <c r="F117" s="10">
        <v>45887</v>
      </c>
      <c r="G117" s="6" t="str">
        <f>_xlfn.TEXTJOIN("|",TRUE,GameLog[[#This Row],[Pod]],TEXT(INT(GameLog[[#This Row],[Round]]),"yyyymmdd"),GameLog[[#This Row],[Date]])</f>
        <v>3|19000101|45887</v>
      </c>
      <c r="H117" s="6">
        <f>COUNTIF(GameLog[Pod ID],GameLog[[#This Row],[Pod ID]])</f>
        <v>3</v>
      </c>
      <c r="I117" s="6">
        <f>YEAR(GameLog[[#This Row],[Date]])</f>
        <v>2025</v>
      </c>
      <c r="J117" s="6">
        <f>MONTH(GameLog[[#This Row],[Date]])</f>
        <v>8</v>
      </c>
      <c r="K117" s="6" t="str">
        <f>IF(GameLog[[#This Row],[Date]]=MAX(GameLog[Date]),"Current","Previous")</f>
        <v>Previous</v>
      </c>
      <c r="L117" s="6"/>
      <c r="M1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" s="6" t="str">
        <f ca="1">IF(GameLog[[#This Row],[Check]]="","",COUNTIF(GameLog[[#Headers],[Check]]:GameLog[[#This Row],[Check]],"?*")-1)</f>
        <v/>
      </c>
      <c r="O117" s="6" t="str">
        <f>IFERROR(INDEX(Players[New name],MATCH(GameLog[[#This Row],[Player]],Players[Name],0)),GameLog[[#This Row],[Player]])</f>
        <v>Brendan H</v>
      </c>
    </row>
    <row r="118" spans="1:15" x14ac:dyDescent="0.45">
      <c r="A118" s="6" t="s">
        <v>63</v>
      </c>
      <c r="B118" s="6" t="s">
        <v>50</v>
      </c>
      <c r="C118" s="6">
        <v>1</v>
      </c>
      <c r="D118" s="6">
        <v>1</v>
      </c>
      <c r="E118" s="6">
        <v>2</v>
      </c>
      <c r="F118" s="10">
        <v>45887</v>
      </c>
      <c r="G118" s="6" t="str">
        <f>_xlfn.TEXTJOIN("|",TRUE,GameLog[[#This Row],[Pod]],TEXT(INT(GameLog[[#This Row],[Round]]),"yyyymmdd"),GameLog[[#This Row],[Date]])</f>
        <v>1|19000102|45887</v>
      </c>
      <c r="H118" s="6">
        <f>COUNTIF(GameLog[Pod ID],GameLog[[#This Row],[Pod ID]])</f>
        <v>3</v>
      </c>
      <c r="I118" s="6">
        <f>YEAR(GameLog[[#This Row],[Date]])</f>
        <v>2025</v>
      </c>
      <c r="J118" s="6">
        <f>MONTH(GameLog[[#This Row],[Date]])</f>
        <v>8</v>
      </c>
      <c r="K118" s="6" t="str">
        <f>IF(GameLog[[#This Row],[Date]]=MAX(GameLog[Date]),"Current","Previous")</f>
        <v>Previous</v>
      </c>
      <c r="L118" s="6"/>
      <c r="M1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" s="6" t="str">
        <f ca="1">IF(GameLog[[#This Row],[Check]]="","",COUNTIF(GameLog[[#Headers],[Check]]:GameLog[[#This Row],[Check]],"?*")-1)</f>
        <v/>
      </c>
      <c r="O118" s="6" t="str">
        <f>IFERROR(INDEX(Players[New name],MATCH(GameLog[[#This Row],[Player]],Players[Name],0)),GameLog[[#This Row],[Player]])</f>
        <v>Jake D</v>
      </c>
    </row>
    <row r="119" spans="1:15" x14ac:dyDescent="0.45">
      <c r="A119" s="6" t="s">
        <v>69</v>
      </c>
      <c r="B119" s="6" t="s">
        <v>53</v>
      </c>
      <c r="C119" s="6">
        <v>2</v>
      </c>
      <c r="D119" s="6">
        <v>1</v>
      </c>
      <c r="E119" s="6">
        <v>2</v>
      </c>
      <c r="F119" s="10">
        <v>45887</v>
      </c>
      <c r="G119" s="6" t="str">
        <f>_xlfn.TEXTJOIN("|",TRUE,GameLog[[#This Row],[Pod]],TEXT(INT(GameLog[[#This Row],[Round]]),"yyyymmdd"),GameLog[[#This Row],[Date]])</f>
        <v>1|19000102|45887</v>
      </c>
      <c r="H119" s="6">
        <f>COUNTIF(GameLog[Pod ID],GameLog[[#This Row],[Pod ID]])</f>
        <v>3</v>
      </c>
      <c r="I119" s="6">
        <f>YEAR(GameLog[[#This Row],[Date]])</f>
        <v>2025</v>
      </c>
      <c r="J119" s="6">
        <f>MONTH(GameLog[[#This Row],[Date]])</f>
        <v>8</v>
      </c>
      <c r="K119" s="6" t="str">
        <f>IF(GameLog[[#This Row],[Date]]=MAX(GameLog[Date]),"Current","Previous")</f>
        <v>Previous</v>
      </c>
      <c r="L119" s="6"/>
      <c r="M1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" s="6" t="str">
        <f ca="1">IF(GameLog[[#This Row],[Check]]="","",COUNTIF(GameLog[[#Headers],[Check]]:GameLog[[#This Row],[Check]],"?*")-1)</f>
        <v/>
      </c>
      <c r="O119" s="6" t="str">
        <f>IFERROR(INDEX(Players[New name],MATCH(GameLog[[#This Row],[Player]],Players[Name],0)),GameLog[[#This Row],[Player]])</f>
        <v>Ryan T</v>
      </c>
    </row>
    <row r="120" spans="1:15" x14ac:dyDescent="0.45">
      <c r="A120" s="6" t="s">
        <v>61</v>
      </c>
      <c r="B120" s="6" t="s">
        <v>53</v>
      </c>
      <c r="C120" s="6">
        <v>3</v>
      </c>
      <c r="D120" s="6">
        <v>1</v>
      </c>
      <c r="E120" s="6">
        <v>2</v>
      </c>
      <c r="F120" s="10">
        <v>45887</v>
      </c>
      <c r="G120" s="6" t="str">
        <f>_xlfn.TEXTJOIN("|",TRUE,GameLog[[#This Row],[Pod]],TEXT(INT(GameLog[[#This Row],[Round]]),"yyyymmdd"),GameLog[[#This Row],[Date]])</f>
        <v>1|19000102|45887</v>
      </c>
      <c r="H120" s="6">
        <f>COUNTIF(GameLog[Pod ID],GameLog[[#This Row],[Pod ID]])</f>
        <v>3</v>
      </c>
      <c r="I120" s="6">
        <f>YEAR(GameLog[[#This Row],[Date]])</f>
        <v>2025</v>
      </c>
      <c r="J120" s="6">
        <f>MONTH(GameLog[[#This Row],[Date]])</f>
        <v>8</v>
      </c>
      <c r="K120" s="6" t="str">
        <f>IF(GameLog[[#This Row],[Date]]=MAX(GameLog[Date]),"Current","Previous")</f>
        <v>Previous</v>
      </c>
      <c r="L120" s="6"/>
      <c r="M1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" s="6" t="str">
        <f ca="1">IF(GameLog[[#This Row],[Check]]="","",COUNTIF(GameLog[[#Headers],[Check]]:GameLog[[#This Row],[Check]],"?*")-1)</f>
        <v/>
      </c>
      <c r="O120" s="6" t="str">
        <f>IFERROR(INDEX(Players[New name],MATCH(GameLog[[#This Row],[Player]],Players[Name],0)),GameLog[[#This Row],[Player]])</f>
        <v>Trevor</v>
      </c>
    </row>
    <row r="121" spans="1:15" x14ac:dyDescent="0.45">
      <c r="A121" s="6" t="s">
        <v>60</v>
      </c>
      <c r="B121" s="6" t="s">
        <v>53</v>
      </c>
      <c r="C121" s="6">
        <v>1</v>
      </c>
      <c r="D121" s="6">
        <v>2</v>
      </c>
      <c r="E121" s="6">
        <v>2</v>
      </c>
      <c r="F121" s="10">
        <v>45887</v>
      </c>
      <c r="G121" s="6" t="str">
        <f>_xlfn.TEXTJOIN("|",TRUE,GameLog[[#This Row],[Pod]],TEXT(INT(GameLog[[#This Row],[Round]]),"yyyymmdd"),GameLog[[#This Row],[Date]])</f>
        <v>2|19000102|45887</v>
      </c>
      <c r="H121" s="6">
        <f>COUNTIF(GameLog[Pod ID],GameLog[[#This Row],[Pod ID]])</f>
        <v>3</v>
      </c>
      <c r="I121" s="6">
        <f>YEAR(GameLog[[#This Row],[Date]])</f>
        <v>2025</v>
      </c>
      <c r="J121" s="6">
        <f>MONTH(GameLog[[#This Row],[Date]])</f>
        <v>8</v>
      </c>
      <c r="K121" s="6" t="str">
        <f>IF(GameLog[[#This Row],[Date]]=MAX(GameLog[Date]),"Current","Previous")</f>
        <v>Previous</v>
      </c>
      <c r="L121" s="6"/>
      <c r="M1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" s="6" t="str">
        <f ca="1">IF(GameLog[[#This Row],[Check]]="","",COUNTIF(GameLog[[#Headers],[Check]]:GameLog[[#This Row],[Check]],"?*")-1)</f>
        <v/>
      </c>
      <c r="O121" s="6" t="str">
        <f>IFERROR(INDEX(Players[New name],MATCH(GameLog[[#This Row],[Player]],Players[Name],0)),GameLog[[#This Row],[Player]])</f>
        <v>Brendan H</v>
      </c>
    </row>
    <row r="122" spans="1:15" x14ac:dyDescent="0.45">
      <c r="A122" s="6" t="s">
        <v>56</v>
      </c>
      <c r="B122" s="6" t="s">
        <v>53</v>
      </c>
      <c r="C122" s="6">
        <v>2</v>
      </c>
      <c r="D122" s="6">
        <v>2</v>
      </c>
      <c r="E122" s="6">
        <v>2</v>
      </c>
      <c r="F122" s="10">
        <v>45887</v>
      </c>
      <c r="G122" s="6" t="str">
        <f>_xlfn.TEXTJOIN("|",TRUE,GameLog[[#This Row],[Pod]],TEXT(INT(GameLog[[#This Row],[Round]]),"yyyymmdd"),GameLog[[#This Row],[Date]])</f>
        <v>2|19000102|45887</v>
      </c>
      <c r="H122" s="6">
        <f>COUNTIF(GameLog[Pod ID],GameLog[[#This Row],[Pod ID]])</f>
        <v>3</v>
      </c>
      <c r="I122" s="6">
        <f>YEAR(GameLog[[#This Row],[Date]])</f>
        <v>2025</v>
      </c>
      <c r="J122" s="6">
        <f>MONTH(GameLog[[#This Row],[Date]])</f>
        <v>8</v>
      </c>
      <c r="K122" s="6" t="str">
        <f>IF(GameLog[[#This Row],[Date]]=MAX(GameLog[Date]),"Current","Previous")</f>
        <v>Previous</v>
      </c>
      <c r="L122" s="6"/>
      <c r="M1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" s="6" t="str">
        <f ca="1">IF(GameLog[[#This Row],[Check]]="","",COUNTIF(GameLog[[#Headers],[Check]]:GameLog[[#This Row],[Check]],"?*")-1)</f>
        <v/>
      </c>
      <c r="O122" s="6" t="str">
        <f>IFERROR(INDEX(Players[New name],MATCH(GameLog[[#This Row],[Player]],Players[Name],0)),GameLog[[#This Row],[Player]])</f>
        <v>Mark D</v>
      </c>
    </row>
    <row r="123" spans="1:15" x14ac:dyDescent="0.45">
      <c r="A123" s="6" t="s">
        <v>58</v>
      </c>
      <c r="B123" s="6" t="s">
        <v>50</v>
      </c>
      <c r="C123" s="6">
        <v>3</v>
      </c>
      <c r="D123" s="6">
        <v>2</v>
      </c>
      <c r="E123" s="6">
        <v>2</v>
      </c>
      <c r="F123" s="10">
        <v>45887</v>
      </c>
      <c r="G123" s="6" t="str">
        <f>_xlfn.TEXTJOIN("|",TRUE,GameLog[[#This Row],[Pod]],TEXT(INT(GameLog[[#This Row],[Round]]),"yyyymmdd"),GameLog[[#This Row],[Date]])</f>
        <v>2|19000102|45887</v>
      </c>
      <c r="H123" s="6">
        <f>COUNTIF(GameLog[Pod ID],GameLog[[#This Row],[Pod ID]])</f>
        <v>3</v>
      </c>
      <c r="I123" s="6">
        <f>YEAR(GameLog[[#This Row],[Date]])</f>
        <v>2025</v>
      </c>
      <c r="J123" s="6">
        <f>MONTH(GameLog[[#This Row],[Date]])</f>
        <v>8</v>
      </c>
      <c r="K123" s="6" t="str">
        <f>IF(GameLog[[#This Row],[Date]]=MAX(GameLog[Date]),"Current","Previous")</f>
        <v>Previous</v>
      </c>
      <c r="L123" s="6"/>
      <c r="M1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" s="6" t="str">
        <f ca="1">IF(GameLog[[#This Row],[Check]]="","",COUNTIF(GameLog[[#Headers],[Check]]:GameLog[[#This Row],[Check]],"?*")-1)</f>
        <v/>
      </c>
      <c r="O123" s="6" t="str">
        <f>IFERROR(INDEX(Players[New name],MATCH(GameLog[[#This Row],[Player]],Players[Name],0)),GameLog[[#This Row],[Player]])</f>
        <v>Dakota P</v>
      </c>
    </row>
    <row r="124" spans="1:15" x14ac:dyDescent="0.45">
      <c r="A124" s="6" t="s">
        <v>68</v>
      </c>
      <c r="B124" s="6" t="s">
        <v>53</v>
      </c>
      <c r="C124" s="6">
        <v>1</v>
      </c>
      <c r="D124" s="6">
        <v>3</v>
      </c>
      <c r="E124" s="6">
        <v>2</v>
      </c>
      <c r="F124" s="10">
        <v>45887</v>
      </c>
      <c r="G124" s="6" t="str">
        <f>_xlfn.TEXTJOIN("|",TRUE,GameLog[[#This Row],[Pod]],TEXT(INT(GameLog[[#This Row],[Round]]),"yyyymmdd"),GameLog[[#This Row],[Date]])</f>
        <v>3|19000102|45887</v>
      </c>
      <c r="H124" s="6">
        <f>COUNTIF(GameLog[Pod ID],GameLog[[#This Row],[Pod ID]])</f>
        <v>4</v>
      </c>
      <c r="I124" s="6">
        <f>YEAR(GameLog[[#This Row],[Date]])</f>
        <v>2025</v>
      </c>
      <c r="J124" s="6">
        <f>MONTH(GameLog[[#This Row],[Date]])</f>
        <v>8</v>
      </c>
      <c r="K124" s="6" t="str">
        <f>IF(GameLog[[#This Row],[Date]]=MAX(GameLog[Date]),"Current","Previous")</f>
        <v>Previous</v>
      </c>
      <c r="L124" s="6"/>
      <c r="M1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" s="6" t="str">
        <f ca="1">IF(GameLog[[#This Row],[Check]]="","",COUNTIF(GameLog[[#Headers],[Check]]:GameLog[[#This Row],[Check]],"?*")-1)</f>
        <v/>
      </c>
      <c r="O124" s="6" t="str">
        <f>IFERROR(INDEX(Players[New name],MATCH(GameLog[[#This Row],[Player]],Players[Name],0)),GameLog[[#This Row],[Player]])</f>
        <v>Edwin M</v>
      </c>
    </row>
    <row r="125" spans="1:15" x14ac:dyDescent="0.45">
      <c r="A125" s="6" t="s">
        <v>55</v>
      </c>
      <c r="B125" s="6" t="s">
        <v>50</v>
      </c>
      <c r="C125" s="6">
        <v>2</v>
      </c>
      <c r="D125" s="6">
        <v>3</v>
      </c>
      <c r="E125" s="6">
        <v>2</v>
      </c>
      <c r="F125" s="10">
        <v>45887</v>
      </c>
      <c r="G125" s="6" t="str">
        <f>_xlfn.TEXTJOIN("|",TRUE,GameLog[[#This Row],[Pod]],TEXT(INT(GameLog[[#This Row],[Round]]),"yyyymmdd"),GameLog[[#This Row],[Date]])</f>
        <v>3|19000102|45887</v>
      </c>
      <c r="H125" s="6">
        <f>COUNTIF(GameLog[Pod ID],GameLog[[#This Row],[Pod ID]])</f>
        <v>4</v>
      </c>
      <c r="I125" s="6">
        <f>YEAR(GameLog[[#This Row],[Date]])</f>
        <v>2025</v>
      </c>
      <c r="J125" s="6">
        <f>MONTH(GameLog[[#This Row],[Date]])</f>
        <v>8</v>
      </c>
      <c r="K125" s="6" t="str">
        <f>IF(GameLog[[#This Row],[Date]]=MAX(GameLog[Date]),"Current","Previous")</f>
        <v>Previous</v>
      </c>
      <c r="L125" s="6"/>
      <c r="M1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" s="6" t="str">
        <f ca="1">IF(GameLog[[#This Row],[Check]]="","",COUNTIF(GameLog[[#Headers],[Check]]:GameLog[[#This Row],[Check]],"?*")-1)</f>
        <v/>
      </c>
      <c r="O125" s="6" t="str">
        <f>IFERROR(INDEX(Players[New name],MATCH(GameLog[[#This Row],[Player]],Players[Name],0)),GameLog[[#This Row],[Player]])</f>
        <v>Bryce C</v>
      </c>
    </row>
    <row r="126" spans="1:15" x14ac:dyDescent="0.45">
      <c r="A126" s="6" t="s">
        <v>64</v>
      </c>
      <c r="B126" s="6" t="s">
        <v>53</v>
      </c>
      <c r="C126" s="6">
        <v>3</v>
      </c>
      <c r="D126" s="6">
        <v>3</v>
      </c>
      <c r="E126" s="6">
        <v>2</v>
      </c>
      <c r="F126" s="10">
        <v>45887</v>
      </c>
      <c r="G126" s="6" t="str">
        <f>_xlfn.TEXTJOIN("|",TRUE,GameLog[[#This Row],[Pod]],TEXT(INT(GameLog[[#This Row],[Round]]),"yyyymmdd"),GameLog[[#This Row],[Date]])</f>
        <v>3|19000102|45887</v>
      </c>
      <c r="H126" s="6">
        <f>COUNTIF(GameLog[Pod ID],GameLog[[#This Row],[Pod ID]])</f>
        <v>4</v>
      </c>
      <c r="I126" s="6">
        <f>YEAR(GameLog[[#This Row],[Date]])</f>
        <v>2025</v>
      </c>
      <c r="J126" s="6">
        <f>MONTH(GameLog[[#This Row],[Date]])</f>
        <v>8</v>
      </c>
      <c r="K126" s="6" t="str">
        <f>IF(GameLog[[#This Row],[Date]]=MAX(GameLog[Date]),"Current","Previous")</f>
        <v>Previous</v>
      </c>
      <c r="L126" s="6"/>
      <c r="M1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" s="6" t="str">
        <f ca="1">IF(GameLog[[#This Row],[Check]]="","",COUNTIF(GameLog[[#Headers],[Check]]:GameLog[[#This Row],[Check]],"?*")-1)</f>
        <v/>
      </c>
      <c r="O126" s="6" t="str">
        <f>IFERROR(INDEX(Players[New name],MATCH(GameLog[[#This Row],[Player]],Players[Name],0)),GameLog[[#This Row],[Player]])</f>
        <v>Tyler B</v>
      </c>
    </row>
    <row r="127" spans="1:15" x14ac:dyDescent="0.45">
      <c r="A127" s="6" t="s">
        <v>72</v>
      </c>
      <c r="B127" s="6" t="s">
        <v>53</v>
      </c>
      <c r="C127" s="6">
        <v>4</v>
      </c>
      <c r="D127" s="6">
        <v>3</v>
      </c>
      <c r="E127" s="6">
        <v>2</v>
      </c>
      <c r="F127" s="10">
        <v>45887</v>
      </c>
      <c r="G127" s="6" t="str">
        <f>_xlfn.TEXTJOIN("|",TRUE,GameLog[[#This Row],[Pod]],TEXT(INT(GameLog[[#This Row],[Round]]),"yyyymmdd"),GameLog[[#This Row],[Date]])</f>
        <v>3|19000102|45887</v>
      </c>
      <c r="H127" s="6">
        <f>COUNTIF(GameLog[Pod ID],GameLog[[#This Row],[Pod ID]])</f>
        <v>4</v>
      </c>
      <c r="I127" s="6">
        <f>YEAR(GameLog[[#This Row],[Date]])</f>
        <v>2025</v>
      </c>
      <c r="J127" s="6">
        <f>MONTH(GameLog[[#This Row],[Date]])</f>
        <v>8</v>
      </c>
      <c r="K127" s="6" t="str">
        <f>IF(GameLog[[#This Row],[Date]]=MAX(GameLog[Date]),"Current","Previous")</f>
        <v>Previous</v>
      </c>
      <c r="L127" s="6"/>
      <c r="M1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" s="6" t="str">
        <f ca="1">IF(GameLog[[#This Row],[Check]]="","",COUNTIF(GameLog[[#Headers],[Check]]:GameLog[[#This Row],[Check]],"?*")-1)</f>
        <v/>
      </c>
      <c r="O127" s="6" t="str">
        <f>IFERROR(INDEX(Players[New name],MATCH(GameLog[[#This Row],[Player]],Players[Name],0)),GameLog[[#This Row],[Player]])</f>
        <v>Ben H</v>
      </c>
    </row>
    <row r="128" spans="1:15" x14ac:dyDescent="0.45">
      <c r="A128" s="6" t="s">
        <v>58</v>
      </c>
      <c r="B128" s="6" t="s">
        <v>53</v>
      </c>
      <c r="C128" s="6">
        <v>1</v>
      </c>
      <c r="D128" s="6">
        <v>1</v>
      </c>
      <c r="E128" s="6">
        <v>1</v>
      </c>
      <c r="F128" s="10">
        <v>45894</v>
      </c>
      <c r="G128" s="6" t="str">
        <f>_xlfn.TEXTJOIN("|",TRUE,GameLog[[#This Row],[Pod]],TEXT(INT(GameLog[[#This Row],[Round]]),"yyyymmdd"),GameLog[[#This Row],[Date]])</f>
        <v>1|19000101|45894</v>
      </c>
      <c r="H128" s="6">
        <f>COUNTIF(GameLog[Pod ID],GameLog[[#This Row],[Pod ID]])</f>
        <v>5</v>
      </c>
      <c r="I128" s="6">
        <f>YEAR(GameLog[[#This Row],[Date]])</f>
        <v>2025</v>
      </c>
      <c r="J128" s="6">
        <f>MONTH(GameLog[[#This Row],[Date]])</f>
        <v>8</v>
      </c>
      <c r="K128" s="6" t="str">
        <f>IF(GameLog[[#This Row],[Date]]=MAX(GameLog[Date]),"Current","Previous")</f>
        <v>Previous</v>
      </c>
      <c r="L128" s="6"/>
      <c r="M1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" s="6" t="str">
        <f ca="1">IF(GameLog[[#This Row],[Check]]="","",COUNTIF(GameLog[[#Headers],[Check]]:GameLog[[#This Row],[Check]],"?*")-1)</f>
        <v/>
      </c>
      <c r="O128" s="6" t="str">
        <f>IFERROR(INDEX(Players[New name],MATCH(GameLog[[#This Row],[Player]],Players[Name],0)),GameLog[[#This Row],[Player]])</f>
        <v>Dakota P</v>
      </c>
    </row>
    <row r="129" spans="1:15" x14ac:dyDescent="0.45">
      <c r="A129" s="6" t="s">
        <v>60</v>
      </c>
      <c r="B129" s="6" t="s">
        <v>53</v>
      </c>
      <c r="C129" s="6">
        <v>2</v>
      </c>
      <c r="D129" s="6">
        <v>1</v>
      </c>
      <c r="E129" s="6">
        <v>1</v>
      </c>
      <c r="F129" s="10">
        <v>45894</v>
      </c>
      <c r="G129" s="6" t="str">
        <f>_xlfn.TEXTJOIN("|",TRUE,GameLog[[#This Row],[Pod]],TEXT(INT(GameLog[[#This Row],[Round]]),"yyyymmdd"),GameLog[[#This Row],[Date]])</f>
        <v>1|19000101|45894</v>
      </c>
      <c r="H129" s="6">
        <f>COUNTIF(GameLog[Pod ID],GameLog[[#This Row],[Pod ID]])</f>
        <v>5</v>
      </c>
      <c r="I129" s="6">
        <f>YEAR(GameLog[[#This Row],[Date]])</f>
        <v>2025</v>
      </c>
      <c r="J129" s="6">
        <f>MONTH(GameLog[[#This Row],[Date]])</f>
        <v>8</v>
      </c>
      <c r="K129" s="6" t="str">
        <f>IF(GameLog[[#This Row],[Date]]=MAX(GameLog[Date]),"Current","Previous")</f>
        <v>Previous</v>
      </c>
      <c r="L129" s="6"/>
      <c r="M1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" s="6" t="str">
        <f ca="1">IF(GameLog[[#This Row],[Check]]="","",COUNTIF(GameLog[[#Headers],[Check]]:GameLog[[#This Row],[Check]],"?*")-1)</f>
        <v/>
      </c>
      <c r="O129" s="6" t="str">
        <f>IFERROR(INDEX(Players[New name],MATCH(GameLog[[#This Row],[Player]],Players[Name],0)),GameLog[[#This Row],[Player]])</f>
        <v>Brendan H</v>
      </c>
    </row>
    <row r="130" spans="1:15" x14ac:dyDescent="0.45">
      <c r="A130" s="6" t="s">
        <v>56</v>
      </c>
      <c r="B130" s="6" t="s">
        <v>53</v>
      </c>
      <c r="C130" s="6">
        <v>3</v>
      </c>
      <c r="D130" s="6">
        <v>1</v>
      </c>
      <c r="E130" s="6">
        <v>1</v>
      </c>
      <c r="F130" s="10">
        <v>45894</v>
      </c>
      <c r="G130" s="6" t="str">
        <f>_xlfn.TEXTJOIN("|",TRUE,GameLog[[#This Row],[Pod]],TEXT(INT(GameLog[[#This Row],[Round]]),"yyyymmdd"),GameLog[[#This Row],[Date]])</f>
        <v>1|19000101|45894</v>
      </c>
      <c r="H130" s="6">
        <f>COUNTIF(GameLog[Pod ID],GameLog[[#This Row],[Pod ID]])</f>
        <v>5</v>
      </c>
      <c r="I130" s="6">
        <f>YEAR(GameLog[[#This Row],[Date]])</f>
        <v>2025</v>
      </c>
      <c r="J130" s="6">
        <f>MONTH(GameLog[[#This Row],[Date]])</f>
        <v>8</v>
      </c>
      <c r="K130" s="6" t="str">
        <f>IF(GameLog[[#This Row],[Date]]=MAX(GameLog[Date]),"Current","Previous")</f>
        <v>Previous</v>
      </c>
      <c r="L130" s="6"/>
      <c r="M1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" s="6" t="str">
        <f ca="1">IF(GameLog[[#This Row],[Check]]="","",COUNTIF(GameLog[[#Headers],[Check]]:GameLog[[#This Row],[Check]],"?*")-1)</f>
        <v/>
      </c>
      <c r="O130" s="6" t="str">
        <f>IFERROR(INDEX(Players[New name],MATCH(GameLog[[#This Row],[Player]],Players[Name],0)),GameLog[[#This Row],[Player]])</f>
        <v>Mark D</v>
      </c>
    </row>
    <row r="131" spans="1:15" x14ac:dyDescent="0.45">
      <c r="A131" s="6" t="s">
        <v>68</v>
      </c>
      <c r="B131" s="6" t="s">
        <v>53</v>
      </c>
      <c r="C131" s="6">
        <v>4</v>
      </c>
      <c r="D131" s="6">
        <v>1</v>
      </c>
      <c r="E131" s="6">
        <v>1</v>
      </c>
      <c r="F131" s="10">
        <v>45894</v>
      </c>
      <c r="G131" s="6" t="str">
        <f>_xlfn.TEXTJOIN("|",TRUE,GameLog[[#This Row],[Pod]],TEXT(INT(GameLog[[#This Row],[Round]]),"yyyymmdd"),GameLog[[#This Row],[Date]])</f>
        <v>1|19000101|45894</v>
      </c>
      <c r="H131" s="6">
        <f>COUNTIF(GameLog[Pod ID],GameLog[[#This Row],[Pod ID]])</f>
        <v>5</v>
      </c>
      <c r="I131" s="6">
        <f>YEAR(GameLog[[#This Row],[Date]])</f>
        <v>2025</v>
      </c>
      <c r="J131" s="6">
        <f>MONTH(GameLog[[#This Row],[Date]])</f>
        <v>8</v>
      </c>
      <c r="K131" s="6" t="str">
        <f>IF(GameLog[[#This Row],[Date]]=MAX(GameLog[Date]),"Current","Previous")</f>
        <v>Previous</v>
      </c>
      <c r="L131" s="6"/>
      <c r="M1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" s="6" t="str">
        <f ca="1">IF(GameLog[[#This Row],[Check]]="","",COUNTIF(GameLog[[#Headers],[Check]]:GameLog[[#This Row],[Check]],"?*")-1)</f>
        <v/>
      </c>
      <c r="O131" s="6" t="str">
        <f>IFERROR(INDEX(Players[New name],MATCH(GameLog[[#This Row],[Player]],Players[Name],0)),GameLog[[#This Row],[Player]])</f>
        <v>Edwin M</v>
      </c>
    </row>
    <row r="132" spans="1:15" x14ac:dyDescent="0.45">
      <c r="A132" s="6" t="s">
        <v>55</v>
      </c>
      <c r="B132" s="6" t="s">
        <v>50</v>
      </c>
      <c r="C132" s="6">
        <v>5</v>
      </c>
      <c r="D132" s="6">
        <v>1</v>
      </c>
      <c r="E132" s="6">
        <v>1</v>
      </c>
      <c r="F132" s="10">
        <v>45894</v>
      </c>
      <c r="G132" s="6" t="str">
        <f>_xlfn.TEXTJOIN("|",TRUE,GameLog[[#This Row],[Pod]],TEXT(INT(GameLog[[#This Row],[Round]]),"yyyymmdd"),GameLog[[#This Row],[Date]])</f>
        <v>1|19000101|45894</v>
      </c>
      <c r="H132" s="6">
        <f>COUNTIF(GameLog[Pod ID],GameLog[[#This Row],[Pod ID]])</f>
        <v>5</v>
      </c>
      <c r="I132" s="6">
        <f>YEAR(GameLog[[#This Row],[Date]])</f>
        <v>2025</v>
      </c>
      <c r="J132" s="6">
        <f>MONTH(GameLog[[#This Row],[Date]])</f>
        <v>8</v>
      </c>
      <c r="K132" s="6" t="str">
        <f>IF(GameLog[[#This Row],[Date]]=MAX(GameLog[Date]),"Current","Previous")</f>
        <v>Previous</v>
      </c>
      <c r="L132" s="6"/>
      <c r="M1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" s="6" t="str">
        <f ca="1">IF(GameLog[[#This Row],[Check]]="","",COUNTIF(GameLog[[#Headers],[Check]]:GameLog[[#This Row],[Check]],"?*")-1)</f>
        <v/>
      </c>
      <c r="O132" s="6" t="str">
        <f>IFERROR(INDEX(Players[New name],MATCH(GameLog[[#This Row],[Player]],Players[Name],0)),GameLog[[#This Row],[Player]])</f>
        <v>Bryce C</v>
      </c>
    </row>
    <row r="133" spans="1:15" x14ac:dyDescent="0.45">
      <c r="A133" s="6" t="s">
        <v>71</v>
      </c>
      <c r="B133" s="6" t="s">
        <v>53</v>
      </c>
      <c r="C133" s="6">
        <v>1</v>
      </c>
      <c r="D133" s="6">
        <v>2</v>
      </c>
      <c r="E133" s="6">
        <v>1</v>
      </c>
      <c r="F133" s="10">
        <v>45894</v>
      </c>
      <c r="G133" s="6" t="str">
        <f>_xlfn.TEXTJOIN("|",TRUE,GameLog[[#This Row],[Pod]],TEXT(INT(GameLog[[#This Row],[Round]]),"yyyymmdd"),GameLog[[#This Row],[Date]])</f>
        <v>2|19000101|45894</v>
      </c>
      <c r="H133" s="6">
        <f>COUNTIF(GameLog[Pod ID],GameLog[[#This Row],[Pod ID]])</f>
        <v>5</v>
      </c>
      <c r="I133" s="6">
        <f>YEAR(GameLog[[#This Row],[Date]])</f>
        <v>2025</v>
      </c>
      <c r="J133" s="6">
        <f>MONTH(GameLog[[#This Row],[Date]])</f>
        <v>8</v>
      </c>
      <c r="K133" s="6" t="str">
        <f>IF(GameLog[[#This Row],[Date]]=MAX(GameLog[Date]),"Current","Previous")</f>
        <v>Previous</v>
      </c>
      <c r="L133" s="6"/>
      <c r="M1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" s="6" t="str">
        <f ca="1">IF(GameLog[[#This Row],[Check]]="","",COUNTIF(GameLog[[#Headers],[Check]]:GameLog[[#This Row],[Check]],"?*")-1)</f>
        <v/>
      </c>
      <c r="O133" s="6" t="str">
        <f>IFERROR(INDEX(Players[New name],MATCH(GameLog[[#This Row],[Player]],Players[Name],0)),GameLog[[#This Row],[Player]])</f>
        <v>Rodney Y</v>
      </c>
    </row>
    <row r="134" spans="1:15" x14ac:dyDescent="0.45">
      <c r="A134" s="6" t="s">
        <v>52</v>
      </c>
      <c r="B134" s="6" t="s">
        <v>50</v>
      </c>
      <c r="C134" s="6">
        <v>2</v>
      </c>
      <c r="D134" s="6">
        <v>2</v>
      </c>
      <c r="E134" s="6">
        <v>1</v>
      </c>
      <c r="F134" s="10">
        <v>45894</v>
      </c>
      <c r="G134" s="6" t="str">
        <f>_xlfn.TEXTJOIN("|",TRUE,GameLog[[#This Row],[Pod]],TEXT(INT(GameLog[[#This Row],[Round]]),"yyyymmdd"),GameLog[[#This Row],[Date]])</f>
        <v>2|19000101|45894</v>
      </c>
      <c r="H134" s="6">
        <f>COUNTIF(GameLog[Pod ID],GameLog[[#This Row],[Pod ID]])</f>
        <v>5</v>
      </c>
      <c r="I134" s="6">
        <f>YEAR(GameLog[[#This Row],[Date]])</f>
        <v>2025</v>
      </c>
      <c r="J134" s="6">
        <f>MONTH(GameLog[[#This Row],[Date]])</f>
        <v>8</v>
      </c>
      <c r="K134" s="6" t="str">
        <f>IF(GameLog[[#This Row],[Date]]=MAX(GameLog[Date]),"Current","Previous")</f>
        <v>Previous</v>
      </c>
      <c r="L134" s="6"/>
      <c r="M1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" s="6" t="str">
        <f ca="1">IF(GameLog[[#This Row],[Check]]="","",COUNTIF(GameLog[[#Headers],[Check]]:GameLog[[#This Row],[Check]],"?*")-1)</f>
        <v/>
      </c>
      <c r="O134" s="6" t="str">
        <f>IFERROR(INDEX(Players[New name],MATCH(GameLog[[#This Row],[Player]],Players[Name],0)),GameLog[[#This Row],[Player]])</f>
        <v>Unknown</v>
      </c>
    </row>
    <row r="135" spans="1:15" x14ac:dyDescent="0.45">
      <c r="A135" s="6" t="s">
        <v>64</v>
      </c>
      <c r="B135" s="6" t="s">
        <v>53</v>
      </c>
      <c r="C135" s="6">
        <v>3</v>
      </c>
      <c r="D135" s="6">
        <v>2</v>
      </c>
      <c r="E135" s="6">
        <v>1</v>
      </c>
      <c r="F135" s="10">
        <v>45894</v>
      </c>
      <c r="G135" s="6" t="str">
        <f>_xlfn.TEXTJOIN("|",TRUE,GameLog[[#This Row],[Pod]],TEXT(INT(GameLog[[#This Row],[Round]]),"yyyymmdd"),GameLog[[#This Row],[Date]])</f>
        <v>2|19000101|45894</v>
      </c>
      <c r="H135" s="6">
        <f>COUNTIF(GameLog[Pod ID],GameLog[[#This Row],[Pod ID]])</f>
        <v>5</v>
      </c>
      <c r="I135" s="6">
        <f>YEAR(GameLog[[#This Row],[Date]])</f>
        <v>2025</v>
      </c>
      <c r="J135" s="6">
        <f>MONTH(GameLog[[#This Row],[Date]])</f>
        <v>8</v>
      </c>
      <c r="K135" s="6" t="str">
        <f>IF(GameLog[[#This Row],[Date]]=MAX(GameLog[Date]),"Current","Previous")</f>
        <v>Previous</v>
      </c>
      <c r="L135" s="6"/>
      <c r="M1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" s="6" t="str">
        <f ca="1">IF(GameLog[[#This Row],[Check]]="","",COUNTIF(GameLog[[#Headers],[Check]]:GameLog[[#This Row],[Check]],"?*")-1)</f>
        <v/>
      </c>
      <c r="O135" s="6" t="str">
        <f>IFERROR(INDEX(Players[New name],MATCH(GameLog[[#This Row],[Player]],Players[Name],0)),GameLog[[#This Row],[Player]])</f>
        <v>Tyler B</v>
      </c>
    </row>
    <row r="136" spans="1:15" x14ac:dyDescent="0.45">
      <c r="A136" s="6" t="s">
        <v>52</v>
      </c>
      <c r="B136" s="6" t="s">
        <v>53</v>
      </c>
      <c r="C136" s="6">
        <v>4</v>
      </c>
      <c r="D136" s="6">
        <v>2</v>
      </c>
      <c r="E136" s="6">
        <v>1</v>
      </c>
      <c r="F136" s="10">
        <v>45894</v>
      </c>
      <c r="G136" s="6" t="str">
        <f>_xlfn.TEXTJOIN("|",TRUE,GameLog[[#This Row],[Pod]],TEXT(INT(GameLog[[#This Row],[Round]]),"yyyymmdd"),GameLog[[#This Row],[Date]])</f>
        <v>2|19000101|45894</v>
      </c>
      <c r="H136" s="6">
        <f>COUNTIF(GameLog[Pod ID],GameLog[[#This Row],[Pod ID]])</f>
        <v>5</v>
      </c>
      <c r="I136" s="6">
        <f>YEAR(GameLog[[#This Row],[Date]])</f>
        <v>2025</v>
      </c>
      <c r="J136" s="6">
        <f>MONTH(GameLog[[#This Row],[Date]])</f>
        <v>8</v>
      </c>
      <c r="K136" s="6" t="str">
        <f>IF(GameLog[[#This Row],[Date]]=MAX(GameLog[Date]),"Current","Previous")</f>
        <v>Previous</v>
      </c>
      <c r="L136" s="6"/>
      <c r="M1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" s="6" t="str">
        <f ca="1">IF(GameLog[[#This Row],[Check]]="","",COUNTIF(GameLog[[#Headers],[Check]]:GameLog[[#This Row],[Check]],"?*")-1)</f>
        <v/>
      </c>
      <c r="O136" s="6" t="str">
        <f>IFERROR(INDEX(Players[New name],MATCH(GameLog[[#This Row],[Player]],Players[Name],0)),GameLog[[#This Row],[Player]])</f>
        <v>Unknown</v>
      </c>
    </row>
    <row r="137" spans="1:15" x14ac:dyDescent="0.45">
      <c r="A137" s="6" t="s">
        <v>59</v>
      </c>
      <c r="B137" s="6" t="s">
        <v>53</v>
      </c>
      <c r="C137" s="6">
        <v>5</v>
      </c>
      <c r="D137" s="6">
        <v>2</v>
      </c>
      <c r="E137" s="6">
        <v>1</v>
      </c>
      <c r="F137" s="10">
        <v>45894</v>
      </c>
      <c r="G137" s="6" t="str">
        <f>_xlfn.TEXTJOIN("|",TRUE,GameLog[[#This Row],[Pod]],TEXT(INT(GameLog[[#This Row],[Round]]),"yyyymmdd"),GameLog[[#This Row],[Date]])</f>
        <v>2|19000101|45894</v>
      </c>
      <c r="H137" s="6">
        <f>COUNTIF(GameLog[Pod ID],GameLog[[#This Row],[Pod ID]])</f>
        <v>5</v>
      </c>
      <c r="I137" s="6">
        <f>YEAR(GameLog[[#This Row],[Date]])</f>
        <v>2025</v>
      </c>
      <c r="J137" s="6">
        <f>MONTH(GameLog[[#This Row],[Date]])</f>
        <v>8</v>
      </c>
      <c r="K137" s="6" t="str">
        <f>IF(GameLog[[#This Row],[Date]]=MAX(GameLog[Date]),"Current","Previous")</f>
        <v>Previous</v>
      </c>
      <c r="L137" s="6"/>
      <c r="M1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" s="6" t="str">
        <f ca="1">IF(GameLog[[#This Row],[Check]]="","",COUNTIF(GameLog[[#Headers],[Check]]:GameLog[[#This Row],[Check]],"?*")-1)</f>
        <v/>
      </c>
      <c r="O137" s="6" t="str">
        <f>IFERROR(INDEX(Players[New name],MATCH(GameLog[[#This Row],[Player]],Players[Name],0)),GameLog[[#This Row],[Player]])</f>
        <v>Zack B</v>
      </c>
    </row>
    <row r="138" spans="1:15" x14ac:dyDescent="0.45">
      <c r="A138" s="6" t="s">
        <v>49</v>
      </c>
      <c r="B138" s="6" t="s">
        <v>53</v>
      </c>
      <c r="C138" s="6">
        <v>1</v>
      </c>
      <c r="D138" s="6">
        <v>3</v>
      </c>
      <c r="E138" s="6">
        <v>1</v>
      </c>
      <c r="F138" s="10">
        <v>45894</v>
      </c>
      <c r="G138" s="6" t="str">
        <f>_xlfn.TEXTJOIN("|",TRUE,GameLog[[#This Row],[Pod]],TEXT(INT(GameLog[[#This Row],[Round]]),"yyyymmdd"),GameLog[[#This Row],[Date]])</f>
        <v>3|19000101|45894</v>
      </c>
      <c r="H138" s="6">
        <f>COUNTIF(GameLog[Pod ID],GameLog[[#This Row],[Pod ID]])</f>
        <v>5</v>
      </c>
      <c r="I138" s="6">
        <f>YEAR(GameLog[[#This Row],[Date]])</f>
        <v>2025</v>
      </c>
      <c r="J138" s="6">
        <f>MONTH(GameLog[[#This Row],[Date]])</f>
        <v>8</v>
      </c>
      <c r="K138" s="6" t="str">
        <f>IF(GameLog[[#This Row],[Date]]=MAX(GameLog[Date]),"Current","Previous")</f>
        <v>Previous</v>
      </c>
      <c r="L138" s="6"/>
      <c r="M1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" s="6" t="str">
        <f ca="1">IF(GameLog[[#This Row],[Check]]="","",COUNTIF(GameLog[[#Headers],[Check]]:GameLog[[#This Row],[Check]],"?*")-1)</f>
        <v/>
      </c>
      <c r="O138" s="6" t="str">
        <f>IFERROR(INDEX(Players[New name],MATCH(GameLog[[#This Row],[Player]],Players[Name],0)),GameLog[[#This Row],[Player]])</f>
        <v>Brett R</v>
      </c>
    </row>
    <row r="139" spans="1:15" x14ac:dyDescent="0.45">
      <c r="A139" s="6" t="s">
        <v>65</v>
      </c>
      <c r="B139" s="6" t="s">
        <v>53</v>
      </c>
      <c r="C139" s="6">
        <v>2</v>
      </c>
      <c r="D139" s="6">
        <v>3</v>
      </c>
      <c r="E139" s="6">
        <v>1</v>
      </c>
      <c r="F139" s="10">
        <v>45894</v>
      </c>
      <c r="G139" s="6" t="str">
        <f>_xlfn.TEXTJOIN("|",TRUE,GameLog[[#This Row],[Pod]],TEXT(INT(GameLog[[#This Row],[Round]]),"yyyymmdd"),GameLog[[#This Row],[Date]])</f>
        <v>3|19000101|45894</v>
      </c>
      <c r="H139" s="6">
        <f>COUNTIF(GameLog[Pod ID],GameLog[[#This Row],[Pod ID]])</f>
        <v>5</v>
      </c>
      <c r="I139" s="6">
        <f>YEAR(GameLog[[#This Row],[Date]])</f>
        <v>2025</v>
      </c>
      <c r="J139" s="6">
        <f>MONTH(GameLog[[#This Row],[Date]])</f>
        <v>8</v>
      </c>
      <c r="K139" s="6" t="str">
        <f>IF(GameLog[[#This Row],[Date]]=MAX(GameLog[Date]),"Current","Previous")</f>
        <v>Previous</v>
      </c>
      <c r="L139" s="6"/>
      <c r="M1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" s="6" t="str">
        <f ca="1">IF(GameLog[[#This Row],[Check]]="","",COUNTIF(GameLog[[#Headers],[Check]]:GameLog[[#This Row],[Check]],"?*")-1)</f>
        <v/>
      </c>
      <c r="O139" s="6" t="str">
        <f>IFERROR(INDEX(Players[New name],MATCH(GameLog[[#This Row],[Player]],Players[Name],0)),GameLog[[#This Row],[Player]])</f>
        <v>Mitch</v>
      </c>
    </row>
    <row r="140" spans="1:15" x14ac:dyDescent="0.45">
      <c r="A140" s="6" t="s">
        <v>57</v>
      </c>
      <c r="B140" s="6" t="s">
        <v>53</v>
      </c>
      <c r="C140" s="6">
        <v>3</v>
      </c>
      <c r="D140" s="6">
        <v>3</v>
      </c>
      <c r="E140" s="6">
        <v>1</v>
      </c>
      <c r="F140" s="10">
        <v>45894</v>
      </c>
      <c r="G140" s="6" t="str">
        <f>_xlfn.TEXTJOIN("|",TRUE,GameLog[[#This Row],[Pod]],TEXT(INT(GameLog[[#This Row],[Round]]),"yyyymmdd"),GameLog[[#This Row],[Date]])</f>
        <v>3|19000101|45894</v>
      </c>
      <c r="H140" s="6">
        <f>COUNTIF(GameLog[Pod ID],GameLog[[#This Row],[Pod ID]])</f>
        <v>5</v>
      </c>
      <c r="I140" s="6">
        <f>YEAR(GameLog[[#This Row],[Date]])</f>
        <v>2025</v>
      </c>
      <c r="J140" s="6">
        <f>MONTH(GameLog[[#This Row],[Date]])</f>
        <v>8</v>
      </c>
      <c r="K140" s="6" t="str">
        <f>IF(GameLog[[#This Row],[Date]]=MAX(GameLog[Date]),"Current","Previous")</f>
        <v>Previous</v>
      </c>
      <c r="L140" s="6"/>
      <c r="M1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" s="6" t="str">
        <f ca="1">IF(GameLog[[#This Row],[Check]]="","",COUNTIF(GameLog[[#Headers],[Check]]:GameLog[[#This Row],[Check]],"?*")-1)</f>
        <v/>
      </c>
      <c r="O140" s="6" t="str">
        <f>IFERROR(INDEX(Players[New name],MATCH(GameLog[[#This Row],[Player]],Players[Name],0)),GameLog[[#This Row],[Player]])</f>
        <v>AJ W</v>
      </c>
    </row>
    <row r="141" spans="1:15" x14ac:dyDescent="0.45">
      <c r="A141" s="6" t="s">
        <v>73</v>
      </c>
      <c r="B141" s="6" t="s">
        <v>50</v>
      </c>
      <c r="C141" s="6">
        <v>4</v>
      </c>
      <c r="D141" s="6">
        <v>3</v>
      </c>
      <c r="E141" s="6">
        <v>1</v>
      </c>
      <c r="F141" s="10">
        <v>45894</v>
      </c>
      <c r="G141" s="6" t="str">
        <f>_xlfn.TEXTJOIN("|",TRUE,GameLog[[#This Row],[Pod]],TEXT(INT(GameLog[[#This Row],[Round]]),"yyyymmdd"),GameLog[[#This Row],[Date]])</f>
        <v>3|19000101|45894</v>
      </c>
      <c r="H141" s="6">
        <f>COUNTIF(GameLog[Pod ID],GameLog[[#This Row],[Pod ID]])</f>
        <v>5</v>
      </c>
      <c r="I141" s="6">
        <f>YEAR(GameLog[[#This Row],[Date]])</f>
        <v>2025</v>
      </c>
      <c r="J141" s="6">
        <f>MONTH(GameLog[[#This Row],[Date]])</f>
        <v>8</v>
      </c>
      <c r="K141" s="6" t="str">
        <f>IF(GameLog[[#This Row],[Date]]=MAX(GameLog[Date]),"Current","Previous")</f>
        <v>Previous</v>
      </c>
      <c r="L141" s="6"/>
      <c r="M1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" s="6" t="str">
        <f ca="1">IF(GameLog[[#This Row],[Check]]="","",COUNTIF(GameLog[[#Headers],[Check]]:GameLog[[#This Row],[Check]],"?*")-1)</f>
        <v/>
      </c>
      <c r="O141" s="6" t="str">
        <f>IFERROR(INDEX(Players[New name],MATCH(GameLog[[#This Row],[Player]],Players[Name],0)),GameLog[[#This Row],[Player]])</f>
        <v>Brandon B</v>
      </c>
    </row>
    <row r="142" spans="1:15" x14ac:dyDescent="0.45">
      <c r="A142" s="6" t="s">
        <v>74</v>
      </c>
      <c r="B142" s="6" t="s">
        <v>53</v>
      </c>
      <c r="C142" s="6">
        <v>5</v>
      </c>
      <c r="D142" s="6">
        <v>3</v>
      </c>
      <c r="E142" s="6">
        <v>1</v>
      </c>
      <c r="F142" s="10">
        <v>45894</v>
      </c>
      <c r="G142" s="6" t="str">
        <f>_xlfn.TEXTJOIN("|",TRUE,GameLog[[#This Row],[Pod]],TEXT(INT(GameLog[[#This Row],[Round]]),"yyyymmdd"),GameLog[[#This Row],[Date]])</f>
        <v>3|19000101|45894</v>
      </c>
      <c r="H142" s="6">
        <f>COUNTIF(GameLog[Pod ID],GameLog[[#This Row],[Pod ID]])</f>
        <v>5</v>
      </c>
      <c r="I142" s="6">
        <f>YEAR(GameLog[[#This Row],[Date]])</f>
        <v>2025</v>
      </c>
      <c r="J142" s="6">
        <f>MONTH(GameLog[[#This Row],[Date]])</f>
        <v>8</v>
      </c>
      <c r="K142" s="6" t="str">
        <f>IF(GameLog[[#This Row],[Date]]=MAX(GameLog[Date]),"Current","Previous")</f>
        <v>Previous</v>
      </c>
      <c r="L142" s="6"/>
      <c r="M1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" s="6" t="str">
        <f ca="1">IF(GameLog[[#This Row],[Check]]="","",COUNTIF(GameLog[[#Headers],[Check]]:GameLog[[#This Row],[Check]],"?*")-1)</f>
        <v/>
      </c>
      <c r="O142" s="6" t="str">
        <f>IFERROR(INDEX(Players[New name],MATCH(GameLog[[#This Row],[Player]],Players[Name],0)),GameLog[[#This Row],[Player]])</f>
        <v>Jarrod O</v>
      </c>
    </row>
    <row r="143" spans="1:15" x14ac:dyDescent="0.45">
      <c r="A143" s="6" t="s">
        <v>72</v>
      </c>
      <c r="B143" s="6" t="s">
        <v>53</v>
      </c>
      <c r="C143" s="6">
        <v>1</v>
      </c>
      <c r="D143" s="6">
        <v>4</v>
      </c>
      <c r="E143" s="6">
        <v>1</v>
      </c>
      <c r="F143" s="10">
        <v>45894</v>
      </c>
      <c r="G143" s="6" t="str">
        <f>_xlfn.TEXTJOIN("|",TRUE,GameLog[[#This Row],[Pod]],TEXT(INT(GameLog[[#This Row],[Round]]),"yyyymmdd"),GameLog[[#This Row],[Date]])</f>
        <v>4|19000101|45894</v>
      </c>
      <c r="H143" s="6">
        <f>COUNTIF(GameLog[Pod ID],GameLog[[#This Row],[Pod ID]])</f>
        <v>4</v>
      </c>
      <c r="I143" s="6">
        <f>YEAR(GameLog[[#This Row],[Date]])</f>
        <v>2025</v>
      </c>
      <c r="J143" s="6">
        <f>MONTH(GameLog[[#This Row],[Date]])</f>
        <v>8</v>
      </c>
      <c r="K143" s="6" t="str">
        <f>IF(GameLog[[#This Row],[Date]]=MAX(GameLog[Date]),"Current","Previous")</f>
        <v>Previous</v>
      </c>
      <c r="L143" s="6"/>
      <c r="M1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" s="6" t="str">
        <f ca="1">IF(GameLog[[#This Row],[Check]]="","",COUNTIF(GameLog[[#Headers],[Check]]:GameLog[[#This Row],[Check]],"?*")-1)</f>
        <v/>
      </c>
      <c r="O143" s="6" t="str">
        <f>IFERROR(INDEX(Players[New name],MATCH(GameLog[[#This Row],[Player]],Players[Name],0)),GameLog[[#This Row],[Player]])</f>
        <v>Ben H</v>
      </c>
    </row>
    <row r="144" spans="1:15" x14ac:dyDescent="0.45">
      <c r="A144" s="6" t="s">
        <v>63</v>
      </c>
      <c r="B144" s="6" t="s">
        <v>50</v>
      </c>
      <c r="C144" s="6">
        <v>2</v>
      </c>
      <c r="D144" s="6">
        <v>4</v>
      </c>
      <c r="E144" s="6">
        <v>1</v>
      </c>
      <c r="F144" s="10">
        <v>45894</v>
      </c>
      <c r="G144" s="6" t="str">
        <f>_xlfn.TEXTJOIN("|",TRUE,GameLog[[#This Row],[Pod]],TEXT(INT(GameLog[[#This Row],[Round]]),"yyyymmdd"),GameLog[[#This Row],[Date]])</f>
        <v>4|19000101|45894</v>
      </c>
      <c r="H144" s="6">
        <f>COUNTIF(GameLog[Pod ID],GameLog[[#This Row],[Pod ID]])</f>
        <v>4</v>
      </c>
      <c r="I144" s="6">
        <f>YEAR(GameLog[[#This Row],[Date]])</f>
        <v>2025</v>
      </c>
      <c r="J144" s="6">
        <f>MONTH(GameLog[[#This Row],[Date]])</f>
        <v>8</v>
      </c>
      <c r="K144" s="6" t="str">
        <f>IF(GameLog[[#This Row],[Date]]=MAX(GameLog[Date]),"Current","Previous")</f>
        <v>Previous</v>
      </c>
      <c r="L144" s="6"/>
      <c r="M1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" s="6" t="str">
        <f ca="1">IF(GameLog[[#This Row],[Check]]="","",COUNTIF(GameLog[[#Headers],[Check]]:GameLog[[#This Row],[Check]],"?*")-1)</f>
        <v/>
      </c>
      <c r="O144" s="6" t="str">
        <f>IFERROR(INDEX(Players[New name],MATCH(GameLog[[#This Row],[Player]],Players[Name],0)),GameLog[[#This Row],[Player]])</f>
        <v>Jake D</v>
      </c>
    </row>
    <row r="145" spans="1:15" x14ac:dyDescent="0.45">
      <c r="A145" s="6" t="s">
        <v>52</v>
      </c>
      <c r="B145" s="6" t="s">
        <v>53</v>
      </c>
      <c r="C145" s="6">
        <v>3</v>
      </c>
      <c r="D145" s="6">
        <v>4</v>
      </c>
      <c r="E145" s="6">
        <v>1</v>
      </c>
      <c r="F145" s="10">
        <v>45894</v>
      </c>
      <c r="G145" s="6" t="str">
        <f>_xlfn.TEXTJOIN("|",TRUE,GameLog[[#This Row],[Pod]],TEXT(INT(GameLog[[#This Row],[Round]]),"yyyymmdd"),GameLog[[#This Row],[Date]])</f>
        <v>4|19000101|45894</v>
      </c>
      <c r="H145" s="6">
        <f>COUNTIF(GameLog[Pod ID],GameLog[[#This Row],[Pod ID]])</f>
        <v>4</v>
      </c>
      <c r="I145" s="6">
        <f>YEAR(GameLog[[#This Row],[Date]])</f>
        <v>2025</v>
      </c>
      <c r="J145" s="6">
        <f>MONTH(GameLog[[#This Row],[Date]])</f>
        <v>8</v>
      </c>
      <c r="K145" s="6" t="str">
        <f>IF(GameLog[[#This Row],[Date]]=MAX(GameLog[Date]),"Current","Previous")</f>
        <v>Previous</v>
      </c>
      <c r="L145" s="6"/>
      <c r="M1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" s="6" t="str">
        <f ca="1">IF(GameLog[[#This Row],[Check]]="","",COUNTIF(GameLog[[#Headers],[Check]]:GameLog[[#This Row],[Check]],"?*")-1)</f>
        <v/>
      </c>
      <c r="O145" s="6" t="str">
        <f>IFERROR(INDEX(Players[New name],MATCH(GameLog[[#This Row],[Player]],Players[Name],0)),GameLog[[#This Row],[Player]])</f>
        <v>Unknown</v>
      </c>
    </row>
    <row r="146" spans="1:15" x14ac:dyDescent="0.45">
      <c r="A146" s="6" t="s">
        <v>52</v>
      </c>
      <c r="B146" s="6" t="s">
        <v>53</v>
      </c>
      <c r="C146" s="6">
        <v>4</v>
      </c>
      <c r="D146" s="6">
        <v>4</v>
      </c>
      <c r="E146" s="6">
        <v>1</v>
      </c>
      <c r="F146" s="10">
        <v>45894</v>
      </c>
      <c r="G146" s="6" t="str">
        <f>_xlfn.TEXTJOIN("|",TRUE,GameLog[[#This Row],[Pod]],TEXT(INT(GameLog[[#This Row],[Round]]),"yyyymmdd"),GameLog[[#This Row],[Date]])</f>
        <v>4|19000101|45894</v>
      </c>
      <c r="H146" s="6">
        <f>COUNTIF(GameLog[Pod ID],GameLog[[#This Row],[Pod ID]])</f>
        <v>4</v>
      </c>
      <c r="I146" s="6">
        <f>YEAR(GameLog[[#This Row],[Date]])</f>
        <v>2025</v>
      </c>
      <c r="J146" s="6">
        <f>MONTH(GameLog[[#This Row],[Date]])</f>
        <v>8</v>
      </c>
      <c r="K146" s="6" t="str">
        <f>IF(GameLog[[#This Row],[Date]]=MAX(GameLog[Date]),"Current","Previous")</f>
        <v>Previous</v>
      </c>
      <c r="L146" s="6"/>
      <c r="M1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" s="6" t="str">
        <f ca="1">IF(GameLog[[#This Row],[Check]]="","",COUNTIF(GameLog[[#Headers],[Check]]:GameLog[[#This Row],[Check]],"?*")-1)</f>
        <v/>
      </c>
      <c r="O146" s="6" t="str">
        <f>IFERROR(INDEX(Players[New name],MATCH(GameLog[[#This Row],[Player]],Players[Name],0)),GameLog[[#This Row],[Player]])</f>
        <v>Unknown</v>
      </c>
    </row>
    <row r="147" spans="1:15" x14ac:dyDescent="0.45">
      <c r="A147" s="6" t="s">
        <v>55</v>
      </c>
      <c r="B147" s="6" t="s">
        <v>50</v>
      </c>
      <c r="C147" s="6">
        <v>1</v>
      </c>
      <c r="D147" s="6">
        <v>1</v>
      </c>
      <c r="E147" s="6">
        <v>2</v>
      </c>
      <c r="F147" s="10">
        <v>45894</v>
      </c>
      <c r="G147" s="6" t="str">
        <f>_xlfn.TEXTJOIN("|",TRUE,GameLog[[#This Row],[Pod]],TEXT(INT(GameLog[[#This Row],[Round]]),"yyyymmdd"),GameLog[[#This Row],[Date]])</f>
        <v>1|19000102|45894</v>
      </c>
      <c r="H147" s="6">
        <f>COUNTIF(GameLog[Pod ID],GameLog[[#This Row],[Pod ID]])</f>
        <v>4</v>
      </c>
      <c r="I147" s="6">
        <f>YEAR(GameLog[[#This Row],[Date]])</f>
        <v>2025</v>
      </c>
      <c r="J147" s="6">
        <f>MONTH(GameLog[[#This Row],[Date]])</f>
        <v>8</v>
      </c>
      <c r="K147" s="6" t="str">
        <f>IF(GameLog[[#This Row],[Date]]=MAX(GameLog[Date]),"Current","Previous")</f>
        <v>Previous</v>
      </c>
      <c r="L147" s="6"/>
      <c r="M1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" s="6" t="str">
        <f ca="1">IF(GameLog[[#This Row],[Check]]="","",COUNTIF(GameLog[[#Headers],[Check]]:GameLog[[#This Row],[Check]],"?*")-1)</f>
        <v/>
      </c>
      <c r="O147" s="6" t="str">
        <f>IFERROR(INDEX(Players[New name],MATCH(GameLog[[#This Row],[Player]],Players[Name],0)),GameLog[[#This Row],[Player]])</f>
        <v>Bryce C</v>
      </c>
    </row>
    <row r="148" spans="1:15" x14ac:dyDescent="0.45">
      <c r="A148" s="6" t="s">
        <v>73</v>
      </c>
      <c r="B148" s="6" t="s">
        <v>53</v>
      </c>
      <c r="C148" s="6">
        <v>2</v>
      </c>
      <c r="D148" s="6">
        <v>1</v>
      </c>
      <c r="E148" s="6">
        <v>2</v>
      </c>
      <c r="F148" s="10">
        <v>45894</v>
      </c>
      <c r="G148" s="6" t="str">
        <f>_xlfn.TEXTJOIN("|",TRUE,GameLog[[#This Row],[Pod]],TEXT(INT(GameLog[[#This Row],[Round]]),"yyyymmdd"),GameLog[[#This Row],[Date]])</f>
        <v>1|19000102|45894</v>
      </c>
      <c r="H148" s="6">
        <f>COUNTIF(GameLog[Pod ID],GameLog[[#This Row],[Pod ID]])</f>
        <v>4</v>
      </c>
      <c r="I148" s="6">
        <f>YEAR(GameLog[[#This Row],[Date]])</f>
        <v>2025</v>
      </c>
      <c r="J148" s="6">
        <f>MONTH(GameLog[[#This Row],[Date]])</f>
        <v>8</v>
      </c>
      <c r="K148" s="6" t="str">
        <f>IF(GameLog[[#This Row],[Date]]=MAX(GameLog[Date]),"Current","Previous")</f>
        <v>Previous</v>
      </c>
      <c r="L148" s="6"/>
      <c r="M1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" s="6" t="str">
        <f ca="1">IF(GameLog[[#This Row],[Check]]="","",COUNTIF(GameLog[[#Headers],[Check]]:GameLog[[#This Row],[Check]],"?*")-1)</f>
        <v/>
      </c>
      <c r="O148" s="6" t="str">
        <f>IFERROR(INDEX(Players[New name],MATCH(GameLog[[#This Row],[Player]],Players[Name],0)),GameLog[[#This Row],[Player]])</f>
        <v>Brandon B</v>
      </c>
    </row>
    <row r="149" spans="1:15" x14ac:dyDescent="0.45">
      <c r="A149" s="6" t="s">
        <v>63</v>
      </c>
      <c r="B149" s="6" t="s">
        <v>53</v>
      </c>
      <c r="C149" s="6">
        <v>3</v>
      </c>
      <c r="D149" s="6">
        <v>1</v>
      </c>
      <c r="E149" s="6">
        <v>2</v>
      </c>
      <c r="F149" s="10">
        <v>45894</v>
      </c>
      <c r="G149" s="6" t="str">
        <f>_xlfn.TEXTJOIN("|",TRUE,GameLog[[#This Row],[Pod]],TEXT(INT(GameLog[[#This Row],[Round]]),"yyyymmdd"),GameLog[[#This Row],[Date]])</f>
        <v>1|19000102|45894</v>
      </c>
      <c r="H149" s="6">
        <f>COUNTIF(GameLog[Pod ID],GameLog[[#This Row],[Pod ID]])</f>
        <v>4</v>
      </c>
      <c r="I149" s="6">
        <f>YEAR(GameLog[[#This Row],[Date]])</f>
        <v>2025</v>
      </c>
      <c r="J149" s="6">
        <f>MONTH(GameLog[[#This Row],[Date]])</f>
        <v>8</v>
      </c>
      <c r="K149" s="6" t="str">
        <f>IF(GameLog[[#This Row],[Date]]=MAX(GameLog[Date]),"Current","Previous")</f>
        <v>Previous</v>
      </c>
      <c r="L149" s="6"/>
      <c r="M1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" s="6" t="str">
        <f ca="1">IF(GameLog[[#This Row],[Check]]="","",COUNTIF(GameLog[[#Headers],[Check]]:GameLog[[#This Row],[Check]],"?*")-1)</f>
        <v/>
      </c>
      <c r="O149" s="6" t="str">
        <f>IFERROR(INDEX(Players[New name],MATCH(GameLog[[#This Row],[Player]],Players[Name],0)),GameLog[[#This Row],[Player]])</f>
        <v>Jake D</v>
      </c>
    </row>
    <row r="150" spans="1:15" x14ac:dyDescent="0.45">
      <c r="A150" s="6" t="s">
        <v>52</v>
      </c>
      <c r="B150" s="6" t="s">
        <v>53</v>
      </c>
      <c r="C150" s="6">
        <v>4</v>
      </c>
      <c r="D150" s="6">
        <v>1</v>
      </c>
      <c r="E150" s="6">
        <v>2</v>
      </c>
      <c r="F150" s="10">
        <v>45894</v>
      </c>
      <c r="G150" s="6" t="str">
        <f>_xlfn.TEXTJOIN("|",TRUE,GameLog[[#This Row],[Pod]],TEXT(INT(GameLog[[#This Row],[Round]]),"yyyymmdd"),GameLog[[#This Row],[Date]])</f>
        <v>1|19000102|45894</v>
      </c>
      <c r="H150" s="6">
        <f>COUNTIF(GameLog[Pod ID],GameLog[[#This Row],[Pod ID]])</f>
        <v>4</v>
      </c>
      <c r="I150" s="6">
        <f>YEAR(GameLog[[#This Row],[Date]])</f>
        <v>2025</v>
      </c>
      <c r="J150" s="6">
        <f>MONTH(GameLog[[#This Row],[Date]])</f>
        <v>8</v>
      </c>
      <c r="K150" s="6" t="str">
        <f>IF(GameLog[[#This Row],[Date]]=MAX(GameLog[Date]),"Current","Previous")</f>
        <v>Previous</v>
      </c>
      <c r="L150" s="6"/>
      <c r="M1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" s="6" t="str">
        <f ca="1">IF(GameLog[[#This Row],[Check]]="","",COUNTIF(GameLog[[#Headers],[Check]]:GameLog[[#This Row],[Check]],"?*")-1)</f>
        <v/>
      </c>
      <c r="O150" s="6" t="str">
        <f>IFERROR(INDEX(Players[New name],MATCH(GameLog[[#This Row],[Player]],Players[Name],0)),GameLog[[#This Row],[Player]])</f>
        <v>Unknown</v>
      </c>
    </row>
    <row r="151" spans="1:15" x14ac:dyDescent="0.45">
      <c r="A151" s="6" t="s">
        <v>52</v>
      </c>
      <c r="B151" s="6" t="s">
        <v>53</v>
      </c>
      <c r="C151" s="6">
        <v>1</v>
      </c>
      <c r="D151" s="6">
        <v>2</v>
      </c>
      <c r="E151" s="6">
        <v>2</v>
      </c>
      <c r="F151" s="10">
        <v>45894</v>
      </c>
      <c r="G151" s="6" t="str">
        <f>_xlfn.TEXTJOIN("|",TRUE,GameLog[[#This Row],[Pod]],TEXT(INT(GameLog[[#This Row],[Round]]),"yyyymmdd"),GameLog[[#This Row],[Date]])</f>
        <v>2|19000102|45894</v>
      </c>
      <c r="H151" s="6">
        <f>COUNTIF(GameLog[Pod ID],GameLog[[#This Row],[Pod ID]])</f>
        <v>4</v>
      </c>
      <c r="I151" s="6">
        <f>YEAR(GameLog[[#This Row],[Date]])</f>
        <v>2025</v>
      </c>
      <c r="J151" s="6">
        <f>MONTH(GameLog[[#This Row],[Date]])</f>
        <v>8</v>
      </c>
      <c r="K151" s="6" t="str">
        <f>IF(GameLog[[#This Row],[Date]]=MAX(GameLog[Date]),"Current","Previous")</f>
        <v>Previous</v>
      </c>
      <c r="L151" s="6"/>
      <c r="M1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" s="6" t="str">
        <f ca="1">IF(GameLog[[#This Row],[Check]]="","",COUNTIF(GameLog[[#Headers],[Check]]:GameLog[[#This Row],[Check]],"?*")-1)</f>
        <v/>
      </c>
      <c r="O151" s="6" t="str">
        <f>IFERROR(INDEX(Players[New name],MATCH(GameLog[[#This Row],[Player]],Players[Name],0)),GameLog[[#This Row],[Player]])</f>
        <v>Unknown</v>
      </c>
    </row>
    <row r="152" spans="1:15" x14ac:dyDescent="0.45">
      <c r="A152" s="6" t="s">
        <v>68</v>
      </c>
      <c r="B152" s="6" t="s">
        <v>50</v>
      </c>
      <c r="C152" s="6">
        <v>2</v>
      </c>
      <c r="D152" s="6">
        <v>2</v>
      </c>
      <c r="E152" s="6">
        <v>2</v>
      </c>
      <c r="F152" s="10">
        <v>45894</v>
      </c>
      <c r="G152" s="6" t="str">
        <f>_xlfn.TEXTJOIN("|",TRUE,GameLog[[#This Row],[Pod]],TEXT(INT(GameLog[[#This Row],[Round]]),"yyyymmdd"),GameLog[[#This Row],[Date]])</f>
        <v>2|19000102|45894</v>
      </c>
      <c r="H152" s="6">
        <f>COUNTIF(GameLog[Pod ID],GameLog[[#This Row],[Pod ID]])</f>
        <v>4</v>
      </c>
      <c r="I152" s="6">
        <f>YEAR(GameLog[[#This Row],[Date]])</f>
        <v>2025</v>
      </c>
      <c r="J152" s="6">
        <f>MONTH(GameLog[[#This Row],[Date]])</f>
        <v>8</v>
      </c>
      <c r="K152" s="6" t="str">
        <f>IF(GameLog[[#This Row],[Date]]=MAX(GameLog[Date]),"Current","Previous")</f>
        <v>Previous</v>
      </c>
      <c r="L152" s="6"/>
      <c r="M1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" s="6" t="str">
        <f ca="1">IF(GameLog[[#This Row],[Check]]="","",COUNTIF(GameLog[[#Headers],[Check]]:GameLog[[#This Row],[Check]],"?*")-1)</f>
        <v/>
      </c>
      <c r="O152" s="6" t="str">
        <f>IFERROR(INDEX(Players[New name],MATCH(GameLog[[#This Row],[Player]],Players[Name],0)),GameLog[[#This Row],[Player]])</f>
        <v>Edwin M</v>
      </c>
    </row>
    <row r="153" spans="1:15" x14ac:dyDescent="0.45">
      <c r="A153" s="6" t="s">
        <v>49</v>
      </c>
      <c r="B153" s="6" t="s">
        <v>53</v>
      </c>
      <c r="C153" s="6">
        <v>3</v>
      </c>
      <c r="D153" s="6">
        <v>2</v>
      </c>
      <c r="E153" s="6">
        <v>2</v>
      </c>
      <c r="F153" s="10">
        <v>45894</v>
      </c>
      <c r="G153" s="6" t="str">
        <f>_xlfn.TEXTJOIN("|",TRUE,GameLog[[#This Row],[Pod]],TEXT(INT(GameLog[[#This Row],[Round]]),"yyyymmdd"),GameLog[[#This Row],[Date]])</f>
        <v>2|19000102|45894</v>
      </c>
      <c r="H153" s="6">
        <f>COUNTIF(GameLog[Pod ID],GameLog[[#This Row],[Pod ID]])</f>
        <v>4</v>
      </c>
      <c r="I153" s="6">
        <f>YEAR(GameLog[[#This Row],[Date]])</f>
        <v>2025</v>
      </c>
      <c r="J153" s="6">
        <f>MONTH(GameLog[[#This Row],[Date]])</f>
        <v>8</v>
      </c>
      <c r="K153" s="6" t="str">
        <f>IF(GameLog[[#This Row],[Date]]=MAX(GameLog[Date]),"Current","Previous")</f>
        <v>Previous</v>
      </c>
      <c r="L153" s="6"/>
      <c r="M1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" s="6" t="str">
        <f ca="1">IF(GameLog[[#This Row],[Check]]="","",COUNTIF(GameLog[[#Headers],[Check]]:GameLog[[#This Row],[Check]],"?*")-1)</f>
        <v/>
      </c>
      <c r="O153" s="6" t="str">
        <f>IFERROR(INDEX(Players[New name],MATCH(GameLog[[#This Row],[Player]],Players[Name],0)),GameLog[[#This Row],[Player]])</f>
        <v>Brett R</v>
      </c>
    </row>
    <row r="154" spans="1:15" x14ac:dyDescent="0.45">
      <c r="A154" s="6" t="s">
        <v>52</v>
      </c>
      <c r="B154" s="6" t="s">
        <v>53</v>
      </c>
      <c r="C154" s="6">
        <v>4</v>
      </c>
      <c r="D154" s="6">
        <v>2</v>
      </c>
      <c r="E154" s="6">
        <v>2</v>
      </c>
      <c r="F154" s="10">
        <v>45894</v>
      </c>
      <c r="G154" s="6" t="str">
        <f>_xlfn.TEXTJOIN("|",TRUE,GameLog[[#This Row],[Pod]],TEXT(INT(GameLog[[#This Row],[Round]]),"yyyymmdd"),GameLog[[#This Row],[Date]])</f>
        <v>2|19000102|45894</v>
      </c>
      <c r="H154" s="6">
        <f>COUNTIF(GameLog[Pod ID],GameLog[[#This Row],[Pod ID]])</f>
        <v>4</v>
      </c>
      <c r="I154" s="6">
        <f>YEAR(GameLog[[#This Row],[Date]])</f>
        <v>2025</v>
      </c>
      <c r="J154" s="6">
        <f>MONTH(GameLog[[#This Row],[Date]])</f>
        <v>8</v>
      </c>
      <c r="K154" s="6" t="str">
        <f>IF(GameLog[[#This Row],[Date]]=MAX(GameLog[Date]),"Current","Previous")</f>
        <v>Previous</v>
      </c>
      <c r="L154" s="6"/>
      <c r="M1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" s="6" t="str">
        <f ca="1">IF(GameLog[[#This Row],[Check]]="","",COUNTIF(GameLog[[#Headers],[Check]]:GameLog[[#This Row],[Check]],"?*")-1)</f>
        <v/>
      </c>
      <c r="O154" s="6" t="str">
        <f>IFERROR(INDEX(Players[New name],MATCH(GameLog[[#This Row],[Player]],Players[Name],0)),GameLog[[#This Row],[Player]])</f>
        <v>Unknown</v>
      </c>
    </row>
    <row r="155" spans="1:15" x14ac:dyDescent="0.45">
      <c r="A155" s="6" t="s">
        <v>52</v>
      </c>
      <c r="B155" s="6" t="s">
        <v>53</v>
      </c>
      <c r="C155" s="6">
        <v>1</v>
      </c>
      <c r="D155" s="6">
        <v>3</v>
      </c>
      <c r="E155" s="6">
        <v>2</v>
      </c>
      <c r="F155" s="10">
        <v>45894</v>
      </c>
      <c r="G155" s="6" t="str">
        <f>_xlfn.TEXTJOIN("|",TRUE,GameLog[[#This Row],[Pod]],TEXT(INT(GameLog[[#This Row],[Round]]),"yyyymmdd"),GameLog[[#This Row],[Date]])</f>
        <v>3|19000102|45894</v>
      </c>
      <c r="H155" s="6">
        <f>COUNTIF(GameLog[Pod ID],GameLog[[#This Row],[Pod ID]])</f>
        <v>4</v>
      </c>
      <c r="I155" s="6">
        <f>YEAR(GameLog[[#This Row],[Date]])</f>
        <v>2025</v>
      </c>
      <c r="J155" s="6">
        <f>MONTH(GameLog[[#This Row],[Date]])</f>
        <v>8</v>
      </c>
      <c r="K155" s="6" t="str">
        <f>IF(GameLog[[#This Row],[Date]]=MAX(GameLog[Date]),"Current","Previous")</f>
        <v>Previous</v>
      </c>
      <c r="L155" s="6"/>
      <c r="M1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" s="6" t="str">
        <f ca="1">IF(GameLog[[#This Row],[Check]]="","",COUNTIF(GameLog[[#Headers],[Check]]:GameLog[[#This Row],[Check]],"?*")-1)</f>
        <v/>
      </c>
      <c r="O155" s="6" t="str">
        <f>IFERROR(INDEX(Players[New name],MATCH(GameLog[[#This Row],[Player]],Players[Name],0)),GameLog[[#This Row],[Player]])</f>
        <v>Unknown</v>
      </c>
    </row>
    <row r="156" spans="1:15" x14ac:dyDescent="0.45">
      <c r="A156" s="6" t="s">
        <v>64</v>
      </c>
      <c r="B156" s="6" t="s">
        <v>53</v>
      </c>
      <c r="C156" s="6">
        <v>2</v>
      </c>
      <c r="D156" s="6">
        <v>3</v>
      </c>
      <c r="E156" s="6">
        <v>2</v>
      </c>
      <c r="F156" s="10">
        <v>45894</v>
      </c>
      <c r="G156" s="6" t="str">
        <f>_xlfn.TEXTJOIN("|",TRUE,GameLog[[#This Row],[Pod]],TEXT(INT(GameLog[[#This Row],[Round]]),"yyyymmdd"),GameLog[[#This Row],[Date]])</f>
        <v>3|19000102|45894</v>
      </c>
      <c r="H156" s="6">
        <f>COUNTIF(GameLog[Pod ID],GameLog[[#This Row],[Pod ID]])</f>
        <v>4</v>
      </c>
      <c r="I156" s="6">
        <f>YEAR(GameLog[[#This Row],[Date]])</f>
        <v>2025</v>
      </c>
      <c r="J156" s="6">
        <f>MONTH(GameLog[[#This Row],[Date]])</f>
        <v>8</v>
      </c>
      <c r="K156" s="6" t="str">
        <f>IF(GameLog[[#This Row],[Date]]=MAX(GameLog[Date]),"Current","Previous")</f>
        <v>Previous</v>
      </c>
      <c r="L156" s="6"/>
      <c r="M1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" s="6" t="str">
        <f ca="1">IF(GameLog[[#This Row],[Check]]="","",COUNTIF(GameLog[[#Headers],[Check]]:GameLog[[#This Row],[Check]],"?*")-1)</f>
        <v/>
      </c>
      <c r="O156" s="6" t="str">
        <f>IFERROR(INDEX(Players[New name],MATCH(GameLog[[#This Row],[Player]],Players[Name],0)),GameLog[[#This Row],[Player]])</f>
        <v>Tyler B</v>
      </c>
    </row>
    <row r="157" spans="1:15" x14ac:dyDescent="0.45">
      <c r="A157" s="6" t="s">
        <v>60</v>
      </c>
      <c r="B157" s="6" t="s">
        <v>53</v>
      </c>
      <c r="C157" s="6">
        <v>3</v>
      </c>
      <c r="D157" s="6">
        <v>3</v>
      </c>
      <c r="E157" s="6">
        <v>2</v>
      </c>
      <c r="F157" s="10">
        <v>45894</v>
      </c>
      <c r="G157" s="6" t="str">
        <f>_xlfn.TEXTJOIN("|",TRUE,GameLog[[#This Row],[Pod]],TEXT(INT(GameLog[[#This Row],[Round]]),"yyyymmdd"),GameLog[[#This Row],[Date]])</f>
        <v>3|19000102|45894</v>
      </c>
      <c r="H157" s="6">
        <f>COUNTIF(GameLog[Pod ID],GameLog[[#This Row],[Pod ID]])</f>
        <v>4</v>
      </c>
      <c r="I157" s="6">
        <f>YEAR(GameLog[[#This Row],[Date]])</f>
        <v>2025</v>
      </c>
      <c r="J157" s="6">
        <f>MONTH(GameLog[[#This Row],[Date]])</f>
        <v>8</v>
      </c>
      <c r="K157" s="6" t="str">
        <f>IF(GameLog[[#This Row],[Date]]=MAX(GameLog[Date]),"Current","Previous")</f>
        <v>Previous</v>
      </c>
      <c r="L157" s="6"/>
      <c r="M1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" s="6" t="str">
        <f ca="1">IF(GameLog[[#This Row],[Check]]="","",COUNTIF(GameLog[[#Headers],[Check]]:GameLog[[#This Row],[Check]],"?*")-1)</f>
        <v/>
      </c>
      <c r="O157" s="6" t="str">
        <f>IFERROR(INDEX(Players[New name],MATCH(GameLog[[#This Row],[Player]],Players[Name],0)),GameLog[[#This Row],[Player]])</f>
        <v>Brendan H</v>
      </c>
    </row>
    <row r="158" spans="1:15" x14ac:dyDescent="0.45">
      <c r="A158" s="6" t="s">
        <v>65</v>
      </c>
      <c r="B158" s="6" t="s">
        <v>50</v>
      </c>
      <c r="C158" s="6">
        <v>4</v>
      </c>
      <c r="D158" s="6">
        <v>3</v>
      </c>
      <c r="E158" s="6">
        <v>2</v>
      </c>
      <c r="F158" s="10">
        <v>45894</v>
      </c>
      <c r="G158" s="6" t="str">
        <f>_xlfn.TEXTJOIN("|",TRUE,GameLog[[#This Row],[Pod]],TEXT(INT(GameLog[[#This Row],[Round]]),"yyyymmdd"),GameLog[[#This Row],[Date]])</f>
        <v>3|19000102|45894</v>
      </c>
      <c r="H158" s="6">
        <f>COUNTIF(GameLog[Pod ID],GameLog[[#This Row],[Pod ID]])</f>
        <v>4</v>
      </c>
      <c r="I158" s="6">
        <f>YEAR(GameLog[[#This Row],[Date]])</f>
        <v>2025</v>
      </c>
      <c r="J158" s="6">
        <f>MONTH(GameLog[[#This Row],[Date]])</f>
        <v>8</v>
      </c>
      <c r="K158" s="6" t="str">
        <f>IF(GameLog[[#This Row],[Date]]=MAX(GameLog[Date]),"Current","Previous")</f>
        <v>Previous</v>
      </c>
      <c r="L158" s="6"/>
      <c r="M1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" s="6" t="str">
        <f ca="1">IF(GameLog[[#This Row],[Check]]="","",COUNTIF(GameLog[[#Headers],[Check]]:GameLog[[#This Row],[Check]],"?*")-1)</f>
        <v/>
      </c>
      <c r="O158" s="6" t="str">
        <f>IFERROR(INDEX(Players[New name],MATCH(GameLog[[#This Row],[Player]],Players[Name],0)),GameLog[[#This Row],[Player]])</f>
        <v>Mitch</v>
      </c>
    </row>
    <row r="159" spans="1:15" x14ac:dyDescent="0.45">
      <c r="A159" s="6" t="s">
        <v>74</v>
      </c>
      <c r="B159" s="6" t="s">
        <v>53</v>
      </c>
      <c r="C159" s="6">
        <v>1</v>
      </c>
      <c r="D159" s="6">
        <v>4</v>
      </c>
      <c r="E159" s="6">
        <v>2</v>
      </c>
      <c r="F159" s="10">
        <v>45894</v>
      </c>
      <c r="G159" s="6" t="str">
        <f>_xlfn.TEXTJOIN("|",TRUE,GameLog[[#This Row],[Pod]],TEXT(INT(GameLog[[#This Row],[Round]]),"yyyymmdd"),GameLog[[#This Row],[Date]])</f>
        <v>4|19000102|45894</v>
      </c>
      <c r="H159" s="6">
        <f>COUNTIF(GameLog[Pod ID],GameLog[[#This Row],[Pod ID]])</f>
        <v>4</v>
      </c>
      <c r="I159" s="6">
        <f>YEAR(GameLog[[#This Row],[Date]])</f>
        <v>2025</v>
      </c>
      <c r="J159" s="6">
        <f>MONTH(GameLog[[#This Row],[Date]])</f>
        <v>8</v>
      </c>
      <c r="K159" s="6" t="str">
        <f>IF(GameLog[[#This Row],[Date]]=MAX(GameLog[Date]),"Current","Previous")</f>
        <v>Previous</v>
      </c>
      <c r="L159" s="6"/>
      <c r="M1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" s="6" t="str">
        <f ca="1">IF(GameLog[[#This Row],[Check]]="","",COUNTIF(GameLog[[#Headers],[Check]]:GameLog[[#This Row],[Check]],"?*")-1)</f>
        <v/>
      </c>
      <c r="O159" s="6" t="str">
        <f>IFERROR(INDEX(Players[New name],MATCH(GameLog[[#This Row],[Player]],Players[Name],0)),GameLog[[#This Row],[Player]])</f>
        <v>Jarrod O</v>
      </c>
    </row>
    <row r="160" spans="1:15" x14ac:dyDescent="0.45">
      <c r="A160" s="6" t="s">
        <v>72</v>
      </c>
      <c r="B160" s="6" t="s">
        <v>53</v>
      </c>
      <c r="C160" s="6">
        <v>2</v>
      </c>
      <c r="D160" s="6">
        <v>4</v>
      </c>
      <c r="E160" s="6">
        <v>2</v>
      </c>
      <c r="F160" s="10">
        <v>45894</v>
      </c>
      <c r="G160" s="6" t="str">
        <f>_xlfn.TEXTJOIN("|",TRUE,GameLog[[#This Row],[Pod]],TEXT(INT(GameLog[[#This Row],[Round]]),"yyyymmdd"),GameLog[[#This Row],[Date]])</f>
        <v>4|19000102|45894</v>
      </c>
      <c r="H160" s="6">
        <f>COUNTIF(GameLog[Pod ID],GameLog[[#This Row],[Pod ID]])</f>
        <v>4</v>
      </c>
      <c r="I160" s="6">
        <f>YEAR(GameLog[[#This Row],[Date]])</f>
        <v>2025</v>
      </c>
      <c r="J160" s="6">
        <f>MONTH(GameLog[[#This Row],[Date]])</f>
        <v>8</v>
      </c>
      <c r="K160" s="6" t="str">
        <f>IF(GameLog[[#This Row],[Date]]=MAX(GameLog[Date]),"Current","Previous")</f>
        <v>Previous</v>
      </c>
      <c r="L160" s="6"/>
      <c r="M1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" s="6" t="str">
        <f ca="1">IF(GameLog[[#This Row],[Check]]="","",COUNTIF(GameLog[[#Headers],[Check]]:GameLog[[#This Row],[Check]],"?*")-1)</f>
        <v/>
      </c>
      <c r="O160" s="6" t="str">
        <f>IFERROR(INDEX(Players[New name],MATCH(GameLog[[#This Row],[Player]],Players[Name],0)),GameLog[[#This Row],[Player]])</f>
        <v>Ben H</v>
      </c>
    </row>
    <row r="161" spans="1:15" x14ac:dyDescent="0.45">
      <c r="A161" s="6" t="s">
        <v>71</v>
      </c>
      <c r="B161" s="6" t="s">
        <v>50</v>
      </c>
      <c r="C161" s="6">
        <v>3</v>
      </c>
      <c r="D161" s="6">
        <v>4</v>
      </c>
      <c r="E161" s="6">
        <v>2</v>
      </c>
      <c r="F161" s="10">
        <v>45894</v>
      </c>
      <c r="G161" s="6" t="str">
        <f>_xlfn.TEXTJOIN("|",TRUE,GameLog[[#This Row],[Pod]],TEXT(INT(GameLog[[#This Row],[Round]]),"yyyymmdd"),GameLog[[#This Row],[Date]])</f>
        <v>4|19000102|45894</v>
      </c>
      <c r="H161" s="6">
        <f>COUNTIF(GameLog[Pod ID],GameLog[[#This Row],[Pod ID]])</f>
        <v>4</v>
      </c>
      <c r="I161" s="6">
        <f>YEAR(GameLog[[#This Row],[Date]])</f>
        <v>2025</v>
      </c>
      <c r="J161" s="6">
        <f>MONTH(GameLog[[#This Row],[Date]])</f>
        <v>8</v>
      </c>
      <c r="K161" s="6" t="str">
        <f>IF(GameLog[[#This Row],[Date]]=MAX(GameLog[Date]),"Current","Previous")</f>
        <v>Previous</v>
      </c>
      <c r="L161" s="6"/>
      <c r="M1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" s="6" t="str">
        <f ca="1">IF(GameLog[[#This Row],[Check]]="","",COUNTIF(GameLog[[#Headers],[Check]]:GameLog[[#This Row],[Check]],"?*")-1)</f>
        <v/>
      </c>
      <c r="O161" s="6" t="str">
        <f>IFERROR(INDEX(Players[New name],MATCH(GameLog[[#This Row],[Player]],Players[Name],0)),GameLog[[#This Row],[Player]])</f>
        <v>Rodney Y</v>
      </c>
    </row>
    <row r="162" spans="1:15" x14ac:dyDescent="0.45">
      <c r="A162" s="6" t="s">
        <v>56</v>
      </c>
      <c r="B162" s="6" t="s">
        <v>53</v>
      </c>
      <c r="C162" s="6">
        <v>4</v>
      </c>
      <c r="D162" s="6">
        <v>4</v>
      </c>
      <c r="E162" s="6">
        <v>2</v>
      </c>
      <c r="F162" s="10">
        <v>45894</v>
      </c>
      <c r="G162" s="6" t="str">
        <f>_xlfn.TEXTJOIN("|",TRUE,GameLog[[#This Row],[Pod]],TEXT(INT(GameLog[[#This Row],[Round]]),"yyyymmdd"),GameLog[[#This Row],[Date]])</f>
        <v>4|19000102|45894</v>
      </c>
      <c r="H162" s="6">
        <f>COUNTIF(GameLog[Pod ID],GameLog[[#This Row],[Pod ID]])</f>
        <v>4</v>
      </c>
      <c r="I162" s="6">
        <f>YEAR(GameLog[[#This Row],[Date]])</f>
        <v>2025</v>
      </c>
      <c r="J162" s="6">
        <f>MONTH(GameLog[[#This Row],[Date]])</f>
        <v>8</v>
      </c>
      <c r="K162" s="6" t="str">
        <f>IF(GameLog[[#This Row],[Date]]=MAX(GameLog[Date]),"Current","Previous")</f>
        <v>Previous</v>
      </c>
      <c r="L162" s="6"/>
      <c r="M1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" s="6" t="str">
        <f ca="1">IF(GameLog[[#This Row],[Check]]="","",COUNTIF(GameLog[[#Headers],[Check]]:GameLog[[#This Row],[Check]],"?*")-1)</f>
        <v/>
      </c>
      <c r="O162" s="6" t="str">
        <f>IFERROR(INDEX(Players[New name],MATCH(GameLog[[#This Row],[Player]],Players[Name],0)),GameLog[[#This Row],[Player]])</f>
        <v>Mark D</v>
      </c>
    </row>
    <row r="163" spans="1:15" x14ac:dyDescent="0.45">
      <c r="A163" s="6" t="s">
        <v>59</v>
      </c>
      <c r="B163" s="6" t="s">
        <v>53</v>
      </c>
      <c r="C163" s="6">
        <v>1</v>
      </c>
      <c r="D163" s="6">
        <v>5</v>
      </c>
      <c r="E163" s="6">
        <v>2</v>
      </c>
      <c r="F163" s="10">
        <v>45894</v>
      </c>
      <c r="G163" s="6" t="str">
        <f>_xlfn.TEXTJOIN("|",TRUE,GameLog[[#This Row],[Pod]],TEXT(INT(GameLog[[#This Row],[Round]]),"yyyymmdd"),GameLog[[#This Row],[Date]])</f>
        <v>5|19000102|45894</v>
      </c>
      <c r="H163" s="6">
        <f>COUNTIF(GameLog[Pod ID],GameLog[[#This Row],[Pod ID]])</f>
        <v>3</v>
      </c>
      <c r="I163" s="6">
        <f>YEAR(GameLog[[#This Row],[Date]])</f>
        <v>2025</v>
      </c>
      <c r="J163" s="6">
        <f>MONTH(GameLog[[#This Row],[Date]])</f>
        <v>8</v>
      </c>
      <c r="K163" s="6" t="str">
        <f>IF(GameLog[[#This Row],[Date]]=MAX(GameLog[Date]),"Current","Previous")</f>
        <v>Previous</v>
      </c>
      <c r="L163" s="6"/>
      <c r="M1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" s="6" t="str">
        <f ca="1">IF(GameLog[[#This Row],[Check]]="","",COUNTIF(GameLog[[#Headers],[Check]]:GameLog[[#This Row],[Check]],"?*")-1)</f>
        <v/>
      </c>
      <c r="O163" s="6" t="str">
        <f>IFERROR(INDEX(Players[New name],MATCH(GameLog[[#This Row],[Player]],Players[Name],0)),GameLog[[#This Row],[Player]])</f>
        <v>Zack B</v>
      </c>
    </row>
    <row r="164" spans="1:15" x14ac:dyDescent="0.45">
      <c r="A164" s="6" t="s">
        <v>57</v>
      </c>
      <c r="B164" s="6" t="s">
        <v>50</v>
      </c>
      <c r="C164" s="6">
        <v>2</v>
      </c>
      <c r="D164" s="6">
        <v>5</v>
      </c>
      <c r="E164" s="6">
        <v>2</v>
      </c>
      <c r="F164" s="10">
        <v>45894</v>
      </c>
      <c r="G164" s="6" t="str">
        <f>_xlfn.TEXTJOIN("|",TRUE,GameLog[[#This Row],[Pod]],TEXT(INT(GameLog[[#This Row],[Round]]),"yyyymmdd"),GameLog[[#This Row],[Date]])</f>
        <v>5|19000102|45894</v>
      </c>
      <c r="H164" s="6">
        <f>COUNTIF(GameLog[Pod ID],GameLog[[#This Row],[Pod ID]])</f>
        <v>3</v>
      </c>
      <c r="I164" s="6">
        <f>YEAR(GameLog[[#This Row],[Date]])</f>
        <v>2025</v>
      </c>
      <c r="J164" s="6">
        <f>MONTH(GameLog[[#This Row],[Date]])</f>
        <v>8</v>
      </c>
      <c r="K164" s="6" t="str">
        <f>IF(GameLog[[#This Row],[Date]]=MAX(GameLog[Date]),"Current","Previous")</f>
        <v>Previous</v>
      </c>
      <c r="L164" s="6"/>
      <c r="M1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" s="6" t="str">
        <f ca="1">IF(GameLog[[#This Row],[Check]]="","",COUNTIF(GameLog[[#Headers],[Check]]:GameLog[[#This Row],[Check]],"?*")-1)</f>
        <v/>
      </c>
      <c r="O164" s="6" t="str">
        <f>IFERROR(INDEX(Players[New name],MATCH(GameLog[[#This Row],[Player]],Players[Name],0)),GameLog[[#This Row],[Player]])</f>
        <v>AJ W</v>
      </c>
    </row>
    <row r="165" spans="1:15" x14ac:dyDescent="0.45">
      <c r="A165" s="6" t="s">
        <v>58</v>
      </c>
      <c r="B165" s="6" t="s">
        <v>53</v>
      </c>
      <c r="C165" s="6">
        <v>3</v>
      </c>
      <c r="D165" s="6">
        <v>5</v>
      </c>
      <c r="E165" s="6">
        <v>2</v>
      </c>
      <c r="F165" s="10">
        <v>45894</v>
      </c>
      <c r="G165" s="6" t="str">
        <f>_xlfn.TEXTJOIN("|",TRUE,GameLog[[#This Row],[Pod]],TEXT(INT(GameLog[[#This Row],[Round]]),"yyyymmdd"),GameLog[[#This Row],[Date]])</f>
        <v>5|19000102|45894</v>
      </c>
      <c r="H165" s="6">
        <f>COUNTIF(GameLog[Pod ID],GameLog[[#This Row],[Pod ID]])</f>
        <v>3</v>
      </c>
      <c r="I165" s="6">
        <f>YEAR(GameLog[[#This Row],[Date]])</f>
        <v>2025</v>
      </c>
      <c r="J165" s="6">
        <f>MONTH(GameLog[[#This Row],[Date]])</f>
        <v>8</v>
      </c>
      <c r="K165" s="6" t="str">
        <f>IF(GameLog[[#This Row],[Date]]=MAX(GameLog[Date]),"Current","Previous")</f>
        <v>Previous</v>
      </c>
      <c r="L165" s="6"/>
      <c r="M1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" s="6" t="str">
        <f ca="1">IF(GameLog[[#This Row],[Check]]="","",COUNTIF(GameLog[[#Headers],[Check]]:GameLog[[#This Row],[Check]],"?*")-1)</f>
        <v/>
      </c>
      <c r="O165" s="6" t="str">
        <f>IFERROR(INDEX(Players[New name],MATCH(GameLog[[#This Row],[Player]],Players[Name],0)),GameLog[[#This Row],[Player]])</f>
        <v>Dakota P</v>
      </c>
    </row>
    <row r="166" spans="1:15" x14ac:dyDescent="0.45">
      <c r="A166" s="6" t="s">
        <v>63</v>
      </c>
      <c r="B166" s="6" t="s">
        <v>50</v>
      </c>
      <c r="C166" s="6">
        <v>1</v>
      </c>
      <c r="D166" s="6">
        <v>1</v>
      </c>
      <c r="E166" s="6">
        <v>1</v>
      </c>
      <c r="F166" s="10">
        <v>45908</v>
      </c>
      <c r="G166" s="6" t="str">
        <f>_xlfn.TEXTJOIN("|",TRUE,GameLog[[#This Row],[Pod]],TEXT(INT(GameLog[[#This Row],[Round]]),"yyyymmdd"),GameLog[[#This Row],[Date]])</f>
        <v>1|19000101|45908</v>
      </c>
      <c r="H166" s="6">
        <f>COUNTIF(GameLog[Pod ID],GameLog[[#This Row],[Pod ID]])</f>
        <v>4</v>
      </c>
      <c r="I166" s="6">
        <f>YEAR(GameLog[[#This Row],[Date]])</f>
        <v>2025</v>
      </c>
      <c r="J166" s="6">
        <f>MONTH(GameLog[[#This Row],[Date]])</f>
        <v>9</v>
      </c>
      <c r="K166" s="6" t="str">
        <f>IF(GameLog[[#This Row],[Date]]=MAX(GameLog[Date]),"Current","Previous")</f>
        <v>Previous</v>
      </c>
      <c r="L166" s="6"/>
      <c r="M1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" s="6" t="str">
        <f ca="1">IF(GameLog[[#This Row],[Check]]="","",COUNTIF(GameLog[[#Headers],[Check]]:GameLog[[#This Row],[Check]],"?*")-1)</f>
        <v/>
      </c>
      <c r="O166" s="6" t="str">
        <f>IFERROR(INDEX(Players[New name],MATCH(GameLog[[#This Row],[Player]],Players[Name],0)),GameLog[[#This Row],[Player]])</f>
        <v>Jake D</v>
      </c>
    </row>
    <row r="167" spans="1:15" x14ac:dyDescent="0.45">
      <c r="A167" s="6" t="s">
        <v>60</v>
      </c>
      <c r="B167" s="6" t="s">
        <v>53</v>
      </c>
      <c r="C167" s="6">
        <v>2</v>
      </c>
      <c r="D167" s="6">
        <v>1</v>
      </c>
      <c r="E167" s="6">
        <v>1</v>
      </c>
      <c r="F167" s="10">
        <v>45908</v>
      </c>
      <c r="G167" s="6" t="str">
        <f>_xlfn.TEXTJOIN("|",TRUE,GameLog[[#This Row],[Pod]],TEXT(INT(GameLog[[#This Row],[Round]]),"yyyymmdd"),GameLog[[#This Row],[Date]])</f>
        <v>1|19000101|45908</v>
      </c>
      <c r="H167" s="6">
        <f>COUNTIF(GameLog[Pod ID],GameLog[[#This Row],[Pod ID]])</f>
        <v>4</v>
      </c>
      <c r="I167" s="6">
        <f>YEAR(GameLog[[#This Row],[Date]])</f>
        <v>2025</v>
      </c>
      <c r="J167" s="6">
        <f>MONTH(GameLog[[#This Row],[Date]])</f>
        <v>9</v>
      </c>
      <c r="K167" s="6" t="str">
        <f>IF(GameLog[[#This Row],[Date]]=MAX(GameLog[Date]),"Current","Previous")</f>
        <v>Previous</v>
      </c>
      <c r="L167" s="6"/>
      <c r="M1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" s="6" t="str">
        <f ca="1">IF(GameLog[[#This Row],[Check]]="","",COUNTIF(GameLog[[#Headers],[Check]]:GameLog[[#This Row],[Check]],"?*")-1)</f>
        <v/>
      </c>
      <c r="O167" s="6" t="str">
        <f>IFERROR(INDEX(Players[New name],MATCH(GameLog[[#This Row],[Player]],Players[Name],0)),GameLog[[#This Row],[Player]])</f>
        <v>Brendan H</v>
      </c>
    </row>
    <row r="168" spans="1:15" x14ac:dyDescent="0.45">
      <c r="A168" s="6" t="s">
        <v>55</v>
      </c>
      <c r="B168" s="6" t="s">
        <v>53</v>
      </c>
      <c r="C168" s="6">
        <v>3</v>
      </c>
      <c r="D168" s="6">
        <v>1</v>
      </c>
      <c r="E168" s="6">
        <v>1</v>
      </c>
      <c r="F168" s="10">
        <v>45908</v>
      </c>
      <c r="G168" s="6" t="str">
        <f>_xlfn.TEXTJOIN("|",TRUE,GameLog[[#This Row],[Pod]],TEXT(INT(GameLog[[#This Row],[Round]]),"yyyymmdd"),GameLog[[#This Row],[Date]])</f>
        <v>1|19000101|45908</v>
      </c>
      <c r="H168" s="6">
        <f>COUNTIF(GameLog[Pod ID],GameLog[[#This Row],[Pod ID]])</f>
        <v>4</v>
      </c>
      <c r="I168" s="6">
        <f>YEAR(GameLog[[#This Row],[Date]])</f>
        <v>2025</v>
      </c>
      <c r="J168" s="6">
        <f>MONTH(GameLog[[#This Row],[Date]])</f>
        <v>9</v>
      </c>
      <c r="K168" s="6" t="str">
        <f>IF(GameLog[[#This Row],[Date]]=MAX(GameLog[Date]),"Current","Previous")</f>
        <v>Previous</v>
      </c>
      <c r="L168" s="6"/>
      <c r="M1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" s="6" t="str">
        <f ca="1">IF(GameLog[[#This Row],[Check]]="","",COUNTIF(GameLog[[#Headers],[Check]]:GameLog[[#This Row],[Check]],"?*")-1)</f>
        <v/>
      </c>
      <c r="O168" s="6" t="str">
        <f>IFERROR(INDEX(Players[New name],MATCH(GameLog[[#This Row],[Player]],Players[Name],0)),GameLog[[#This Row],[Player]])</f>
        <v>Bryce C</v>
      </c>
    </row>
    <row r="169" spans="1:15" x14ac:dyDescent="0.45">
      <c r="A169" s="6" t="s">
        <v>73</v>
      </c>
      <c r="B169" s="6" t="s">
        <v>53</v>
      </c>
      <c r="C169" s="6">
        <v>4</v>
      </c>
      <c r="D169" s="6">
        <v>1</v>
      </c>
      <c r="E169" s="6">
        <v>1</v>
      </c>
      <c r="F169" s="10">
        <v>45908</v>
      </c>
      <c r="G169" s="6" t="str">
        <f>_xlfn.TEXTJOIN("|",TRUE,GameLog[[#This Row],[Pod]],TEXT(INT(GameLog[[#This Row],[Round]]),"yyyymmdd"),GameLog[[#This Row],[Date]])</f>
        <v>1|19000101|45908</v>
      </c>
      <c r="H169" s="6">
        <f>COUNTIF(GameLog[Pod ID],GameLog[[#This Row],[Pod ID]])</f>
        <v>4</v>
      </c>
      <c r="I169" s="6">
        <f>YEAR(GameLog[[#This Row],[Date]])</f>
        <v>2025</v>
      </c>
      <c r="J169" s="6">
        <f>MONTH(GameLog[[#This Row],[Date]])</f>
        <v>9</v>
      </c>
      <c r="K169" s="6" t="str">
        <f>IF(GameLog[[#This Row],[Date]]=MAX(GameLog[Date]),"Current","Previous")</f>
        <v>Previous</v>
      </c>
      <c r="L169" s="6"/>
      <c r="M1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" s="6" t="str">
        <f ca="1">IF(GameLog[[#This Row],[Check]]="","",COUNTIF(GameLog[[#Headers],[Check]]:GameLog[[#This Row],[Check]],"?*")-1)</f>
        <v/>
      </c>
      <c r="O169" s="6" t="str">
        <f>IFERROR(INDEX(Players[New name],MATCH(GameLog[[#This Row],[Player]],Players[Name],0)),GameLog[[#This Row],[Player]])</f>
        <v>Brandon B</v>
      </c>
    </row>
    <row r="170" spans="1:15" x14ac:dyDescent="0.45">
      <c r="A170" s="6" t="s">
        <v>58</v>
      </c>
      <c r="B170" s="6" t="s">
        <v>53</v>
      </c>
      <c r="C170" s="6">
        <v>1</v>
      </c>
      <c r="D170" s="6">
        <v>2</v>
      </c>
      <c r="E170" s="6">
        <v>1</v>
      </c>
      <c r="F170" s="10">
        <v>45908</v>
      </c>
      <c r="G170" s="6" t="str">
        <f>_xlfn.TEXTJOIN("|",TRUE,GameLog[[#This Row],[Pod]],TEXT(INT(GameLog[[#This Row],[Round]]),"yyyymmdd"),GameLog[[#This Row],[Date]])</f>
        <v>2|19000101|45908</v>
      </c>
      <c r="H170" s="6">
        <f>COUNTIF(GameLog[Pod ID],GameLog[[#This Row],[Pod ID]])</f>
        <v>4</v>
      </c>
      <c r="I170" s="6">
        <f>YEAR(GameLog[[#This Row],[Date]])</f>
        <v>2025</v>
      </c>
      <c r="J170" s="6">
        <f>MONTH(GameLog[[#This Row],[Date]])</f>
        <v>9</v>
      </c>
      <c r="K170" s="6" t="str">
        <f>IF(GameLog[[#This Row],[Date]]=MAX(GameLog[Date]),"Current","Previous")</f>
        <v>Previous</v>
      </c>
      <c r="L170" s="6"/>
      <c r="M1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" s="6" t="str">
        <f ca="1">IF(GameLog[[#This Row],[Check]]="","",COUNTIF(GameLog[[#Headers],[Check]]:GameLog[[#This Row],[Check]],"?*")-1)</f>
        <v/>
      </c>
      <c r="O170" s="6" t="str">
        <f>IFERROR(INDEX(Players[New name],MATCH(GameLog[[#This Row],[Player]],Players[Name],0)),GameLog[[#This Row],[Player]])</f>
        <v>Dakota P</v>
      </c>
    </row>
    <row r="171" spans="1:15" x14ac:dyDescent="0.45">
      <c r="A171" s="6" t="s">
        <v>49</v>
      </c>
      <c r="B171" s="6" t="s">
        <v>53</v>
      </c>
      <c r="C171" s="6">
        <v>2</v>
      </c>
      <c r="D171" s="6">
        <v>2</v>
      </c>
      <c r="E171" s="6">
        <v>1</v>
      </c>
      <c r="F171" s="10">
        <v>45908</v>
      </c>
      <c r="G171" s="6" t="str">
        <f>_xlfn.TEXTJOIN("|",TRUE,GameLog[[#This Row],[Pod]],TEXT(INT(GameLog[[#This Row],[Round]]),"yyyymmdd"),GameLog[[#This Row],[Date]])</f>
        <v>2|19000101|45908</v>
      </c>
      <c r="H171" s="6">
        <f>COUNTIF(GameLog[Pod ID],GameLog[[#This Row],[Pod ID]])</f>
        <v>4</v>
      </c>
      <c r="I171" s="6">
        <f>YEAR(GameLog[[#This Row],[Date]])</f>
        <v>2025</v>
      </c>
      <c r="J171" s="6">
        <f>MONTH(GameLog[[#This Row],[Date]])</f>
        <v>9</v>
      </c>
      <c r="K171" s="6" t="str">
        <f>IF(GameLog[[#This Row],[Date]]=MAX(GameLog[Date]),"Current","Previous")</f>
        <v>Previous</v>
      </c>
      <c r="L171" s="6"/>
      <c r="M1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" s="6" t="str">
        <f ca="1">IF(GameLog[[#This Row],[Check]]="","",COUNTIF(GameLog[[#Headers],[Check]]:GameLog[[#This Row],[Check]],"?*")-1)</f>
        <v/>
      </c>
      <c r="O171" s="6" t="str">
        <f>IFERROR(INDEX(Players[New name],MATCH(GameLog[[#This Row],[Player]],Players[Name],0)),GameLog[[#This Row],[Player]])</f>
        <v>Brett R</v>
      </c>
    </row>
    <row r="172" spans="1:15" x14ac:dyDescent="0.45">
      <c r="A172" s="6" t="s">
        <v>59</v>
      </c>
      <c r="B172" s="6" t="s">
        <v>53</v>
      </c>
      <c r="C172" s="6">
        <v>3</v>
      </c>
      <c r="D172" s="6">
        <v>2</v>
      </c>
      <c r="E172" s="6">
        <v>1</v>
      </c>
      <c r="F172" s="10">
        <v>45908</v>
      </c>
      <c r="G172" s="6" t="str">
        <f>_xlfn.TEXTJOIN("|",TRUE,GameLog[[#This Row],[Pod]],TEXT(INT(GameLog[[#This Row],[Round]]),"yyyymmdd"),GameLog[[#This Row],[Date]])</f>
        <v>2|19000101|45908</v>
      </c>
      <c r="H172" s="6">
        <f>COUNTIF(GameLog[Pod ID],GameLog[[#This Row],[Pod ID]])</f>
        <v>4</v>
      </c>
      <c r="I172" s="6">
        <f>YEAR(GameLog[[#This Row],[Date]])</f>
        <v>2025</v>
      </c>
      <c r="J172" s="6">
        <f>MONTH(GameLog[[#This Row],[Date]])</f>
        <v>9</v>
      </c>
      <c r="K172" s="6" t="str">
        <f>IF(GameLog[[#This Row],[Date]]=MAX(GameLog[Date]),"Current","Previous")</f>
        <v>Previous</v>
      </c>
      <c r="L172" s="6"/>
      <c r="M1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" s="6" t="str">
        <f ca="1">IF(GameLog[[#This Row],[Check]]="","",COUNTIF(GameLog[[#Headers],[Check]]:GameLog[[#This Row],[Check]],"?*")-1)</f>
        <v/>
      </c>
      <c r="O172" s="6" t="str">
        <f>IFERROR(INDEX(Players[New name],MATCH(GameLog[[#This Row],[Player]],Players[Name],0)),GameLog[[#This Row],[Player]])</f>
        <v>Zack B</v>
      </c>
    </row>
    <row r="173" spans="1:15" x14ac:dyDescent="0.45">
      <c r="A173" s="6" t="s">
        <v>70</v>
      </c>
      <c r="B173" s="6" t="s">
        <v>50</v>
      </c>
      <c r="C173" s="6">
        <v>4</v>
      </c>
      <c r="D173" s="6">
        <v>2</v>
      </c>
      <c r="E173" s="6">
        <v>1</v>
      </c>
      <c r="F173" s="10">
        <v>45908</v>
      </c>
      <c r="G173" s="6" t="str">
        <f>_xlfn.TEXTJOIN("|",TRUE,GameLog[[#This Row],[Pod]],TEXT(INT(GameLog[[#This Row],[Round]]),"yyyymmdd"),GameLog[[#This Row],[Date]])</f>
        <v>2|19000101|45908</v>
      </c>
      <c r="H173" s="6">
        <f>COUNTIF(GameLog[Pod ID],GameLog[[#This Row],[Pod ID]])</f>
        <v>4</v>
      </c>
      <c r="I173" s="6">
        <f>YEAR(GameLog[[#This Row],[Date]])</f>
        <v>2025</v>
      </c>
      <c r="J173" s="6">
        <f>MONTH(GameLog[[#This Row],[Date]])</f>
        <v>9</v>
      </c>
      <c r="K173" s="6" t="str">
        <f>IF(GameLog[[#This Row],[Date]]=MAX(GameLog[Date]),"Current","Previous")</f>
        <v>Previous</v>
      </c>
      <c r="L173" s="6"/>
      <c r="M1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" s="6" t="str">
        <f ca="1">IF(GameLog[[#This Row],[Check]]="","",COUNTIF(GameLog[[#Headers],[Check]]:GameLog[[#This Row],[Check]],"?*")-1)</f>
        <v/>
      </c>
      <c r="O173" s="6" t="str">
        <f>IFERROR(INDEX(Players[New name],MATCH(GameLog[[#This Row],[Player]],Players[Name],0)),GameLog[[#This Row],[Player]])</f>
        <v>Brad F</v>
      </c>
    </row>
    <row r="174" spans="1:15" x14ac:dyDescent="0.45">
      <c r="A174" s="6" t="s">
        <v>65</v>
      </c>
      <c r="B174" s="6" t="s">
        <v>50</v>
      </c>
      <c r="C174" s="6">
        <v>1</v>
      </c>
      <c r="D174" s="6">
        <v>3</v>
      </c>
      <c r="E174" s="6">
        <v>1</v>
      </c>
      <c r="F174" s="10">
        <v>45908</v>
      </c>
      <c r="G174" s="6" t="str">
        <f>_xlfn.TEXTJOIN("|",TRUE,GameLog[[#This Row],[Pod]],TEXT(INT(GameLog[[#This Row],[Round]]),"yyyymmdd"),GameLog[[#This Row],[Date]])</f>
        <v>3|19000101|45908</v>
      </c>
      <c r="H174" s="6">
        <f>COUNTIF(GameLog[Pod ID],GameLog[[#This Row],[Pod ID]])</f>
        <v>4</v>
      </c>
      <c r="I174" s="6">
        <f>YEAR(GameLog[[#This Row],[Date]])</f>
        <v>2025</v>
      </c>
      <c r="J174" s="6">
        <f>MONTH(GameLog[[#This Row],[Date]])</f>
        <v>9</v>
      </c>
      <c r="K174" s="6" t="str">
        <f>IF(GameLog[[#This Row],[Date]]=MAX(GameLog[Date]),"Current","Previous")</f>
        <v>Previous</v>
      </c>
      <c r="L174" s="6"/>
      <c r="M1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" s="6" t="str">
        <f ca="1">IF(GameLog[[#This Row],[Check]]="","",COUNTIF(GameLog[[#Headers],[Check]]:GameLog[[#This Row],[Check]],"?*")-1)</f>
        <v/>
      </c>
      <c r="O174" s="6" t="str">
        <f>IFERROR(INDEX(Players[New name],MATCH(GameLog[[#This Row],[Player]],Players[Name],0)),GameLog[[#This Row],[Player]])</f>
        <v>Mitch</v>
      </c>
    </row>
    <row r="175" spans="1:15" x14ac:dyDescent="0.45">
      <c r="A175" s="6" t="s">
        <v>68</v>
      </c>
      <c r="B175" s="6" t="s">
        <v>53</v>
      </c>
      <c r="C175" s="6">
        <v>2</v>
      </c>
      <c r="D175" s="6">
        <v>3</v>
      </c>
      <c r="E175" s="6">
        <v>1</v>
      </c>
      <c r="F175" s="10">
        <v>45908</v>
      </c>
      <c r="G175" s="6" t="str">
        <f>_xlfn.TEXTJOIN("|",TRUE,GameLog[[#This Row],[Pod]],TEXT(INT(GameLog[[#This Row],[Round]]),"yyyymmdd"),GameLog[[#This Row],[Date]])</f>
        <v>3|19000101|45908</v>
      </c>
      <c r="H175" s="6">
        <f>COUNTIF(GameLog[Pod ID],GameLog[[#This Row],[Pod ID]])</f>
        <v>4</v>
      </c>
      <c r="I175" s="6">
        <f>YEAR(GameLog[[#This Row],[Date]])</f>
        <v>2025</v>
      </c>
      <c r="J175" s="6">
        <f>MONTH(GameLog[[#This Row],[Date]])</f>
        <v>9</v>
      </c>
      <c r="K175" s="6" t="str">
        <f>IF(GameLog[[#This Row],[Date]]=MAX(GameLog[Date]),"Current","Previous")</f>
        <v>Previous</v>
      </c>
      <c r="L175" s="6"/>
      <c r="M1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" s="6" t="str">
        <f ca="1">IF(GameLog[[#This Row],[Check]]="","",COUNTIF(GameLog[[#Headers],[Check]]:GameLog[[#This Row],[Check]],"?*")-1)</f>
        <v/>
      </c>
      <c r="O175" s="6" t="str">
        <f>IFERROR(INDEX(Players[New name],MATCH(GameLog[[#This Row],[Player]],Players[Name],0)),GameLog[[#This Row],[Player]])</f>
        <v>Edwin M</v>
      </c>
    </row>
    <row r="176" spans="1:15" x14ac:dyDescent="0.45">
      <c r="A176" s="6" t="s">
        <v>61</v>
      </c>
      <c r="B176" s="6" t="s">
        <v>53</v>
      </c>
      <c r="C176" s="6">
        <v>3</v>
      </c>
      <c r="D176" s="6">
        <v>3</v>
      </c>
      <c r="E176" s="6">
        <v>1</v>
      </c>
      <c r="F176" s="10">
        <v>45908</v>
      </c>
      <c r="G176" s="6" t="str">
        <f>_xlfn.TEXTJOIN("|",TRUE,GameLog[[#This Row],[Pod]],TEXT(INT(GameLog[[#This Row],[Round]]),"yyyymmdd"),GameLog[[#This Row],[Date]])</f>
        <v>3|19000101|45908</v>
      </c>
      <c r="H176" s="6">
        <f>COUNTIF(GameLog[Pod ID],GameLog[[#This Row],[Pod ID]])</f>
        <v>4</v>
      </c>
      <c r="I176" s="6">
        <f>YEAR(GameLog[[#This Row],[Date]])</f>
        <v>2025</v>
      </c>
      <c r="J176" s="6">
        <f>MONTH(GameLog[[#This Row],[Date]])</f>
        <v>9</v>
      </c>
      <c r="K176" s="6" t="str">
        <f>IF(GameLog[[#This Row],[Date]]=MAX(GameLog[Date]),"Current","Previous")</f>
        <v>Previous</v>
      </c>
      <c r="L176" s="6"/>
      <c r="M1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" s="6" t="str">
        <f ca="1">IF(GameLog[[#This Row],[Check]]="","",COUNTIF(GameLog[[#Headers],[Check]]:GameLog[[#This Row],[Check]],"?*")-1)</f>
        <v/>
      </c>
      <c r="O176" s="6" t="str">
        <f>IFERROR(INDEX(Players[New name],MATCH(GameLog[[#This Row],[Player]],Players[Name],0)),GameLog[[#This Row],[Player]])</f>
        <v>Trevor</v>
      </c>
    </row>
    <row r="177" spans="1:15" x14ac:dyDescent="0.45">
      <c r="A177" s="6" t="s">
        <v>69</v>
      </c>
      <c r="B177" s="6" t="s">
        <v>53</v>
      </c>
      <c r="C177" s="6">
        <v>4</v>
      </c>
      <c r="D177" s="6">
        <v>3</v>
      </c>
      <c r="E177" s="6">
        <v>1</v>
      </c>
      <c r="F177" s="10">
        <v>45908</v>
      </c>
      <c r="G177" s="6" t="str">
        <f>_xlfn.TEXTJOIN("|",TRUE,GameLog[[#This Row],[Pod]],TEXT(INT(GameLog[[#This Row],[Round]]),"yyyymmdd"),GameLog[[#This Row],[Date]])</f>
        <v>3|19000101|45908</v>
      </c>
      <c r="H177" s="6">
        <f>COUNTIF(GameLog[Pod ID],GameLog[[#This Row],[Pod ID]])</f>
        <v>4</v>
      </c>
      <c r="I177" s="6">
        <f>YEAR(GameLog[[#This Row],[Date]])</f>
        <v>2025</v>
      </c>
      <c r="J177" s="6">
        <f>MONTH(GameLog[[#This Row],[Date]])</f>
        <v>9</v>
      </c>
      <c r="K177" s="6" t="str">
        <f>IF(GameLog[[#This Row],[Date]]=MAX(GameLog[Date]),"Current","Previous")</f>
        <v>Previous</v>
      </c>
      <c r="L177" s="6"/>
      <c r="M1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" s="6" t="str">
        <f ca="1">IF(GameLog[[#This Row],[Check]]="","",COUNTIF(GameLog[[#Headers],[Check]]:GameLog[[#This Row],[Check]],"?*")-1)</f>
        <v/>
      </c>
      <c r="O177" s="6" t="str">
        <f>IFERROR(INDEX(Players[New name],MATCH(GameLog[[#This Row],[Player]],Players[Name],0)),GameLog[[#This Row],[Player]])</f>
        <v>Ryan T</v>
      </c>
    </row>
    <row r="178" spans="1:15" x14ac:dyDescent="0.45">
      <c r="A178" s="6" t="s">
        <v>75</v>
      </c>
      <c r="B178" s="6" t="s">
        <v>53</v>
      </c>
      <c r="C178" s="6">
        <v>1</v>
      </c>
      <c r="D178" s="6">
        <v>4</v>
      </c>
      <c r="E178" s="6">
        <v>1</v>
      </c>
      <c r="F178" s="10">
        <v>45908</v>
      </c>
      <c r="G178" s="6" t="str">
        <f>_xlfn.TEXTJOIN("|",TRUE,GameLog[[#This Row],[Pod]],TEXT(INT(GameLog[[#This Row],[Round]]),"yyyymmdd"),GameLog[[#This Row],[Date]])</f>
        <v>4|19000101|45908</v>
      </c>
      <c r="H178" s="6">
        <f>COUNTIF(GameLog[Pod ID],GameLog[[#This Row],[Pod ID]])</f>
        <v>3</v>
      </c>
      <c r="I178" s="6">
        <f>YEAR(GameLog[[#This Row],[Date]])</f>
        <v>2025</v>
      </c>
      <c r="J178" s="6">
        <f>MONTH(GameLog[[#This Row],[Date]])</f>
        <v>9</v>
      </c>
      <c r="K178" s="6" t="str">
        <f>IF(GameLog[[#This Row],[Date]]=MAX(GameLog[Date]),"Current","Previous")</f>
        <v>Previous</v>
      </c>
      <c r="L178" s="6"/>
      <c r="M1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" s="6" t="str">
        <f ca="1">IF(GameLog[[#This Row],[Check]]="","",COUNTIF(GameLog[[#Headers],[Check]]:GameLog[[#This Row],[Check]],"?*")-1)</f>
        <v/>
      </c>
      <c r="O178" s="6" t="str">
        <f>IFERROR(INDEX(Players[New name],MATCH(GameLog[[#This Row],[Player]],Players[Name],0)),GameLog[[#This Row],[Player]])</f>
        <v>Eli T</v>
      </c>
    </row>
    <row r="179" spans="1:15" x14ac:dyDescent="0.45">
      <c r="A179" s="6" t="s">
        <v>64</v>
      </c>
      <c r="B179" s="6" t="s">
        <v>53</v>
      </c>
      <c r="C179" s="6">
        <v>2</v>
      </c>
      <c r="D179" s="6">
        <v>4</v>
      </c>
      <c r="E179" s="6">
        <v>1</v>
      </c>
      <c r="F179" s="10">
        <v>45908</v>
      </c>
      <c r="G179" s="6" t="str">
        <f>_xlfn.TEXTJOIN("|",TRUE,GameLog[[#This Row],[Pod]],TEXT(INT(GameLog[[#This Row],[Round]]),"yyyymmdd"),GameLog[[#This Row],[Date]])</f>
        <v>4|19000101|45908</v>
      </c>
      <c r="H179" s="6">
        <f>COUNTIF(GameLog[Pod ID],GameLog[[#This Row],[Pod ID]])</f>
        <v>3</v>
      </c>
      <c r="I179" s="6">
        <f>YEAR(GameLog[[#This Row],[Date]])</f>
        <v>2025</v>
      </c>
      <c r="J179" s="6">
        <f>MONTH(GameLog[[#This Row],[Date]])</f>
        <v>9</v>
      </c>
      <c r="K179" s="6" t="str">
        <f>IF(GameLog[[#This Row],[Date]]=MAX(GameLog[Date]),"Current","Previous")</f>
        <v>Previous</v>
      </c>
      <c r="L179" s="6"/>
      <c r="M1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" s="6" t="str">
        <f ca="1">IF(GameLog[[#This Row],[Check]]="","",COUNTIF(GameLog[[#Headers],[Check]]:GameLog[[#This Row],[Check]],"?*")-1)</f>
        <v/>
      </c>
      <c r="O179" s="6" t="str">
        <f>IFERROR(INDEX(Players[New name],MATCH(GameLog[[#This Row],[Player]],Players[Name],0)),GameLog[[#This Row],[Player]])</f>
        <v>Tyler B</v>
      </c>
    </row>
    <row r="180" spans="1:15" x14ac:dyDescent="0.45">
      <c r="A180" s="6" t="s">
        <v>57</v>
      </c>
      <c r="B180" s="6" t="s">
        <v>50</v>
      </c>
      <c r="C180" s="6">
        <v>3</v>
      </c>
      <c r="D180" s="6">
        <v>4</v>
      </c>
      <c r="E180" s="6">
        <v>1</v>
      </c>
      <c r="F180" s="10">
        <v>45908</v>
      </c>
      <c r="G180" s="6" t="str">
        <f>_xlfn.TEXTJOIN("|",TRUE,GameLog[[#This Row],[Pod]],TEXT(INT(GameLog[[#This Row],[Round]]),"yyyymmdd"),GameLog[[#This Row],[Date]])</f>
        <v>4|19000101|45908</v>
      </c>
      <c r="H180" s="6">
        <f>COUNTIF(GameLog[Pod ID],GameLog[[#This Row],[Pod ID]])</f>
        <v>3</v>
      </c>
      <c r="I180" s="6">
        <f>YEAR(GameLog[[#This Row],[Date]])</f>
        <v>2025</v>
      </c>
      <c r="J180" s="6">
        <f>MONTH(GameLog[[#This Row],[Date]])</f>
        <v>9</v>
      </c>
      <c r="K180" s="6" t="str">
        <f>IF(GameLog[[#This Row],[Date]]=MAX(GameLog[Date]),"Current","Previous")</f>
        <v>Previous</v>
      </c>
      <c r="L180" s="6"/>
      <c r="M1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" s="6" t="str">
        <f ca="1">IF(GameLog[[#This Row],[Check]]="","",COUNTIF(GameLog[[#Headers],[Check]]:GameLog[[#This Row],[Check]],"?*")-1)</f>
        <v/>
      </c>
      <c r="O180" s="6" t="str">
        <f>IFERROR(INDEX(Players[New name],MATCH(GameLog[[#This Row],[Player]],Players[Name],0)),GameLog[[#This Row],[Player]])</f>
        <v>AJ W</v>
      </c>
    </row>
    <row r="181" spans="1:15" x14ac:dyDescent="0.45">
      <c r="A181" s="6" t="s">
        <v>57</v>
      </c>
      <c r="B181" s="6" t="s">
        <v>50</v>
      </c>
      <c r="C181" s="6">
        <v>1</v>
      </c>
      <c r="D181" s="6">
        <v>1</v>
      </c>
      <c r="E181" s="6">
        <v>2</v>
      </c>
      <c r="F181" s="10">
        <v>45908</v>
      </c>
      <c r="G181" s="6" t="str">
        <f>_xlfn.TEXTJOIN("|",TRUE,GameLog[[#This Row],[Pod]],TEXT(INT(GameLog[[#This Row],[Round]]),"yyyymmdd"),GameLog[[#This Row],[Date]])</f>
        <v>1|19000102|45908</v>
      </c>
      <c r="H181" s="6">
        <f>COUNTIF(GameLog[Pod ID],GameLog[[#This Row],[Pod ID]])</f>
        <v>4</v>
      </c>
      <c r="I181" s="6">
        <f>YEAR(GameLog[[#This Row],[Date]])</f>
        <v>2025</v>
      </c>
      <c r="J181" s="6">
        <f>MONTH(GameLog[[#This Row],[Date]])</f>
        <v>9</v>
      </c>
      <c r="K181" s="6" t="str">
        <f>IF(GameLog[[#This Row],[Date]]=MAX(GameLog[Date]),"Current","Previous")</f>
        <v>Previous</v>
      </c>
      <c r="L181" s="6"/>
      <c r="M1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" s="6" t="str">
        <f ca="1">IF(GameLog[[#This Row],[Check]]="","",COUNTIF(GameLog[[#Headers],[Check]]:GameLog[[#This Row],[Check]],"?*")-1)</f>
        <v/>
      </c>
      <c r="O181" s="6" t="str">
        <f>IFERROR(INDEX(Players[New name],MATCH(GameLog[[#This Row],[Player]],Players[Name],0)),GameLog[[#This Row],[Player]])</f>
        <v>AJ W</v>
      </c>
    </row>
    <row r="182" spans="1:15" x14ac:dyDescent="0.45">
      <c r="A182" s="6" t="s">
        <v>65</v>
      </c>
      <c r="B182" s="6" t="s">
        <v>53</v>
      </c>
      <c r="C182" s="6">
        <v>2</v>
      </c>
      <c r="D182" s="6">
        <v>1</v>
      </c>
      <c r="E182" s="6">
        <v>2</v>
      </c>
      <c r="F182" s="10">
        <v>45908</v>
      </c>
      <c r="G182" s="6" t="str">
        <f>_xlfn.TEXTJOIN("|",TRUE,GameLog[[#This Row],[Pod]],TEXT(INT(GameLog[[#This Row],[Round]]),"yyyymmdd"),GameLog[[#This Row],[Date]])</f>
        <v>1|19000102|45908</v>
      </c>
      <c r="H182" s="6">
        <f>COUNTIF(GameLog[Pod ID],GameLog[[#This Row],[Pod ID]])</f>
        <v>4</v>
      </c>
      <c r="I182" s="6">
        <f>YEAR(GameLog[[#This Row],[Date]])</f>
        <v>2025</v>
      </c>
      <c r="J182" s="6">
        <f>MONTH(GameLog[[#This Row],[Date]])</f>
        <v>9</v>
      </c>
      <c r="K182" s="6" t="str">
        <f>IF(GameLog[[#This Row],[Date]]=MAX(GameLog[Date]),"Current","Previous")</f>
        <v>Previous</v>
      </c>
      <c r="L182" s="6"/>
      <c r="M1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" s="6" t="str">
        <f ca="1">IF(GameLog[[#This Row],[Check]]="","",COUNTIF(GameLog[[#Headers],[Check]]:GameLog[[#This Row],[Check]],"?*")-1)</f>
        <v/>
      </c>
      <c r="O182" s="6" t="str">
        <f>IFERROR(INDEX(Players[New name],MATCH(GameLog[[#This Row],[Player]],Players[Name],0)),GameLog[[#This Row],[Player]])</f>
        <v>Mitch</v>
      </c>
    </row>
    <row r="183" spans="1:15" x14ac:dyDescent="0.45">
      <c r="A183" s="6" t="s">
        <v>63</v>
      </c>
      <c r="B183" s="6" t="s">
        <v>53</v>
      </c>
      <c r="C183" s="6">
        <v>3</v>
      </c>
      <c r="D183" s="6">
        <v>1</v>
      </c>
      <c r="E183" s="6">
        <v>2</v>
      </c>
      <c r="F183" s="10">
        <v>45908</v>
      </c>
      <c r="G183" s="6" t="str">
        <f>_xlfn.TEXTJOIN("|",TRUE,GameLog[[#This Row],[Pod]],TEXT(INT(GameLog[[#This Row],[Round]]),"yyyymmdd"),GameLog[[#This Row],[Date]])</f>
        <v>1|19000102|45908</v>
      </c>
      <c r="H183" s="6">
        <f>COUNTIF(GameLog[Pod ID],GameLog[[#This Row],[Pod ID]])</f>
        <v>4</v>
      </c>
      <c r="I183" s="6">
        <f>YEAR(GameLog[[#This Row],[Date]])</f>
        <v>2025</v>
      </c>
      <c r="J183" s="6">
        <f>MONTH(GameLog[[#This Row],[Date]])</f>
        <v>9</v>
      </c>
      <c r="K183" s="6" t="str">
        <f>IF(GameLog[[#This Row],[Date]]=MAX(GameLog[Date]),"Current","Previous")</f>
        <v>Previous</v>
      </c>
      <c r="L183" s="6"/>
      <c r="M1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" s="6" t="str">
        <f ca="1">IF(GameLog[[#This Row],[Check]]="","",COUNTIF(GameLog[[#Headers],[Check]]:GameLog[[#This Row],[Check]],"?*")-1)</f>
        <v/>
      </c>
      <c r="O183" s="6" t="str">
        <f>IFERROR(INDEX(Players[New name],MATCH(GameLog[[#This Row],[Player]],Players[Name],0)),GameLog[[#This Row],[Player]])</f>
        <v>Jake D</v>
      </c>
    </row>
    <row r="184" spans="1:15" x14ac:dyDescent="0.45">
      <c r="A184" s="6" t="s">
        <v>70</v>
      </c>
      <c r="B184" s="6" t="s">
        <v>53</v>
      </c>
      <c r="C184" s="6">
        <v>4</v>
      </c>
      <c r="D184" s="6">
        <v>1</v>
      </c>
      <c r="E184" s="6">
        <v>2</v>
      </c>
      <c r="F184" s="10">
        <v>45908</v>
      </c>
      <c r="G184" s="6" t="str">
        <f>_xlfn.TEXTJOIN("|",TRUE,GameLog[[#This Row],[Pod]],TEXT(INT(GameLog[[#This Row],[Round]]),"yyyymmdd"),GameLog[[#This Row],[Date]])</f>
        <v>1|19000102|45908</v>
      </c>
      <c r="H184" s="6">
        <f>COUNTIF(GameLog[Pod ID],GameLog[[#This Row],[Pod ID]])</f>
        <v>4</v>
      </c>
      <c r="I184" s="6">
        <f>YEAR(GameLog[[#This Row],[Date]])</f>
        <v>2025</v>
      </c>
      <c r="J184" s="6">
        <f>MONTH(GameLog[[#This Row],[Date]])</f>
        <v>9</v>
      </c>
      <c r="K184" s="6" t="str">
        <f>IF(GameLog[[#This Row],[Date]]=MAX(GameLog[Date]),"Current","Previous")</f>
        <v>Previous</v>
      </c>
      <c r="L184" s="6"/>
      <c r="M1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" s="6" t="str">
        <f ca="1">IF(GameLog[[#This Row],[Check]]="","",COUNTIF(GameLog[[#Headers],[Check]]:GameLog[[#This Row],[Check]],"?*")-1)</f>
        <v/>
      </c>
      <c r="O184" s="6" t="str">
        <f>IFERROR(INDEX(Players[New name],MATCH(GameLog[[#This Row],[Player]],Players[Name],0)),GameLog[[#This Row],[Player]])</f>
        <v>Brad F</v>
      </c>
    </row>
    <row r="185" spans="1:15" x14ac:dyDescent="0.45">
      <c r="A185" s="6" t="s">
        <v>55</v>
      </c>
      <c r="B185" s="6" t="s">
        <v>53</v>
      </c>
      <c r="C185" s="6">
        <v>1</v>
      </c>
      <c r="D185" s="6">
        <v>2</v>
      </c>
      <c r="E185" s="6">
        <v>2</v>
      </c>
      <c r="F185" s="10">
        <v>45908</v>
      </c>
      <c r="G185" s="6" t="str">
        <f>_xlfn.TEXTJOIN("|",TRUE,GameLog[[#This Row],[Pod]],TEXT(INT(GameLog[[#This Row],[Round]]),"yyyymmdd"),GameLog[[#This Row],[Date]])</f>
        <v>2|19000102|45908</v>
      </c>
      <c r="H185" s="6">
        <f>COUNTIF(GameLog[Pod ID],GameLog[[#This Row],[Pod ID]])</f>
        <v>4</v>
      </c>
      <c r="I185" s="6">
        <f>YEAR(GameLog[[#This Row],[Date]])</f>
        <v>2025</v>
      </c>
      <c r="J185" s="6">
        <f>MONTH(GameLog[[#This Row],[Date]])</f>
        <v>9</v>
      </c>
      <c r="K185" s="6" t="str">
        <f>IF(GameLog[[#This Row],[Date]]=MAX(GameLog[Date]),"Current","Previous")</f>
        <v>Previous</v>
      </c>
      <c r="L185" s="6"/>
      <c r="M1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" s="6" t="str">
        <f ca="1">IF(GameLog[[#This Row],[Check]]="","",COUNTIF(GameLog[[#Headers],[Check]]:GameLog[[#This Row],[Check]],"?*")-1)</f>
        <v/>
      </c>
      <c r="O185" s="6" t="str">
        <f>IFERROR(INDEX(Players[New name],MATCH(GameLog[[#This Row],[Player]],Players[Name],0)),GameLog[[#This Row],[Player]])</f>
        <v>Bryce C</v>
      </c>
    </row>
    <row r="186" spans="1:15" x14ac:dyDescent="0.45">
      <c r="A186" s="6" t="s">
        <v>59</v>
      </c>
      <c r="B186" s="6" t="s">
        <v>50</v>
      </c>
      <c r="C186" s="6">
        <v>2</v>
      </c>
      <c r="D186" s="6">
        <v>2</v>
      </c>
      <c r="E186" s="6">
        <v>2</v>
      </c>
      <c r="F186" s="10">
        <v>45908</v>
      </c>
      <c r="G186" s="6" t="str">
        <f>_xlfn.TEXTJOIN("|",TRUE,GameLog[[#This Row],[Pod]],TEXT(INT(GameLog[[#This Row],[Round]]),"yyyymmdd"),GameLog[[#This Row],[Date]])</f>
        <v>2|19000102|45908</v>
      </c>
      <c r="H186" s="6">
        <f>COUNTIF(GameLog[Pod ID],GameLog[[#This Row],[Pod ID]])</f>
        <v>4</v>
      </c>
      <c r="I186" s="6">
        <f>YEAR(GameLog[[#This Row],[Date]])</f>
        <v>2025</v>
      </c>
      <c r="J186" s="6">
        <f>MONTH(GameLog[[#This Row],[Date]])</f>
        <v>9</v>
      </c>
      <c r="K186" s="6" t="str">
        <f>IF(GameLog[[#This Row],[Date]]=MAX(GameLog[Date]),"Current","Previous")</f>
        <v>Previous</v>
      </c>
      <c r="L186" s="6"/>
      <c r="M1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" s="6" t="str">
        <f ca="1">IF(GameLog[[#This Row],[Check]]="","",COUNTIF(GameLog[[#Headers],[Check]]:GameLog[[#This Row],[Check]],"?*")-1)</f>
        <v/>
      </c>
      <c r="O186" s="6" t="str">
        <f>IFERROR(INDEX(Players[New name],MATCH(GameLog[[#This Row],[Player]],Players[Name],0)),GameLog[[#This Row],[Player]])</f>
        <v>Zack B</v>
      </c>
    </row>
    <row r="187" spans="1:15" x14ac:dyDescent="0.45">
      <c r="A187" s="6" t="s">
        <v>69</v>
      </c>
      <c r="B187" s="6" t="s">
        <v>53</v>
      </c>
      <c r="C187" s="6">
        <v>3</v>
      </c>
      <c r="D187" s="6">
        <v>2</v>
      </c>
      <c r="E187" s="6">
        <v>2</v>
      </c>
      <c r="F187" s="10">
        <v>45908</v>
      </c>
      <c r="G187" s="6" t="str">
        <f>_xlfn.TEXTJOIN("|",TRUE,GameLog[[#This Row],[Pod]],TEXT(INT(GameLog[[#This Row],[Round]]),"yyyymmdd"),GameLog[[#This Row],[Date]])</f>
        <v>2|19000102|45908</v>
      </c>
      <c r="H187" s="6">
        <f>COUNTIF(GameLog[Pod ID],GameLog[[#This Row],[Pod ID]])</f>
        <v>4</v>
      </c>
      <c r="I187" s="6">
        <f>YEAR(GameLog[[#This Row],[Date]])</f>
        <v>2025</v>
      </c>
      <c r="J187" s="6">
        <f>MONTH(GameLog[[#This Row],[Date]])</f>
        <v>9</v>
      </c>
      <c r="K187" s="6" t="str">
        <f>IF(GameLog[[#This Row],[Date]]=MAX(GameLog[Date]),"Current","Previous")</f>
        <v>Previous</v>
      </c>
      <c r="L187" s="6"/>
      <c r="M1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" s="6" t="str">
        <f ca="1">IF(GameLog[[#This Row],[Check]]="","",COUNTIF(GameLog[[#Headers],[Check]]:GameLog[[#This Row],[Check]],"?*")-1)</f>
        <v/>
      </c>
      <c r="O187" s="6" t="str">
        <f>IFERROR(INDEX(Players[New name],MATCH(GameLog[[#This Row],[Player]],Players[Name],0)),GameLog[[#This Row],[Player]])</f>
        <v>Ryan T</v>
      </c>
    </row>
    <row r="188" spans="1:15" x14ac:dyDescent="0.45">
      <c r="A188" s="6" t="s">
        <v>75</v>
      </c>
      <c r="B188" s="6" t="s">
        <v>53</v>
      </c>
      <c r="C188" s="6">
        <v>4</v>
      </c>
      <c r="D188" s="6">
        <v>2</v>
      </c>
      <c r="E188" s="6">
        <v>2</v>
      </c>
      <c r="F188" s="10">
        <v>45908</v>
      </c>
      <c r="G188" s="6" t="str">
        <f>_xlfn.TEXTJOIN("|",TRUE,GameLog[[#This Row],[Pod]],TEXT(INT(GameLog[[#This Row],[Round]]),"yyyymmdd"),GameLog[[#This Row],[Date]])</f>
        <v>2|19000102|45908</v>
      </c>
      <c r="H188" s="6">
        <f>COUNTIF(GameLog[Pod ID],GameLog[[#This Row],[Pod ID]])</f>
        <v>4</v>
      </c>
      <c r="I188" s="6">
        <f>YEAR(GameLog[[#This Row],[Date]])</f>
        <v>2025</v>
      </c>
      <c r="J188" s="6">
        <f>MONTH(GameLog[[#This Row],[Date]])</f>
        <v>9</v>
      </c>
      <c r="K188" s="6" t="str">
        <f>IF(GameLog[[#This Row],[Date]]=MAX(GameLog[Date]),"Current","Previous")</f>
        <v>Previous</v>
      </c>
      <c r="L188" s="6"/>
      <c r="M1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" s="6" t="str">
        <f ca="1">IF(GameLog[[#This Row],[Check]]="","",COUNTIF(GameLog[[#Headers],[Check]]:GameLog[[#This Row],[Check]],"?*")-1)</f>
        <v/>
      </c>
      <c r="O188" s="6" t="str">
        <f>IFERROR(INDEX(Players[New name],MATCH(GameLog[[#This Row],[Player]],Players[Name],0)),GameLog[[#This Row],[Player]])</f>
        <v>Eli T</v>
      </c>
    </row>
    <row r="189" spans="1:15" x14ac:dyDescent="0.45">
      <c r="A189" s="6" t="s">
        <v>61</v>
      </c>
      <c r="B189" s="6" t="s">
        <v>53</v>
      </c>
      <c r="C189" s="6">
        <v>1</v>
      </c>
      <c r="D189" s="6">
        <v>3</v>
      </c>
      <c r="E189" s="6">
        <v>2</v>
      </c>
      <c r="F189" s="10">
        <v>45908</v>
      </c>
      <c r="G189" s="6" t="str">
        <f>_xlfn.TEXTJOIN("|",TRUE,GameLog[[#This Row],[Pod]],TEXT(INT(GameLog[[#This Row],[Round]]),"yyyymmdd"),GameLog[[#This Row],[Date]])</f>
        <v>3|19000102|45908</v>
      </c>
      <c r="H189" s="6">
        <f>COUNTIF(GameLog[Pod ID],GameLog[[#This Row],[Pod ID]])</f>
        <v>4</v>
      </c>
      <c r="I189" s="6">
        <f>YEAR(GameLog[[#This Row],[Date]])</f>
        <v>2025</v>
      </c>
      <c r="J189" s="6">
        <f>MONTH(GameLog[[#This Row],[Date]])</f>
        <v>9</v>
      </c>
      <c r="K189" s="6" t="str">
        <f>IF(GameLog[[#This Row],[Date]]=MAX(GameLog[Date]),"Current","Previous")</f>
        <v>Previous</v>
      </c>
      <c r="L189" s="6"/>
      <c r="M1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" s="6" t="str">
        <f ca="1">IF(GameLog[[#This Row],[Check]]="","",COUNTIF(GameLog[[#Headers],[Check]]:GameLog[[#This Row],[Check]],"?*")-1)</f>
        <v/>
      </c>
      <c r="O189" s="6" t="str">
        <f>IFERROR(INDEX(Players[New name],MATCH(GameLog[[#This Row],[Player]],Players[Name],0)),GameLog[[#This Row],[Player]])</f>
        <v>Trevor</v>
      </c>
    </row>
    <row r="190" spans="1:15" x14ac:dyDescent="0.45">
      <c r="A190" s="6" t="s">
        <v>49</v>
      </c>
      <c r="B190" s="6" t="s">
        <v>53</v>
      </c>
      <c r="C190" s="6">
        <v>2</v>
      </c>
      <c r="D190" s="6">
        <v>3</v>
      </c>
      <c r="E190" s="6">
        <v>2</v>
      </c>
      <c r="F190" s="10">
        <v>45908</v>
      </c>
      <c r="G190" s="6" t="str">
        <f>_xlfn.TEXTJOIN("|",TRUE,GameLog[[#This Row],[Pod]],TEXT(INT(GameLog[[#This Row],[Round]]),"yyyymmdd"),GameLog[[#This Row],[Date]])</f>
        <v>3|19000102|45908</v>
      </c>
      <c r="H190" s="6">
        <f>COUNTIF(GameLog[Pod ID],GameLog[[#This Row],[Pod ID]])</f>
        <v>4</v>
      </c>
      <c r="I190" s="6">
        <f>YEAR(GameLog[[#This Row],[Date]])</f>
        <v>2025</v>
      </c>
      <c r="J190" s="6">
        <f>MONTH(GameLog[[#This Row],[Date]])</f>
        <v>9</v>
      </c>
      <c r="K190" s="6" t="str">
        <f>IF(GameLog[[#This Row],[Date]]=MAX(GameLog[Date]),"Current","Previous")</f>
        <v>Previous</v>
      </c>
      <c r="L190" s="6"/>
      <c r="M1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" s="6" t="str">
        <f ca="1">IF(GameLog[[#This Row],[Check]]="","",COUNTIF(GameLog[[#Headers],[Check]]:GameLog[[#This Row],[Check]],"?*")-1)</f>
        <v/>
      </c>
      <c r="O190" s="6" t="str">
        <f>IFERROR(INDEX(Players[New name],MATCH(GameLog[[#This Row],[Player]],Players[Name],0)),GameLog[[#This Row],[Player]])</f>
        <v>Brett R</v>
      </c>
    </row>
    <row r="191" spans="1:15" x14ac:dyDescent="0.45">
      <c r="A191" s="6" t="s">
        <v>64</v>
      </c>
      <c r="B191" s="6" t="s">
        <v>53</v>
      </c>
      <c r="C191" s="6">
        <v>3</v>
      </c>
      <c r="D191" s="6">
        <v>3</v>
      </c>
      <c r="E191" s="6">
        <v>2</v>
      </c>
      <c r="F191" s="10">
        <v>45908</v>
      </c>
      <c r="G191" s="6" t="str">
        <f>_xlfn.TEXTJOIN("|",TRUE,GameLog[[#This Row],[Pod]],TEXT(INT(GameLog[[#This Row],[Round]]),"yyyymmdd"),GameLog[[#This Row],[Date]])</f>
        <v>3|19000102|45908</v>
      </c>
      <c r="H191" s="6">
        <f>COUNTIF(GameLog[Pod ID],GameLog[[#This Row],[Pod ID]])</f>
        <v>4</v>
      </c>
      <c r="I191" s="6">
        <f>YEAR(GameLog[[#This Row],[Date]])</f>
        <v>2025</v>
      </c>
      <c r="J191" s="6">
        <f>MONTH(GameLog[[#This Row],[Date]])</f>
        <v>9</v>
      </c>
      <c r="K191" s="6" t="str">
        <f>IF(GameLog[[#This Row],[Date]]=MAX(GameLog[Date]),"Current","Previous")</f>
        <v>Previous</v>
      </c>
      <c r="L191" s="6"/>
      <c r="M1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" s="6" t="str">
        <f ca="1">IF(GameLog[[#This Row],[Check]]="","",COUNTIF(GameLog[[#Headers],[Check]]:GameLog[[#This Row],[Check]],"?*")-1)</f>
        <v/>
      </c>
      <c r="O191" s="6" t="str">
        <f>IFERROR(INDEX(Players[New name],MATCH(GameLog[[#This Row],[Player]],Players[Name],0)),GameLog[[#This Row],[Player]])</f>
        <v>Tyler B</v>
      </c>
    </row>
    <row r="192" spans="1:15" x14ac:dyDescent="0.45">
      <c r="A192" s="6" t="s">
        <v>60</v>
      </c>
      <c r="B192" s="6" t="s">
        <v>50</v>
      </c>
      <c r="C192" s="6">
        <v>4</v>
      </c>
      <c r="D192" s="6">
        <v>3</v>
      </c>
      <c r="E192" s="6">
        <v>2</v>
      </c>
      <c r="F192" s="10">
        <v>45908</v>
      </c>
      <c r="G192" s="6" t="str">
        <f>_xlfn.TEXTJOIN("|",TRUE,GameLog[[#This Row],[Pod]],TEXT(INT(GameLog[[#This Row],[Round]]),"yyyymmdd"),GameLog[[#This Row],[Date]])</f>
        <v>3|19000102|45908</v>
      </c>
      <c r="H192" s="6">
        <f>COUNTIF(GameLog[Pod ID],GameLog[[#This Row],[Pod ID]])</f>
        <v>4</v>
      </c>
      <c r="I192" s="6">
        <f>YEAR(GameLog[[#This Row],[Date]])</f>
        <v>2025</v>
      </c>
      <c r="J192" s="6">
        <f>MONTH(GameLog[[#This Row],[Date]])</f>
        <v>9</v>
      </c>
      <c r="K192" s="6" t="str">
        <f>IF(GameLog[[#This Row],[Date]]=MAX(GameLog[Date]),"Current","Previous")</f>
        <v>Previous</v>
      </c>
      <c r="L192" s="6"/>
      <c r="M1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" s="6" t="str">
        <f ca="1">IF(GameLog[[#This Row],[Check]]="","",COUNTIF(GameLog[[#Headers],[Check]]:GameLog[[#This Row],[Check]],"?*")-1)</f>
        <v/>
      </c>
      <c r="O192" s="6" t="str">
        <f>IFERROR(INDEX(Players[New name],MATCH(GameLog[[#This Row],[Player]],Players[Name],0)),GameLog[[#This Row],[Player]])</f>
        <v>Brendan H</v>
      </c>
    </row>
    <row r="193" spans="1:15" x14ac:dyDescent="0.45">
      <c r="A193" s="6" t="s">
        <v>73</v>
      </c>
      <c r="B193" s="6" t="s">
        <v>53</v>
      </c>
      <c r="C193" s="6">
        <v>1</v>
      </c>
      <c r="D193" s="6">
        <v>4</v>
      </c>
      <c r="E193" s="6">
        <v>2</v>
      </c>
      <c r="F193" s="10">
        <v>45908</v>
      </c>
      <c r="G193" s="6" t="str">
        <f>_xlfn.TEXTJOIN("|",TRUE,GameLog[[#This Row],[Pod]],TEXT(INT(GameLog[[#This Row],[Round]]),"yyyymmdd"),GameLog[[#This Row],[Date]])</f>
        <v>4|19000102|45908</v>
      </c>
      <c r="H193" s="6">
        <f>COUNTIF(GameLog[Pod ID],GameLog[[#This Row],[Pod ID]])</f>
        <v>3</v>
      </c>
      <c r="I193" s="6">
        <f>YEAR(GameLog[[#This Row],[Date]])</f>
        <v>2025</v>
      </c>
      <c r="J193" s="6">
        <f>MONTH(GameLog[[#This Row],[Date]])</f>
        <v>9</v>
      </c>
      <c r="K193" s="6" t="str">
        <f>IF(GameLog[[#This Row],[Date]]=MAX(GameLog[Date]),"Current","Previous")</f>
        <v>Previous</v>
      </c>
      <c r="L193" s="6"/>
      <c r="M1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" s="6" t="str">
        <f ca="1">IF(GameLog[[#This Row],[Check]]="","",COUNTIF(GameLog[[#Headers],[Check]]:GameLog[[#This Row],[Check]],"?*")-1)</f>
        <v/>
      </c>
      <c r="O193" s="6" t="str">
        <f>IFERROR(INDEX(Players[New name],MATCH(GameLog[[#This Row],[Player]],Players[Name],0)),GameLog[[#This Row],[Player]])</f>
        <v>Brandon B</v>
      </c>
    </row>
    <row r="194" spans="1:15" x14ac:dyDescent="0.45">
      <c r="A194" s="6" t="s">
        <v>68</v>
      </c>
      <c r="B194" s="6" t="s">
        <v>53</v>
      </c>
      <c r="C194" s="6">
        <v>2</v>
      </c>
      <c r="D194" s="6">
        <v>4</v>
      </c>
      <c r="E194" s="6">
        <v>2</v>
      </c>
      <c r="F194" s="10">
        <v>45908</v>
      </c>
      <c r="G194" s="6" t="str">
        <f>_xlfn.TEXTJOIN("|",TRUE,GameLog[[#This Row],[Pod]],TEXT(INT(GameLog[[#This Row],[Round]]),"yyyymmdd"),GameLog[[#This Row],[Date]])</f>
        <v>4|19000102|45908</v>
      </c>
      <c r="H194" s="6">
        <f>COUNTIF(GameLog[Pod ID],GameLog[[#This Row],[Pod ID]])</f>
        <v>3</v>
      </c>
      <c r="I194" s="6">
        <f>YEAR(GameLog[[#This Row],[Date]])</f>
        <v>2025</v>
      </c>
      <c r="J194" s="6">
        <f>MONTH(GameLog[[#This Row],[Date]])</f>
        <v>9</v>
      </c>
      <c r="K194" s="6" t="str">
        <f>IF(GameLog[[#This Row],[Date]]=MAX(GameLog[Date]),"Current","Previous")</f>
        <v>Previous</v>
      </c>
      <c r="L194" s="6"/>
      <c r="M1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" s="6" t="str">
        <f ca="1">IF(GameLog[[#This Row],[Check]]="","",COUNTIF(GameLog[[#Headers],[Check]]:GameLog[[#This Row],[Check]],"?*")-1)</f>
        <v/>
      </c>
      <c r="O194" s="6" t="str">
        <f>IFERROR(INDEX(Players[New name],MATCH(GameLog[[#This Row],[Player]],Players[Name],0)),GameLog[[#This Row],[Player]])</f>
        <v>Edwin M</v>
      </c>
    </row>
    <row r="195" spans="1:15" x14ac:dyDescent="0.45">
      <c r="A195" s="6" t="s">
        <v>58</v>
      </c>
      <c r="B195" s="6" t="s">
        <v>50</v>
      </c>
      <c r="C195" s="6">
        <v>3</v>
      </c>
      <c r="D195" s="6">
        <v>4</v>
      </c>
      <c r="E195" s="6">
        <v>2</v>
      </c>
      <c r="F195" s="10">
        <v>45908</v>
      </c>
      <c r="G195" s="6" t="str">
        <f>_xlfn.TEXTJOIN("|",TRUE,GameLog[[#This Row],[Pod]],TEXT(INT(GameLog[[#This Row],[Round]]),"yyyymmdd"),GameLog[[#This Row],[Date]])</f>
        <v>4|19000102|45908</v>
      </c>
      <c r="H195" s="6">
        <f>COUNTIF(GameLog[Pod ID],GameLog[[#This Row],[Pod ID]])</f>
        <v>3</v>
      </c>
      <c r="I195" s="6">
        <f>YEAR(GameLog[[#This Row],[Date]])</f>
        <v>2025</v>
      </c>
      <c r="J195" s="6">
        <f>MONTH(GameLog[[#This Row],[Date]])</f>
        <v>9</v>
      </c>
      <c r="K195" s="6" t="str">
        <f>IF(GameLog[[#This Row],[Date]]=MAX(GameLog[Date]),"Current","Previous")</f>
        <v>Previous</v>
      </c>
      <c r="L195" s="6"/>
      <c r="M1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" s="6" t="str">
        <f ca="1">IF(GameLog[[#This Row],[Check]]="","",COUNTIF(GameLog[[#Headers],[Check]]:GameLog[[#This Row],[Check]],"?*")-1)</f>
        <v/>
      </c>
      <c r="O195" s="6" t="str">
        <f>IFERROR(INDEX(Players[New name],MATCH(GameLog[[#This Row],[Player]],Players[Name],0)),GameLog[[#This Row],[Player]])</f>
        <v>Dakota P</v>
      </c>
    </row>
    <row r="196" spans="1:15" x14ac:dyDescent="0.45">
      <c r="A196" s="6" t="s">
        <v>68</v>
      </c>
      <c r="B196" s="6" t="s">
        <v>50</v>
      </c>
      <c r="C196" s="6">
        <v>1</v>
      </c>
      <c r="D196" s="6">
        <v>1</v>
      </c>
      <c r="E196" s="6">
        <v>1</v>
      </c>
      <c r="F196" s="10">
        <v>45915</v>
      </c>
      <c r="G196" s="6" t="str">
        <f>_xlfn.TEXTJOIN("|",TRUE,GameLog[[#This Row],[Pod]],TEXT(INT(GameLog[[#This Row],[Round]]),"yyyymmdd"),GameLog[[#This Row],[Date]])</f>
        <v>1|19000101|45915</v>
      </c>
      <c r="H196" s="6">
        <f>COUNTIF(GameLog[Pod ID],GameLog[[#This Row],[Pod ID]])</f>
        <v>4</v>
      </c>
      <c r="I196" s="6">
        <f>YEAR(GameLog[[#This Row],[Date]])</f>
        <v>2025</v>
      </c>
      <c r="J196" s="6">
        <f>MONTH(GameLog[[#This Row],[Date]])</f>
        <v>9</v>
      </c>
      <c r="K196" s="6" t="str">
        <f>IF(GameLog[[#This Row],[Date]]=MAX(GameLog[Date]),"Current","Previous")</f>
        <v>Previous</v>
      </c>
      <c r="L196" s="6"/>
      <c r="M1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" s="6" t="str">
        <f ca="1">IF(GameLog[[#This Row],[Check]]="","",COUNTIF(GameLog[[#Headers],[Check]]:GameLog[[#This Row],[Check]],"?*")-1)</f>
        <v/>
      </c>
      <c r="O196" s="6" t="str">
        <f>IFERROR(INDEX(Players[New name],MATCH(GameLog[[#This Row],[Player]],Players[Name],0)),GameLog[[#This Row],[Player]])</f>
        <v>Edwin M</v>
      </c>
    </row>
    <row r="197" spans="1:15" x14ac:dyDescent="0.45">
      <c r="A197" s="6" t="s">
        <v>64</v>
      </c>
      <c r="B197" s="6" t="s">
        <v>53</v>
      </c>
      <c r="C197" s="6">
        <v>2</v>
      </c>
      <c r="D197" s="6">
        <v>1</v>
      </c>
      <c r="E197" s="6">
        <v>1</v>
      </c>
      <c r="F197" s="10">
        <v>45915</v>
      </c>
      <c r="G197" s="6" t="str">
        <f>_xlfn.TEXTJOIN("|",TRUE,GameLog[[#This Row],[Pod]],TEXT(INT(GameLog[[#This Row],[Round]]),"yyyymmdd"),GameLog[[#This Row],[Date]])</f>
        <v>1|19000101|45915</v>
      </c>
      <c r="H197" s="6">
        <f>COUNTIF(GameLog[Pod ID],GameLog[[#This Row],[Pod ID]])</f>
        <v>4</v>
      </c>
      <c r="I197" s="6">
        <f>YEAR(GameLog[[#This Row],[Date]])</f>
        <v>2025</v>
      </c>
      <c r="J197" s="6">
        <f>MONTH(GameLog[[#This Row],[Date]])</f>
        <v>9</v>
      </c>
      <c r="K197" s="6" t="str">
        <f>IF(GameLog[[#This Row],[Date]]=MAX(GameLog[Date]),"Current","Previous")</f>
        <v>Previous</v>
      </c>
      <c r="L197" s="6"/>
      <c r="M1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" s="6" t="str">
        <f ca="1">IF(GameLog[[#This Row],[Check]]="","",COUNTIF(GameLog[[#Headers],[Check]]:GameLog[[#This Row],[Check]],"?*")-1)</f>
        <v/>
      </c>
      <c r="O197" s="6" t="str">
        <f>IFERROR(INDEX(Players[New name],MATCH(GameLog[[#This Row],[Player]],Players[Name],0)),GameLog[[#This Row],[Player]])</f>
        <v>Tyler B</v>
      </c>
    </row>
    <row r="198" spans="1:15" x14ac:dyDescent="0.45">
      <c r="A198" s="6" t="s">
        <v>55</v>
      </c>
      <c r="B198" s="6" t="s">
        <v>53</v>
      </c>
      <c r="C198" s="6">
        <v>3</v>
      </c>
      <c r="D198" s="6">
        <v>1</v>
      </c>
      <c r="E198" s="6">
        <v>1</v>
      </c>
      <c r="F198" s="10">
        <v>45915</v>
      </c>
      <c r="G198" s="6" t="str">
        <f>_xlfn.TEXTJOIN("|",TRUE,GameLog[[#This Row],[Pod]],TEXT(INT(GameLog[[#This Row],[Round]]),"yyyymmdd"),GameLog[[#This Row],[Date]])</f>
        <v>1|19000101|45915</v>
      </c>
      <c r="H198" s="6">
        <f>COUNTIF(GameLog[Pod ID],GameLog[[#This Row],[Pod ID]])</f>
        <v>4</v>
      </c>
      <c r="I198" s="6">
        <f>YEAR(GameLog[[#This Row],[Date]])</f>
        <v>2025</v>
      </c>
      <c r="J198" s="6">
        <f>MONTH(GameLog[[#This Row],[Date]])</f>
        <v>9</v>
      </c>
      <c r="K198" s="6" t="str">
        <f>IF(GameLog[[#This Row],[Date]]=MAX(GameLog[Date]),"Current","Previous")</f>
        <v>Previous</v>
      </c>
      <c r="L198" s="6"/>
      <c r="M1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" s="6" t="str">
        <f ca="1">IF(GameLog[[#This Row],[Check]]="","",COUNTIF(GameLog[[#Headers],[Check]]:GameLog[[#This Row],[Check]],"?*")-1)</f>
        <v/>
      </c>
      <c r="O198" s="6" t="str">
        <f>IFERROR(INDEX(Players[New name],MATCH(GameLog[[#This Row],[Player]],Players[Name],0)),GameLog[[#This Row],[Player]])</f>
        <v>Bryce C</v>
      </c>
    </row>
    <row r="199" spans="1:15" x14ac:dyDescent="0.45">
      <c r="A199" s="6" t="s">
        <v>76</v>
      </c>
      <c r="B199" s="6" t="s">
        <v>53</v>
      </c>
      <c r="C199" s="6">
        <v>4</v>
      </c>
      <c r="D199" s="6">
        <v>1</v>
      </c>
      <c r="E199" s="6">
        <v>1</v>
      </c>
      <c r="F199" s="10">
        <v>45915</v>
      </c>
      <c r="G199" s="6" t="str">
        <f>_xlfn.TEXTJOIN("|",TRUE,GameLog[[#This Row],[Pod]],TEXT(INT(GameLog[[#This Row],[Round]]),"yyyymmdd"),GameLog[[#This Row],[Date]])</f>
        <v>1|19000101|45915</v>
      </c>
      <c r="H199" s="6">
        <f>COUNTIF(GameLog[Pod ID],GameLog[[#This Row],[Pod ID]])</f>
        <v>4</v>
      </c>
      <c r="I199" s="6">
        <f>YEAR(GameLog[[#This Row],[Date]])</f>
        <v>2025</v>
      </c>
      <c r="J199" s="6">
        <f>MONTH(GameLog[[#This Row],[Date]])</f>
        <v>9</v>
      </c>
      <c r="K199" s="6" t="str">
        <f>IF(GameLog[[#This Row],[Date]]=MAX(GameLog[Date]),"Current","Previous")</f>
        <v>Previous</v>
      </c>
      <c r="L199" s="6"/>
      <c r="M1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" s="6" t="str">
        <f ca="1">IF(GameLog[[#This Row],[Check]]="","",COUNTIF(GameLog[[#Headers],[Check]]:GameLog[[#This Row],[Check]],"?*")-1)</f>
        <v/>
      </c>
      <c r="O199" s="6" t="str">
        <f>IFERROR(INDEX(Players[New name],MATCH(GameLog[[#This Row],[Player]],Players[Name],0)),GameLog[[#This Row],[Player]])</f>
        <v>Jon M</v>
      </c>
    </row>
    <row r="200" spans="1:15" x14ac:dyDescent="0.45">
      <c r="A200" s="6" t="s">
        <v>58</v>
      </c>
      <c r="B200" s="6" t="s">
        <v>50</v>
      </c>
      <c r="C200" s="6">
        <v>1</v>
      </c>
      <c r="D200" s="6">
        <v>2</v>
      </c>
      <c r="E200" s="6">
        <v>1</v>
      </c>
      <c r="F200" s="10">
        <v>45915</v>
      </c>
      <c r="G200" s="6" t="str">
        <f>_xlfn.TEXTJOIN("|",TRUE,GameLog[[#This Row],[Pod]],TEXT(INT(GameLog[[#This Row],[Round]]),"yyyymmdd"),GameLog[[#This Row],[Date]])</f>
        <v>2|19000101|45915</v>
      </c>
      <c r="H200" s="6">
        <f>COUNTIF(GameLog[Pod ID],GameLog[[#This Row],[Pod ID]])</f>
        <v>3</v>
      </c>
      <c r="I200" s="6">
        <f>YEAR(GameLog[[#This Row],[Date]])</f>
        <v>2025</v>
      </c>
      <c r="J200" s="6">
        <f>MONTH(GameLog[[#This Row],[Date]])</f>
        <v>9</v>
      </c>
      <c r="K200" s="6" t="str">
        <f>IF(GameLog[[#This Row],[Date]]=MAX(GameLog[Date]),"Current","Previous")</f>
        <v>Previous</v>
      </c>
      <c r="L200" s="6"/>
      <c r="M2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" s="6" t="str">
        <f ca="1">IF(GameLog[[#This Row],[Check]]="","",COUNTIF(GameLog[[#Headers],[Check]]:GameLog[[#This Row],[Check]],"?*")-1)</f>
        <v/>
      </c>
      <c r="O200" s="6" t="str">
        <f>IFERROR(INDEX(Players[New name],MATCH(GameLog[[#This Row],[Player]],Players[Name],0)),GameLog[[#This Row],[Player]])</f>
        <v>Dakota P</v>
      </c>
    </row>
    <row r="201" spans="1:15" x14ac:dyDescent="0.45">
      <c r="A201" s="6" t="s">
        <v>70</v>
      </c>
      <c r="B201" s="6" t="s">
        <v>53</v>
      </c>
      <c r="C201" s="6">
        <v>2</v>
      </c>
      <c r="D201" s="6">
        <v>2</v>
      </c>
      <c r="E201" s="6">
        <v>1</v>
      </c>
      <c r="F201" s="10">
        <v>45915</v>
      </c>
      <c r="G201" s="6" t="str">
        <f>_xlfn.TEXTJOIN("|",TRUE,GameLog[[#This Row],[Pod]],TEXT(INT(GameLog[[#This Row],[Round]]),"yyyymmdd"),GameLog[[#This Row],[Date]])</f>
        <v>2|19000101|45915</v>
      </c>
      <c r="H201" s="6">
        <f>COUNTIF(GameLog[Pod ID],GameLog[[#This Row],[Pod ID]])</f>
        <v>3</v>
      </c>
      <c r="I201" s="6">
        <f>YEAR(GameLog[[#This Row],[Date]])</f>
        <v>2025</v>
      </c>
      <c r="J201" s="6">
        <f>MONTH(GameLog[[#This Row],[Date]])</f>
        <v>9</v>
      </c>
      <c r="K201" s="6" t="str">
        <f>IF(GameLog[[#This Row],[Date]]=MAX(GameLog[Date]),"Current","Previous")</f>
        <v>Previous</v>
      </c>
      <c r="L201" s="6"/>
      <c r="M2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" s="6" t="str">
        <f ca="1">IF(GameLog[[#This Row],[Check]]="","",COUNTIF(GameLog[[#Headers],[Check]]:GameLog[[#This Row],[Check]],"?*")-1)</f>
        <v/>
      </c>
      <c r="O201" s="6" t="str">
        <f>IFERROR(INDEX(Players[New name],MATCH(GameLog[[#This Row],[Player]],Players[Name],0)),GameLog[[#This Row],[Player]])</f>
        <v>Brad F</v>
      </c>
    </row>
    <row r="202" spans="1:15" x14ac:dyDescent="0.45">
      <c r="A202" s="6" t="s">
        <v>61</v>
      </c>
      <c r="B202" s="6" t="s">
        <v>53</v>
      </c>
      <c r="C202" s="6">
        <v>3</v>
      </c>
      <c r="D202" s="6">
        <v>2</v>
      </c>
      <c r="E202" s="6">
        <v>1</v>
      </c>
      <c r="F202" s="10">
        <v>45915</v>
      </c>
      <c r="G202" s="6" t="str">
        <f>_xlfn.TEXTJOIN("|",TRUE,GameLog[[#This Row],[Pod]],TEXT(INT(GameLog[[#This Row],[Round]]),"yyyymmdd"),GameLog[[#This Row],[Date]])</f>
        <v>2|19000101|45915</v>
      </c>
      <c r="H202" s="6">
        <f>COUNTIF(GameLog[Pod ID],GameLog[[#This Row],[Pod ID]])</f>
        <v>3</v>
      </c>
      <c r="I202" s="6">
        <f>YEAR(GameLog[[#This Row],[Date]])</f>
        <v>2025</v>
      </c>
      <c r="J202" s="6">
        <f>MONTH(GameLog[[#This Row],[Date]])</f>
        <v>9</v>
      </c>
      <c r="K202" s="6" t="str">
        <f>IF(GameLog[[#This Row],[Date]]=MAX(GameLog[Date]),"Current","Previous")</f>
        <v>Previous</v>
      </c>
      <c r="L202" s="6"/>
      <c r="M2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" s="6" t="str">
        <f ca="1">IF(GameLog[[#This Row],[Check]]="","",COUNTIF(GameLog[[#Headers],[Check]]:GameLog[[#This Row],[Check]],"?*")-1)</f>
        <v/>
      </c>
      <c r="O202" s="6" t="str">
        <f>IFERROR(INDEX(Players[New name],MATCH(GameLog[[#This Row],[Player]],Players[Name],0)),GameLog[[#This Row],[Player]])</f>
        <v>Trevor</v>
      </c>
    </row>
    <row r="203" spans="1:15" x14ac:dyDescent="0.45">
      <c r="A203" s="6" t="s">
        <v>49</v>
      </c>
      <c r="B203" s="6" t="s">
        <v>53</v>
      </c>
      <c r="C203" s="6">
        <v>1</v>
      </c>
      <c r="D203" s="6">
        <v>3</v>
      </c>
      <c r="E203" s="6">
        <v>1</v>
      </c>
      <c r="F203" s="10">
        <v>45915</v>
      </c>
      <c r="G203" s="6" t="str">
        <f>_xlfn.TEXTJOIN("|",TRUE,GameLog[[#This Row],[Pod]],TEXT(INT(GameLog[[#This Row],[Round]]),"yyyymmdd"),GameLog[[#This Row],[Date]])</f>
        <v>3|19000101|45915</v>
      </c>
      <c r="H203" s="6">
        <f>COUNTIF(GameLog[Pod ID],GameLog[[#This Row],[Pod ID]])</f>
        <v>3</v>
      </c>
      <c r="I203" s="6">
        <f>YEAR(GameLog[[#This Row],[Date]])</f>
        <v>2025</v>
      </c>
      <c r="J203" s="6">
        <f>MONTH(GameLog[[#This Row],[Date]])</f>
        <v>9</v>
      </c>
      <c r="K203" s="6" t="str">
        <f>IF(GameLog[[#This Row],[Date]]=MAX(GameLog[Date]),"Current","Previous")</f>
        <v>Previous</v>
      </c>
      <c r="L203" s="6"/>
      <c r="M2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" s="6" t="str">
        <f ca="1">IF(GameLog[[#This Row],[Check]]="","",COUNTIF(GameLog[[#Headers],[Check]]:GameLog[[#This Row],[Check]],"?*")-1)</f>
        <v/>
      </c>
      <c r="O203" s="6" t="str">
        <f>IFERROR(INDEX(Players[New name],MATCH(GameLog[[#This Row],[Player]],Players[Name],0)),GameLog[[#This Row],[Player]])</f>
        <v>Brett R</v>
      </c>
    </row>
    <row r="204" spans="1:15" x14ac:dyDescent="0.45">
      <c r="A204" s="6" t="s">
        <v>57</v>
      </c>
      <c r="B204" s="6" t="s">
        <v>50</v>
      </c>
      <c r="C204" s="6">
        <v>2</v>
      </c>
      <c r="D204" s="6">
        <v>3</v>
      </c>
      <c r="E204" s="6">
        <v>1</v>
      </c>
      <c r="F204" s="10">
        <v>45915</v>
      </c>
      <c r="G204" s="6" t="str">
        <f>_xlfn.TEXTJOIN("|",TRUE,GameLog[[#This Row],[Pod]],TEXT(INT(GameLog[[#This Row],[Round]]),"yyyymmdd"),GameLog[[#This Row],[Date]])</f>
        <v>3|19000101|45915</v>
      </c>
      <c r="H204" s="6">
        <f>COUNTIF(GameLog[Pod ID],GameLog[[#This Row],[Pod ID]])</f>
        <v>3</v>
      </c>
      <c r="I204" s="6">
        <f>YEAR(GameLog[[#This Row],[Date]])</f>
        <v>2025</v>
      </c>
      <c r="J204" s="6">
        <f>MONTH(GameLog[[#This Row],[Date]])</f>
        <v>9</v>
      </c>
      <c r="K204" s="6" t="str">
        <f>IF(GameLog[[#This Row],[Date]]=MAX(GameLog[Date]),"Current","Previous")</f>
        <v>Previous</v>
      </c>
      <c r="L204" s="6"/>
      <c r="M2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" s="6" t="str">
        <f ca="1">IF(GameLog[[#This Row],[Check]]="","",COUNTIF(GameLog[[#Headers],[Check]]:GameLog[[#This Row],[Check]],"?*")-1)</f>
        <v/>
      </c>
      <c r="O204" s="6" t="str">
        <f>IFERROR(INDEX(Players[New name],MATCH(GameLog[[#This Row],[Player]],Players[Name],0)),GameLog[[#This Row],[Player]])</f>
        <v>AJ W</v>
      </c>
    </row>
    <row r="205" spans="1:15" x14ac:dyDescent="0.45">
      <c r="A205" s="6" t="s">
        <v>59</v>
      </c>
      <c r="B205" s="6" t="s">
        <v>53</v>
      </c>
      <c r="C205" s="6">
        <v>3</v>
      </c>
      <c r="D205" s="6">
        <v>3</v>
      </c>
      <c r="E205" s="6">
        <v>1</v>
      </c>
      <c r="F205" s="10">
        <v>45915</v>
      </c>
      <c r="G205" s="6" t="str">
        <f>_xlfn.TEXTJOIN("|",TRUE,GameLog[[#This Row],[Pod]],TEXT(INT(GameLog[[#This Row],[Round]]),"yyyymmdd"),GameLog[[#This Row],[Date]])</f>
        <v>3|19000101|45915</v>
      </c>
      <c r="H205" s="6">
        <f>COUNTIF(GameLog[Pod ID],GameLog[[#This Row],[Pod ID]])</f>
        <v>3</v>
      </c>
      <c r="I205" s="6">
        <f>YEAR(GameLog[[#This Row],[Date]])</f>
        <v>2025</v>
      </c>
      <c r="J205" s="6">
        <f>MONTH(GameLog[[#This Row],[Date]])</f>
        <v>9</v>
      </c>
      <c r="K205" s="6" t="str">
        <f>IF(GameLog[[#This Row],[Date]]=MAX(GameLog[Date]),"Current","Previous")</f>
        <v>Previous</v>
      </c>
      <c r="L205" s="6"/>
      <c r="M2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" s="6" t="str">
        <f ca="1">IF(GameLog[[#This Row],[Check]]="","",COUNTIF(GameLog[[#Headers],[Check]]:GameLog[[#This Row],[Check]],"?*")-1)</f>
        <v/>
      </c>
      <c r="O205" s="6" t="str">
        <f>IFERROR(INDEX(Players[New name],MATCH(GameLog[[#This Row],[Player]],Players[Name],0)),GameLog[[#This Row],[Player]])</f>
        <v>Zack B</v>
      </c>
    </row>
    <row r="206" spans="1:15" x14ac:dyDescent="0.45">
      <c r="A206" s="6" t="s">
        <v>77</v>
      </c>
      <c r="B206" s="6" t="s">
        <v>53</v>
      </c>
      <c r="C206" s="6">
        <v>1</v>
      </c>
      <c r="D206" s="6">
        <v>4</v>
      </c>
      <c r="E206" s="6">
        <v>1</v>
      </c>
      <c r="F206" s="10">
        <v>45915</v>
      </c>
      <c r="G206" s="6" t="str">
        <f>_xlfn.TEXTJOIN("|",TRUE,GameLog[[#This Row],[Pod]],TEXT(INT(GameLog[[#This Row],[Round]]),"yyyymmdd"),GameLog[[#This Row],[Date]])</f>
        <v>4|19000101|45915</v>
      </c>
      <c r="H206" s="6">
        <f>COUNTIF(GameLog[Pod ID],GameLog[[#This Row],[Pod ID]])</f>
        <v>3</v>
      </c>
      <c r="I206" s="6">
        <f>YEAR(GameLog[[#This Row],[Date]])</f>
        <v>2025</v>
      </c>
      <c r="J206" s="6">
        <f>MONTH(GameLog[[#This Row],[Date]])</f>
        <v>9</v>
      </c>
      <c r="K206" s="6" t="str">
        <f>IF(GameLog[[#This Row],[Date]]=MAX(GameLog[Date]),"Current","Previous")</f>
        <v>Previous</v>
      </c>
      <c r="L206" s="6"/>
      <c r="M2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" s="6" t="str">
        <f ca="1">IF(GameLog[[#This Row],[Check]]="","",COUNTIF(GameLog[[#Headers],[Check]]:GameLog[[#This Row],[Check]],"?*")-1)</f>
        <v/>
      </c>
      <c r="O206" s="6" t="str">
        <f>IFERROR(INDEX(Players[New name],MATCH(GameLog[[#This Row],[Player]],Players[Name],0)),GameLog[[#This Row],[Player]])</f>
        <v>Dave M</v>
      </c>
    </row>
    <row r="207" spans="1:15" x14ac:dyDescent="0.45">
      <c r="A207" s="6" t="s">
        <v>69</v>
      </c>
      <c r="B207" s="6" t="s">
        <v>50</v>
      </c>
      <c r="C207" s="6">
        <v>2</v>
      </c>
      <c r="D207" s="6">
        <v>4</v>
      </c>
      <c r="E207" s="6">
        <v>1</v>
      </c>
      <c r="F207" s="10">
        <v>45915</v>
      </c>
      <c r="G207" s="6" t="str">
        <f>_xlfn.TEXTJOIN("|",TRUE,GameLog[[#This Row],[Pod]],TEXT(INT(GameLog[[#This Row],[Round]]),"yyyymmdd"),GameLog[[#This Row],[Date]])</f>
        <v>4|19000101|45915</v>
      </c>
      <c r="H207" s="6">
        <f>COUNTIF(GameLog[Pod ID],GameLog[[#This Row],[Pod ID]])</f>
        <v>3</v>
      </c>
      <c r="I207" s="6">
        <f>YEAR(GameLog[[#This Row],[Date]])</f>
        <v>2025</v>
      </c>
      <c r="J207" s="6">
        <f>MONTH(GameLog[[#This Row],[Date]])</f>
        <v>9</v>
      </c>
      <c r="K207" s="6" t="str">
        <f>IF(GameLog[[#This Row],[Date]]=MAX(GameLog[Date]),"Current","Previous")</f>
        <v>Previous</v>
      </c>
      <c r="L207" s="6"/>
      <c r="M2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" s="6" t="str">
        <f ca="1">IF(GameLog[[#This Row],[Check]]="","",COUNTIF(GameLog[[#Headers],[Check]]:GameLog[[#This Row],[Check]],"?*")-1)</f>
        <v/>
      </c>
      <c r="O207" s="6" t="str">
        <f>IFERROR(INDEX(Players[New name],MATCH(GameLog[[#This Row],[Player]],Players[Name],0)),GameLog[[#This Row],[Player]])</f>
        <v>Ryan T</v>
      </c>
    </row>
    <row r="208" spans="1:15" x14ac:dyDescent="0.45">
      <c r="A208" s="6" t="s">
        <v>65</v>
      </c>
      <c r="B208" s="6" t="s">
        <v>53</v>
      </c>
      <c r="C208" s="6">
        <v>3</v>
      </c>
      <c r="D208" s="6">
        <v>4</v>
      </c>
      <c r="E208" s="6">
        <v>1</v>
      </c>
      <c r="F208" s="10">
        <v>45915</v>
      </c>
      <c r="G208" s="6" t="str">
        <f>_xlfn.TEXTJOIN("|",TRUE,GameLog[[#This Row],[Pod]],TEXT(INT(GameLog[[#This Row],[Round]]),"yyyymmdd"),GameLog[[#This Row],[Date]])</f>
        <v>4|19000101|45915</v>
      </c>
      <c r="H208" s="6">
        <f>COUNTIF(GameLog[Pod ID],GameLog[[#This Row],[Pod ID]])</f>
        <v>3</v>
      </c>
      <c r="I208" s="6">
        <f>YEAR(GameLog[[#This Row],[Date]])</f>
        <v>2025</v>
      </c>
      <c r="J208" s="6">
        <f>MONTH(GameLog[[#This Row],[Date]])</f>
        <v>9</v>
      </c>
      <c r="K208" s="6" t="str">
        <f>IF(GameLog[[#This Row],[Date]]=MAX(GameLog[Date]),"Current","Previous")</f>
        <v>Previous</v>
      </c>
      <c r="L208" s="6"/>
      <c r="M2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" s="6" t="str">
        <f ca="1">IF(GameLog[[#This Row],[Check]]="","",COUNTIF(GameLog[[#Headers],[Check]]:GameLog[[#This Row],[Check]],"?*")-1)</f>
        <v/>
      </c>
      <c r="O208" s="6" t="str">
        <f>IFERROR(INDEX(Players[New name],MATCH(GameLog[[#This Row],[Player]],Players[Name],0)),GameLog[[#This Row],[Player]])</f>
        <v>Mitch</v>
      </c>
    </row>
    <row r="209" spans="1:15" x14ac:dyDescent="0.45">
      <c r="A209" s="6" t="s">
        <v>58</v>
      </c>
      <c r="B209" s="6" t="s">
        <v>53</v>
      </c>
      <c r="C209" s="6">
        <v>1</v>
      </c>
      <c r="D209" s="6">
        <v>1</v>
      </c>
      <c r="E209" s="6">
        <v>2</v>
      </c>
      <c r="F209" s="10">
        <v>45915</v>
      </c>
      <c r="G209" s="6" t="str">
        <f>_xlfn.TEXTJOIN("|",TRUE,GameLog[[#This Row],[Pod]],TEXT(INT(GameLog[[#This Row],[Round]]),"yyyymmdd"),GameLog[[#This Row],[Date]])</f>
        <v>1|19000102|45915</v>
      </c>
      <c r="H209" s="6">
        <f>COUNTIF(GameLog[Pod ID],GameLog[[#This Row],[Pod ID]])</f>
        <v>4</v>
      </c>
      <c r="I209" s="6">
        <f>YEAR(GameLog[[#This Row],[Date]])</f>
        <v>2025</v>
      </c>
      <c r="J209" s="6">
        <f>MONTH(GameLog[[#This Row],[Date]])</f>
        <v>9</v>
      </c>
      <c r="K209" s="6" t="str">
        <f>IF(GameLog[[#This Row],[Date]]=MAX(GameLog[Date]),"Current","Previous")</f>
        <v>Previous</v>
      </c>
      <c r="L209" s="6"/>
      <c r="M2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" s="6" t="str">
        <f ca="1">IF(GameLog[[#This Row],[Check]]="","",COUNTIF(GameLog[[#Headers],[Check]]:GameLog[[#This Row],[Check]],"?*")-1)</f>
        <v/>
      </c>
      <c r="O209" s="6" t="str">
        <f>IFERROR(INDEX(Players[New name],MATCH(GameLog[[#This Row],[Player]],Players[Name],0)),GameLog[[#This Row],[Player]])</f>
        <v>Dakota P</v>
      </c>
    </row>
    <row r="210" spans="1:15" x14ac:dyDescent="0.45">
      <c r="A210" s="6" t="s">
        <v>69</v>
      </c>
      <c r="B210" s="6" t="s">
        <v>53</v>
      </c>
      <c r="C210" s="6">
        <v>2</v>
      </c>
      <c r="D210" s="6">
        <v>1</v>
      </c>
      <c r="E210" s="6">
        <v>2</v>
      </c>
      <c r="F210" s="10">
        <v>45915</v>
      </c>
      <c r="G210" s="6" t="str">
        <f>_xlfn.TEXTJOIN("|",TRUE,GameLog[[#This Row],[Pod]],TEXT(INT(GameLog[[#This Row],[Round]]),"yyyymmdd"),GameLog[[#This Row],[Date]])</f>
        <v>1|19000102|45915</v>
      </c>
      <c r="H210" s="6">
        <f>COUNTIF(GameLog[Pod ID],GameLog[[#This Row],[Pod ID]])</f>
        <v>4</v>
      </c>
      <c r="I210" s="6">
        <f>YEAR(GameLog[[#This Row],[Date]])</f>
        <v>2025</v>
      </c>
      <c r="J210" s="6">
        <f>MONTH(GameLog[[#This Row],[Date]])</f>
        <v>9</v>
      </c>
      <c r="K210" s="6" t="str">
        <f>IF(GameLog[[#This Row],[Date]]=MAX(GameLog[Date]),"Current","Previous")</f>
        <v>Previous</v>
      </c>
      <c r="L210" s="6"/>
      <c r="M2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" s="6" t="str">
        <f ca="1">IF(GameLog[[#This Row],[Check]]="","",COUNTIF(GameLog[[#Headers],[Check]]:GameLog[[#This Row],[Check]],"?*")-1)</f>
        <v/>
      </c>
      <c r="O210" s="6" t="str">
        <f>IFERROR(INDEX(Players[New name],MATCH(GameLog[[#This Row],[Player]],Players[Name],0)),GameLog[[#This Row],[Player]])</f>
        <v>Ryan T</v>
      </c>
    </row>
    <row r="211" spans="1:15" x14ac:dyDescent="0.45">
      <c r="A211" s="6" t="s">
        <v>57</v>
      </c>
      <c r="B211" s="6" t="s">
        <v>53</v>
      </c>
      <c r="C211" s="6">
        <v>3</v>
      </c>
      <c r="D211" s="6">
        <v>1</v>
      </c>
      <c r="E211" s="6">
        <v>2</v>
      </c>
      <c r="F211" s="10">
        <v>45915</v>
      </c>
      <c r="G211" s="6" t="str">
        <f>_xlfn.TEXTJOIN("|",TRUE,GameLog[[#This Row],[Pod]],TEXT(INT(GameLog[[#This Row],[Round]]),"yyyymmdd"),GameLog[[#This Row],[Date]])</f>
        <v>1|19000102|45915</v>
      </c>
      <c r="H211" s="6">
        <f>COUNTIF(GameLog[Pod ID],GameLog[[#This Row],[Pod ID]])</f>
        <v>4</v>
      </c>
      <c r="I211" s="6">
        <f>YEAR(GameLog[[#This Row],[Date]])</f>
        <v>2025</v>
      </c>
      <c r="J211" s="6">
        <f>MONTH(GameLog[[#This Row],[Date]])</f>
        <v>9</v>
      </c>
      <c r="K211" s="6" t="str">
        <f>IF(GameLog[[#This Row],[Date]]=MAX(GameLog[Date]),"Current","Previous")</f>
        <v>Previous</v>
      </c>
      <c r="L211" s="6"/>
      <c r="M2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" s="6" t="str">
        <f ca="1">IF(GameLog[[#This Row],[Check]]="","",COUNTIF(GameLog[[#Headers],[Check]]:GameLog[[#This Row],[Check]],"?*")-1)</f>
        <v/>
      </c>
      <c r="O211" s="6" t="str">
        <f>IFERROR(INDEX(Players[New name],MATCH(GameLog[[#This Row],[Player]],Players[Name],0)),GameLog[[#This Row],[Player]])</f>
        <v>AJ W</v>
      </c>
    </row>
    <row r="212" spans="1:15" x14ac:dyDescent="0.45">
      <c r="A212" s="6" t="s">
        <v>68</v>
      </c>
      <c r="B212" s="6" t="s">
        <v>50</v>
      </c>
      <c r="C212" s="6">
        <v>4</v>
      </c>
      <c r="D212" s="6">
        <v>1</v>
      </c>
      <c r="E212" s="6">
        <v>2</v>
      </c>
      <c r="F212" s="10">
        <v>45915</v>
      </c>
      <c r="G212" s="6" t="str">
        <f>_xlfn.TEXTJOIN("|",TRUE,GameLog[[#This Row],[Pod]],TEXT(INT(GameLog[[#This Row],[Round]]),"yyyymmdd"),GameLog[[#This Row],[Date]])</f>
        <v>1|19000102|45915</v>
      </c>
      <c r="H212" s="6">
        <f>COUNTIF(GameLog[Pod ID],GameLog[[#This Row],[Pod ID]])</f>
        <v>4</v>
      </c>
      <c r="I212" s="6">
        <f>YEAR(GameLog[[#This Row],[Date]])</f>
        <v>2025</v>
      </c>
      <c r="J212" s="6">
        <f>MONTH(GameLog[[#This Row],[Date]])</f>
        <v>9</v>
      </c>
      <c r="K212" s="6" t="str">
        <f>IF(GameLog[[#This Row],[Date]]=MAX(GameLog[Date]),"Current","Previous")</f>
        <v>Previous</v>
      </c>
      <c r="L212" s="6"/>
      <c r="M2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" s="6" t="str">
        <f ca="1">IF(GameLog[[#This Row],[Check]]="","",COUNTIF(GameLog[[#Headers],[Check]]:GameLog[[#This Row],[Check]],"?*")-1)</f>
        <v/>
      </c>
      <c r="O212" s="6" t="str">
        <f>IFERROR(INDEX(Players[New name],MATCH(GameLog[[#This Row],[Player]],Players[Name],0)),GameLog[[#This Row],[Player]])</f>
        <v>Edwin M</v>
      </c>
    </row>
    <row r="213" spans="1:15" x14ac:dyDescent="0.45">
      <c r="A213" s="6" t="s">
        <v>73</v>
      </c>
      <c r="B213" s="6" t="s">
        <v>50</v>
      </c>
      <c r="C213" s="6">
        <v>1</v>
      </c>
      <c r="D213" s="6">
        <v>2</v>
      </c>
      <c r="E213" s="6">
        <v>2</v>
      </c>
      <c r="F213" s="10">
        <v>45915</v>
      </c>
      <c r="G213" s="6" t="str">
        <f>_xlfn.TEXTJOIN("|",TRUE,GameLog[[#This Row],[Pod]],TEXT(INT(GameLog[[#This Row],[Round]]),"yyyymmdd"),GameLog[[#This Row],[Date]])</f>
        <v>2|19000102|45915</v>
      </c>
      <c r="H213" s="6">
        <f>COUNTIF(GameLog[Pod ID],GameLog[[#This Row],[Pod ID]])</f>
        <v>4</v>
      </c>
      <c r="I213" s="6">
        <f>YEAR(GameLog[[#This Row],[Date]])</f>
        <v>2025</v>
      </c>
      <c r="J213" s="6">
        <f>MONTH(GameLog[[#This Row],[Date]])</f>
        <v>9</v>
      </c>
      <c r="K213" s="6" t="str">
        <f>IF(GameLog[[#This Row],[Date]]=MAX(GameLog[Date]),"Current","Previous")</f>
        <v>Previous</v>
      </c>
      <c r="L213" s="6"/>
      <c r="M2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" s="6" t="str">
        <f ca="1">IF(GameLog[[#This Row],[Check]]="","",COUNTIF(GameLog[[#Headers],[Check]]:GameLog[[#This Row],[Check]],"?*")-1)</f>
        <v/>
      </c>
      <c r="O213" s="6" t="str">
        <f>IFERROR(INDEX(Players[New name],MATCH(GameLog[[#This Row],[Player]],Players[Name],0)),GameLog[[#This Row],[Player]])</f>
        <v>Brandon B</v>
      </c>
    </row>
    <row r="214" spans="1:15" x14ac:dyDescent="0.45">
      <c r="A214" s="6" t="s">
        <v>70</v>
      </c>
      <c r="B214" s="6" t="s">
        <v>53</v>
      </c>
      <c r="C214" s="6">
        <v>2</v>
      </c>
      <c r="D214" s="6">
        <v>2</v>
      </c>
      <c r="E214" s="6">
        <v>2</v>
      </c>
      <c r="F214" s="10">
        <v>45915</v>
      </c>
      <c r="G214" s="6" t="str">
        <f>_xlfn.TEXTJOIN("|",TRUE,GameLog[[#This Row],[Pod]],TEXT(INT(GameLog[[#This Row],[Round]]),"yyyymmdd"),GameLog[[#This Row],[Date]])</f>
        <v>2|19000102|45915</v>
      </c>
      <c r="H214" s="6">
        <f>COUNTIF(GameLog[Pod ID],GameLog[[#This Row],[Pod ID]])</f>
        <v>4</v>
      </c>
      <c r="I214" s="6">
        <f>YEAR(GameLog[[#This Row],[Date]])</f>
        <v>2025</v>
      </c>
      <c r="J214" s="6">
        <f>MONTH(GameLog[[#This Row],[Date]])</f>
        <v>9</v>
      </c>
      <c r="K214" s="6" t="str">
        <f>IF(GameLog[[#This Row],[Date]]=MAX(GameLog[Date]),"Current","Previous")</f>
        <v>Previous</v>
      </c>
      <c r="L214" s="6"/>
      <c r="M2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" s="6" t="str">
        <f ca="1">IF(GameLog[[#This Row],[Check]]="","",COUNTIF(GameLog[[#Headers],[Check]]:GameLog[[#This Row],[Check]],"?*")-1)</f>
        <v/>
      </c>
      <c r="O214" s="6" t="str">
        <f>IFERROR(INDEX(Players[New name],MATCH(GameLog[[#This Row],[Player]],Players[Name],0)),GameLog[[#This Row],[Player]])</f>
        <v>Brad F</v>
      </c>
    </row>
    <row r="215" spans="1:15" x14ac:dyDescent="0.45">
      <c r="A215" s="6" t="s">
        <v>59</v>
      </c>
      <c r="B215" s="6" t="s">
        <v>53</v>
      </c>
      <c r="C215" s="6">
        <v>3</v>
      </c>
      <c r="D215" s="6">
        <v>2</v>
      </c>
      <c r="E215" s="6">
        <v>2</v>
      </c>
      <c r="F215" s="10">
        <v>45915</v>
      </c>
      <c r="G215" s="6" t="str">
        <f>_xlfn.TEXTJOIN("|",TRUE,GameLog[[#This Row],[Pod]],TEXT(INT(GameLog[[#This Row],[Round]]),"yyyymmdd"),GameLog[[#This Row],[Date]])</f>
        <v>2|19000102|45915</v>
      </c>
      <c r="H215" s="6">
        <f>COUNTIF(GameLog[Pod ID],GameLog[[#This Row],[Pod ID]])</f>
        <v>4</v>
      </c>
      <c r="I215" s="6">
        <f>YEAR(GameLog[[#This Row],[Date]])</f>
        <v>2025</v>
      </c>
      <c r="J215" s="6">
        <f>MONTH(GameLog[[#This Row],[Date]])</f>
        <v>9</v>
      </c>
      <c r="K215" s="6" t="str">
        <f>IF(GameLog[[#This Row],[Date]]=MAX(GameLog[Date]),"Current","Previous")</f>
        <v>Previous</v>
      </c>
      <c r="L215" s="6"/>
      <c r="M2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" s="6" t="str">
        <f ca="1">IF(GameLog[[#This Row],[Check]]="","",COUNTIF(GameLog[[#Headers],[Check]]:GameLog[[#This Row],[Check]],"?*")-1)</f>
        <v/>
      </c>
      <c r="O215" s="6" t="str">
        <f>IFERROR(INDEX(Players[New name],MATCH(GameLog[[#This Row],[Player]],Players[Name],0)),GameLog[[#This Row],[Player]])</f>
        <v>Zack B</v>
      </c>
    </row>
    <row r="216" spans="1:15" x14ac:dyDescent="0.45">
      <c r="A216" s="6" t="s">
        <v>76</v>
      </c>
      <c r="B216" s="6" t="s">
        <v>53</v>
      </c>
      <c r="C216" s="6">
        <v>4</v>
      </c>
      <c r="D216" s="6">
        <v>2</v>
      </c>
      <c r="E216" s="6">
        <v>2</v>
      </c>
      <c r="F216" s="10">
        <v>45915</v>
      </c>
      <c r="G216" s="6" t="str">
        <f>_xlfn.TEXTJOIN("|",TRUE,GameLog[[#This Row],[Pod]],TEXT(INT(GameLog[[#This Row],[Round]]),"yyyymmdd"),GameLog[[#This Row],[Date]])</f>
        <v>2|19000102|45915</v>
      </c>
      <c r="H216" s="6">
        <f>COUNTIF(GameLog[Pod ID],GameLog[[#This Row],[Pod ID]])</f>
        <v>4</v>
      </c>
      <c r="I216" s="6">
        <f>YEAR(GameLog[[#This Row],[Date]])</f>
        <v>2025</v>
      </c>
      <c r="J216" s="6">
        <f>MONTH(GameLog[[#This Row],[Date]])</f>
        <v>9</v>
      </c>
      <c r="K216" s="6" t="str">
        <f>IF(GameLog[[#This Row],[Date]]=MAX(GameLog[Date]),"Current","Previous")</f>
        <v>Previous</v>
      </c>
      <c r="L216" s="6"/>
      <c r="M2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" s="6" t="str">
        <f ca="1">IF(GameLog[[#This Row],[Check]]="","",COUNTIF(GameLog[[#Headers],[Check]]:GameLog[[#This Row],[Check]],"?*")-1)</f>
        <v/>
      </c>
      <c r="O216" s="6" t="str">
        <f>IFERROR(INDEX(Players[New name],MATCH(GameLog[[#This Row],[Player]],Players[Name],0)),GameLog[[#This Row],[Player]])</f>
        <v>Jon M</v>
      </c>
    </row>
    <row r="217" spans="1:15" x14ac:dyDescent="0.45">
      <c r="A217" s="6" t="s">
        <v>77</v>
      </c>
      <c r="B217" s="6" t="s">
        <v>53</v>
      </c>
      <c r="C217" s="6">
        <v>1</v>
      </c>
      <c r="D217" s="6">
        <v>3</v>
      </c>
      <c r="E217" s="6">
        <v>2</v>
      </c>
      <c r="F217" s="10">
        <v>45915</v>
      </c>
      <c r="G217" s="6" t="str">
        <f>_xlfn.TEXTJOIN("|",TRUE,GameLog[[#This Row],[Pod]],TEXT(INT(GameLog[[#This Row],[Round]]),"yyyymmdd"),GameLog[[#This Row],[Date]])</f>
        <v>3|19000102|45915</v>
      </c>
      <c r="H217" s="6">
        <f>COUNTIF(GameLog[Pod ID],GameLog[[#This Row],[Pod ID]])</f>
        <v>3</v>
      </c>
      <c r="I217" s="6">
        <f>YEAR(GameLog[[#This Row],[Date]])</f>
        <v>2025</v>
      </c>
      <c r="J217" s="6">
        <f>MONTH(GameLog[[#This Row],[Date]])</f>
        <v>9</v>
      </c>
      <c r="K217" s="6" t="str">
        <f>IF(GameLog[[#This Row],[Date]]=MAX(GameLog[Date]),"Current","Previous")</f>
        <v>Previous</v>
      </c>
      <c r="L217" s="6"/>
      <c r="M2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" s="6" t="str">
        <f ca="1">IF(GameLog[[#This Row],[Check]]="","",COUNTIF(GameLog[[#Headers],[Check]]:GameLog[[#This Row],[Check]],"?*")-1)</f>
        <v/>
      </c>
      <c r="O217" s="6" t="str">
        <f>IFERROR(INDEX(Players[New name],MATCH(GameLog[[#This Row],[Player]],Players[Name],0)),GameLog[[#This Row],[Player]])</f>
        <v>Dave M</v>
      </c>
    </row>
    <row r="218" spans="1:15" x14ac:dyDescent="0.45">
      <c r="A218" s="6" t="s">
        <v>49</v>
      </c>
      <c r="B218" s="6" t="s">
        <v>50</v>
      </c>
      <c r="C218" s="6">
        <v>2</v>
      </c>
      <c r="D218" s="6">
        <v>3</v>
      </c>
      <c r="E218" s="6">
        <v>2</v>
      </c>
      <c r="F218" s="10">
        <v>45915</v>
      </c>
      <c r="G218" s="6" t="str">
        <f>_xlfn.TEXTJOIN("|",TRUE,GameLog[[#This Row],[Pod]],TEXT(INT(GameLog[[#This Row],[Round]]),"yyyymmdd"),GameLog[[#This Row],[Date]])</f>
        <v>3|19000102|45915</v>
      </c>
      <c r="H218" s="6">
        <f>COUNTIF(GameLog[Pod ID],GameLog[[#This Row],[Pod ID]])</f>
        <v>3</v>
      </c>
      <c r="I218" s="6">
        <f>YEAR(GameLog[[#This Row],[Date]])</f>
        <v>2025</v>
      </c>
      <c r="J218" s="6">
        <f>MONTH(GameLog[[#This Row],[Date]])</f>
        <v>9</v>
      </c>
      <c r="K218" s="6" t="str">
        <f>IF(GameLog[[#This Row],[Date]]=MAX(GameLog[Date]),"Current","Previous")</f>
        <v>Previous</v>
      </c>
      <c r="L218" s="6"/>
      <c r="M2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" s="6" t="str">
        <f ca="1">IF(GameLog[[#This Row],[Check]]="","",COUNTIF(GameLog[[#Headers],[Check]]:GameLog[[#This Row],[Check]],"?*")-1)</f>
        <v/>
      </c>
      <c r="O218" s="6" t="str">
        <f>IFERROR(INDEX(Players[New name],MATCH(GameLog[[#This Row],[Player]],Players[Name],0)),GameLog[[#This Row],[Player]])</f>
        <v>Brett R</v>
      </c>
    </row>
    <row r="219" spans="1:15" x14ac:dyDescent="0.45">
      <c r="A219" s="6" t="s">
        <v>64</v>
      </c>
      <c r="B219" s="6" t="s">
        <v>53</v>
      </c>
      <c r="C219" s="6">
        <v>3</v>
      </c>
      <c r="D219" s="6">
        <v>3</v>
      </c>
      <c r="E219" s="6">
        <v>2</v>
      </c>
      <c r="F219" s="10">
        <v>45915</v>
      </c>
      <c r="G219" s="6" t="str">
        <f>_xlfn.TEXTJOIN("|",TRUE,GameLog[[#This Row],[Pod]],TEXT(INT(GameLog[[#This Row],[Round]]),"yyyymmdd"),GameLog[[#This Row],[Date]])</f>
        <v>3|19000102|45915</v>
      </c>
      <c r="H219" s="6">
        <f>COUNTIF(GameLog[Pod ID],GameLog[[#This Row],[Pod ID]])</f>
        <v>3</v>
      </c>
      <c r="I219" s="6">
        <f>YEAR(GameLog[[#This Row],[Date]])</f>
        <v>2025</v>
      </c>
      <c r="J219" s="6">
        <f>MONTH(GameLog[[#This Row],[Date]])</f>
        <v>9</v>
      </c>
      <c r="K219" s="6" t="str">
        <f>IF(GameLog[[#This Row],[Date]]=MAX(GameLog[Date]),"Current","Previous")</f>
        <v>Previous</v>
      </c>
      <c r="L219" s="6"/>
      <c r="M2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" s="6" t="str">
        <f ca="1">IF(GameLog[[#This Row],[Check]]="","",COUNTIF(GameLog[[#Headers],[Check]]:GameLog[[#This Row],[Check]],"?*")-1)</f>
        <v/>
      </c>
      <c r="O219" s="6" t="str">
        <f>IFERROR(INDEX(Players[New name],MATCH(GameLog[[#This Row],[Player]],Players[Name],0)),GameLog[[#This Row],[Player]])</f>
        <v>Tyler B</v>
      </c>
    </row>
    <row r="220" spans="1:15" x14ac:dyDescent="0.45">
      <c r="A220" s="6" t="s">
        <v>55</v>
      </c>
      <c r="B220" s="6" t="s">
        <v>50</v>
      </c>
      <c r="C220" s="6">
        <v>1</v>
      </c>
      <c r="D220" s="6">
        <v>4</v>
      </c>
      <c r="E220" s="6">
        <v>2</v>
      </c>
      <c r="F220" s="10">
        <v>45915</v>
      </c>
      <c r="G220" s="6" t="str">
        <f>_xlfn.TEXTJOIN("|",TRUE,GameLog[[#This Row],[Pod]],TEXT(INT(GameLog[[#This Row],[Round]]),"yyyymmdd"),GameLog[[#This Row],[Date]])</f>
        <v>4|19000102|45915</v>
      </c>
      <c r="H220" s="6">
        <f>COUNTIF(GameLog[Pod ID],GameLog[[#This Row],[Pod ID]])</f>
        <v>3</v>
      </c>
      <c r="I220" s="6">
        <f>YEAR(GameLog[[#This Row],[Date]])</f>
        <v>2025</v>
      </c>
      <c r="J220" s="6">
        <f>MONTH(GameLog[[#This Row],[Date]])</f>
        <v>9</v>
      </c>
      <c r="K220" s="6" t="str">
        <f>IF(GameLog[[#This Row],[Date]]=MAX(GameLog[Date]),"Current","Previous")</f>
        <v>Previous</v>
      </c>
      <c r="L220" s="6"/>
      <c r="M2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" s="6" t="str">
        <f ca="1">IF(GameLog[[#This Row],[Check]]="","",COUNTIF(GameLog[[#Headers],[Check]]:GameLog[[#This Row],[Check]],"?*")-1)</f>
        <v/>
      </c>
      <c r="O220" s="6" t="str">
        <f>IFERROR(INDEX(Players[New name],MATCH(GameLog[[#This Row],[Player]],Players[Name],0)),GameLog[[#This Row],[Player]])</f>
        <v>Bryce C</v>
      </c>
    </row>
    <row r="221" spans="1:15" x14ac:dyDescent="0.45">
      <c r="A221" s="6" t="s">
        <v>61</v>
      </c>
      <c r="B221" s="6" t="s">
        <v>53</v>
      </c>
      <c r="C221" s="6">
        <v>2</v>
      </c>
      <c r="D221" s="6">
        <v>4</v>
      </c>
      <c r="E221" s="6">
        <v>2</v>
      </c>
      <c r="F221" s="10">
        <v>45915</v>
      </c>
      <c r="G221" s="6" t="str">
        <f>_xlfn.TEXTJOIN("|",TRUE,GameLog[[#This Row],[Pod]],TEXT(INT(GameLog[[#This Row],[Round]]),"yyyymmdd"),GameLog[[#This Row],[Date]])</f>
        <v>4|19000102|45915</v>
      </c>
      <c r="H221" s="6">
        <f>COUNTIF(GameLog[Pod ID],GameLog[[#This Row],[Pod ID]])</f>
        <v>3</v>
      </c>
      <c r="I221" s="6">
        <f>YEAR(GameLog[[#This Row],[Date]])</f>
        <v>2025</v>
      </c>
      <c r="J221" s="6">
        <f>MONTH(GameLog[[#This Row],[Date]])</f>
        <v>9</v>
      </c>
      <c r="K221" s="6" t="str">
        <f>IF(GameLog[[#This Row],[Date]]=MAX(GameLog[Date]),"Current","Previous")</f>
        <v>Previous</v>
      </c>
      <c r="L221" s="6"/>
      <c r="M2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" s="6" t="str">
        <f ca="1">IF(GameLog[[#This Row],[Check]]="","",COUNTIF(GameLog[[#Headers],[Check]]:GameLog[[#This Row],[Check]],"?*")-1)</f>
        <v/>
      </c>
      <c r="O221" s="6" t="str">
        <f>IFERROR(INDEX(Players[New name],MATCH(GameLog[[#This Row],[Player]],Players[Name],0)),GameLog[[#This Row],[Player]])</f>
        <v>Trevor</v>
      </c>
    </row>
    <row r="222" spans="1:15" x14ac:dyDescent="0.45">
      <c r="A222" s="6" t="s">
        <v>65</v>
      </c>
      <c r="B222" s="6" t="s">
        <v>53</v>
      </c>
      <c r="C222" s="6">
        <v>3</v>
      </c>
      <c r="D222" s="6">
        <v>4</v>
      </c>
      <c r="E222" s="6">
        <v>2</v>
      </c>
      <c r="F222" s="10">
        <v>45915</v>
      </c>
      <c r="G222" s="6" t="str">
        <f>_xlfn.TEXTJOIN("|",TRUE,GameLog[[#This Row],[Pod]],TEXT(INT(GameLog[[#This Row],[Round]]),"yyyymmdd"),GameLog[[#This Row],[Date]])</f>
        <v>4|19000102|45915</v>
      </c>
      <c r="H222" s="6">
        <f>COUNTIF(GameLog[Pod ID],GameLog[[#This Row],[Pod ID]])</f>
        <v>3</v>
      </c>
      <c r="I222" s="6">
        <f>YEAR(GameLog[[#This Row],[Date]])</f>
        <v>2025</v>
      </c>
      <c r="J222" s="6">
        <f>MONTH(GameLog[[#This Row],[Date]])</f>
        <v>9</v>
      </c>
      <c r="K222" s="6" t="str">
        <f>IF(GameLog[[#This Row],[Date]]=MAX(GameLog[Date]),"Current","Previous")</f>
        <v>Previous</v>
      </c>
      <c r="L222" s="6"/>
      <c r="M2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" s="6" t="str">
        <f ca="1">IF(GameLog[[#This Row],[Check]]="","",COUNTIF(GameLog[[#Headers],[Check]]:GameLog[[#This Row],[Check]],"?*")-1)</f>
        <v/>
      </c>
      <c r="O222" s="6" t="str">
        <f>IFERROR(INDEX(Players[New name],MATCH(GameLog[[#This Row],[Player]],Players[Name],0)),GameLog[[#This Row],[Player]])</f>
        <v>Mitch</v>
      </c>
    </row>
    <row r="223" spans="1:15" x14ac:dyDescent="0.45">
      <c r="A223" s="6" t="s">
        <v>71</v>
      </c>
      <c r="B223" s="6" t="s">
        <v>53</v>
      </c>
      <c r="C223" s="6">
        <v>1</v>
      </c>
      <c r="D223" s="6">
        <v>1</v>
      </c>
      <c r="E223" s="6">
        <v>1</v>
      </c>
      <c r="F223" s="10">
        <v>45922</v>
      </c>
      <c r="G223" s="6" t="str">
        <f>_xlfn.TEXTJOIN("|",TRUE,GameLog[[#This Row],[Pod]],TEXT(INT(GameLog[[#This Row],[Round]]),"yyyymmdd"),GameLog[[#This Row],[Date]])</f>
        <v>1|19000101|45922</v>
      </c>
      <c r="H223" s="6">
        <f>COUNTIF(GameLog[Pod ID],GameLog[[#This Row],[Pod ID]])</f>
        <v>5</v>
      </c>
      <c r="I223" s="6">
        <f>YEAR(GameLog[[#This Row],[Date]])</f>
        <v>2025</v>
      </c>
      <c r="J223" s="6">
        <f>MONTH(GameLog[[#This Row],[Date]])</f>
        <v>9</v>
      </c>
      <c r="K223" s="6" t="str">
        <f>IF(GameLog[[#This Row],[Date]]=MAX(GameLog[Date]),"Current","Previous")</f>
        <v>Previous</v>
      </c>
      <c r="L223" s="6"/>
      <c r="M2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" s="6" t="str">
        <f ca="1">IF(GameLog[[#This Row],[Check]]="","",COUNTIF(GameLog[[#Headers],[Check]]:GameLog[[#This Row],[Check]],"?*")-1)</f>
        <v/>
      </c>
      <c r="O223" s="6" t="str">
        <f>IFERROR(INDEX(Players[New name],MATCH(GameLog[[#This Row],[Player]],Players[Name],0)),GameLog[[#This Row],[Player]])</f>
        <v>Rodney Y</v>
      </c>
    </row>
    <row r="224" spans="1:15" x14ac:dyDescent="0.45">
      <c r="A224" s="6" t="s">
        <v>55</v>
      </c>
      <c r="B224" s="6" t="s">
        <v>50</v>
      </c>
      <c r="C224" s="6">
        <v>2</v>
      </c>
      <c r="D224" s="6">
        <v>1</v>
      </c>
      <c r="E224" s="6">
        <v>1</v>
      </c>
      <c r="F224" s="10">
        <v>45922</v>
      </c>
      <c r="G224" s="6" t="str">
        <f>_xlfn.TEXTJOIN("|",TRUE,GameLog[[#This Row],[Pod]],TEXT(INT(GameLog[[#This Row],[Round]]),"yyyymmdd"),GameLog[[#This Row],[Date]])</f>
        <v>1|19000101|45922</v>
      </c>
      <c r="H224" s="6">
        <f>COUNTIF(GameLog[Pod ID],GameLog[[#This Row],[Pod ID]])</f>
        <v>5</v>
      </c>
      <c r="I224" s="6">
        <f>YEAR(GameLog[[#This Row],[Date]])</f>
        <v>2025</v>
      </c>
      <c r="J224" s="6">
        <f>MONTH(GameLog[[#This Row],[Date]])</f>
        <v>9</v>
      </c>
      <c r="K224" s="6" t="str">
        <f>IF(GameLog[[#This Row],[Date]]=MAX(GameLog[Date]),"Current","Previous")</f>
        <v>Previous</v>
      </c>
      <c r="L224" s="6"/>
      <c r="M2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" s="6" t="str">
        <f ca="1">IF(GameLog[[#This Row],[Check]]="","",COUNTIF(GameLog[[#Headers],[Check]]:GameLog[[#This Row],[Check]],"?*")-1)</f>
        <v/>
      </c>
      <c r="O224" s="6" t="str">
        <f>IFERROR(INDEX(Players[New name],MATCH(GameLog[[#This Row],[Player]],Players[Name],0)),GameLog[[#This Row],[Player]])</f>
        <v>Bryce C</v>
      </c>
    </row>
    <row r="225" spans="1:15" x14ac:dyDescent="0.45">
      <c r="A225" s="6" t="s">
        <v>70</v>
      </c>
      <c r="B225" s="6" t="s">
        <v>53</v>
      </c>
      <c r="C225" s="6">
        <v>3</v>
      </c>
      <c r="D225" s="6">
        <v>1</v>
      </c>
      <c r="E225" s="6">
        <v>1</v>
      </c>
      <c r="F225" s="10">
        <v>45922</v>
      </c>
      <c r="G225" s="6" t="str">
        <f>_xlfn.TEXTJOIN("|",TRUE,GameLog[[#This Row],[Pod]],TEXT(INT(GameLog[[#This Row],[Round]]),"yyyymmdd"),GameLog[[#This Row],[Date]])</f>
        <v>1|19000101|45922</v>
      </c>
      <c r="H225" s="6">
        <f>COUNTIF(GameLog[Pod ID],GameLog[[#This Row],[Pod ID]])</f>
        <v>5</v>
      </c>
      <c r="I225" s="6">
        <f>YEAR(GameLog[[#This Row],[Date]])</f>
        <v>2025</v>
      </c>
      <c r="J225" s="6">
        <f>MONTH(GameLog[[#This Row],[Date]])</f>
        <v>9</v>
      </c>
      <c r="K225" s="6" t="str">
        <f>IF(GameLog[[#This Row],[Date]]=MAX(GameLog[Date]),"Current","Previous")</f>
        <v>Previous</v>
      </c>
      <c r="L225" s="6"/>
      <c r="M2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" s="6" t="str">
        <f ca="1">IF(GameLog[[#This Row],[Check]]="","",COUNTIF(GameLog[[#Headers],[Check]]:GameLog[[#This Row],[Check]],"?*")-1)</f>
        <v/>
      </c>
      <c r="O225" s="6" t="str">
        <f>IFERROR(INDEX(Players[New name],MATCH(GameLog[[#This Row],[Player]],Players[Name],0)),GameLog[[#This Row],[Player]])</f>
        <v>Brad F</v>
      </c>
    </row>
    <row r="226" spans="1:15" x14ac:dyDescent="0.45">
      <c r="A226" s="6" t="s">
        <v>76</v>
      </c>
      <c r="B226" s="6" t="s">
        <v>53</v>
      </c>
      <c r="C226" s="6">
        <v>4</v>
      </c>
      <c r="D226" s="6">
        <v>1</v>
      </c>
      <c r="E226" s="6">
        <v>1</v>
      </c>
      <c r="F226" s="10">
        <v>45922</v>
      </c>
      <c r="G226" s="6" t="str">
        <f>_xlfn.TEXTJOIN("|",TRUE,GameLog[[#This Row],[Pod]],TEXT(INT(GameLog[[#This Row],[Round]]),"yyyymmdd"),GameLog[[#This Row],[Date]])</f>
        <v>1|19000101|45922</v>
      </c>
      <c r="H226" s="6">
        <f>COUNTIF(GameLog[Pod ID],GameLog[[#This Row],[Pod ID]])</f>
        <v>5</v>
      </c>
      <c r="I226" s="6">
        <f>YEAR(GameLog[[#This Row],[Date]])</f>
        <v>2025</v>
      </c>
      <c r="J226" s="6">
        <f>MONTH(GameLog[[#This Row],[Date]])</f>
        <v>9</v>
      </c>
      <c r="K226" s="6" t="str">
        <f>IF(GameLog[[#This Row],[Date]]=MAX(GameLog[Date]),"Current","Previous")</f>
        <v>Previous</v>
      </c>
      <c r="L226" s="6"/>
      <c r="M2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" s="6" t="str">
        <f ca="1">IF(GameLog[[#This Row],[Check]]="","",COUNTIF(GameLog[[#Headers],[Check]]:GameLog[[#This Row],[Check]],"?*")-1)</f>
        <v/>
      </c>
      <c r="O226" s="6" t="str">
        <f>IFERROR(INDEX(Players[New name],MATCH(GameLog[[#This Row],[Player]],Players[Name],0)),GameLog[[#This Row],[Player]])</f>
        <v>Jon M</v>
      </c>
    </row>
    <row r="227" spans="1:15" x14ac:dyDescent="0.45">
      <c r="A227" s="6" t="s">
        <v>78</v>
      </c>
      <c r="B227" s="6" t="s">
        <v>53</v>
      </c>
      <c r="C227" s="6">
        <v>5</v>
      </c>
      <c r="D227" s="6">
        <v>1</v>
      </c>
      <c r="E227" s="6">
        <v>1</v>
      </c>
      <c r="F227" s="10">
        <v>45922</v>
      </c>
      <c r="G227" s="6" t="str">
        <f>_xlfn.TEXTJOIN("|",TRUE,GameLog[[#This Row],[Pod]],TEXT(INT(GameLog[[#This Row],[Round]]),"yyyymmdd"),GameLog[[#This Row],[Date]])</f>
        <v>1|19000101|45922</v>
      </c>
      <c r="H227" s="6">
        <f>COUNTIF(GameLog[Pod ID],GameLog[[#This Row],[Pod ID]])</f>
        <v>5</v>
      </c>
      <c r="I227" s="6">
        <f>YEAR(GameLog[[#This Row],[Date]])</f>
        <v>2025</v>
      </c>
      <c r="J227" s="6">
        <f>MONTH(GameLog[[#This Row],[Date]])</f>
        <v>9</v>
      </c>
      <c r="K227" s="6" t="str">
        <f>IF(GameLog[[#This Row],[Date]]=MAX(GameLog[Date]),"Current","Previous")</f>
        <v>Previous</v>
      </c>
      <c r="L227" s="6"/>
      <c r="M2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" s="6" t="str">
        <f ca="1">IF(GameLog[[#This Row],[Check]]="","",COUNTIF(GameLog[[#Headers],[Check]]:GameLog[[#This Row],[Check]],"?*")-1)</f>
        <v/>
      </c>
      <c r="O227" s="6" t="str">
        <f>IFERROR(INDEX(Players[New name],MATCH(GameLog[[#This Row],[Player]],Players[Name],0)),GameLog[[#This Row],[Player]])</f>
        <v>Justin M</v>
      </c>
    </row>
    <row r="228" spans="1:15" x14ac:dyDescent="0.45">
      <c r="A228" s="6" t="s">
        <v>58</v>
      </c>
      <c r="B228" s="6" t="s">
        <v>50</v>
      </c>
      <c r="C228" s="6">
        <v>1</v>
      </c>
      <c r="D228" s="6">
        <v>2</v>
      </c>
      <c r="E228" s="6">
        <v>1</v>
      </c>
      <c r="F228" s="10">
        <v>45922</v>
      </c>
      <c r="G228" s="6" t="str">
        <f>_xlfn.TEXTJOIN("|",TRUE,GameLog[[#This Row],[Pod]],TEXT(INT(GameLog[[#This Row],[Round]]),"yyyymmdd"),GameLog[[#This Row],[Date]])</f>
        <v>2|19000101|45922</v>
      </c>
      <c r="H228" s="6">
        <f>COUNTIF(GameLog[Pod ID],GameLog[[#This Row],[Pod ID]])</f>
        <v>4</v>
      </c>
      <c r="I228" s="6">
        <f>YEAR(GameLog[[#This Row],[Date]])</f>
        <v>2025</v>
      </c>
      <c r="J228" s="6">
        <f>MONTH(GameLog[[#This Row],[Date]])</f>
        <v>9</v>
      </c>
      <c r="K228" s="6" t="str">
        <f>IF(GameLog[[#This Row],[Date]]=MAX(GameLog[Date]),"Current","Previous")</f>
        <v>Previous</v>
      </c>
      <c r="L228" s="6"/>
      <c r="M2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" s="6" t="str">
        <f ca="1">IF(GameLog[[#This Row],[Check]]="","",COUNTIF(GameLog[[#Headers],[Check]]:GameLog[[#This Row],[Check]],"?*")-1)</f>
        <v/>
      </c>
      <c r="O228" s="6" t="str">
        <f>IFERROR(INDEX(Players[New name],MATCH(GameLog[[#This Row],[Player]],Players[Name],0)),GameLog[[#This Row],[Player]])</f>
        <v>Dakota P</v>
      </c>
    </row>
    <row r="229" spans="1:15" x14ac:dyDescent="0.45">
      <c r="A229" s="6" t="s">
        <v>60</v>
      </c>
      <c r="B229" s="6" t="s">
        <v>53</v>
      </c>
      <c r="C229" s="6">
        <v>2</v>
      </c>
      <c r="D229" s="6">
        <v>2</v>
      </c>
      <c r="E229" s="6">
        <v>1</v>
      </c>
      <c r="F229" s="10">
        <v>45922</v>
      </c>
      <c r="G229" s="6" t="str">
        <f>_xlfn.TEXTJOIN("|",TRUE,GameLog[[#This Row],[Pod]],TEXT(INT(GameLog[[#This Row],[Round]]),"yyyymmdd"),GameLog[[#This Row],[Date]])</f>
        <v>2|19000101|45922</v>
      </c>
      <c r="H229" s="6">
        <f>COUNTIF(GameLog[Pod ID],GameLog[[#This Row],[Pod ID]])</f>
        <v>4</v>
      </c>
      <c r="I229" s="6">
        <f>YEAR(GameLog[[#This Row],[Date]])</f>
        <v>2025</v>
      </c>
      <c r="J229" s="6">
        <f>MONTH(GameLog[[#This Row],[Date]])</f>
        <v>9</v>
      </c>
      <c r="K229" s="6" t="str">
        <f>IF(GameLog[[#This Row],[Date]]=MAX(GameLog[Date]),"Current","Previous")</f>
        <v>Previous</v>
      </c>
      <c r="L229" s="6"/>
      <c r="M2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" s="6" t="str">
        <f ca="1">IF(GameLog[[#This Row],[Check]]="","",COUNTIF(GameLog[[#Headers],[Check]]:GameLog[[#This Row],[Check]],"?*")-1)</f>
        <v/>
      </c>
      <c r="O229" s="6" t="str">
        <f>IFERROR(INDEX(Players[New name],MATCH(GameLog[[#This Row],[Player]],Players[Name],0)),GameLog[[#This Row],[Player]])</f>
        <v>Brendan H</v>
      </c>
    </row>
    <row r="230" spans="1:15" x14ac:dyDescent="0.45">
      <c r="A230" s="6" t="s">
        <v>59</v>
      </c>
      <c r="B230" s="6" t="s">
        <v>53</v>
      </c>
      <c r="C230" s="6">
        <v>3</v>
      </c>
      <c r="D230" s="6">
        <v>2</v>
      </c>
      <c r="E230" s="6">
        <v>1</v>
      </c>
      <c r="F230" s="10">
        <v>45922</v>
      </c>
      <c r="G230" s="6" t="str">
        <f>_xlfn.TEXTJOIN("|",TRUE,GameLog[[#This Row],[Pod]],TEXT(INT(GameLog[[#This Row],[Round]]),"yyyymmdd"),GameLog[[#This Row],[Date]])</f>
        <v>2|19000101|45922</v>
      </c>
      <c r="H230" s="6">
        <f>COUNTIF(GameLog[Pod ID],GameLog[[#This Row],[Pod ID]])</f>
        <v>4</v>
      </c>
      <c r="I230" s="6">
        <f>YEAR(GameLog[[#This Row],[Date]])</f>
        <v>2025</v>
      </c>
      <c r="J230" s="6">
        <f>MONTH(GameLog[[#This Row],[Date]])</f>
        <v>9</v>
      </c>
      <c r="K230" s="6" t="str">
        <f>IF(GameLog[[#This Row],[Date]]=MAX(GameLog[Date]),"Current","Previous")</f>
        <v>Previous</v>
      </c>
      <c r="L230" s="6"/>
      <c r="M2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" s="6" t="str">
        <f ca="1">IF(GameLog[[#This Row],[Check]]="","",COUNTIF(GameLog[[#Headers],[Check]]:GameLog[[#This Row],[Check]],"?*")-1)</f>
        <v/>
      </c>
      <c r="O230" s="6" t="str">
        <f>IFERROR(INDEX(Players[New name],MATCH(GameLog[[#This Row],[Player]],Players[Name],0)),GameLog[[#This Row],[Player]])</f>
        <v>Zack B</v>
      </c>
    </row>
    <row r="231" spans="1:15" x14ac:dyDescent="0.45">
      <c r="A231" s="6" t="s">
        <v>73</v>
      </c>
      <c r="B231" s="6" t="s">
        <v>53</v>
      </c>
      <c r="C231" s="6">
        <v>4</v>
      </c>
      <c r="D231" s="6">
        <v>2</v>
      </c>
      <c r="E231" s="6">
        <v>1</v>
      </c>
      <c r="F231" s="10">
        <v>45922</v>
      </c>
      <c r="G231" s="6" t="str">
        <f>_xlfn.TEXTJOIN("|",TRUE,GameLog[[#This Row],[Pod]],TEXT(INT(GameLog[[#This Row],[Round]]),"yyyymmdd"),GameLog[[#This Row],[Date]])</f>
        <v>2|19000101|45922</v>
      </c>
      <c r="H231" s="6">
        <f>COUNTIF(GameLog[Pod ID],GameLog[[#This Row],[Pod ID]])</f>
        <v>4</v>
      </c>
      <c r="I231" s="6">
        <f>YEAR(GameLog[[#This Row],[Date]])</f>
        <v>2025</v>
      </c>
      <c r="J231" s="6">
        <f>MONTH(GameLog[[#This Row],[Date]])</f>
        <v>9</v>
      </c>
      <c r="K231" s="6" t="str">
        <f>IF(GameLog[[#This Row],[Date]]=MAX(GameLog[Date]),"Current","Previous")</f>
        <v>Previous</v>
      </c>
      <c r="L231" s="6"/>
      <c r="M2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" s="6" t="str">
        <f ca="1">IF(GameLog[[#This Row],[Check]]="","",COUNTIF(GameLog[[#Headers],[Check]]:GameLog[[#This Row],[Check]],"?*")-1)</f>
        <v/>
      </c>
      <c r="O231" s="6" t="str">
        <f>IFERROR(INDEX(Players[New name],MATCH(GameLog[[#This Row],[Player]],Players[Name],0)),GameLog[[#This Row],[Player]])</f>
        <v>Brandon B</v>
      </c>
    </row>
    <row r="232" spans="1:15" x14ac:dyDescent="0.45">
      <c r="A232" s="6" t="s">
        <v>61</v>
      </c>
      <c r="B232" s="6" t="s">
        <v>53</v>
      </c>
      <c r="C232" s="6">
        <v>1</v>
      </c>
      <c r="D232" s="6">
        <v>3</v>
      </c>
      <c r="E232" s="6">
        <v>1</v>
      </c>
      <c r="F232" s="10">
        <v>45922</v>
      </c>
      <c r="G232" s="6" t="str">
        <f>_xlfn.TEXTJOIN("|",TRUE,GameLog[[#This Row],[Pod]],TEXT(INT(GameLog[[#This Row],[Round]]),"yyyymmdd"),GameLog[[#This Row],[Date]])</f>
        <v>3|19000101|45922</v>
      </c>
      <c r="H232" s="6">
        <f>COUNTIF(GameLog[Pod ID],GameLog[[#This Row],[Pod ID]])</f>
        <v>4</v>
      </c>
      <c r="I232" s="6">
        <f>YEAR(GameLog[[#This Row],[Date]])</f>
        <v>2025</v>
      </c>
      <c r="J232" s="6">
        <f>MONTH(GameLog[[#This Row],[Date]])</f>
        <v>9</v>
      </c>
      <c r="K232" s="6" t="str">
        <f>IF(GameLog[[#This Row],[Date]]=MAX(GameLog[Date]),"Current","Previous")</f>
        <v>Previous</v>
      </c>
      <c r="L232" s="6"/>
      <c r="M2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" s="6" t="str">
        <f ca="1">IF(GameLog[[#This Row],[Check]]="","",COUNTIF(GameLog[[#Headers],[Check]]:GameLog[[#This Row],[Check]],"?*")-1)</f>
        <v/>
      </c>
      <c r="O232" s="6" t="str">
        <f>IFERROR(INDEX(Players[New name],MATCH(GameLog[[#This Row],[Player]],Players[Name],0)),GameLog[[#This Row],[Player]])</f>
        <v>Trevor</v>
      </c>
    </row>
    <row r="233" spans="1:15" x14ac:dyDescent="0.45">
      <c r="A233" s="6" t="s">
        <v>57</v>
      </c>
      <c r="B233" s="6" t="s">
        <v>50</v>
      </c>
      <c r="C233" s="6">
        <v>2</v>
      </c>
      <c r="D233" s="6">
        <v>3</v>
      </c>
      <c r="E233" s="6">
        <v>1</v>
      </c>
      <c r="F233" s="10">
        <v>45922</v>
      </c>
      <c r="G233" s="6" t="str">
        <f>_xlfn.TEXTJOIN("|",TRUE,GameLog[[#This Row],[Pod]],TEXT(INT(GameLog[[#This Row],[Round]]),"yyyymmdd"),GameLog[[#This Row],[Date]])</f>
        <v>3|19000101|45922</v>
      </c>
      <c r="H233" s="6">
        <f>COUNTIF(GameLog[Pod ID],GameLog[[#This Row],[Pod ID]])</f>
        <v>4</v>
      </c>
      <c r="I233" s="6">
        <f>YEAR(GameLog[[#This Row],[Date]])</f>
        <v>2025</v>
      </c>
      <c r="J233" s="6">
        <f>MONTH(GameLog[[#This Row],[Date]])</f>
        <v>9</v>
      </c>
      <c r="K233" s="6" t="str">
        <f>IF(GameLog[[#This Row],[Date]]=MAX(GameLog[Date]),"Current","Previous")</f>
        <v>Previous</v>
      </c>
      <c r="L233" s="6"/>
      <c r="M2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3" s="6" t="str">
        <f ca="1">IF(GameLog[[#This Row],[Check]]="","",COUNTIF(GameLog[[#Headers],[Check]]:GameLog[[#This Row],[Check]],"?*")-1)</f>
        <v/>
      </c>
      <c r="O233" s="6" t="str">
        <f>IFERROR(INDEX(Players[New name],MATCH(GameLog[[#This Row],[Player]],Players[Name],0)),GameLog[[#This Row],[Player]])</f>
        <v>AJ W</v>
      </c>
    </row>
    <row r="234" spans="1:15" x14ac:dyDescent="0.45">
      <c r="A234" s="6" t="s">
        <v>64</v>
      </c>
      <c r="B234" s="6" t="s">
        <v>53</v>
      </c>
      <c r="C234" s="6">
        <v>3</v>
      </c>
      <c r="D234" s="6">
        <v>3</v>
      </c>
      <c r="E234" s="6">
        <v>1</v>
      </c>
      <c r="F234" s="10">
        <v>45922</v>
      </c>
      <c r="G234" s="6" t="str">
        <f>_xlfn.TEXTJOIN("|",TRUE,GameLog[[#This Row],[Pod]],TEXT(INT(GameLog[[#This Row],[Round]]),"yyyymmdd"),GameLog[[#This Row],[Date]])</f>
        <v>3|19000101|45922</v>
      </c>
      <c r="H234" s="6">
        <f>COUNTIF(GameLog[Pod ID],GameLog[[#This Row],[Pod ID]])</f>
        <v>4</v>
      </c>
      <c r="I234" s="6">
        <f>YEAR(GameLog[[#This Row],[Date]])</f>
        <v>2025</v>
      </c>
      <c r="J234" s="6">
        <f>MONTH(GameLog[[#This Row],[Date]])</f>
        <v>9</v>
      </c>
      <c r="K234" s="6" t="str">
        <f>IF(GameLog[[#This Row],[Date]]=MAX(GameLog[Date]),"Current","Previous")</f>
        <v>Previous</v>
      </c>
      <c r="L234" s="6"/>
      <c r="M2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4" s="6" t="str">
        <f ca="1">IF(GameLog[[#This Row],[Check]]="","",COUNTIF(GameLog[[#Headers],[Check]]:GameLog[[#This Row],[Check]],"?*")-1)</f>
        <v/>
      </c>
      <c r="O234" s="6" t="str">
        <f>IFERROR(INDEX(Players[New name],MATCH(GameLog[[#This Row],[Player]],Players[Name],0)),GameLog[[#This Row],[Player]])</f>
        <v>Tyler B</v>
      </c>
    </row>
    <row r="235" spans="1:15" x14ac:dyDescent="0.45">
      <c r="A235" s="6" t="s">
        <v>49</v>
      </c>
      <c r="B235" s="6" t="s">
        <v>53</v>
      </c>
      <c r="C235" s="6">
        <v>4</v>
      </c>
      <c r="D235" s="6">
        <v>3</v>
      </c>
      <c r="E235" s="6">
        <v>1</v>
      </c>
      <c r="F235" s="10">
        <v>45922</v>
      </c>
      <c r="G235" s="6" t="str">
        <f>_xlfn.TEXTJOIN("|",TRUE,GameLog[[#This Row],[Pod]],TEXT(INT(GameLog[[#This Row],[Round]]),"yyyymmdd"),GameLog[[#This Row],[Date]])</f>
        <v>3|19000101|45922</v>
      </c>
      <c r="H235" s="6">
        <f>COUNTIF(GameLog[Pod ID],GameLog[[#This Row],[Pod ID]])</f>
        <v>4</v>
      </c>
      <c r="I235" s="6">
        <f>YEAR(GameLog[[#This Row],[Date]])</f>
        <v>2025</v>
      </c>
      <c r="J235" s="6">
        <f>MONTH(GameLog[[#This Row],[Date]])</f>
        <v>9</v>
      </c>
      <c r="K235" s="6" t="str">
        <f>IF(GameLog[[#This Row],[Date]]=MAX(GameLog[Date]),"Current","Previous")</f>
        <v>Previous</v>
      </c>
      <c r="L235" s="6"/>
      <c r="M2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5" s="6" t="str">
        <f ca="1">IF(GameLog[[#This Row],[Check]]="","",COUNTIF(GameLog[[#Headers],[Check]]:GameLog[[#This Row],[Check]],"?*")-1)</f>
        <v/>
      </c>
      <c r="O235" s="6" t="str">
        <f>IFERROR(INDEX(Players[New name],MATCH(GameLog[[#This Row],[Player]],Players[Name],0)),GameLog[[#This Row],[Player]])</f>
        <v>Brett R</v>
      </c>
    </row>
    <row r="236" spans="1:15" x14ac:dyDescent="0.45">
      <c r="A236" s="6" t="s">
        <v>63</v>
      </c>
      <c r="B236" s="6" t="s">
        <v>50</v>
      </c>
      <c r="C236" s="6">
        <v>1</v>
      </c>
      <c r="D236" s="6">
        <v>4</v>
      </c>
      <c r="E236" s="6">
        <v>1</v>
      </c>
      <c r="F236" s="10">
        <v>45922</v>
      </c>
      <c r="G236" s="6" t="str">
        <f>_xlfn.TEXTJOIN("|",TRUE,GameLog[[#This Row],[Pod]],TEXT(INT(GameLog[[#This Row],[Round]]),"yyyymmdd"),GameLog[[#This Row],[Date]])</f>
        <v>4|19000101|45922</v>
      </c>
      <c r="H236" s="6">
        <f>COUNTIF(GameLog[Pod ID],GameLog[[#This Row],[Pod ID]])</f>
        <v>4</v>
      </c>
      <c r="I236" s="6">
        <f>YEAR(GameLog[[#This Row],[Date]])</f>
        <v>2025</v>
      </c>
      <c r="J236" s="6">
        <f>MONTH(GameLog[[#This Row],[Date]])</f>
        <v>9</v>
      </c>
      <c r="K236" s="6" t="str">
        <f>IF(GameLog[[#This Row],[Date]]=MAX(GameLog[Date]),"Current","Previous")</f>
        <v>Previous</v>
      </c>
      <c r="L236" s="6"/>
      <c r="M2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6" s="6" t="str">
        <f ca="1">IF(GameLog[[#This Row],[Check]]="","",COUNTIF(GameLog[[#Headers],[Check]]:GameLog[[#This Row],[Check]],"?*")-1)</f>
        <v/>
      </c>
      <c r="O236" s="6" t="str">
        <f>IFERROR(INDEX(Players[New name],MATCH(GameLog[[#This Row],[Player]],Players[Name],0)),GameLog[[#This Row],[Player]])</f>
        <v>Jake D</v>
      </c>
    </row>
    <row r="237" spans="1:15" x14ac:dyDescent="0.45">
      <c r="A237" s="6" t="s">
        <v>77</v>
      </c>
      <c r="B237" s="6" t="s">
        <v>53</v>
      </c>
      <c r="C237" s="6">
        <v>2</v>
      </c>
      <c r="D237" s="6">
        <v>4</v>
      </c>
      <c r="E237" s="6">
        <v>1</v>
      </c>
      <c r="F237" s="10">
        <v>45922</v>
      </c>
      <c r="G237" s="6" t="str">
        <f>_xlfn.TEXTJOIN("|",TRUE,GameLog[[#This Row],[Pod]],TEXT(INT(GameLog[[#This Row],[Round]]),"yyyymmdd"),GameLog[[#This Row],[Date]])</f>
        <v>4|19000101|45922</v>
      </c>
      <c r="H237" s="6">
        <f>COUNTIF(GameLog[Pod ID],GameLog[[#This Row],[Pod ID]])</f>
        <v>4</v>
      </c>
      <c r="I237" s="6">
        <f>YEAR(GameLog[[#This Row],[Date]])</f>
        <v>2025</v>
      </c>
      <c r="J237" s="6">
        <f>MONTH(GameLog[[#This Row],[Date]])</f>
        <v>9</v>
      </c>
      <c r="K237" s="6" t="str">
        <f>IF(GameLog[[#This Row],[Date]]=MAX(GameLog[Date]),"Current","Previous")</f>
        <v>Previous</v>
      </c>
      <c r="L237" s="6"/>
      <c r="M2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7" s="6" t="str">
        <f ca="1">IF(GameLog[[#This Row],[Check]]="","",COUNTIF(GameLog[[#Headers],[Check]]:GameLog[[#This Row],[Check]],"?*")-1)</f>
        <v/>
      </c>
      <c r="O237" s="6" t="str">
        <f>IFERROR(INDEX(Players[New name],MATCH(GameLog[[#This Row],[Player]],Players[Name],0)),GameLog[[#This Row],[Player]])</f>
        <v>Dave M</v>
      </c>
    </row>
    <row r="238" spans="1:15" x14ac:dyDescent="0.45">
      <c r="A238" s="6" t="s">
        <v>52</v>
      </c>
      <c r="B238" s="6" t="s">
        <v>53</v>
      </c>
      <c r="C238" s="6">
        <v>3</v>
      </c>
      <c r="D238" s="6">
        <v>4</v>
      </c>
      <c r="E238" s="6">
        <v>1</v>
      </c>
      <c r="F238" s="10">
        <v>45922</v>
      </c>
      <c r="G238" s="6" t="str">
        <f>_xlfn.TEXTJOIN("|",TRUE,GameLog[[#This Row],[Pod]],TEXT(INT(GameLog[[#This Row],[Round]]),"yyyymmdd"),GameLog[[#This Row],[Date]])</f>
        <v>4|19000101|45922</v>
      </c>
      <c r="H238" s="6">
        <f>COUNTIF(GameLog[Pod ID],GameLog[[#This Row],[Pod ID]])</f>
        <v>4</v>
      </c>
      <c r="I238" s="6">
        <f>YEAR(GameLog[[#This Row],[Date]])</f>
        <v>2025</v>
      </c>
      <c r="J238" s="6">
        <f>MONTH(GameLog[[#This Row],[Date]])</f>
        <v>9</v>
      </c>
      <c r="K238" s="6" t="str">
        <f>IF(GameLog[[#This Row],[Date]]=MAX(GameLog[Date]),"Current","Previous")</f>
        <v>Previous</v>
      </c>
      <c r="L238" s="6"/>
      <c r="M2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8" s="6" t="str">
        <f ca="1">IF(GameLog[[#This Row],[Check]]="","",COUNTIF(GameLog[[#Headers],[Check]]:GameLog[[#This Row],[Check]],"?*")-1)</f>
        <v/>
      </c>
      <c r="O238" s="6" t="str">
        <f>IFERROR(INDEX(Players[New name],MATCH(GameLog[[#This Row],[Player]],Players[Name],0)),GameLog[[#This Row],[Player]])</f>
        <v>Unknown</v>
      </c>
    </row>
    <row r="239" spans="1:15" x14ac:dyDescent="0.45">
      <c r="A239" s="6" t="s">
        <v>68</v>
      </c>
      <c r="B239" s="6" t="s">
        <v>53</v>
      </c>
      <c r="C239" s="6">
        <v>4</v>
      </c>
      <c r="D239" s="6">
        <v>4</v>
      </c>
      <c r="E239" s="6">
        <v>1</v>
      </c>
      <c r="F239" s="10">
        <v>45922</v>
      </c>
      <c r="G239" s="6" t="str">
        <f>_xlfn.TEXTJOIN("|",TRUE,GameLog[[#This Row],[Pod]],TEXT(INT(GameLog[[#This Row],[Round]]),"yyyymmdd"),GameLog[[#This Row],[Date]])</f>
        <v>4|19000101|45922</v>
      </c>
      <c r="H239" s="6">
        <f>COUNTIF(GameLog[Pod ID],GameLog[[#This Row],[Pod ID]])</f>
        <v>4</v>
      </c>
      <c r="I239" s="6">
        <f>YEAR(GameLog[[#This Row],[Date]])</f>
        <v>2025</v>
      </c>
      <c r="J239" s="6">
        <f>MONTH(GameLog[[#This Row],[Date]])</f>
        <v>9</v>
      </c>
      <c r="K239" s="6" t="str">
        <f>IF(GameLog[[#This Row],[Date]]=MAX(GameLog[Date]),"Current","Previous")</f>
        <v>Previous</v>
      </c>
      <c r="L239" s="6"/>
      <c r="M2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9" s="6" t="str">
        <f ca="1">IF(GameLog[[#This Row],[Check]]="","",COUNTIF(GameLog[[#Headers],[Check]]:GameLog[[#This Row],[Check]],"?*")-1)</f>
        <v/>
      </c>
      <c r="O239" s="6" t="str">
        <f>IFERROR(INDEX(Players[New name],MATCH(GameLog[[#This Row],[Player]],Players[Name],0)),GameLog[[#This Row],[Player]])</f>
        <v>Edwin M</v>
      </c>
    </row>
    <row r="240" spans="1:15" x14ac:dyDescent="0.45">
      <c r="A240" s="6" t="s">
        <v>58</v>
      </c>
      <c r="B240" s="6" t="s">
        <v>53</v>
      </c>
      <c r="C240" s="6">
        <v>1</v>
      </c>
      <c r="D240" s="6">
        <v>1</v>
      </c>
      <c r="E240" s="6">
        <v>2</v>
      </c>
      <c r="F240" s="10">
        <v>45922</v>
      </c>
      <c r="G240" s="6" t="str">
        <f>_xlfn.TEXTJOIN("|",TRUE,GameLog[[#This Row],[Pod]],TEXT(INT(GameLog[[#This Row],[Round]]),"yyyymmdd"),GameLog[[#This Row],[Date]])</f>
        <v>1|19000102|45922</v>
      </c>
      <c r="H240" s="6">
        <f>COUNTIF(GameLog[Pod ID],GameLog[[#This Row],[Pod ID]])</f>
        <v>4</v>
      </c>
      <c r="I240" s="6">
        <f>YEAR(GameLog[[#This Row],[Date]])</f>
        <v>2025</v>
      </c>
      <c r="J240" s="6">
        <f>MONTH(GameLog[[#This Row],[Date]])</f>
        <v>9</v>
      </c>
      <c r="K240" s="6" t="str">
        <f>IF(GameLog[[#This Row],[Date]]=MAX(GameLog[Date]),"Current","Previous")</f>
        <v>Previous</v>
      </c>
      <c r="L240" s="6"/>
      <c r="M2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0" s="6" t="str">
        <f ca="1">IF(GameLog[[#This Row],[Check]]="","",COUNTIF(GameLog[[#Headers],[Check]]:GameLog[[#This Row],[Check]],"?*")-1)</f>
        <v/>
      </c>
      <c r="O240" s="6" t="str">
        <f>IFERROR(INDEX(Players[New name],MATCH(GameLog[[#This Row],[Player]],Players[Name],0)),GameLog[[#This Row],[Player]])</f>
        <v>Dakota P</v>
      </c>
    </row>
    <row r="241" spans="1:15" x14ac:dyDescent="0.45">
      <c r="A241" s="6" t="s">
        <v>63</v>
      </c>
      <c r="B241" s="6" t="s">
        <v>50</v>
      </c>
      <c r="C241" s="6">
        <v>2</v>
      </c>
      <c r="D241" s="6">
        <v>1</v>
      </c>
      <c r="E241" s="6">
        <v>2</v>
      </c>
      <c r="F241" s="10">
        <v>45922</v>
      </c>
      <c r="G241" s="6" t="str">
        <f>_xlfn.TEXTJOIN("|",TRUE,GameLog[[#This Row],[Pod]],TEXT(INT(GameLog[[#This Row],[Round]]),"yyyymmdd"),GameLog[[#This Row],[Date]])</f>
        <v>1|19000102|45922</v>
      </c>
      <c r="H241" s="6">
        <f>COUNTIF(GameLog[Pod ID],GameLog[[#This Row],[Pod ID]])</f>
        <v>4</v>
      </c>
      <c r="I241" s="6">
        <f>YEAR(GameLog[[#This Row],[Date]])</f>
        <v>2025</v>
      </c>
      <c r="J241" s="6">
        <f>MONTH(GameLog[[#This Row],[Date]])</f>
        <v>9</v>
      </c>
      <c r="K241" s="6" t="str">
        <f>IF(GameLog[[#This Row],[Date]]=MAX(GameLog[Date]),"Current","Previous")</f>
        <v>Previous</v>
      </c>
      <c r="L241" s="6"/>
      <c r="M2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1" s="6" t="str">
        <f ca="1">IF(GameLog[[#This Row],[Check]]="","",COUNTIF(GameLog[[#Headers],[Check]]:GameLog[[#This Row],[Check]],"?*")-1)</f>
        <v/>
      </c>
      <c r="O241" s="6" t="str">
        <f>IFERROR(INDEX(Players[New name],MATCH(GameLog[[#This Row],[Player]],Players[Name],0)),GameLog[[#This Row],[Player]])</f>
        <v>Jake D</v>
      </c>
    </row>
    <row r="242" spans="1:15" x14ac:dyDescent="0.45">
      <c r="A242" s="6" t="s">
        <v>57</v>
      </c>
      <c r="B242" s="6" t="s">
        <v>53</v>
      </c>
      <c r="C242" s="6">
        <v>3</v>
      </c>
      <c r="D242" s="6">
        <v>1</v>
      </c>
      <c r="E242" s="6">
        <v>2</v>
      </c>
      <c r="F242" s="10">
        <v>45922</v>
      </c>
      <c r="G242" s="6" t="str">
        <f>_xlfn.TEXTJOIN("|",TRUE,GameLog[[#This Row],[Pod]],TEXT(INT(GameLog[[#This Row],[Round]]),"yyyymmdd"),GameLog[[#This Row],[Date]])</f>
        <v>1|19000102|45922</v>
      </c>
      <c r="H242" s="6">
        <f>COUNTIF(GameLog[Pod ID],GameLog[[#This Row],[Pod ID]])</f>
        <v>4</v>
      </c>
      <c r="I242" s="6">
        <f>YEAR(GameLog[[#This Row],[Date]])</f>
        <v>2025</v>
      </c>
      <c r="J242" s="6">
        <f>MONTH(GameLog[[#This Row],[Date]])</f>
        <v>9</v>
      </c>
      <c r="K242" s="6" t="str">
        <f>IF(GameLog[[#This Row],[Date]]=MAX(GameLog[Date]),"Current","Previous")</f>
        <v>Previous</v>
      </c>
      <c r="L242" s="6"/>
      <c r="M2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2" s="6" t="str">
        <f ca="1">IF(GameLog[[#This Row],[Check]]="","",COUNTIF(GameLog[[#Headers],[Check]]:GameLog[[#This Row],[Check]],"?*")-1)</f>
        <v/>
      </c>
      <c r="O242" s="6" t="str">
        <f>IFERROR(INDEX(Players[New name],MATCH(GameLog[[#This Row],[Player]],Players[Name],0)),GameLog[[#This Row],[Player]])</f>
        <v>AJ W</v>
      </c>
    </row>
    <row r="243" spans="1:15" x14ac:dyDescent="0.45">
      <c r="A243" s="6" t="s">
        <v>55</v>
      </c>
      <c r="B243" s="6" t="s">
        <v>53</v>
      </c>
      <c r="C243" s="6">
        <v>4</v>
      </c>
      <c r="D243" s="6">
        <v>1</v>
      </c>
      <c r="E243" s="6">
        <v>2</v>
      </c>
      <c r="F243" s="10">
        <v>45922</v>
      </c>
      <c r="G243" s="6" t="str">
        <f>_xlfn.TEXTJOIN("|",TRUE,GameLog[[#This Row],[Pod]],TEXT(INT(GameLog[[#This Row],[Round]]),"yyyymmdd"),GameLog[[#This Row],[Date]])</f>
        <v>1|19000102|45922</v>
      </c>
      <c r="H243" s="6">
        <f>COUNTIF(GameLog[Pod ID],GameLog[[#This Row],[Pod ID]])</f>
        <v>4</v>
      </c>
      <c r="I243" s="6">
        <f>YEAR(GameLog[[#This Row],[Date]])</f>
        <v>2025</v>
      </c>
      <c r="J243" s="6">
        <f>MONTH(GameLog[[#This Row],[Date]])</f>
        <v>9</v>
      </c>
      <c r="K243" s="6" t="str">
        <f>IF(GameLog[[#This Row],[Date]]=MAX(GameLog[Date]),"Current","Previous")</f>
        <v>Previous</v>
      </c>
      <c r="L243" s="6"/>
      <c r="M2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3" s="6" t="str">
        <f ca="1">IF(GameLog[[#This Row],[Check]]="","",COUNTIF(GameLog[[#Headers],[Check]]:GameLog[[#This Row],[Check]],"?*")-1)</f>
        <v/>
      </c>
      <c r="O243" s="6" t="str">
        <f>IFERROR(INDEX(Players[New name],MATCH(GameLog[[#This Row],[Player]],Players[Name],0)),GameLog[[#This Row],[Player]])</f>
        <v>Bryce C</v>
      </c>
    </row>
    <row r="244" spans="1:15" x14ac:dyDescent="0.45">
      <c r="A244" s="6" t="s">
        <v>78</v>
      </c>
      <c r="B244" s="6" t="s">
        <v>53</v>
      </c>
      <c r="C244" s="6">
        <v>1</v>
      </c>
      <c r="D244" s="6">
        <v>2</v>
      </c>
      <c r="E244" s="6">
        <v>2</v>
      </c>
      <c r="F244" s="10">
        <v>45922</v>
      </c>
      <c r="G244" s="6" t="str">
        <f>_xlfn.TEXTJOIN("|",TRUE,GameLog[[#This Row],[Pod]],TEXT(INT(GameLog[[#This Row],[Round]]),"yyyymmdd"),GameLog[[#This Row],[Date]])</f>
        <v>2|19000102|45922</v>
      </c>
      <c r="H244" s="6">
        <f>COUNTIF(GameLog[Pod ID],GameLog[[#This Row],[Pod ID]])</f>
        <v>5</v>
      </c>
      <c r="I244" s="6">
        <f>YEAR(GameLog[[#This Row],[Date]])</f>
        <v>2025</v>
      </c>
      <c r="J244" s="6">
        <f>MONTH(GameLog[[#This Row],[Date]])</f>
        <v>9</v>
      </c>
      <c r="K244" s="6" t="str">
        <f>IF(GameLog[[#This Row],[Date]]=MAX(GameLog[Date]),"Current","Previous")</f>
        <v>Previous</v>
      </c>
      <c r="L244" s="6"/>
      <c r="M2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4" s="6" t="str">
        <f ca="1">IF(GameLog[[#This Row],[Check]]="","",COUNTIF(GameLog[[#Headers],[Check]]:GameLog[[#This Row],[Check]],"?*")-1)</f>
        <v/>
      </c>
      <c r="O244" s="6" t="str">
        <f>IFERROR(INDEX(Players[New name],MATCH(GameLog[[#This Row],[Player]],Players[Name],0)),GameLog[[#This Row],[Player]])</f>
        <v>Justin M</v>
      </c>
    </row>
    <row r="245" spans="1:15" x14ac:dyDescent="0.45">
      <c r="A245" s="6" t="s">
        <v>64</v>
      </c>
      <c r="B245" s="6" t="s">
        <v>53</v>
      </c>
      <c r="C245" s="6">
        <v>2</v>
      </c>
      <c r="D245" s="6">
        <v>2</v>
      </c>
      <c r="E245" s="6">
        <v>2</v>
      </c>
      <c r="F245" s="10">
        <v>45922</v>
      </c>
      <c r="G245" s="6" t="str">
        <f>_xlfn.TEXTJOIN("|",TRUE,GameLog[[#This Row],[Pod]],TEXT(INT(GameLog[[#This Row],[Round]]),"yyyymmdd"),GameLog[[#This Row],[Date]])</f>
        <v>2|19000102|45922</v>
      </c>
      <c r="H245" s="6">
        <f>COUNTIF(GameLog[Pod ID],GameLog[[#This Row],[Pod ID]])</f>
        <v>5</v>
      </c>
      <c r="I245" s="6">
        <f>YEAR(GameLog[[#This Row],[Date]])</f>
        <v>2025</v>
      </c>
      <c r="J245" s="6">
        <f>MONTH(GameLog[[#This Row],[Date]])</f>
        <v>9</v>
      </c>
      <c r="K245" s="6" t="str">
        <f>IF(GameLog[[#This Row],[Date]]=MAX(GameLog[Date]),"Current","Previous")</f>
        <v>Previous</v>
      </c>
      <c r="L245" s="6"/>
      <c r="M2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5" s="6" t="str">
        <f ca="1">IF(GameLog[[#This Row],[Check]]="","",COUNTIF(GameLog[[#Headers],[Check]]:GameLog[[#This Row],[Check]],"?*")-1)</f>
        <v/>
      </c>
      <c r="O245" s="6" t="str">
        <f>IFERROR(INDEX(Players[New name],MATCH(GameLog[[#This Row],[Player]],Players[Name],0)),GameLog[[#This Row],[Player]])</f>
        <v>Tyler B</v>
      </c>
    </row>
    <row r="246" spans="1:15" x14ac:dyDescent="0.45">
      <c r="A246" s="6" t="s">
        <v>52</v>
      </c>
      <c r="B246" s="6" t="s">
        <v>53</v>
      </c>
      <c r="C246" s="6">
        <v>3</v>
      </c>
      <c r="D246" s="6">
        <v>2</v>
      </c>
      <c r="E246" s="6">
        <v>2</v>
      </c>
      <c r="F246" s="10">
        <v>45922</v>
      </c>
      <c r="G246" s="6" t="str">
        <f>_xlfn.TEXTJOIN("|",TRUE,GameLog[[#This Row],[Pod]],TEXT(INT(GameLog[[#This Row],[Round]]),"yyyymmdd"),GameLog[[#This Row],[Date]])</f>
        <v>2|19000102|45922</v>
      </c>
      <c r="H246" s="6">
        <f>COUNTIF(GameLog[Pod ID],GameLog[[#This Row],[Pod ID]])</f>
        <v>5</v>
      </c>
      <c r="I246" s="6">
        <f>YEAR(GameLog[[#This Row],[Date]])</f>
        <v>2025</v>
      </c>
      <c r="J246" s="6">
        <f>MONTH(GameLog[[#This Row],[Date]])</f>
        <v>9</v>
      </c>
      <c r="K246" s="6" t="str">
        <f>IF(GameLog[[#This Row],[Date]]=MAX(GameLog[Date]),"Current","Previous")</f>
        <v>Previous</v>
      </c>
      <c r="L246" s="6"/>
      <c r="M2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6" s="6" t="str">
        <f ca="1">IF(GameLog[[#This Row],[Check]]="","",COUNTIF(GameLog[[#Headers],[Check]]:GameLog[[#This Row],[Check]],"?*")-1)</f>
        <v/>
      </c>
      <c r="O246" s="6" t="str">
        <f>IFERROR(INDEX(Players[New name],MATCH(GameLog[[#This Row],[Player]],Players[Name],0)),GameLog[[#This Row],[Player]])</f>
        <v>Unknown</v>
      </c>
    </row>
    <row r="247" spans="1:15" x14ac:dyDescent="0.45">
      <c r="A247" s="6" t="s">
        <v>59</v>
      </c>
      <c r="B247" s="6" t="s">
        <v>53</v>
      </c>
      <c r="C247" s="6">
        <v>4</v>
      </c>
      <c r="D247" s="6">
        <v>2</v>
      </c>
      <c r="E247" s="6">
        <v>2</v>
      </c>
      <c r="F247" s="10">
        <v>45922</v>
      </c>
      <c r="G247" s="6" t="str">
        <f>_xlfn.TEXTJOIN("|",TRUE,GameLog[[#This Row],[Pod]],TEXT(INT(GameLog[[#This Row],[Round]]),"yyyymmdd"),GameLog[[#This Row],[Date]])</f>
        <v>2|19000102|45922</v>
      </c>
      <c r="H247" s="6">
        <f>COUNTIF(GameLog[Pod ID],GameLog[[#This Row],[Pod ID]])</f>
        <v>5</v>
      </c>
      <c r="I247" s="6">
        <f>YEAR(GameLog[[#This Row],[Date]])</f>
        <v>2025</v>
      </c>
      <c r="J247" s="6">
        <f>MONTH(GameLog[[#This Row],[Date]])</f>
        <v>9</v>
      </c>
      <c r="K247" s="6" t="str">
        <f>IF(GameLog[[#This Row],[Date]]=MAX(GameLog[Date]),"Current","Previous")</f>
        <v>Previous</v>
      </c>
      <c r="L247" s="6"/>
      <c r="M2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7" s="6" t="str">
        <f ca="1">IF(GameLog[[#This Row],[Check]]="","",COUNTIF(GameLog[[#Headers],[Check]]:GameLog[[#This Row],[Check]],"?*")-1)</f>
        <v/>
      </c>
      <c r="O247" s="6" t="str">
        <f>IFERROR(INDEX(Players[New name],MATCH(GameLog[[#This Row],[Player]],Players[Name],0)),GameLog[[#This Row],[Player]])</f>
        <v>Zack B</v>
      </c>
    </row>
    <row r="248" spans="1:15" x14ac:dyDescent="0.45">
      <c r="A248" s="6" t="s">
        <v>60</v>
      </c>
      <c r="B248" s="6" t="s">
        <v>50</v>
      </c>
      <c r="C248" s="6">
        <v>5</v>
      </c>
      <c r="D248" s="6">
        <v>2</v>
      </c>
      <c r="E248" s="6">
        <v>2</v>
      </c>
      <c r="F248" s="10">
        <v>45922</v>
      </c>
      <c r="G248" s="6" t="str">
        <f>_xlfn.TEXTJOIN("|",TRUE,GameLog[[#This Row],[Pod]],TEXT(INT(GameLog[[#This Row],[Round]]),"yyyymmdd"),GameLog[[#This Row],[Date]])</f>
        <v>2|19000102|45922</v>
      </c>
      <c r="H248" s="6">
        <f>COUNTIF(GameLog[Pod ID],GameLog[[#This Row],[Pod ID]])</f>
        <v>5</v>
      </c>
      <c r="I248" s="6">
        <f>YEAR(GameLog[[#This Row],[Date]])</f>
        <v>2025</v>
      </c>
      <c r="J248" s="6">
        <f>MONTH(GameLog[[#This Row],[Date]])</f>
        <v>9</v>
      </c>
      <c r="K248" s="6" t="str">
        <f>IF(GameLog[[#This Row],[Date]]=MAX(GameLog[Date]),"Current","Previous")</f>
        <v>Previous</v>
      </c>
      <c r="L248" s="6"/>
      <c r="M2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8" s="6" t="str">
        <f ca="1">IF(GameLog[[#This Row],[Check]]="","",COUNTIF(GameLog[[#Headers],[Check]]:GameLog[[#This Row],[Check]],"?*")-1)</f>
        <v/>
      </c>
      <c r="O248" s="6" t="str">
        <f>IFERROR(INDEX(Players[New name],MATCH(GameLog[[#This Row],[Player]],Players[Name],0)),GameLog[[#This Row],[Player]])</f>
        <v>Brendan H</v>
      </c>
    </row>
    <row r="249" spans="1:15" x14ac:dyDescent="0.45">
      <c r="A249" s="6" t="s">
        <v>73</v>
      </c>
      <c r="B249" s="6" t="s">
        <v>53</v>
      </c>
      <c r="C249" s="6">
        <v>1</v>
      </c>
      <c r="D249" s="6">
        <v>3</v>
      </c>
      <c r="E249" s="6">
        <v>2</v>
      </c>
      <c r="F249" s="10">
        <v>45922</v>
      </c>
      <c r="G249" s="6" t="str">
        <f>_xlfn.TEXTJOIN("|",TRUE,GameLog[[#This Row],[Pod]],TEXT(INT(GameLog[[#This Row],[Round]]),"yyyymmdd"),GameLog[[#This Row],[Date]])</f>
        <v>3|19000102|45922</v>
      </c>
      <c r="H249" s="6">
        <f>COUNTIF(GameLog[Pod ID],GameLog[[#This Row],[Pod ID]])</f>
        <v>4</v>
      </c>
      <c r="I249" s="6">
        <f>YEAR(GameLog[[#This Row],[Date]])</f>
        <v>2025</v>
      </c>
      <c r="J249" s="6">
        <f>MONTH(GameLog[[#This Row],[Date]])</f>
        <v>9</v>
      </c>
      <c r="K249" s="6" t="str">
        <f>IF(GameLog[[#This Row],[Date]]=MAX(GameLog[Date]),"Current","Previous")</f>
        <v>Previous</v>
      </c>
      <c r="L249" s="6"/>
      <c r="M2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49" s="6" t="str">
        <f ca="1">IF(GameLog[[#This Row],[Check]]="","",COUNTIF(GameLog[[#Headers],[Check]]:GameLog[[#This Row],[Check]],"?*")-1)</f>
        <v/>
      </c>
      <c r="O249" s="6" t="str">
        <f>IFERROR(INDEX(Players[New name],MATCH(GameLog[[#This Row],[Player]],Players[Name],0)),GameLog[[#This Row],[Player]])</f>
        <v>Brandon B</v>
      </c>
    </row>
    <row r="250" spans="1:15" x14ac:dyDescent="0.45">
      <c r="A250" s="6" t="s">
        <v>49</v>
      </c>
      <c r="B250" s="6" t="s">
        <v>53</v>
      </c>
      <c r="C250" s="6">
        <v>2</v>
      </c>
      <c r="D250" s="6">
        <v>3</v>
      </c>
      <c r="E250" s="6">
        <v>2</v>
      </c>
      <c r="F250" s="10">
        <v>45922</v>
      </c>
      <c r="G250" s="6" t="str">
        <f>_xlfn.TEXTJOIN("|",TRUE,GameLog[[#This Row],[Pod]],TEXT(INT(GameLog[[#This Row],[Round]]),"yyyymmdd"),GameLog[[#This Row],[Date]])</f>
        <v>3|19000102|45922</v>
      </c>
      <c r="H250" s="6">
        <f>COUNTIF(GameLog[Pod ID],GameLog[[#This Row],[Pod ID]])</f>
        <v>4</v>
      </c>
      <c r="I250" s="6">
        <f>YEAR(GameLog[[#This Row],[Date]])</f>
        <v>2025</v>
      </c>
      <c r="J250" s="6">
        <f>MONTH(GameLog[[#This Row],[Date]])</f>
        <v>9</v>
      </c>
      <c r="K250" s="6" t="str">
        <f>IF(GameLog[[#This Row],[Date]]=MAX(GameLog[Date]),"Current","Previous")</f>
        <v>Previous</v>
      </c>
      <c r="L250" s="6"/>
      <c r="M2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0" s="6" t="str">
        <f ca="1">IF(GameLog[[#This Row],[Check]]="","",COUNTIF(GameLog[[#Headers],[Check]]:GameLog[[#This Row],[Check]],"?*")-1)</f>
        <v/>
      </c>
      <c r="O250" s="6" t="str">
        <f>IFERROR(INDEX(Players[New name],MATCH(GameLog[[#This Row],[Player]],Players[Name],0)),GameLog[[#This Row],[Player]])</f>
        <v>Brett R</v>
      </c>
    </row>
    <row r="251" spans="1:15" x14ac:dyDescent="0.45">
      <c r="A251" s="6" t="s">
        <v>71</v>
      </c>
      <c r="B251" s="6" t="s">
        <v>50</v>
      </c>
      <c r="C251" s="6">
        <v>3</v>
      </c>
      <c r="D251" s="6">
        <v>3</v>
      </c>
      <c r="E251" s="6">
        <v>2</v>
      </c>
      <c r="F251" s="10">
        <v>45922</v>
      </c>
      <c r="G251" s="6" t="str">
        <f>_xlfn.TEXTJOIN("|",TRUE,GameLog[[#This Row],[Pod]],TEXT(INT(GameLog[[#This Row],[Round]]),"yyyymmdd"),GameLog[[#This Row],[Date]])</f>
        <v>3|19000102|45922</v>
      </c>
      <c r="H251" s="6">
        <f>COUNTIF(GameLog[Pod ID],GameLog[[#This Row],[Pod ID]])</f>
        <v>4</v>
      </c>
      <c r="I251" s="6">
        <f>YEAR(GameLog[[#This Row],[Date]])</f>
        <v>2025</v>
      </c>
      <c r="J251" s="6">
        <f>MONTH(GameLog[[#This Row],[Date]])</f>
        <v>9</v>
      </c>
      <c r="K251" s="6" t="str">
        <f>IF(GameLog[[#This Row],[Date]]=MAX(GameLog[Date]),"Current","Previous")</f>
        <v>Previous</v>
      </c>
      <c r="L251" s="6"/>
      <c r="M2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1" s="6" t="str">
        <f ca="1">IF(GameLog[[#This Row],[Check]]="","",COUNTIF(GameLog[[#Headers],[Check]]:GameLog[[#This Row],[Check]],"?*")-1)</f>
        <v/>
      </c>
      <c r="O251" s="6" t="str">
        <f>IFERROR(INDEX(Players[New name],MATCH(GameLog[[#This Row],[Player]],Players[Name],0)),GameLog[[#This Row],[Player]])</f>
        <v>Rodney Y</v>
      </c>
    </row>
    <row r="252" spans="1:15" x14ac:dyDescent="0.45">
      <c r="A252" s="6" t="s">
        <v>77</v>
      </c>
      <c r="B252" s="6" t="s">
        <v>53</v>
      </c>
      <c r="C252" s="6">
        <v>4</v>
      </c>
      <c r="D252" s="6">
        <v>3</v>
      </c>
      <c r="E252" s="6">
        <v>2</v>
      </c>
      <c r="F252" s="10">
        <v>45922</v>
      </c>
      <c r="G252" s="6" t="str">
        <f>_xlfn.TEXTJOIN("|",TRUE,GameLog[[#This Row],[Pod]],TEXT(INT(GameLog[[#This Row],[Round]]),"yyyymmdd"),GameLog[[#This Row],[Date]])</f>
        <v>3|19000102|45922</v>
      </c>
      <c r="H252" s="6">
        <f>COUNTIF(GameLog[Pod ID],GameLog[[#This Row],[Pod ID]])</f>
        <v>4</v>
      </c>
      <c r="I252" s="6">
        <f>YEAR(GameLog[[#This Row],[Date]])</f>
        <v>2025</v>
      </c>
      <c r="J252" s="6">
        <f>MONTH(GameLog[[#This Row],[Date]])</f>
        <v>9</v>
      </c>
      <c r="K252" s="6" t="str">
        <f>IF(GameLog[[#This Row],[Date]]=MAX(GameLog[Date]),"Current","Previous")</f>
        <v>Previous</v>
      </c>
      <c r="L252" s="6"/>
      <c r="M2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2" s="6" t="str">
        <f ca="1">IF(GameLog[[#This Row],[Check]]="","",COUNTIF(GameLog[[#Headers],[Check]]:GameLog[[#This Row],[Check]],"?*")-1)</f>
        <v/>
      </c>
      <c r="O252" s="6" t="str">
        <f>IFERROR(INDEX(Players[New name],MATCH(GameLog[[#This Row],[Player]],Players[Name],0)),GameLog[[#This Row],[Player]])</f>
        <v>Dave M</v>
      </c>
    </row>
    <row r="253" spans="1:15" x14ac:dyDescent="0.45">
      <c r="A253" s="6" t="s">
        <v>68</v>
      </c>
      <c r="B253" s="6" t="s">
        <v>53</v>
      </c>
      <c r="C253" s="6">
        <v>1</v>
      </c>
      <c r="D253" s="6">
        <v>4</v>
      </c>
      <c r="E253" s="6">
        <v>2</v>
      </c>
      <c r="F253" s="10">
        <v>45922</v>
      </c>
      <c r="G253" s="6" t="str">
        <f>_xlfn.TEXTJOIN("|",TRUE,GameLog[[#This Row],[Pod]],TEXT(INT(GameLog[[#This Row],[Round]]),"yyyymmdd"),GameLog[[#This Row],[Date]])</f>
        <v>4|19000102|45922</v>
      </c>
      <c r="H253" s="6">
        <f>COUNTIF(GameLog[Pod ID],GameLog[[#This Row],[Pod ID]])</f>
        <v>4</v>
      </c>
      <c r="I253" s="6">
        <f>YEAR(GameLog[[#This Row],[Date]])</f>
        <v>2025</v>
      </c>
      <c r="J253" s="6">
        <f>MONTH(GameLog[[#This Row],[Date]])</f>
        <v>9</v>
      </c>
      <c r="K253" s="6" t="str">
        <f>IF(GameLog[[#This Row],[Date]]=MAX(GameLog[Date]),"Current","Previous")</f>
        <v>Previous</v>
      </c>
      <c r="L253" s="6"/>
      <c r="M2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3" s="6" t="str">
        <f ca="1">IF(GameLog[[#This Row],[Check]]="","",COUNTIF(GameLog[[#Headers],[Check]]:GameLog[[#This Row],[Check]],"?*")-1)</f>
        <v/>
      </c>
      <c r="O253" s="6" t="str">
        <f>IFERROR(INDEX(Players[New name],MATCH(GameLog[[#This Row],[Player]],Players[Name],0)),GameLog[[#This Row],[Player]])</f>
        <v>Edwin M</v>
      </c>
    </row>
    <row r="254" spans="1:15" x14ac:dyDescent="0.45">
      <c r="A254" s="6" t="s">
        <v>76</v>
      </c>
      <c r="B254" s="6" t="s">
        <v>53</v>
      </c>
      <c r="C254" s="6">
        <v>2</v>
      </c>
      <c r="D254" s="6">
        <v>4</v>
      </c>
      <c r="E254" s="6">
        <v>2</v>
      </c>
      <c r="F254" s="10">
        <v>45922</v>
      </c>
      <c r="G254" s="6" t="str">
        <f>_xlfn.TEXTJOIN("|",TRUE,GameLog[[#This Row],[Pod]],TEXT(INT(GameLog[[#This Row],[Round]]),"yyyymmdd"),GameLog[[#This Row],[Date]])</f>
        <v>4|19000102|45922</v>
      </c>
      <c r="H254" s="6">
        <f>COUNTIF(GameLog[Pod ID],GameLog[[#This Row],[Pod ID]])</f>
        <v>4</v>
      </c>
      <c r="I254" s="6">
        <f>YEAR(GameLog[[#This Row],[Date]])</f>
        <v>2025</v>
      </c>
      <c r="J254" s="6">
        <f>MONTH(GameLog[[#This Row],[Date]])</f>
        <v>9</v>
      </c>
      <c r="K254" s="6" t="str">
        <f>IF(GameLog[[#This Row],[Date]]=MAX(GameLog[Date]),"Current","Previous")</f>
        <v>Previous</v>
      </c>
      <c r="L254" s="6"/>
      <c r="M2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4" s="6" t="str">
        <f ca="1">IF(GameLog[[#This Row],[Check]]="","",COUNTIF(GameLog[[#Headers],[Check]]:GameLog[[#This Row],[Check]],"?*")-1)</f>
        <v/>
      </c>
      <c r="O254" s="6" t="str">
        <f>IFERROR(INDEX(Players[New name],MATCH(GameLog[[#This Row],[Player]],Players[Name],0)),GameLog[[#This Row],[Player]])</f>
        <v>Jon M</v>
      </c>
    </row>
    <row r="255" spans="1:15" x14ac:dyDescent="0.45">
      <c r="A255" s="6" t="s">
        <v>70</v>
      </c>
      <c r="B255" s="6" t="s">
        <v>53</v>
      </c>
      <c r="C255" s="6">
        <v>3</v>
      </c>
      <c r="D255" s="6">
        <v>4</v>
      </c>
      <c r="E255" s="6">
        <v>2</v>
      </c>
      <c r="F255" s="10">
        <v>45922</v>
      </c>
      <c r="G255" s="6" t="str">
        <f>_xlfn.TEXTJOIN("|",TRUE,GameLog[[#This Row],[Pod]],TEXT(INT(GameLog[[#This Row],[Round]]),"yyyymmdd"),GameLog[[#This Row],[Date]])</f>
        <v>4|19000102|45922</v>
      </c>
      <c r="H255" s="6">
        <f>COUNTIF(GameLog[Pod ID],GameLog[[#This Row],[Pod ID]])</f>
        <v>4</v>
      </c>
      <c r="I255" s="6">
        <f>YEAR(GameLog[[#This Row],[Date]])</f>
        <v>2025</v>
      </c>
      <c r="J255" s="6">
        <f>MONTH(GameLog[[#This Row],[Date]])</f>
        <v>9</v>
      </c>
      <c r="K255" s="6" t="str">
        <f>IF(GameLog[[#This Row],[Date]]=MAX(GameLog[Date]),"Current","Previous")</f>
        <v>Previous</v>
      </c>
      <c r="L255" s="6"/>
      <c r="M2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5" s="6" t="str">
        <f ca="1">IF(GameLog[[#This Row],[Check]]="","",COUNTIF(GameLog[[#Headers],[Check]]:GameLog[[#This Row],[Check]],"?*")-1)</f>
        <v/>
      </c>
      <c r="O255" s="6" t="str">
        <f>IFERROR(INDEX(Players[New name],MATCH(GameLog[[#This Row],[Player]],Players[Name],0)),GameLog[[#This Row],[Player]])</f>
        <v>Brad F</v>
      </c>
    </row>
    <row r="256" spans="1:15" x14ac:dyDescent="0.45">
      <c r="A256" s="6" t="s">
        <v>61</v>
      </c>
      <c r="B256" s="6" t="s">
        <v>50</v>
      </c>
      <c r="C256" s="6">
        <v>4</v>
      </c>
      <c r="D256" s="6">
        <v>4</v>
      </c>
      <c r="E256" s="6">
        <v>2</v>
      </c>
      <c r="F256" s="10">
        <v>45922</v>
      </c>
      <c r="G256" s="6" t="str">
        <f>_xlfn.TEXTJOIN("|",TRUE,GameLog[[#This Row],[Pod]],TEXT(INT(GameLog[[#This Row],[Round]]),"yyyymmdd"),GameLog[[#This Row],[Date]])</f>
        <v>4|19000102|45922</v>
      </c>
      <c r="H256" s="6">
        <f>COUNTIF(GameLog[Pod ID],GameLog[[#This Row],[Pod ID]])</f>
        <v>4</v>
      </c>
      <c r="I256" s="6">
        <f>YEAR(GameLog[[#This Row],[Date]])</f>
        <v>2025</v>
      </c>
      <c r="J256" s="6">
        <f>MONTH(GameLog[[#This Row],[Date]])</f>
        <v>9</v>
      </c>
      <c r="K256" s="6" t="str">
        <f>IF(GameLog[[#This Row],[Date]]=MAX(GameLog[Date]),"Current","Previous")</f>
        <v>Previous</v>
      </c>
      <c r="L256" s="6"/>
      <c r="M2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6" s="6" t="str">
        <f ca="1">IF(GameLog[[#This Row],[Check]]="","",COUNTIF(GameLog[[#Headers],[Check]]:GameLog[[#This Row],[Check]],"?*")-1)</f>
        <v/>
      </c>
      <c r="O256" s="6" t="str">
        <f>IFERROR(INDEX(Players[New name],MATCH(GameLog[[#This Row],[Player]],Players[Name],0)),GameLog[[#This Row],[Player]])</f>
        <v>Trevor</v>
      </c>
    </row>
    <row r="257" spans="1:15" x14ac:dyDescent="0.45">
      <c r="A257" s="6" t="s">
        <v>79</v>
      </c>
      <c r="B257" s="6" t="s">
        <v>53</v>
      </c>
      <c r="C257" s="6">
        <v>1</v>
      </c>
      <c r="D257" s="6">
        <v>1</v>
      </c>
      <c r="E257" s="6">
        <v>1</v>
      </c>
      <c r="F257" s="10">
        <v>45929</v>
      </c>
      <c r="G257" s="6" t="str">
        <f>_xlfn.TEXTJOIN("|",TRUE,GameLog[[#This Row],[Pod]],TEXT(INT(GameLog[[#This Row],[Round]]),"yyyymmdd"),GameLog[[#This Row],[Date]])</f>
        <v>1|19000101|45929</v>
      </c>
      <c r="H257" s="6">
        <f>COUNTIF(GameLog[Pod ID],GameLog[[#This Row],[Pod ID]])</f>
        <v>4</v>
      </c>
      <c r="I257" s="6">
        <f>YEAR(GameLog[[#This Row],[Date]])</f>
        <v>2025</v>
      </c>
      <c r="J257" s="6">
        <f>MONTH(GameLog[[#This Row],[Date]])</f>
        <v>9</v>
      </c>
      <c r="K257" s="6" t="str">
        <f>IF(GameLog[[#This Row],[Date]]=MAX(GameLog[Date]),"Current","Previous")</f>
        <v>Previous</v>
      </c>
      <c r="L257" s="6"/>
      <c r="M2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7" s="6" t="str">
        <f ca="1">IF(GameLog[[#This Row],[Check]]="","",COUNTIF(GameLog[[#Headers],[Check]]:GameLog[[#This Row],[Check]],"?*")-1)</f>
        <v/>
      </c>
      <c r="O257" s="6" t="str">
        <f>IFERROR(INDEX(Players[New name],MATCH(GameLog[[#This Row],[Player]],Players[Name],0)),GameLog[[#This Row],[Player]])</f>
        <v>Justin Lopez</v>
      </c>
    </row>
    <row r="258" spans="1:15" x14ac:dyDescent="0.45">
      <c r="A258" s="6" t="s">
        <v>64</v>
      </c>
      <c r="B258" s="6" t="s">
        <v>53</v>
      </c>
      <c r="C258" s="6">
        <v>2</v>
      </c>
      <c r="D258" s="6">
        <v>1</v>
      </c>
      <c r="E258" s="6">
        <v>1</v>
      </c>
      <c r="F258" s="10">
        <v>45929</v>
      </c>
      <c r="G258" s="6" t="str">
        <f>_xlfn.TEXTJOIN("|",TRUE,GameLog[[#This Row],[Pod]],TEXT(INT(GameLog[[#This Row],[Round]]),"yyyymmdd"),GameLog[[#This Row],[Date]])</f>
        <v>1|19000101|45929</v>
      </c>
      <c r="H258" s="6">
        <f>COUNTIF(GameLog[Pod ID],GameLog[[#This Row],[Pod ID]])</f>
        <v>4</v>
      </c>
      <c r="I258" s="6">
        <f>YEAR(GameLog[[#This Row],[Date]])</f>
        <v>2025</v>
      </c>
      <c r="J258" s="6">
        <f>MONTH(GameLog[[#This Row],[Date]])</f>
        <v>9</v>
      </c>
      <c r="K258" s="6" t="str">
        <f>IF(GameLog[[#This Row],[Date]]=MAX(GameLog[Date]),"Current","Previous")</f>
        <v>Previous</v>
      </c>
      <c r="L258" s="6"/>
      <c r="M2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8" s="6" t="str">
        <f ca="1">IF(GameLog[[#This Row],[Check]]="","",COUNTIF(GameLog[[#Headers],[Check]]:GameLog[[#This Row],[Check]],"?*")-1)</f>
        <v/>
      </c>
      <c r="O258" s="6" t="str">
        <f>IFERROR(INDEX(Players[New name],MATCH(GameLog[[#This Row],[Player]],Players[Name],0)),GameLog[[#This Row],[Player]])</f>
        <v>Tyler B</v>
      </c>
    </row>
    <row r="259" spans="1:15" x14ac:dyDescent="0.45">
      <c r="A259" s="6" t="s">
        <v>61</v>
      </c>
      <c r="B259" s="6" t="s">
        <v>50</v>
      </c>
      <c r="C259" s="6">
        <v>3</v>
      </c>
      <c r="D259" s="6">
        <v>1</v>
      </c>
      <c r="E259" s="6">
        <v>1</v>
      </c>
      <c r="F259" s="10">
        <v>45929</v>
      </c>
      <c r="G259" s="6" t="str">
        <f>_xlfn.TEXTJOIN("|",TRUE,GameLog[[#This Row],[Pod]],TEXT(INT(GameLog[[#This Row],[Round]]),"yyyymmdd"),GameLog[[#This Row],[Date]])</f>
        <v>1|19000101|45929</v>
      </c>
      <c r="H259" s="6">
        <f>COUNTIF(GameLog[Pod ID],GameLog[[#This Row],[Pod ID]])</f>
        <v>4</v>
      </c>
      <c r="I259" s="6">
        <f>YEAR(GameLog[[#This Row],[Date]])</f>
        <v>2025</v>
      </c>
      <c r="J259" s="6">
        <f>MONTH(GameLog[[#This Row],[Date]])</f>
        <v>9</v>
      </c>
      <c r="K259" s="6" t="str">
        <f>IF(GameLog[[#This Row],[Date]]=MAX(GameLog[Date]),"Current","Previous")</f>
        <v>Previous</v>
      </c>
      <c r="L259" s="6"/>
      <c r="M2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59" s="6" t="str">
        <f ca="1">IF(GameLog[[#This Row],[Check]]="","",COUNTIF(GameLog[[#Headers],[Check]]:GameLog[[#This Row],[Check]],"?*")-1)</f>
        <v/>
      </c>
      <c r="O259" s="6" t="str">
        <f>IFERROR(INDEX(Players[New name],MATCH(GameLog[[#This Row],[Player]],Players[Name],0)),GameLog[[#This Row],[Player]])</f>
        <v>Trevor</v>
      </c>
    </row>
    <row r="260" spans="1:15" x14ac:dyDescent="0.45">
      <c r="A260" s="6" t="s">
        <v>73</v>
      </c>
      <c r="B260" s="6" t="s">
        <v>53</v>
      </c>
      <c r="C260" s="6">
        <v>4</v>
      </c>
      <c r="D260" s="6">
        <v>1</v>
      </c>
      <c r="E260" s="6">
        <v>1</v>
      </c>
      <c r="F260" s="10">
        <v>45929</v>
      </c>
      <c r="G260" s="6" t="str">
        <f>_xlfn.TEXTJOIN("|",TRUE,GameLog[[#This Row],[Pod]],TEXT(INT(GameLog[[#This Row],[Round]]),"yyyymmdd"),GameLog[[#This Row],[Date]])</f>
        <v>1|19000101|45929</v>
      </c>
      <c r="H260" s="6">
        <f>COUNTIF(GameLog[Pod ID],GameLog[[#This Row],[Pod ID]])</f>
        <v>4</v>
      </c>
      <c r="I260" s="6">
        <f>YEAR(GameLog[[#This Row],[Date]])</f>
        <v>2025</v>
      </c>
      <c r="J260" s="6">
        <f>MONTH(GameLog[[#This Row],[Date]])</f>
        <v>9</v>
      </c>
      <c r="K260" s="6" t="str">
        <f>IF(GameLog[[#This Row],[Date]]=MAX(GameLog[Date]),"Current","Previous")</f>
        <v>Previous</v>
      </c>
      <c r="L260" s="6"/>
      <c r="M2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0" s="6" t="str">
        <f ca="1">IF(GameLog[[#This Row],[Check]]="","",COUNTIF(GameLog[[#Headers],[Check]]:GameLog[[#This Row],[Check]],"?*")-1)</f>
        <v/>
      </c>
      <c r="O260" s="6" t="str">
        <f>IFERROR(INDEX(Players[New name],MATCH(GameLog[[#This Row],[Player]],Players[Name],0)),GameLog[[#This Row],[Player]])</f>
        <v>Brandon B</v>
      </c>
    </row>
    <row r="261" spans="1:15" x14ac:dyDescent="0.45">
      <c r="A261" s="6" t="s">
        <v>63</v>
      </c>
      <c r="B261" s="6" t="s">
        <v>53</v>
      </c>
      <c r="C261" s="6">
        <v>1</v>
      </c>
      <c r="D261" s="6">
        <v>2</v>
      </c>
      <c r="E261" s="6">
        <v>1</v>
      </c>
      <c r="F261" s="10">
        <v>45929</v>
      </c>
      <c r="G261" s="6" t="str">
        <f>_xlfn.TEXTJOIN("|",TRUE,GameLog[[#This Row],[Pod]],TEXT(INT(GameLog[[#This Row],[Round]]),"yyyymmdd"),GameLog[[#This Row],[Date]])</f>
        <v>2|19000101|45929</v>
      </c>
      <c r="H261" s="6">
        <f>COUNTIF(GameLog[Pod ID],GameLog[[#This Row],[Pod ID]])</f>
        <v>4</v>
      </c>
      <c r="I261" s="6">
        <f>YEAR(GameLog[[#This Row],[Date]])</f>
        <v>2025</v>
      </c>
      <c r="J261" s="6">
        <f>MONTH(GameLog[[#This Row],[Date]])</f>
        <v>9</v>
      </c>
      <c r="K261" s="6" t="str">
        <f>IF(GameLog[[#This Row],[Date]]=MAX(GameLog[Date]),"Current","Previous")</f>
        <v>Previous</v>
      </c>
      <c r="L261" s="6"/>
      <c r="M2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1" s="6" t="str">
        <f ca="1">IF(GameLog[[#This Row],[Check]]="","",COUNTIF(GameLog[[#Headers],[Check]]:GameLog[[#This Row],[Check]],"?*")-1)</f>
        <v/>
      </c>
      <c r="O261" s="6" t="str">
        <f>IFERROR(INDEX(Players[New name],MATCH(GameLog[[#This Row],[Player]],Players[Name],0)),GameLog[[#This Row],[Player]])</f>
        <v>Jake D</v>
      </c>
    </row>
    <row r="262" spans="1:15" x14ac:dyDescent="0.45">
      <c r="A262" s="6" t="s">
        <v>55</v>
      </c>
      <c r="B262" s="6" t="s">
        <v>50</v>
      </c>
      <c r="C262" s="6">
        <v>2</v>
      </c>
      <c r="D262" s="6">
        <v>2</v>
      </c>
      <c r="E262" s="6">
        <v>1</v>
      </c>
      <c r="F262" s="10">
        <v>45929</v>
      </c>
      <c r="G262" s="6" t="str">
        <f>_xlfn.TEXTJOIN("|",TRUE,GameLog[[#This Row],[Pod]],TEXT(INT(GameLog[[#This Row],[Round]]),"yyyymmdd"),GameLog[[#This Row],[Date]])</f>
        <v>2|19000101|45929</v>
      </c>
      <c r="H262" s="6">
        <f>COUNTIF(GameLog[Pod ID],GameLog[[#This Row],[Pod ID]])</f>
        <v>4</v>
      </c>
      <c r="I262" s="6">
        <f>YEAR(GameLog[[#This Row],[Date]])</f>
        <v>2025</v>
      </c>
      <c r="J262" s="6">
        <f>MONTH(GameLog[[#This Row],[Date]])</f>
        <v>9</v>
      </c>
      <c r="K262" s="6" t="str">
        <f>IF(GameLog[[#This Row],[Date]]=MAX(GameLog[Date]),"Current","Previous")</f>
        <v>Previous</v>
      </c>
      <c r="L262" s="6"/>
      <c r="M2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2" s="6" t="str">
        <f ca="1">IF(GameLog[[#This Row],[Check]]="","",COUNTIF(GameLog[[#Headers],[Check]]:GameLog[[#This Row],[Check]],"?*")-1)</f>
        <v/>
      </c>
      <c r="O262" s="6" t="str">
        <f>IFERROR(INDEX(Players[New name],MATCH(GameLog[[#This Row],[Player]],Players[Name],0)),GameLog[[#This Row],[Player]])</f>
        <v>Bryce C</v>
      </c>
    </row>
    <row r="263" spans="1:15" x14ac:dyDescent="0.45">
      <c r="A263" s="6" t="s">
        <v>78</v>
      </c>
      <c r="B263" s="6" t="s">
        <v>53</v>
      </c>
      <c r="C263" s="6">
        <v>3</v>
      </c>
      <c r="D263" s="6">
        <v>2</v>
      </c>
      <c r="E263" s="6">
        <v>1</v>
      </c>
      <c r="F263" s="10">
        <v>45929</v>
      </c>
      <c r="G263" s="6" t="str">
        <f>_xlfn.TEXTJOIN("|",TRUE,GameLog[[#This Row],[Pod]],TEXT(INT(GameLog[[#This Row],[Round]]),"yyyymmdd"),GameLog[[#This Row],[Date]])</f>
        <v>2|19000101|45929</v>
      </c>
      <c r="H263" s="6">
        <f>COUNTIF(GameLog[Pod ID],GameLog[[#This Row],[Pod ID]])</f>
        <v>4</v>
      </c>
      <c r="I263" s="6">
        <f>YEAR(GameLog[[#This Row],[Date]])</f>
        <v>2025</v>
      </c>
      <c r="J263" s="6">
        <f>MONTH(GameLog[[#This Row],[Date]])</f>
        <v>9</v>
      </c>
      <c r="K263" s="6" t="str">
        <f>IF(GameLog[[#This Row],[Date]]=MAX(GameLog[Date]),"Current","Previous")</f>
        <v>Previous</v>
      </c>
      <c r="L263" s="6"/>
      <c r="M2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3" s="6" t="str">
        <f ca="1">IF(GameLog[[#This Row],[Check]]="","",COUNTIF(GameLog[[#Headers],[Check]]:GameLog[[#This Row],[Check]],"?*")-1)</f>
        <v/>
      </c>
      <c r="O263" s="6" t="str">
        <f>IFERROR(INDEX(Players[New name],MATCH(GameLog[[#This Row],[Player]],Players[Name],0)),GameLog[[#This Row],[Player]])</f>
        <v>Justin M</v>
      </c>
    </row>
    <row r="264" spans="1:15" x14ac:dyDescent="0.45">
      <c r="A264" s="6" t="s">
        <v>68</v>
      </c>
      <c r="B264" s="6" t="s">
        <v>53</v>
      </c>
      <c r="C264" s="6">
        <v>4</v>
      </c>
      <c r="D264" s="6">
        <v>2</v>
      </c>
      <c r="E264" s="6">
        <v>1</v>
      </c>
      <c r="F264" s="10">
        <v>45929</v>
      </c>
      <c r="G264" s="6" t="str">
        <f>_xlfn.TEXTJOIN("|",TRUE,GameLog[[#This Row],[Pod]],TEXT(INT(GameLog[[#This Row],[Round]]),"yyyymmdd"),GameLog[[#This Row],[Date]])</f>
        <v>2|19000101|45929</v>
      </c>
      <c r="H264" s="6">
        <f>COUNTIF(GameLog[Pod ID],GameLog[[#This Row],[Pod ID]])</f>
        <v>4</v>
      </c>
      <c r="I264" s="6">
        <f>YEAR(GameLog[[#This Row],[Date]])</f>
        <v>2025</v>
      </c>
      <c r="J264" s="6">
        <f>MONTH(GameLog[[#This Row],[Date]])</f>
        <v>9</v>
      </c>
      <c r="K264" s="6" t="str">
        <f>IF(GameLog[[#This Row],[Date]]=MAX(GameLog[Date]),"Current","Previous")</f>
        <v>Previous</v>
      </c>
      <c r="L264" s="6"/>
      <c r="M2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4" s="6" t="str">
        <f ca="1">IF(GameLog[[#This Row],[Check]]="","",COUNTIF(GameLog[[#Headers],[Check]]:GameLog[[#This Row],[Check]],"?*")-1)</f>
        <v/>
      </c>
      <c r="O264" s="6" t="str">
        <f>IFERROR(INDEX(Players[New name],MATCH(GameLog[[#This Row],[Player]],Players[Name],0)),GameLog[[#This Row],[Player]])</f>
        <v>Edwin M</v>
      </c>
    </row>
    <row r="265" spans="1:15" x14ac:dyDescent="0.45">
      <c r="A265" s="6" t="s">
        <v>58</v>
      </c>
      <c r="B265" s="6" t="s">
        <v>53</v>
      </c>
      <c r="C265" s="6">
        <v>1</v>
      </c>
      <c r="D265" s="6">
        <v>3</v>
      </c>
      <c r="E265" s="6">
        <v>1</v>
      </c>
      <c r="F265" s="10">
        <v>45929</v>
      </c>
      <c r="G265" s="6" t="str">
        <f>_xlfn.TEXTJOIN("|",TRUE,GameLog[[#This Row],[Pod]],TEXT(INT(GameLog[[#This Row],[Round]]),"yyyymmdd"),GameLog[[#This Row],[Date]])</f>
        <v>3|19000101|45929</v>
      </c>
      <c r="H265" s="6">
        <f>COUNTIF(GameLog[Pod ID],GameLog[[#This Row],[Pod ID]])</f>
        <v>4</v>
      </c>
      <c r="I265" s="6">
        <f>YEAR(GameLog[[#This Row],[Date]])</f>
        <v>2025</v>
      </c>
      <c r="J265" s="6">
        <f>MONTH(GameLog[[#This Row],[Date]])</f>
        <v>9</v>
      </c>
      <c r="K265" s="6" t="str">
        <f>IF(GameLog[[#This Row],[Date]]=MAX(GameLog[Date]),"Current","Previous")</f>
        <v>Previous</v>
      </c>
      <c r="L265" s="6"/>
      <c r="M2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5" s="6" t="str">
        <f ca="1">IF(GameLog[[#This Row],[Check]]="","",COUNTIF(GameLog[[#Headers],[Check]]:GameLog[[#This Row],[Check]],"?*")-1)</f>
        <v/>
      </c>
      <c r="O265" s="6" t="str">
        <f>IFERROR(INDEX(Players[New name],MATCH(GameLog[[#This Row],[Player]],Players[Name],0)),GameLog[[#This Row],[Player]])</f>
        <v>Dakota P</v>
      </c>
    </row>
    <row r="266" spans="1:15" x14ac:dyDescent="0.45">
      <c r="A266" s="6" t="s">
        <v>76</v>
      </c>
      <c r="B266" s="6" t="s">
        <v>53</v>
      </c>
      <c r="C266" s="6">
        <v>2</v>
      </c>
      <c r="D266" s="6">
        <v>3</v>
      </c>
      <c r="E266" s="6">
        <v>1</v>
      </c>
      <c r="F266" s="10">
        <v>45929</v>
      </c>
      <c r="G266" s="6" t="str">
        <f>_xlfn.TEXTJOIN("|",TRUE,GameLog[[#This Row],[Pod]],TEXT(INT(GameLog[[#This Row],[Round]]),"yyyymmdd"),GameLog[[#This Row],[Date]])</f>
        <v>3|19000101|45929</v>
      </c>
      <c r="H266" s="6">
        <f>COUNTIF(GameLog[Pod ID],GameLog[[#This Row],[Pod ID]])</f>
        <v>4</v>
      </c>
      <c r="I266" s="6">
        <f>YEAR(GameLog[[#This Row],[Date]])</f>
        <v>2025</v>
      </c>
      <c r="J266" s="6">
        <f>MONTH(GameLog[[#This Row],[Date]])</f>
        <v>9</v>
      </c>
      <c r="K266" s="6" t="str">
        <f>IF(GameLog[[#This Row],[Date]]=MAX(GameLog[Date]),"Current","Previous")</f>
        <v>Previous</v>
      </c>
      <c r="L266" s="6"/>
      <c r="M2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6" s="6" t="str">
        <f ca="1">IF(GameLog[[#This Row],[Check]]="","",COUNTIF(GameLog[[#Headers],[Check]]:GameLog[[#This Row],[Check]],"?*")-1)</f>
        <v/>
      </c>
      <c r="O266" s="6" t="str">
        <f>IFERROR(INDEX(Players[New name],MATCH(GameLog[[#This Row],[Player]],Players[Name],0)),GameLog[[#This Row],[Player]])</f>
        <v>Jon M</v>
      </c>
    </row>
    <row r="267" spans="1:15" x14ac:dyDescent="0.45">
      <c r="A267" s="6" t="s">
        <v>69</v>
      </c>
      <c r="B267" s="6" t="s">
        <v>50</v>
      </c>
      <c r="C267" s="6">
        <v>3</v>
      </c>
      <c r="D267" s="6">
        <v>3</v>
      </c>
      <c r="E267" s="6">
        <v>1</v>
      </c>
      <c r="F267" s="10">
        <v>45929</v>
      </c>
      <c r="G267" s="6" t="str">
        <f>_xlfn.TEXTJOIN("|",TRUE,GameLog[[#This Row],[Pod]],TEXT(INT(GameLog[[#This Row],[Round]]),"yyyymmdd"),GameLog[[#This Row],[Date]])</f>
        <v>3|19000101|45929</v>
      </c>
      <c r="H267" s="6">
        <f>COUNTIF(GameLog[Pod ID],GameLog[[#This Row],[Pod ID]])</f>
        <v>4</v>
      </c>
      <c r="I267" s="6">
        <f>YEAR(GameLog[[#This Row],[Date]])</f>
        <v>2025</v>
      </c>
      <c r="J267" s="6">
        <f>MONTH(GameLog[[#This Row],[Date]])</f>
        <v>9</v>
      </c>
      <c r="K267" s="6" t="str">
        <f>IF(GameLog[[#This Row],[Date]]=MAX(GameLog[Date]),"Current","Previous")</f>
        <v>Previous</v>
      </c>
      <c r="L267" s="6"/>
      <c r="M2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7" s="6" t="str">
        <f ca="1">IF(GameLog[[#This Row],[Check]]="","",COUNTIF(GameLog[[#Headers],[Check]]:GameLog[[#This Row],[Check]],"?*")-1)</f>
        <v/>
      </c>
      <c r="O267" s="6" t="str">
        <f>IFERROR(INDEX(Players[New name],MATCH(GameLog[[#This Row],[Player]],Players[Name],0)),GameLog[[#This Row],[Player]])</f>
        <v>Ryan T</v>
      </c>
    </row>
    <row r="268" spans="1:15" x14ac:dyDescent="0.45">
      <c r="A268" s="6" t="s">
        <v>57</v>
      </c>
      <c r="B268" s="6" t="s">
        <v>53</v>
      </c>
      <c r="C268" s="6">
        <v>4</v>
      </c>
      <c r="D268" s="6">
        <v>3</v>
      </c>
      <c r="E268" s="6">
        <v>1</v>
      </c>
      <c r="F268" s="10">
        <v>45929</v>
      </c>
      <c r="G268" s="6" t="str">
        <f>_xlfn.TEXTJOIN("|",TRUE,GameLog[[#This Row],[Pod]],TEXT(INT(GameLog[[#This Row],[Round]]),"yyyymmdd"),GameLog[[#This Row],[Date]])</f>
        <v>3|19000101|45929</v>
      </c>
      <c r="H268" s="6">
        <f>COUNTIF(GameLog[Pod ID],GameLog[[#This Row],[Pod ID]])</f>
        <v>4</v>
      </c>
      <c r="I268" s="6">
        <f>YEAR(GameLog[[#This Row],[Date]])</f>
        <v>2025</v>
      </c>
      <c r="J268" s="6">
        <f>MONTH(GameLog[[#This Row],[Date]])</f>
        <v>9</v>
      </c>
      <c r="K268" s="6" t="str">
        <f>IF(GameLog[[#This Row],[Date]]=MAX(GameLog[Date]),"Current","Previous")</f>
        <v>Previous</v>
      </c>
      <c r="L268" s="6"/>
      <c r="M2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8" s="6" t="str">
        <f ca="1">IF(GameLog[[#This Row],[Check]]="","",COUNTIF(GameLog[[#Headers],[Check]]:GameLog[[#This Row],[Check]],"?*")-1)</f>
        <v/>
      </c>
      <c r="O268" s="6" t="str">
        <f>IFERROR(INDEX(Players[New name],MATCH(GameLog[[#This Row],[Player]],Players[Name],0)),GameLog[[#This Row],[Player]])</f>
        <v>AJ W</v>
      </c>
    </row>
    <row r="269" spans="1:15" x14ac:dyDescent="0.45">
      <c r="A269" s="6" t="s">
        <v>49</v>
      </c>
      <c r="B269" s="6" t="s">
        <v>53</v>
      </c>
      <c r="C269" s="6">
        <v>1</v>
      </c>
      <c r="D269" s="6">
        <v>4</v>
      </c>
      <c r="E269" s="6">
        <v>1</v>
      </c>
      <c r="F269" s="10">
        <v>45929</v>
      </c>
      <c r="G269" s="6" t="str">
        <f>_xlfn.TEXTJOIN("|",TRUE,GameLog[[#This Row],[Pod]],TEXT(INT(GameLog[[#This Row],[Round]]),"yyyymmdd"),GameLog[[#This Row],[Date]])</f>
        <v>4|19000101|45929</v>
      </c>
      <c r="H269" s="6">
        <f>COUNTIF(GameLog[Pod ID],GameLog[[#This Row],[Pod ID]])</f>
        <v>4</v>
      </c>
      <c r="I269" s="6">
        <f>YEAR(GameLog[[#This Row],[Date]])</f>
        <v>2025</v>
      </c>
      <c r="J269" s="6">
        <f>MONTH(GameLog[[#This Row],[Date]])</f>
        <v>9</v>
      </c>
      <c r="K269" s="6" t="str">
        <f>IF(GameLog[[#This Row],[Date]]=MAX(GameLog[Date]),"Current","Previous")</f>
        <v>Previous</v>
      </c>
      <c r="L269" s="6"/>
      <c r="M2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69" s="6" t="str">
        <f ca="1">IF(GameLog[[#This Row],[Check]]="","",COUNTIF(GameLog[[#Headers],[Check]]:GameLog[[#This Row],[Check]],"?*")-1)</f>
        <v/>
      </c>
      <c r="O269" s="6" t="str">
        <f>IFERROR(INDEX(Players[New name],MATCH(GameLog[[#This Row],[Player]],Players[Name],0)),GameLog[[#This Row],[Player]])</f>
        <v>Brett R</v>
      </c>
    </row>
    <row r="270" spans="1:15" x14ac:dyDescent="0.45">
      <c r="A270" s="6" t="s">
        <v>70</v>
      </c>
      <c r="B270" s="6" t="s">
        <v>53</v>
      </c>
      <c r="C270" s="6">
        <v>2</v>
      </c>
      <c r="D270" s="6">
        <v>4</v>
      </c>
      <c r="E270" s="6">
        <v>1</v>
      </c>
      <c r="F270" s="10">
        <v>45929</v>
      </c>
      <c r="G270" s="6" t="str">
        <f>_xlfn.TEXTJOIN("|",TRUE,GameLog[[#This Row],[Pod]],TEXT(INT(GameLog[[#This Row],[Round]]),"yyyymmdd"),GameLog[[#This Row],[Date]])</f>
        <v>4|19000101|45929</v>
      </c>
      <c r="H270" s="6">
        <f>COUNTIF(GameLog[Pod ID],GameLog[[#This Row],[Pod ID]])</f>
        <v>4</v>
      </c>
      <c r="I270" s="6">
        <f>YEAR(GameLog[[#This Row],[Date]])</f>
        <v>2025</v>
      </c>
      <c r="J270" s="6">
        <f>MONTH(GameLog[[#This Row],[Date]])</f>
        <v>9</v>
      </c>
      <c r="K270" s="6" t="str">
        <f>IF(GameLog[[#This Row],[Date]]=MAX(GameLog[Date]),"Current","Previous")</f>
        <v>Previous</v>
      </c>
      <c r="L270" s="6"/>
      <c r="M2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0" s="6" t="str">
        <f ca="1">IF(GameLog[[#This Row],[Check]]="","",COUNTIF(GameLog[[#Headers],[Check]]:GameLog[[#This Row],[Check]],"?*")-1)</f>
        <v/>
      </c>
      <c r="O270" s="6" t="str">
        <f>IFERROR(INDEX(Players[New name],MATCH(GameLog[[#This Row],[Player]],Players[Name],0)),GameLog[[#This Row],[Player]])</f>
        <v>Brad F</v>
      </c>
    </row>
    <row r="271" spans="1:15" x14ac:dyDescent="0.45">
      <c r="A271" s="6" t="s">
        <v>60</v>
      </c>
      <c r="B271" s="6" t="s">
        <v>53</v>
      </c>
      <c r="C271" s="6">
        <v>3</v>
      </c>
      <c r="D271" s="6">
        <v>4</v>
      </c>
      <c r="E271" s="6">
        <v>1</v>
      </c>
      <c r="F271" s="10">
        <v>45929</v>
      </c>
      <c r="G271" s="6" t="str">
        <f>_xlfn.TEXTJOIN("|",TRUE,GameLog[[#This Row],[Pod]],TEXT(INT(GameLog[[#This Row],[Round]]),"yyyymmdd"),GameLog[[#This Row],[Date]])</f>
        <v>4|19000101|45929</v>
      </c>
      <c r="H271" s="6">
        <f>COUNTIF(GameLog[Pod ID],GameLog[[#This Row],[Pod ID]])</f>
        <v>4</v>
      </c>
      <c r="I271" s="6">
        <f>YEAR(GameLog[[#This Row],[Date]])</f>
        <v>2025</v>
      </c>
      <c r="J271" s="6">
        <f>MONTH(GameLog[[#This Row],[Date]])</f>
        <v>9</v>
      </c>
      <c r="K271" s="6" t="str">
        <f>IF(GameLog[[#This Row],[Date]]=MAX(GameLog[Date]),"Current","Previous")</f>
        <v>Previous</v>
      </c>
      <c r="L271" s="6"/>
      <c r="M2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1" s="6" t="str">
        <f ca="1">IF(GameLog[[#This Row],[Check]]="","",COUNTIF(GameLog[[#Headers],[Check]]:GameLog[[#This Row],[Check]],"?*")-1)</f>
        <v/>
      </c>
      <c r="O271" s="6" t="str">
        <f>IFERROR(INDEX(Players[New name],MATCH(GameLog[[#This Row],[Player]],Players[Name],0)),GameLog[[#This Row],[Player]])</f>
        <v>Brendan H</v>
      </c>
    </row>
    <row r="272" spans="1:15" x14ac:dyDescent="0.45">
      <c r="A272" s="6" t="s">
        <v>77</v>
      </c>
      <c r="B272" s="6" t="s">
        <v>50</v>
      </c>
      <c r="C272" s="6">
        <v>4</v>
      </c>
      <c r="D272" s="6">
        <v>4</v>
      </c>
      <c r="E272" s="6">
        <v>1</v>
      </c>
      <c r="F272" s="10">
        <v>45929</v>
      </c>
      <c r="G272" s="6" t="str">
        <f>_xlfn.TEXTJOIN("|",TRUE,GameLog[[#This Row],[Pod]],TEXT(INT(GameLog[[#This Row],[Round]]),"yyyymmdd"),GameLog[[#This Row],[Date]])</f>
        <v>4|19000101|45929</v>
      </c>
      <c r="H272" s="6">
        <f>COUNTIF(GameLog[Pod ID],GameLog[[#This Row],[Pod ID]])</f>
        <v>4</v>
      </c>
      <c r="I272" s="6">
        <f>YEAR(GameLog[[#This Row],[Date]])</f>
        <v>2025</v>
      </c>
      <c r="J272" s="6">
        <f>MONTH(GameLog[[#This Row],[Date]])</f>
        <v>9</v>
      </c>
      <c r="K272" s="6" t="str">
        <f>IF(GameLog[[#This Row],[Date]]=MAX(GameLog[Date]),"Current","Previous")</f>
        <v>Previous</v>
      </c>
      <c r="L272" s="6"/>
      <c r="M2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2" s="6" t="str">
        <f ca="1">IF(GameLog[[#This Row],[Check]]="","",COUNTIF(GameLog[[#Headers],[Check]]:GameLog[[#This Row],[Check]],"?*")-1)</f>
        <v/>
      </c>
      <c r="O272" s="6" t="str">
        <f>IFERROR(INDEX(Players[New name],MATCH(GameLog[[#This Row],[Player]],Players[Name],0)),GameLog[[#This Row],[Player]])</f>
        <v>Dave M</v>
      </c>
    </row>
    <row r="273" spans="1:15" x14ac:dyDescent="0.45">
      <c r="A273" s="6" t="s">
        <v>61</v>
      </c>
      <c r="B273" s="6" t="s">
        <v>53</v>
      </c>
      <c r="C273" s="6">
        <v>1</v>
      </c>
      <c r="D273" s="6">
        <v>1</v>
      </c>
      <c r="E273" s="6">
        <v>2</v>
      </c>
      <c r="F273" s="10">
        <v>45929</v>
      </c>
      <c r="G273" s="6" t="str">
        <f>_xlfn.TEXTJOIN("|",TRUE,GameLog[[#This Row],[Pod]],TEXT(INT(GameLog[[#This Row],[Round]]),"yyyymmdd"),GameLog[[#This Row],[Date]])</f>
        <v>1|19000102|45929</v>
      </c>
      <c r="H273" s="6">
        <f>COUNTIF(GameLog[Pod ID],GameLog[[#This Row],[Pod ID]])</f>
        <v>4</v>
      </c>
      <c r="I273" s="6">
        <f>YEAR(GameLog[[#This Row],[Date]])</f>
        <v>2025</v>
      </c>
      <c r="J273" s="6">
        <f>MONTH(GameLog[[#This Row],[Date]])</f>
        <v>9</v>
      </c>
      <c r="K273" s="6" t="str">
        <f>IF(GameLog[[#This Row],[Date]]=MAX(GameLog[Date]),"Current","Previous")</f>
        <v>Previous</v>
      </c>
      <c r="L273" s="6"/>
      <c r="M2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3" s="6" t="str">
        <f ca="1">IF(GameLog[[#This Row],[Check]]="","",COUNTIF(GameLog[[#Headers],[Check]]:GameLog[[#This Row],[Check]],"?*")-1)</f>
        <v/>
      </c>
      <c r="O273" s="6" t="str">
        <f>IFERROR(INDEX(Players[New name],MATCH(GameLog[[#This Row],[Player]],Players[Name],0)),GameLog[[#This Row],[Player]])</f>
        <v>Trevor</v>
      </c>
    </row>
    <row r="274" spans="1:15" x14ac:dyDescent="0.45">
      <c r="A274" s="6" t="s">
        <v>77</v>
      </c>
      <c r="B274" s="6" t="s">
        <v>50</v>
      </c>
      <c r="C274" s="6">
        <v>2</v>
      </c>
      <c r="D274" s="6">
        <v>1</v>
      </c>
      <c r="E274" s="6">
        <v>2</v>
      </c>
      <c r="F274" s="10">
        <v>45929</v>
      </c>
      <c r="G274" s="6" t="str">
        <f>_xlfn.TEXTJOIN("|",TRUE,GameLog[[#This Row],[Pod]],TEXT(INT(GameLog[[#This Row],[Round]]),"yyyymmdd"),GameLog[[#This Row],[Date]])</f>
        <v>1|19000102|45929</v>
      </c>
      <c r="H274" s="6">
        <f>COUNTIF(GameLog[Pod ID],GameLog[[#This Row],[Pod ID]])</f>
        <v>4</v>
      </c>
      <c r="I274" s="6">
        <f>YEAR(GameLog[[#This Row],[Date]])</f>
        <v>2025</v>
      </c>
      <c r="J274" s="6">
        <f>MONTH(GameLog[[#This Row],[Date]])</f>
        <v>9</v>
      </c>
      <c r="K274" s="6" t="str">
        <f>IF(GameLog[[#This Row],[Date]]=MAX(GameLog[Date]),"Current","Previous")</f>
        <v>Previous</v>
      </c>
      <c r="L274" s="6"/>
      <c r="M2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4" s="6" t="str">
        <f ca="1">IF(GameLog[[#This Row],[Check]]="","",COUNTIF(GameLog[[#Headers],[Check]]:GameLog[[#This Row],[Check]],"?*")-1)</f>
        <v/>
      </c>
      <c r="O274" s="6" t="str">
        <f>IFERROR(INDEX(Players[New name],MATCH(GameLog[[#This Row],[Player]],Players[Name],0)),GameLog[[#This Row],[Player]])</f>
        <v>Dave M</v>
      </c>
    </row>
    <row r="275" spans="1:15" x14ac:dyDescent="0.45">
      <c r="A275" s="6" t="s">
        <v>55</v>
      </c>
      <c r="B275" s="6" t="s">
        <v>53</v>
      </c>
      <c r="C275" s="6">
        <v>3</v>
      </c>
      <c r="D275" s="6">
        <v>1</v>
      </c>
      <c r="E275" s="6">
        <v>2</v>
      </c>
      <c r="F275" s="10">
        <v>45929</v>
      </c>
      <c r="G275" s="6" t="str">
        <f>_xlfn.TEXTJOIN("|",TRUE,GameLog[[#This Row],[Pod]],TEXT(INT(GameLog[[#This Row],[Round]]),"yyyymmdd"),GameLog[[#This Row],[Date]])</f>
        <v>1|19000102|45929</v>
      </c>
      <c r="H275" s="6">
        <f>COUNTIF(GameLog[Pod ID],GameLog[[#This Row],[Pod ID]])</f>
        <v>4</v>
      </c>
      <c r="I275" s="6">
        <f>YEAR(GameLog[[#This Row],[Date]])</f>
        <v>2025</v>
      </c>
      <c r="J275" s="6">
        <f>MONTH(GameLog[[#This Row],[Date]])</f>
        <v>9</v>
      </c>
      <c r="K275" s="6" t="str">
        <f>IF(GameLog[[#This Row],[Date]]=MAX(GameLog[Date]),"Current","Previous")</f>
        <v>Previous</v>
      </c>
      <c r="L275" s="6"/>
      <c r="M2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5" s="6" t="str">
        <f ca="1">IF(GameLog[[#This Row],[Check]]="","",COUNTIF(GameLog[[#Headers],[Check]]:GameLog[[#This Row],[Check]],"?*")-1)</f>
        <v/>
      </c>
      <c r="O275" s="6" t="str">
        <f>IFERROR(INDEX(Players[New name],MATCH(GameLog[[#This Row],[Player]],Players[Name],0)),GameLog[[#This Row],[Player]])</f>
        <v>Bryce C</v>
      </c>
    </row>
    <row r="276" spans="1:15" x14ac:dyDescent="0.45">
      <c r="A276" s="6" t="s">
        <v>69</v>
      </c>
      <c r="B276" s="6" t="s">
        <v>53</v>
      </c>
      <c r="C276" s="6">
        <v>4</v>
      </c>
      <c r="D276" s="6">
        <v>1</v>
      </c>
      <c r="E276" s="6">
        <v>2</v>
      </c>
      <c r="F276" s="10">
        <v>45929</v>
      </c>
      <c r="G276" s="6" t="str">
        <f>_xlfn.TEXTJOIN("|",TRUE,GameLog[[#This Row],[Pod]],TEXT(INT(GameLog[[#This Row],[Round]]),"yyyymmdd"),GameLog[[#This Row],[Date]])</f>
        <v>1|19000102|45929</v>
      </c>
      <c r="H276" s="6">
        <f>COUNTIF(GameLog[Pod ID],GameLog[[#This Row],[Pod ID]])</f>
        <v>4</v>
      </c>
      <c r="I276" s="6">
        <f>YEAR(GameLog[[#This Row],[Date]])</f>
        <v>2025</v>
      </c>
      <c r="J276" s="6">
        <f>MONTH(GameLog[[#This Row],[Date]])</f>
        <v>9</v>
      </c>
      <c r="K276" s="6" t="str">
        <f>IF(GameLog[[#This Row],[Date]]=MAX(GameLog[Date]),"Current","Previous")</f>
        <v>Previous</v>
      </c>
      <c r="L276" s="6"/>
      <c r="M2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6" s="6" t="str">
        <f ca="1">IF(GameLog[[#This Row],[Check]]="","",COUNTIF(GameLog[[#Headers],[Check]]:GameLog[[#This Row],[Check]],"?*")-1)</f>
        <v/>
      </c>
      <c r="O276" s="6" t="str">
        <f>IFERROR(INDEX(Players[New name],MATCH(GameLog[[#This Row],[Player]],Players[Name],0)),GameLog[[#This Row],[Player]])</f>
        <v>Ryan T</v>
      </c>
    </row>
    <row r="277" spans="1:15" x14ac:dyDescent="0.45">
      <c r="A277" s="6" t="s">
        <v>57</v>
      </c>
      <c r="B277" s="6" t="s">
        <v>53</v>
      </c>
      <c r="C277" s="6">
        <v>1</v>
      </c>
      <c r="D277" s="6">
        <v>2</v>
      </c>
      <c r="E277" s="6">
        <v>2</v>
      </c>
      <c r="F277" s="10">
        <v>45929</v>
      </c>
      <c r="G277" s="6" t="str">
        <f>_xlfn.TEXTJOIN("|",TRUE,GameLog[[#This Row],[Pod]],TEXT(INT(GameLog[[#This Row],[Round]]),"yyyymmdd"),GameLog[[#This Row],[Date]])</f>
        <v>2|19000102|45929</v>
      </c>
      <c r="H277" s="6">
        <f>COUNTIF(GameLog[Pod ID],GameLog[[#This Row],[Pod ID]])</f>
        <v>4</v>
      </c>
      <c r="I277" s="6">
        <f>YEAR(GameLog[[#This Row],[Date]])</f>
        <v>2025</v>
      </c>
      <c r="J277" s="6">
        <f>MONTH(GameLog[[#This Row],[Date]])</f>
        <v>9</v>
      </c>
      <c r="K277" s="6" t="str">
        <f>IF(GameLog[[#This Row],[Date]]=MAX(GameLog[Date]),"Current","Previous")</f>
        <v>Previous</v>
      </c>
      <c r="L277" s="6"/>
      <c r="M2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7" s="6" t="str">
        <f ca="1">IF(GameLog[[#This Row],[Check]]="","",COUNTIF(GameLog[[#Headers],[Check]]:GameLog[[#This Row],[Check]],"?*")-1)</f>
        <v/>
      </c>
      <c r="O277" s="6" t="str">
        <f>IFERROR(INDEX(Players[New name],MATCH(GameLog[[#This Row],[Player]],Players[Name],0)),GameLog[[#This Row],[Player]])</f>
        <v>AJ W</v>
      </c>
    </row>
    <row r="278" spans="1:15" x14ac:dyDescent="0.45">
      <c r="A278" s="6" t="s">
        <v>49</v>
      </c>
      <c r="B278" s="6" t="s">
        <v>53</v>
      </c>
      <c r="C278" s="6">
        <v>2</v>
      </c>
      <c r="D278" s="6">
        <v>2</v>
      </c>
      <c r="E278" s="6">
        <v>2</v>
      </c>
      <c r="F278" s="10">
        <v>45929</v>
      </c>
      <c r="G278" s="6" t="str">
        <f>_xlfn.TEXTJOIN("|",TRUE,GameLog[[#This Row],[Pod]],TEXT(INT(GameLog[[#This Row],[Round]]),"yyyymmdd"),GameLog[[#This Row],[Date]])</f>
        <v>2|19000102|45929</v>
      </c>
      <c r="H278" s="6">
        <f>COUNTIF(GameLog[Pod ID],GameLog[[#This Row],[Pod ID]])</f>
        <v>4</v>
      </c>
      <c r="I278" s="6">
        <f>YEAR(GameLog[[#This Row],[Date]])</f>
        <v>2025</v>
      </c>
      <c r="J278" s="6">
        <f>MONTH(GameLog[[#This Row],[Date]])</f>
        <v>9</v>
      </c>
      <c r="K278" s="6" t="str">
        <f>IF(GameLog[[#This Row],[Date]]=MAX(GameLog[Date]),"Current","Previous")</f>
        <v>Previous</v>
      </c>
      <c r="L278" s="6"/>
      <c r="M2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8" s="6" t="str">
        <f ca="1">IF(GameLog[[#This Row],[Check]]="","",COUNTIF(GameLog[[#Headers],[Check]]:GameLog[[#This Row],[Check]],"?*")-1)</f>
        <v/>
      </c>
      <c r="O278" s="6" t="str">
        <f>IFERROR(INDEX(Players[New name],MATCH(GameLog[[#This Row],[Player]],Players[Name],0)),GameLog[[#This Row],[Player]])</f>
        <v>Brett R</v>
      </c>
    </row>
    <row r="279" spans="1:15" x14ac:dyDescent="0.45">
      <c r="A279" s="6" t="s">
        <v>68</v>
      </c>
      <c r="B279" s="6" t="s">
        <v>53</v>
      </c>
      <c r="C279" s="6">
        <v>3</v>
      </c>
      <c r="D279" s="6">
        <v>2</v>
      </c>
      <c r="E279" s="6">
        <v>2</v>
      </c>
      <c r="F279" s="10">
        <v>45929</v>
      </c>
      <c r="G279" s="6" t="str">
        <f>_xlfn.TEXTJOIN("|",TRUE,GameLog[[#This Row],[Pod]],TEXT(INT(GameLog[[#This Row],[Round]]),"yyyymmdd"),GameLog[[#This Row],[Date]])</f>
        <v>2|19000102|45929</v>
      </c>
      <c r="H279" s="6">
        <f>COUNTIF(GameLog[Pod ID],GameLog[[#This Row],[Pod ID]])</f>
        <v>4</v>
      </c>
      <c r="I279" s="6">
        <f>YEAR(GameLog[[#This Row],[Date]])</f>
        <v>2025</v>
      </c>
      <c r="J279" s="6">
        <f>MONTH(GameLog[[#This Row],[Date]])</f>
        <v>9</v>
      </c>
      <c r="K279" s="6" t="str">
        <f>IF(GameLog[[#This Row],[Date]]=MAX(GameLog[Date]),"Current","Previous")</f>
        <v>Previous</v>
      </c>
      <c r="L279" s="6"/>
      <c r="M2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79" s="6" t="str">
        <f ca="1">IF(GameLog[[#This Row],[Check]]="","",COUNTIF(GameLog[[#Headers],[Check]]:GameLog[[#This Row],[Check]],"?*")-1)</f>
        <v/>
      </c>
      <c r="O279" s="6" t="str">
        <f>IFERROR(INDEX(Players[New name],MATCH(GameLog[[#This Row],[Player]],Players[Name],0)),GameLog[[#This Row],[Player]])</f>
        <v>Edwin M</v>
      </c>
    </row>
    <row r="280" spans="1:15" x14ac:dyDescent="0.45">
      <c r="A280" s="6" t="s">
        <v>79</v>
      </c>
      <c r="B280" s="6" t="s">
        <v>50</v>
      </c>
      <c r="C280" s="6">
        <v>4</v>
      </c>
      <c r="D280" s="6">
        <v>2</v>
      </c>
      <c r="E280" s="6">
        <v>2</v>
      </c>
      <c r="F280" s="10">
        <v>45929</v>
      </c>
      <c r="G280" s="6" t="str">
        <f>_xlfn.TEXTJOIN("|",TRUE,GameLog[[#This Row],[Pod]],TEXT(INT(GameLog[[#This Row],[Round]]),"yyyymmdd"),GameLog[[#This Row],[Date]])</f>
        <v>2|19000102|45929</v>
      </c>
      <c r="H280" s="6">
        <f>COUNTIF(GameLog[Pod ID],GameLog[[#This Row],[Pod ID]])</f>
        <v>4</v>
      </c>
      <c r="I280" s="6">
        <f>YEAR(GameLog[[#This Row],[Date]])</f>
        <v>2025</v>
      </c>
      <c r="J280" s="6">
        <f>MONTH(GameLog[[#This Row],[Date]])</f>
        <v>9</v>
      </c>
      <c r="K280" s="6" t="str">
        <f>IF(GameLog[[#This Row],[Date]]=MAX(GameLog[Date]),"Current","Previous")</f>
        <v>Previous</v>
      </c>
      <c r="L280" s="6"/>
      <c r="M2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0" s="6" t="str">
        <f ca="1">IF(GameLog[[#This Row],[Check]]="","",COUNTIF(GameLog[[#Headers],[Check]]:GameLog[[#This Row],[Check]],"?*")-1)</f>
        <v/>
      </c>
      <c r="O280" s="6" t="str">
        <f>IFERROR(INDEX(Players[New name],MATCH(GameLog[[#This Row],[Player]],Players[Name],0)),GameLog[[#This Row],[Player]])</f>
        <v>Justin Lopez</v>
      </c>
    </row>
    <row r="281" spans="1:15" x14ac:dyDescent="0.45">
      <c r="A281" s="6" t="s">
        <v>73</v>
      </c>
      <c r="B281" s="6" t="s">
        <v>53</v>
      </c>
      <c r="C281" s="6">
        <v>1</v>
      </c>
      <c r="D281" s="6">
        <v>3</v>
      </c>
      <c r="E281" s="6">
        <v>2</v>
      </c>
      <c r="F281" s="10">
        <v>45929</v>
      </c>
      <c r="G281" s="6" t="str">
        <f>_xlfn.TEXTJOIN("|",TRUE,GameLog[[#This Row],[Pod]],TEXT(INT(GameLog[[#This Row],[Round]]),"yyyymmdd"),GameLog[[#This Row],[Date]])</f>
        <v>3|19000102|45929</v>
      </c>
      <c r="H281" s="6">
        <f>COUNTIF(GameLog[Pod ID],GameLog[[#This Row],[Pod ID]])</f>
        <v>4</v>
      </c>
      <c r="I281" s="6">
        <f>YEAR(GameLog[[#This Row],[Date]])</f>
        <v>2025</v>
      </c>
      <c r="J281" s="6">
        <f>MONTH(GameLog[[#This Row],[Date]])</f>
        <v>9</v>
      </c>
      <c r="K281" s="6" t="str">
        <f>IF(GameLog[[#This Row],[Date]]=MAX(GameLog[Date]),"Current","Previous")</f>
        <v>Previous</v>
      </c>
      <c r="L281" s="6"/>
      <c r="M2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1" s="6" t="str">
        <f ca="1">IF(GameLog[[#This Row],[Check]]="","",COUNTIF(GameLog[[#Headers],[Check]]:GameLog[[#This Row],[Check]],"?*")-1)</f>
        <v/>
      </c>
      <c r="O281" s="6" t="str">
        <f>IFERROR(INDEX(Players[New name],MATCH(GameLog[[#This Row],[Player]],Players[Name],0)),GameLog[[#This Row],[Player]])</f>
        <v>Brandon B</v>
      </c>
    </row>
    <row r="282" spans="1:15" x14ac:dyDescent="0.45">
      <c r="A282" s="6" t="s">
        <v>78</v>
      </c>
      <c r="B282" s="6" t="s">
        <v>53</v>
      </c>
      <c r="C282" s="6">
        <v>2</v>
      </c>
      <c r="D282" s="6">
        <v>3</v>
      </c>
      <c r="E282" s="6">
        <v>2</v>
      </c>
      <c r="F282" s="10">
        <v>45929</v>
      </c>
      <c r="G282" s="6" t="str">
        <f>_xlfn.TEXTJOIN("|",TRUE,GameLog[[#This Row],[Pod]],TEXT(INT(GameLog[[#This Row],[Round]]),"yyyymmdd"),GameLog[[#This Row],[Date]])</f>
        <v>3|19000102|45929</v>
      </c>
      <c r="H282" s="6">
        <f>COUNTIF(GameLog[Pod ID],GameLog[[#This Row],[Pod ID]])</f>
        <v>4</v>
      </c>
      <c r="I282" s="6">
        <f>YEAR(GameLog[[#This Row],[Date]])</f>
        <v>2025</v>
      </c>
      <c r="J282" s="6">
        <f>MONTH(GameLog[[#This Row],[Date]])</f>
        <v>9</v>
      </c>
      <c r="K282" s="6" t="str">
        <f>IF(GameLog[[#This Row],[Date]]=MAX(GameLog[Date]),"Current","Previous")</f>
        <v>Previous</v>
      </c>
      <c r="L282" s="6"/>
      <c r="M2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2" s="6" t="str">
        <f ca="1">IF(GameLog[[#This Row],[Check]]="","",COUNTIF(GameLog[[#Headers],[Check]]:GameLog[[#This Row],[Check]],"?*")-1)</f>
        <v/>
      </c>
      <c r="O282" s="6" t="str">
        <f>IFERROR(INDEX(Players[New name],MATCH(GameLog[[#This Row],[Player]],Players[Name],0)),GameLog[[#This Row],[Player]])</f>
        <v>Justin M</v>
      </c>
    </row>
    <row r="283" spans="1:15" x14ac:dyDescent="0.45">
      <c r="A283" s="6" t="s">
        <v>70</v>
      </c>
      <c r="B283" s="6" t="s">
        <v>53</v>
      </c>
      <c r="C283" s="6">
        <v>3</v>
      </c>
      <c r="D283" s="6">
        <v>3</v>
      </c>
      <c r="E283" s="6">
        <v>2</v>
      </c>
      <c r="F283" s="10">
        <v>45929</v>
      </c>
      <c r="G283" s="6" t="str">
        <f>_xlfn.TEXTJOIN("|",TRUE,GameLog[[#This Row],[Pod]],TEXT(INT(GameLog[[#This Row],[Round]]),"yyyymmdd"),GameLog[[#This Row],[Date]])</f>
        <v>3|19000102|45929</v>
      </c>
      <c r="H283" s="6">
        <f>COUNTIF(GameLog[Pod ID],GameLog[[#This Row],[Pod ID]])</f>
        <v>4</v>
      </c>
      <c r="I283" s="6">
        <f>YEAR(GameLog[[#This Row],[Date]])</f>
        <v>2025</v>
      </c>
      <c r="J283" s="6">
        <f>MONTH(GameLog[[#This Row],[Date]])</f>
        <v>9</v>
      </c>
      <c r="K283" s="6" t="str">
        <f>IF(GameLog[[#This Row],[Date]]=MAX(GameLog[Date]),"Current","Previous")</f>
        <v>Previous</v>
      </c>
      <c r="L283" s="6"/>
      <c r="M2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3" s="6" t="str">
        <f ca="1">IF(GameLog[[#This Row],[Check]]="","",COUNTIF(GameLog[[#Headers],[Check]]:GameLog[[#This Row],[Check]],"?*")-1)</f>
        <v/>
      </c>
      <c r="O283" s="6" t="str">
        <f>IFERROR(INDEX(Players[New name],MATCH(GameLog[[#This Row],[Player]],Players[Name],0)),GameLog[[#This Row],[Player]])</f>
        <v>Brad F</v>
      </c>
    </row>
    <row r="284" spans="1:15" x14ac:dyDescent="0.45">
      <c r="A284" s="6" t="s">
        <v>58</v>
      </c>
      <c r="B284" s="6" t="s">
        <v>50</v>
      </c>
      <c r="C284" s="6">
        <v>4</v>
      </c>
      <c r="D284" s="6">
        <v>3</v>
      </c>
      <c r="E284" s="6">
        <v>2</v>
      </c>
      <c r="F284" s="10">
        <v>45929</v>
      </c>
      <c r="G284" s="6" t="str">
        <f>_xlfn.TEXTJOIN("|",TRUE,GameLog[[#This Row],[Pod]],TEXT(INT(GameLog[[#This Row],[Round]]),"yyyymmdd"),GameLog[[#This Row],[Date]])</f>
        <v>3|19000102|45929</v>
      </c>
      <c r="H284" s="6">
        <f>COUNTIF(GameLog[Pod ID],GameLog[[#This Row],[Pod ID]])</f>
        <v>4</v>
      </c>
      <c r="I284" s="6">
        <f>YEAR(GameLog[[#This Row],[Date]])</f>
        <v>2025</v>
      </c>
      <c r="J284" s="6">
        <f>MONTH(GameLog[[#This Row],[Date]])</f>
        <v>9</v>
      </c>
      <c r="K284" s="6" t="str">
        <f>IF(GameLog[[#This Row],[Date]]=MAX(GameLog[Date]),"Current","Previous")</f>
        <v>Previous</v>
      </c>
      <c r="L284" s="6"/>
      <c r="M2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4" s="6" t="str">
        <f ca="1">IF(GameLog[[#This Row],[Check]]="","",COUNTIF(GameLog[[#Headers],[Check]]:GameLog[[#This Row],[Check]],"?*")-1)</f>
        <v/>
      </c>
      <c r="O284" s="6" t="str">
        <f>IFERROR(INDEX(Players[New name],MATCH(GameLog[[#This Row],[Player]],Players[Name],0)),GameLog[[#This Row],[Player]])</f>
        <v>Dakota P</v>
      </c>
    </row>
    <row r="285" spans="1:15" x14ac:dyDescent="0.45">
      <c r="A285" s="6" t="s">
        <v>60</v>
      </c>
      <c r="B285" s="6" t="s">
        <v>50</v>
      </c>
      <c r="C285" s="6">
        <v>1</v>
      </c>
      <c r="D285" s="6">
        <v>4</v>
      </c>
      <c r="E285" s="6">
        <v>2</v>
      </c>
      <c r="F285" s="10">
        <v>45929</v>
      </c>
      <c r="G285" s="6" t="str">
        <f>_xlfn.TEXTJOIN("|",TRUE,GameLog[[#This Row],[Pod]],TEXT(INT(GameLog[[#This Row],[Round]]),"yyyymmdd"),GameLog[[#This Row],[Date]])</f>
        <v>4|19000102|45929</v>
      </c>
      <c r="H285" s="6">
        <f>COUNTIF(GameLog[Pod ID],GameLog[[#This Row],[Pod ID]])</f>
        <v>4</v>
      </c>
      <c r="I285" s="6">
        <f>YEAR(GameLog[[#This Row],[Date]])</f>
        <v>2025</v>
      </c>
      <c r="J285" s="6">
        <f>MONTH(GameLog[[#This Row],[Date]])</f>
        <v>9</v>
      </c>
      <c r="K285" s="6" t="str">
        <f>IF(GameLog[[#This Row],[Date]]=MAX(GameLog[Date]),"Current","Previous")</f>
        <v>Previous</v>
      </c>
      <c r="L285" s="6"/>
      <c r="M2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5" s="6" t="str">
        <f ca="1">IF(GameLog[[#This Row],[Check]]="","",COUNTIF(GameLog[[#Headers],[Check]]:GameLog[[#This Row],[Check]],"?*")-1)</f>
        <v/>
      </c>
      <c r="O285" s="6" t="str">
        <f>IFERROR(INDEX(Players[New name],MATCH(GameLog[[#This Row],[Player]],Players[Name],0)),GameLog[[#This Row],[Player]])</f>
        <v>Brendan H</v>
      </c>
    </row>
    <row r="286" spans="1:15" x14ac:dyDescent="0.45">
      <c r="A286" s="6" t="s">
        <v>64</v>
      </c>
      <c r="B286" s="6" t="s">
        <v>53</v>
      </c>
      <c r="C286" s="6">
        <v>2</v>
      </c>
      <c r="D286" s="6">
        <v>4</v>
      </c>
      <c r="E286" s="6">
        <v>2</v>
      </c>
      <c r="F286" s="10">
        <v>45929</v>
      </c>
      <c r="G286" s="6" t="str">
        <f>_xlfn.TEXTJOIN("|",TRUE,GameLog[[#This Row],[Pod]],TEXT(INT(GameLog[[#This Row],[Round]]),"yyyymmdd"),GameLog[[#This Row],[Date]])</f>
        <v>4|19000102|45929</v>
      </c>
      <c r="H286" s="6">
        <f>COUNTIF(GameLog[Pod ID],GameLog[[#This Row],[Pod ID]])</f>
        <v>4</v>
      </c>
      <c r="I286" s="6">
        <f>YEAR(GameLog[[#This Row],[Date]])</f>
        <v>2025</v>
      </c>
      <c r="J286" s="6">
        <f>MONTH(GameLog[[#This Row],[Date]])</f>
        <v>9</v>
      </c>
      <c r="K286" s="6" t="str">
        <f>IF(GameLog[[#This Row],[Date]]=MAX(GameLog[Date]),"Current","Previous")</f>
        <v>Previous</v>
      </c>
      <c r="L286" s="6"/>
      <c r="M2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6" s="6" t="str">
        <f ca="1">IF(GameLog[[#This Row],[Check]]="","",COUNTIF(GameLog[[#Headers],[Check]]:GameLog[[#This Row],[Check]],"?*")-1)</f>
        <v/>
      </c>
      <c r="O286" s="6" t="str">
        <f>IFERROR(INDEX(Players[New name],MATCH(GameLog[[#This Row],[Player]],Players[Name],0)),GameLog[[#This Row],[Player]])</f>
        <v>Tyler B</v>
      </c>
    </row>
    <row r="287" spans="1:15" x14ac:dyDescent="0.45">
      <c r="A287" s="6" t="s">
        <v>76</v>
      </c>
      <c r="B287" s="6" t="s">
        <v>53</v>
      </c>
      <c r="C287" s="6">
        <v>3</v>
      </c>
      <c r="D287" s="6">
        <v>4</v>
      </c>
      <c r="E287" s="6">
        <v>2</v>
      </c>
      <c r="F287" s="10">
        <v>45929</v>
      </c>
      <c r="G287" s="6" t="str">
        <f>_xlfn.TEXTJOIN("|",TRUE,GameLog[[#This Row],[Pod]],TEXT(INT(GameLog[[#This Row],[Round]]),"yyyymmdd"),GameLog[[#This Row],[Date]])</f>
        <v>4|19000102|45929</v>
      </c>
      <c r="H287" s="6">
        <f>COUNTIF(GameLog[Pod ID],GameLog[[#This Row],[Pod ID]])</f>
        <v>4</v>
      </c>
      <c r="I287" s="6">
        <f>YEAR(GameLog[[#This Row],[Date]])</f>
        <v>2025</v>
      </c>
      <c r="J287" s="6">
        <f>MONTH(GameLog[[#This Row],[Date]])</f>
        <v>9</v>
      </c>
      <c r="K287" s="6" t="str">
        <f>IF(GameLog[[#This Row],[Date]]=MAX(GameLog[Date]),"Current","Previous")</f>
        <v>Previous</v>
      </c>
      <c r="L287" s="6"/>
      <c r="M2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7" s="6" t="str">
        <f ca="1">IF(GameLog[[#This Row],[Check]]="","",COUNTIF(GameLog[[#Headers],[Check]]:GameLog[[#This Row],[Check]],"?*")-1)</f>
        <v/>
      </c>
      <c r="O287" s="6" t="str">
        <f>IFERROR(INDEX(Players[New name],MATCH(GameLog[[#This Row],[Player]],Players[Name],0)),GameLog[[#This Row],[Player]])</f>
        <v>Jon M</v>
      </c>
    </row>
    <row r="288" spans="1:15" x14ac:dyDescent="0.45">
      <c r="A288" s="6" t="s">
        <v>63</v>
      </c>
      <c r="B288" s="6" t="s">
        <v>53</v>
      </c>
      <c r="C288" s="6">
        <v>4</v>
      </c>
      <c r="D288" s="6">
        <v>4</v>
      </c>
      <c r="E288" s="6">
        <v>2</v>
      </c>
      <c r="F288" s="10">
        <v>45929</v>
      </c>
      <c r="G288" s="6" t="str">
        <f>_xlfn.TEXTJOIN("|",TRUE,GameLog[[#This Row],[Pod]],TEXT(INT(GameLog[[#This Row],[Round]]),"yyyymmdd"),GameLog[[#This Row],[Date]])</f>
        <v>4|19000102|45929</v>
      </c>
      <c r="H288" s="6">
        <f>COUNTIF(GameLog[Pod ID],GameLog[[#This Row],[Pod ID]])</f>
        <v>4</v>
      </c>
      <c r="I288" s="6">
        <f>YEAR(GameLog[[#This Row],[Date]])</f>
        <v>2025</v>
      </c>
      <c r="J288" s="6">
        <f>MONTH(GameLog[[#This Row],[Date]])</f>
        <v>9</v>
      </c>
      <c r="K288" s="6" t="str">
        <f>IF(GameLog[[#This Row],[Date]]=MAX(GameLog[Date]),"Current","Previous")</f>
        <v>Previous</v>
      </c>
      <c r="L288" s="6"/>
      <c r="M2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8" s="6" t="str">
        <f ca="1">IF(GameLog[[#This Row],[Check]]="","",COUNTIF(GameLog[[#Headers],[Check]]:GameLog[[#This Row],[Check]],"?*")-1)</f>
        <v/>
      </c>
      <c r="O288" s="6" t="str">
        <f>IFERROR(INDEX(Players[New name],MATCH(GameLog[[#This Row],[Player]],Players[Name],0)),GameLog[[#This Row],[Player]])</f>
        <v>Jake D</v>
      </c>
    </row>
    <row r="289" spans="1:15" x14ac:dyDescent="0.45">
      <c r="A289" s="6" t="s">
        <v>49</v>
      </c>
      <c r="B289" s="6" t="s">
        <v>50</v>
      </c>
      <c r="C289" s="6">
        <v>1</v>
      </c>
      <c r="D289" s="6">
        <v>1</v>
      </c>
      <c r="E289" s="6">
        <v>1</v>
      </c>
      <c r="F289" s="10">
        <v>45936</v>
      </c>
      <c r="G289" s="6" t="str">
        <f>_xlfn.TEXTJOIN("|",TRUE,GameLog[[#This Row],[Pod]],TEXT(INT(GameLog[[#This Row],[Round]]),"yyyymmdd"),GameLog[[#This Row],[Date]])</f>
        <v>1|19000101|45936</v>
      </c>
      <c r="H289" s="6">
        <f>COUNTIF(GameLog[Pod ID],GameLog[[#This Row],[Pod ID]])</f>
        <v>5</v>
      </c>
      <c r="I289" s="6">
        <f>YEAR(GameLog[[#This Row],[Date]])</f>
        <v>2025</v>
      </c>
      <c r="J289" s="6">
        <f>MONTH(GameLog[[#This Row],[Date]])</f>
        <v>10</v>
      </c>
      <c r="K289" s="6" t="str">
        <f>IF(GameLog[[#This Row],[Date]]=MAX(GameLog[Date]),"Current","Previous")</f>
        <v>Previous</v>
      </c>
      <c r="L289" s="6"/>
      <c r="M2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89" s="6" t="str">
        <f ca="1">IF(GameLog[[#This Row],[Check]]="","",COUNTIF(GameLog[[#Headers],[Check]]:GameLog[[#This Row],[Check]],"?*")-1)</f>
        <v/>
      </c>
      <c r="O289" s="6" t="str">
        <f>IFERROR(INDEX(Players[New name],MATCH(GameLog[[#This Row],[Player]],Players[Name],0)),GameLog[[#This Row],[Player]])</f>
        <v>Brett R</v>
      </c>
    </row>
    <row r="290" spans="1:15" x14ac:dyDescent="0.45">
      <c r="A290" s="6" t="s">
        <v>80</v>
      </c>
      <c r="B290" s="6" t="s">
        <v>53</v>
      </c>
      <c r="C290" s="6">
        <v>2</v>
      </c>
      <c r="D290" s="6">
        <v>1</v>
      </c>
      <c r="E290" s="6">
        <v>1</v>
      </c>
      <c r="F290" s="10">
        <v>45936</v>
      </c>
      <c r="G290" s="6" t="str">
        <f>_xlfn.TEXTJOIN("|",TRUE,GameLog[[#This Row],[Pod]],TEXT(INT(GameLog[[#This Row],[Round]]),"yyyymmdd"),GameLog[[#This Row],[Date]])</f>
        <v>1|19000101|45936</v>
      </c>
      <c r="H290" s="6">
        <f>COUNTIF(GameLog[Pod ID],GameLog[[#This Row],[Pod ID]])</f>
        <v>5</v>
      </c>
      <c r="I290" s="6">
        <f>YEAR(GameLog[[#This Row],[Date]])</f>
        <v>2025</v>
      </c>
      <c r="J290" s="6">
        <f>MONTH(GameLog[[#This Row],[Date]])</f>
        <v>10</v>
      </c>
      <c r="K290" s="6" t="str">
        <f>IF(GameLog[[#This Row],[Date]]=MAX(GameLog[Date]),"Current","Previous")</f>
        <v>Previous</v>
      </c>
      <c r="L290" s="6"/>
      <c r="M2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0" s="6" t="str">
        <f ca="1">IF(GameLog[[#This Row],[Check]]="","",COUNTIF(GameLog[[#Headers],[Check]]:GameLog[[#This Row],[Check]],"?*")-1)</f>
        <v/>
      </c>
      <c r="O290" s="6" t="str">
        <f>IFERROR(INDEX(Players[New name],MATCH(GameLog[[#This Row],[Player]],Players[Name],0)),GameLog[[#This Row],[Player]])</f>
        <v>Jeremiah</v>
      </c>
    </row>
    <row r="291" spans="1:15" x14ac:dyDescent="0.45">
      <c r="A291" s="6" t="s">
        <v>65</v>
      </c>
      <c r="B291" s="6" t="s">
        <v>53</v>
      </c>
      <c r="C291" s="6">
        <v>3</v>
      </c>
      <c r="D291" s="6">
        <v>1</v>
      </c>
      <c r="E291" s="6">
        <v>1</v>
      </c>
      <c r="F291" s="10">
        <v>45936</v>
      </c>
      <c r="G291" s="6" t="str">
        <f>_xlfn.TEXTJOIN("|",TRUE,GameLog[[#This Row],[Pod]],TEXT(INT(GameLog[[#This Row],[Round]]),"yyyymmdd"),GameLog[[#This Row],[Date]])</f>
        <v>1|19000101|45936</v>
      </c>
      <c r="H291" s="6">
        <f>COUNTIF(GameLog[Pod ID],GameLog[[#This Row],[Pod ID]])</f>
        <v>5</v>
      </c>
      <c r="I291" s="6">
        <f>YEAR(GameLog[[#This Row],[Date]])</f>
        <v>2025</v>
      </c>
      <c r="J291" s="6">
        <f>MONTH(GameLog[[#This Row],[Date]])</f>
        <v>10</v>
      </c>
      <c r="K291" s="6" t="str">
        <f>IF(GameLog[[#This Row],[Date]]=MAX(GameLog[Date]),"Current","Previous")</f>
        <v>Previous</v>
      </c>
      <c r="L291" s="6"/>
      <c r="M2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1" s="6" t="str">
        <f ca="1">IF(GameLog[[#This Row],[Check]]="","",COUNTIF(GameLog[[#Headers],[Check]]:GameLog[[#This Row],[Check]],"?*")-1)</f>
        <v/>
      </c>
      <c r="O291" s="6" t="str">
        <f>IFERROR(INDEX(Players[New name],MATCH(GameLog[[#This Row],[Player]],Players[Name],0)),GameLog[[#This Row],[Player]])</f>
        <v>Mitch</v>
      </c>
    </row>
    <row r="292" spans="1:15" x14ac:dyDescent="0.45">
      <c r="A292" s="6" t="s">
        <v>70</v>
      </c>
      <c r="B292" s="6" t="s">
        <v>53</v>
      </c>
      <c r="C292" s="6">
        <v>4</v>
      </c>
      <c r="D292" s="6">
        <v>1</v>
      </c>
      <c r="E292" s="6">
        <v>1</v>
      </c>
      <c r="F292" s="10">
        <v>45936</v>
      </c>
      <c r="G292" s="6" t="str">
        <f>_xlfn.TEXTJOIN("|",TRUE,GameLog[[#This Row],[Pod]],TEXT(INT(GameLog[[#This Row],[Round]]),"yyyymmdd"),GameLog[[#This Row],[Date]])</f>
        <v>1|19000101|45936</v>
      </c>
      <c r="H292" s="6">
        <f>COUNTIF(GameLog[Pod ID],GameLog[[#This Row],[Pod ID]])</f>
        <v>5</v>
      </c>
      <c r="I292" s="6">
        <f>YEAR(GameLog[[#This Row],[Date]])</f>
        <v>2025</v>
      </c>
      <c r="J292" s="6">
        <f>MONTH(GameLog[[#This Row],[Date]])</f>
        <v>10</v>
      </c>
      <c r="K292" s="6" t="str">
        <f>IF(GameLog[[#This Row],[Date]]=MAX(GameLog[Date]),"Current","Previous")</f>
        <v>Previous</v>
      </c>
      <c r="L292" s="6"/>
      <c r="M2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2" s="6" t="str">
        <f ca="1">IF(GameLog[[#This Row],[Check]]="","",COUNTIF(GameLog[[#Headers],[Check]]:GameLog[[#This Row],[Check]],"?*")-1)</f>
        <v/>
      </c>
      <c r="O292" s="6" t="str">
        <f>IFERROR(INDEX(Players[New name],MATCH(GameLog[[#This Row],[Player]],Players[Name],0)),GameLog[[#This Row],[Player]])</f>
        <v>Brad F</v>
      </c>
    </row>
    <row r="293" spans="1:15" x14ac:dyDescent="0.45">
      <c r="A293" s="6" t="s">
        <v>81</v>
      </c>
      <c r="B293" s="6" t="s">
        <v>53</v>
      </c>
      <c r="C293" s="6">
        <v>5</v>
      </c>
      <c r="D293" s="6">
        <v>1</v>
      </c>
      <c r="E293" s="6">
        <v>1</v>
      </c>
      <c r="F293" s="10">
        <v>45936</v>
      </c>
      <c r="G293" s="6" t="str">
        <f>_xlfn.TEXTJOIN("|",TRUE,GameLog[[#This Row],[Pod]],TEXT(INT(GameLog[[#This Row],[Round]]),"yyyymmdd"),GameLog[[#This Row],[Date]])</f>
        <v>1|19000101|45936</v>
      </c>
      <c r="H293" s="6">
        <f>COUNTIF(GameLog[Pod ID],GameLog[[#This Row],[Pod ID]])</f>
        <v>5</v>
      </c>
      <c r="I293" s="6">
        <f>YEAR(GameLog[[#This Row],[Date]])</f>
        <v>2025</v>
      </c>
      <c r="J293" s="6">
        <f>MONTH(GameLog[[#This Row],[Date]])</f>
        <v>10</v>
      </c>
      <c r="K293" s="6" t="str">
        <f>IF(GameLog[[#This Row],[Date]]=MAX(GameLog[Date]),"Current","Previous")</f>
        <v>Previous</v>
      </c>
      <c r="L293" s="6"/>
      <c r="M2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3" s="6" t="str">
        <f ca="1">IF(GameLog[[#This Row],[Check]]="","",COUNTIF(GameLog[[#Headers],[Check]]:GameLog[[#This Row],[Check]],"?*")-1)</f>
        <v/>
      </c>
      <c r="O293" s="6" t="str">
        <f>IFERROR(INDEX(Players[New name],MATCH(GameLog[[#This Row],[Player]],Players[Name],0)),GameLog[[#This Row],[Player]])</f>
        <v>Forrest</v>
      </c>
    </row>
    <row r="294" spans="1:15" x14ac:dyDescent="0.45">
      <c r="A294" s="6" t="s">
        <v>55</v>
      </c>
      <c r="B294" s="6" t="s">
        <v>50</v>
      </c>
      <c r="C294" s="6">
        <v>1</v>
      </c>
      <c r="D294" s="6">
        <v>2</v>
      </c>
      <c r="E294" s="6">
        <v>1</v>
      </c>
      <c r="F294" s="10">
        <v>45936</v>
      </c>
      <c r="G294" s="6" t="str">
        <f>_xlfn.TEXTJOIN("|",TRUE,GameLog[[#This Row],[Pod]],TEXT(INT(GameLog[[#This Row],[Round]]),"yyyymmdd"),GameLog[[#This Row],[Date]])</f>
        <v>2|19000101|45936</v>
      </c>
      <c r="H294" s="6">
        <f>COUNTIF(GameLog[Pod ID],GameLog[[#This Row],[Pod ID]])</f>
        <v>4</v>
      </c>
      <c r="I294" s="6">
        <f>YEAR(GameLog[[#This Row],[Date]])</f>
        <v>2025</v>
      </c>
      <c r="J294" s="6">
        <f>MONTH(GameLog[[#This Row],[Date]])</f>
        <v>10</v>
      </c>
      <c r="K294" s="6" t="str">
        <f>IF(GameLog[[#This Row],[Date]]=MAX(GameLog[Date]),"Current","Previous")</f>
        <v>Previous</v>
      </c>
      <c r="L294" s="6"/>
      <c r="M2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4" s="6" t="str">
        <f ca="1">IF(GameLog[[#This Row],[Check]]="","",COUNTIF(GameLog[[#Headers],[Check]]:GameLog[[#This Row],[Check]],"?*")-1)</f>
        <v/>
      </c>
      <c r="O294" s="6" t="str">
        <f>IFERROR(INDEX(Players[New name],MATCH(GameLog[[#This Row],[Player]],Players[Name],0)),GameLog[[#This Row],[Player]])</f>
        <v>Bryce C</v>
      </c>
    </row>
    <row r="295" spans="1:15" x14ac:dyDescent="0.45">
      <c r="A295" s="6" t="s">
        <v>69</v>
      </c>
      <c r="B295" s="6" t="s">
        <v>53</v>
      </c>
      <c r="C295" s="6">
        <v>2</v>
      </c>
      <c r="D295" s="6">
        <v>2</v>
      </c>
      <c r="E295" s="6">
        <v>1</v>
      </c>
      <c r="F295" s="10">
        <v>45936</v>
      </c>
      <c r="G295" s="6" t="str">
        <f>_xlfn.TEXTJOIN("|",TRUE,GameLog[[#This Row],[Pod]],TEXT(INT(GameLog[[#This Row],[Round]]),"yyyymmdd"),GameLog[[#This Row],[Date]])</f>
        <v>2|19000101|45936</v>
      </c>
      <c r="H295" s="6">
        <f>COUNTIF(GameLog[Pod ID],GameLog[[#This Row],[Pod ID]])</f>
        <v>4</v>
      </c>
      <c r="I295" s="6">
        <f>YEAR(GameLog[[#This Row],[Date]])</f>
        <v>2025</v>
      </c>
      <c r="J295" s="6">
        <f>MONTH(GameLog[[#This Row],[Date]])</f>
        <v>10</v>
      </c>
      <c r="K295" s="6" t="str">
        <f>IF(GameLog[[#This Row],[Date]]=MAX(GameLog[Date]),"Current","Previous")</f>
        <v>Previous</v>
      </c>
      <c r="L295" s="6"/>
      <c r="M2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5" s="6" t="str">
        <f ca="1">IF(GameLog[[#This Row],[Check]]="","",COUNTIF(GameLog[[#Headers],[Check]]:GameLog[[#This Row],[Check]],"?*")-1)</f>
        <v/>
      </c>
      <c r="O295" s="6" t="str">
        <f>IFERROR(INDEX(Players[New name],MATCH(GameLog[[#This Row],[Player]],Players[Name],0)),GameLog[[#This Row],[Player]])</f>
        <v>Ryan T</v>
      </c>
    </row>
    <row r="296" spans="1:15" x14ac:dyDescent="0.45">
      <c r="A296" s="6" t="s">
        <v>77</v>
      </c>
      <c r="B296" s="6" t="s">
        <v>53</v>
      </c>
      <c r="C296" s="6">
        <v>3</v>
      </c>
      <c r="D296" s="6">
        <v>2</v>
      </c>
      <c r="E296" s="6">
        <v>1</v>
      </c>
      <c r="F296" s="10">
        <v>45936</v>
      </c>
      <c r="G296" s="6" t="str">
        <f>_xlfn.TEXTJOIN("|",TRUE,GameLog[[#This Row],[Pod]],TEXT(INT(GameLog[[#This Row],[Round]]),"yyyymmdd"),GameLog[[#This Row],[Date]])</f>
        <v>2|19000101|45936</v>
      </c>
      <c r="H296" s="6">
        <f>COUNTIF(GameLog[Pod ID],GameLog[[#This Row],[Pod ID]])</f>
        <v>4</v>
      </c>
      <c r="I296" s="6">
        <f>YEAR(GameLog[[#This Row],[Date]])</f>
        <v>2025</v>
      </c>
      <c r="J296" s="6">
        <f>MONTH(GameLog[[#This Row],[Date]])</f>
        <v>10</v>
      </c>
      <c r="K296" s="6" t="str">
        <f>IF(GameLog[[#This Row],[Date]]=MAX(GameLog[Date]),"Current","Previous")</f>
        <v>Previous</v>
      </c>
      <c r="L296" s="6"/>
      <c r="M2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6" s="6" t="str">
        <f ca="1">IF(GameLog[[#This Row],[Check]]="","",COUNTIF(GameLog[[#Headers],[Check]]:GameLog[[#This Row],[Check]],"?*")-1)</f>
        <v/>
      </c>
      <c r="O296" s="6" t="str">
        <f>IFERROR(INDEX(Players[New name],MATCH(GameLog[[#This Row],[Player]],Players[Name],0)),GameLog[[#This Row],[Player]])</f>
        <v>Dave M</v>
      </c>
    </row>
    <row r="297" spans="1:15" x14ac:dyDescent="0.45">
      <c r="A297" s="6" t="s">
        <v>82</v>
      </c>
      <c r="B297" s="6" t="s">
        <v>53</v>
      </c>
      <c r="C297" s="6">
        <v>4</v>
      </c>
      <c r="D297" s="6">
        <v>2</v>
      </c>
      <c r="E297" s="6">
        <v>1</v>
      </c>
      <c r="F297" s="10">
        <v>45936</v>
      </c>
      <c r="G297" s="6" t="str">
        <f>_xlfn.TEXTJOIN("|",TRUE,GameLog[[#This Row],[Pod]],TEXT(INT(GameLog[[#This Row],[Round]]),"yyyymmdd"),GameLog[[#This Row],[Date]])</f>
        <v>2|19000101|45936</v>
      </c>
      <c r="H297" s="6">
        <f>COUNTIF(GameLog[Pod ID],GameLog[[#This Row],[Pod ID]])</f>
        <v>4</v>
      </c>
      <c r="I297" s="6">
        <f>YEAR(GameLog[[#This Row],[Date]])</f>
        <v>2025</v>
      </c>
      <c r="J297" s="6">
        <f>MONTH(GameLog[[#This Row],[Date]])</f>
        <v>10</v>
      </c>
      <c r="K297" s="6" t="str">
        <f>IF(GameLog[[#This Row],[Date]]=MAX(GameLog[Date]),"Current","Previous")</f>
        <v>Previous</v>
      </c>
      <c r="L297" s="6"/>
      <c r="M2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7" s="6" t="str">
        <f ca="1">IF(GameLog[[#This Row],[Check]]="","",COUNTIF(GameLog[[#Headers],[Check]]:GameLog[[#This Row],[Check]],"?*")-1)</f>
        <v/>
      </c>
      <c r="O297" s="6" t="str">
        <f>IFERROR(INDEX(Players[New name],MATCH(GameLog[[#This Row],[Player]],Players[Name],0)),GameLog[[#This Row],[Player]])</f>
        <v>Nick D</v>
      </c>
    </row>
    <row r="298" spans="1:15" x14ac:dyDescent="0.45">
      <c r="A298" s="6" t="s">
        <v>71</v>
      </c>
      <c r="B298" s="6" t="s">
        <v>53</v>
      </c>
      <c r="C298" s="6">
        <v>1</v>
      </c>
      <c r="D298" s="6">
        <v>3</v>
      </c>
      <c r="E298" s="6">
        <v>1</v>
      </c>
      <c r="F298" s="10">
        <v>45936</v>
      </c>
      <c r="G298" s="6" t="str">
        <f>_xlfn.TEXTJOIN("|",TRUE,GameLog[[#This Row],[Pod]],TEXT(INT(GameLog[[#This Row],[Round]]),"yyyymmdd"),GameLog[[#This Row],[Date]])</f>
        <v>3|19000101|45936</v>
      </c>
      <c r="H298" s="6">
        <f>COUNTIF(GameLog[Pod ID],GameLog[[#This Row],[Pod ID]])</f>
        <v>4</v>
      </c>
      <c r="I298" s="6">
        <f>YEAR(GameLog[[#This Row],[Date]])</f>
        <v>2025</v>
      </c>
      <c r="J298" s="6">
        <f>MONTH(GameLog[[#This Row],[Date]])</f>
        <v>10</v>
      </c>
      <c r="K298" s="6" t="str">
        <f>IF(GameLog[[#This Row],[Date]]=MAX(GameLog[Date]),"Current","Previous")</f>
        <v>Previous</v>
      </c>
      <c r="L298" s="6"/>
      <c r="M2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8" s="6" t="str">
        <f ca="1">IF(GameLog[[#This Row],[Check]]="","",COUNTIF(GameLog[[#Headers],[Check]]:GameLog[[#This Row],[Check]],"?*")-1)</f>
        <v/>
      </c>
      <c r="O298" s="6" t="str">
        <f>IFERROR(INDEX(Players[New name],MATCH(GameLog[[#This Row],[Player]],Players[Name],0)),GameLog[[#This Row],[Player]])</f>
        <v>Rodney Y</v>
      </c>
    </row>
    <row r="299" spans="1:15" x14ac:dyDescent="0.45">
      <c r="A299" s="6" t="s">
        <v>83</v>
      </c>
      <c r="B299" s="6" t="s">
        <v>53</v>
      </c>
      <c r="C299" s="6">
        <v>2</v>
      </c>
      <c r="D299" s="6">
        <v>3</v>
      </c>
      <c r="E299" s="6">
        <v>1</v>
      </c>
      <c r="F299" s="10">
        <v>45936</v>
      </c>
      <c r="G299" s="6" t="str">
        <f>_xlfn.TEXTJOIN("|",TRUE,GameLog[[#This Row],[Pod]],TEXT(INT(GameLog[[#This Row],[Round]]),"yyyymmdd"),GameLog[[#This Row],[Date]])</f>
        <v>3|19000101|45936</v>
      </c>
      <c r="H299" s="6">
        <f>COUNTIF(GameLog[Pod ID],GameLog[[#This Row],[Pod ID]])</f>
        <v>4</v>
      </c>
      <c r="I299" s="6">
        <f>YEAR(GameLog[[#This Row],[Date]])</f>
        <v>2025</v>
      </c>
      <c r="J299" s="6">
        <f>MONTH(GameLog[[#This Row],[Date]])</f>
        <v>10</v>
      </c>
      <c r="K299" s="6" t="str">
        <f>IF(GameLog[[#This Row],[Date]]=MAX(GameLog[Date]),"Current","Previous")</f>
        <v>Previous</v>
      </c>
      <c r="L299" s="6"/>
      <c r="M2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99" s="6" t="str">
        <f ca="1">IF(GameLog[[#This Row],[Check]]="","",COUNTIF(GameLog[[#Headers],[Check]]:GameLog[[#This Row],[Check]],"?*")-1)</f>
        <v/>
      </c>
      <c r="O299" s="6" t="str">
        <f>IFERROR(INDEX(Players[New name],MATCH(GameLog[[#This Row],[Player]],Players[Name],0)),GameLog[[#This Row],[Player]])</f>
        <v>Devyn S</v>
      </c>
    </row>
    <row r="300" spans="1:15" x14ac:dyDescent="0.45">
      <c r="A300" s="6" t="s">
        <v>61</v>
      </c>
      <c r="B300" s="6" t="s">
        <v>50</v>
      </c>
      <c r="C300" s="6">
        <v>3</v>
      </c>
      <c r="D300" s="6">
        <v>3</v>
      </c>
      <c r="E300" s="6">
        <v>1</v>
      </c>
      <c r="F300" s="10">
        <v>45936</v>
      </c>
      <c r="G300" s="6" t="str">
        <f>_xlfn.TEXTJOIN("|",TRUE,GameLog[[#This Row],[Pod]],TEXT(INT(GameLog[[#This Row],[Round]]),"yyyymmdd"),GameLog[[#This Row],[Date]])</f>
        <v>3|19000101|45936</v>
      </c>
      <c r="H300" s="6">
        <f>COUNTIF(GameLog[Pod ID],GameLog[[#This Row],[Pod ID]])</f>
        <v>4</v>
      </c>
      <c r="I300" s="6">
        <f>YEAR(GameLog[[#This Row],[Date]])</f>
        <v>2025</v>
      </c>
      <c r="J300" s="6">
        <f>MONTH(GameLog[[#This Row],[Date]])</f>
        <v>10</v>
      </c>
      <c r="K300" s="6" t="str">
        <f>IF(GameLog[[#This Row],[Date]]=MAX(GameLog[Date]),"Current","Previous")</f>
        <v>Previous</v>
      </c>
      <c r="L300" s="6"/>
      <c r="M3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0" s="6" t="str">
        <f ca="1">IF(GameLog[[#This Row],[Check]]="","",COUNTIF(GameLog[[#Headers],[Check]]:GameLog[[#This Row],[Check]],"?*")-1)</f>
        <v/>
      </c>
      <c r="O300" s="6" t="str">
        <f>IFERROR(INDEX(Players[New name],MATCH(GameLog[[#This Row],[Player]],Players[Name],0)),GameLog[[#This Row],[Player]])</f>
        <v>Trevor</v>
      </c>
    </row>
    <row r="301" spans="1:15" x14ac:dyDescent="0.45">
      <c r="A301" s="6" t="s">
        <v>60</v>
      </c>
      <c r="B301" s="6" t="s">
        <v>53</v>
      </c>
      <c r="C301" s="6">
        <v>4</v>
      </c>
      <c r="D301" s="6">
        <v>3</v>
      </c>
      <c r="E301" s="6">
        <v>1</v>
      </c>
      <c r="F301" s="10">
        <v>45936</v>
      </c>
      <c r="G301" s="6" t="str">
        <f>_xlfn.TEXTJOIN("|",TRUE,GameLog[[#This Row],[Pod]],TEXT(INT(GameLog[[#This Row],[Round]]),"yyyymmdd"),GameLog[[#This Row],[Date]])</f>
        <v>3|19000101|45936</v>
      </c>
      <c r="H301" s="6">
        <f>COUNTIF(GameLog[Pod ID],GameLog[[#This Row],[Pod ID]])</f>
        <v>4</v>
      </c>
      <c r="I301" s="6">
        <f>YEAR(GameLog[[#This Row],[Date]])</f>
        <v>2025</v>
      </c>
      <c r="J301" s="6">
        <f>MONTH(GameLog[[#This Row],[Date]])</f>
        <v>10</v>
      </c>
      <c r="K301" s="6" t="str">
        <f>IF(GameLog[[#This Row],[Date]]=MAX(GameLog[Date]),"Current","Previous")</f>
        <v>Previous</v>
      </c>
      <c r="L301" s="6"/>
      <c r="M3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1" s="6" t="str">
        <f ca="1">IF(GameLog[[#This Row],[Check]]="","",COUNTIF(GameLog[[#Headers],[Check]]:GameLog[[#This Row],[Check]],"?*")-1)</f>
        <v/>
      </c>
      <c r="O301" s="6" t="str">
        <f>IFERROR(INDEX(Players[New name],MATCH(GameLog[[#This Row],[Player]],Players[Name],0)),GameLog[[#This Row],[Player]])</f>
        <v>Brendan H</v>
      </c>
    </row>
    <row r="302" spans="1:15" x14ac:dyDescent="0.45">
      <c r="A302" s="6" t="s">
        <v>84</v>
      </c>
      <c r="B302" s="6" t="s">
        <v>53</v>
      </c>
      <c r="C302" s="6">
        <v>1</v>
      </c>
      <c r="D302" s="6">
        <v>4</v>
      </c>
      <c r="E302" s="6">
        <v>1</v>
      </c>
      <c r="F302" s="10">
        <v>45936</v>
      </c>
      <c r="G302" s="6" t="str">
        <f>_xlfn.TEXTJOIN("|",TRUE,GameLog[[#This Row],[Pod]],TEXT(INT(GameLog[[#This Row],[Round]]),"yyyymmdd"),GameLog[[#This Row],[Date]])</f>
        <v>4|19000101|45936</v>
      </c>
      <c r="H302" s="6">
        <f>COUNTIF(GameLog[Pod ID],GameLog[[#This Row],[Pod ID]])</f>
        <v>4</v>
      </c>
      <c r="I302" s="6">
        <f>YEAR(GameLog[[#This Row],[Date]])</f>
        <v>2025</v>
      </c>
      <c r="J302" s="6">
        <f>MONTH(GameLog[[#This Row],[Date]])</f>
        <v>10</v>
      </c>
      <c r="K302" s="6" t="str">
        <f>IF(GameLog[[#This Row],[Date]]=MAX(GameLog[Date]),"Current","Previous")</f>
        <v>Previous</v>
      </c>
      <c r="L302" s="6"/>
      <c r="M3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2" s="6" t="str">
        <f ca="1">IF(GameLog[[#This Row],[Check]]="","",COUNTIF(GameLog[[#Headers],[Check]]:GameLog[[#This Row],[Check]],"?*")-1)</f>
        <v/>
      </c>
      <c r="O302" s="6" t="str">
        <f>IFERROR(INDEX(Players[New name],MATCH(GameLog[[#This Row],[Player]],Players[Name],0)),GameLog[[#This Row],[Player]])</f>
        <v>Zach D</v>
      </c>
    </row>
    <row r="303" spans="1:15" x14ac:dyDescent="0.45">
      <c r="A303" s="6" t="s">
        <v>57</v>
      </c>
      <c r="B303" s="6" t="s">
        <v>53</v>
      </c>
      <c r="C303" s="6">
        <v>2</v>
      </c>
      <c r="D303" s="6">
        <v>4</v>
      </c>
      <c r="E303" s="6">
        <v>1</v>
      </c>
      <c r="F303" s="10">
        <v>45936</v>
      </c>
      <c r="G303" s="6" t="str">
        <f>_xlfn.TEXTJOIN("|",TRUE,GameLog[[#This Row],[Pod]],TEXT(INT(GameLog[[#This Row],[Round]]),"yyyymmdd"),GameLog[[#This Row],[Date]])</f>
        <v>4|19000101|45936</v>
      </c>
      <c r="H303" s="6">
        <f>COUNTIF(GameLog[Pod ID],GameLog[[#This Row],[Pod ID]])</f>
        <v>4</v>
      </c>
      <c r="I303" s="6">
        <f>YEAR(GameLog[[#This Row],[Date]])</f>
        <v>2025</v>
      </c>
      <c r="J303" s="6">
        <f>MONTH(GameLog[[#This Row],[Date]])</f>
        <v>10</v>
      </c>
      <c r="K303" s="6" t="str">
        <f>IF(GameLog[[#This Row],[Date]]=MAX(GameLog[Date]),"Current","Previous")</f>
        <v>Previous</v>
      </c>
      <c r="L303" s="6"/>
      <c r="M3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3" s="6" t="str">
        <f ca="1">IF(GameLog[[#This Row],[Check]]="","",COUNTIF(GameLog[[#Headers],[Check]]:GameLog[[#This Row],[Check]],"?*")-1)</f>
        <v/>
      </c>
      <c r="O303" s="6" t="str">
        <f>IFERROR(INDEX(Players[New name],MATCH(GameLog[[#This Row],[Player]],Players[Name],0)),GameLog[[#This Row],[Player]])</f>
        <v>AJ W</v>
      </c>
    </row>
    <row r="304" spans="1:15" x14ac:dyDescent="0.45">
      <c r="A304" s="6" t="s">
        <v>68</v>
      </c>
      <c r="B304" s="6" t="s">
        <v>53</v>
      </c>
      <c r="C304" s="6">
        <v>3</v>
      </c>
      <c r="D304" s="6">
        <v>4</v>
      </c>
      <c r="E304" s="6">
        <v>1</v>
      </c>
      <c r="F304" s="10">
        <v>45936</v>
      </c>
      <c r="G304" s="6" t="str">
        <f>_xlfn.TEXTJOIN("|",TRUE,GameLog[[#This Row],[Pod]],TEXT(INT(GameLog[[#This Row],[Round]]),"yyyymmdd"),GameLog[[#This Row],[Date]])</f>
        <v>4|19000101|45936</v>
      </c>
      <c r="H304" s="6">
        <f>COUNTIF(GameLog[Pod ID],GameLog[[#This Row],[Pod ID]])</f>
        <v>4</v>
      </c>
      <c r="I304" s="6">
        <f>YEAR(GameLog[[#This Row],[Date]])</f>
        <v>2025</v>
      </c>
      <c r="J304" s="6">
        <f>MONTH(GameLog[[#This Row],[Date]])</f>
        <v>10</v>
      </c>
      <c r="K304" s="6" t="str">
        <f>IF(GameLog[[#This Row],[Date]]=MAX(GameLog[Date]),"Current","Previous")</f>
        <v>Previous</v>
      </c>
      <c r="L304" s="6"/>
      <c r="M3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4" s="6" t="str">
        <f ca="1">IF(GameLog[[#This Row],[Check]]="","",COUNTIF(GameLog[[#Headers],[Check]]:GameLog[[#This Row],[Check]],"?*")-1)</f>
        <v/>
      </c>
      <c r="O304" s="6" t="str">
        <f>IFERROR(INDEX(Players[New name],MATCH(GameLog[[#This Row],[Player]],Players[Name],0)),GameLog[[#This Row],[Player]])</f>
        <v>Edwin M</v>
      </c>
    </row>
    <row r="305" spans="1:15" x14ac:dyDescent="0.45">
      <c r="A305" s="6" t="s">
        <v>59</v>
      </c>
      <c r="B305" s="6" t="s">
        <v>50</v>
      </c>
      <c r="C305" s="6">
        <v>4</v>
      </c>
      <c r="D305" s="6">
        <v>4</v>
      </c>
      <c r="E305" s="6">
        <v>1</v>
      </c>
      <c r="F305" s="10">
        <v>45936</v>
      </c>
      <c r="G305" s="6" t="str">
        <f>_xlfn.TEXTJOIN("|",TRUE,GameLog[[#This Row],[Pod]],TEXT(INT(GameLog[[#This Row],[Round]]),"yyyymmdd"),GameLog[[#This Row],[Date]])</f>
        <v>4|19000101|45936</v>
      </c>
      <c r="H305" s="6">
        <f>COUNTIF(GameLog[Pod ID],GameLog[[#This Row],[Pod ID]])</f>
        <v>4</v>
      </c>
      <c r="I305" s="6">
        <f>YEAR(GameLog[[#This Row],[Date]])</f>
        <v>2025</v>
      </c>
      <c r="J305" s="6">
        <f>MONTH(GameLog[[#This Row],[Date]])</f>
        <v>10</v>
      </c>
      <c r="K305" s="6" t="str">
        <f>IF(GameLog[[#This Row],[Date]]=MAX(GameLog[Date]),"Current","Previous")</f>
        <v>Previous</v>
      </c>
      <c r="L305" s="6"/>
      <c r="M3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5" s="6" t="str">
        <f ca="1">IF(GameLog[[#This Row],[Check]]="","",COUNTIF(GameLog[[#Headers],[Check]]:GameLog[[#This Row],[Check]],"?*")-1)</f>
        <v/>
      </c>
      <c r="O305" s="6" t="str">
        <f>IFERROR(INDEX(Players[New name],MATCH(GameLog[[#This Row],[Player]],Players[Name],0)),GameLog[[#This Row],[Player]])</f>
        <v>Zack B</v>
      </c>
    </row>
    <row r="306" spans="1:15" x14ac:dyDescent="0.45">
      <c r="A306" s="6" t="s">
        <v>59</v>
      </c>
      <c r="B306" s="6" t="s">
        <v>50</v>
      </c>
      <c r="C306" s="6">
        <v>1</v>
      </c>
      <c r="D306" s="6">
        <v>1</v>
      </c>
      <c r="E306" s="6">
        <v>2</v>
      </c>
      <c r="F306" s="10">
        <v>45936</v>
      </c>
      <c r="G306" s="6" t="str">
        <f>_xlfn.TEXTJOIN("|",TRUE,GameLog[[#This Row],[Pod]],TEXT(INT(GameLog[[#This Row],[Round]]),"yyyymmdd"),GameLog[[#This Row],[Date]])</f>
        <v>1|19000102|45936</v>
      </c>
      <c r="H306" s="6">
        <f>COUNTIF(GameLog[Pod ID],GameLog[[#This Row],[Pod ID]])</f>
        <v>4</v>
      </c>
      <c r="I306" s="6">
        <f>YEAR(GameLog[[#This Row],[Date]])</f>
        <v>2025</v>
      </c>
      <c r="J306" s="6">
        <f>MONTH(GameLog[[#This Row],[Date]])</f>
        <v>10</v>
      </c>
      <c r="K306" s="6" t="str">
        <f>IF(GameLog[[#This Row],[Date]]=MAX(GameLog[Date]),"Current","Previous")</f>
        <v>Previous</v>
      </c>
      <c r="L306" s="6"/>
      <c r="M3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6" s="6" t="str">
        <f ca="1">IF(GameLog[[#This Row],[Check]]="","",COUNTIF(GameLog[[#Headers],[Check]]:GameLog[[#This Row],[Check]],"?*")-1)</f>
        <v/>
      </c>
      <c r="O306" s="6" t="str">
        <f>IFERROR(INDEX(Players[New name],MATCH(GameLog[[#This Row],[Player]],Players[Name],0)),GameLog[[#This Row],[Player]])</f>
        <v>Zack B</v>
      </c>
    </row>
    <row r="307" spans="1:15" x14ac:dyDescent="0.45">
      <c r="A307" s="6" t="s">
        <v>61</v>
      </c>
      <c r="B307" s="6" t="s">
        <v>53</v>
      </c>
      <c r="C307" s="6">
        <v>2</v>
      </c>
      <c r="D307" s="6">
        <v>1</v>
      </c>
      <c r="E307" s="6">
        <v>2</v>
      </c>
      <c r="F307" s="10">
        <v>45936</v>
      </c>
      <c r="G307" s="6" t="str">
        <f>_xlfn.TEXTJOIN("|",TRUE,GameLog[[#This Row],[Pod]],TEXT(INT(GameLog[[#This Row],[Round]]),"yyyymmdd"),GameLog[[#This Row],[Date]])</f>
        <v>1|19000102|45936</v>
      </c>
      <c r="H307" s="6">
        <f>COUNTIF(GameLog[Pod ID],GameLog[[#This Row],[Pod ID]])</f>
        <v>4</v>
      </c>
      <c r="I307" s="6">
        <f>YEAR(GameLog[[#This Row],[Date]])</f>
        <v>2025</v>
      </c>
      <c r="J307" s="6">
        <f>MONTH(GameLog[[#This Row],[Date]])</f>
        <v>10</v>
      </c>
      <c r="K307" s="6" t="str">
        <f>IF(GameLog[[#This Row],[Date]]=MAX(GameLog[Date]),"Current","Previous")</f>
        <v>Previous</v>
      </c>
      <c r="L307" s="6"/>
      <c r="M3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7" s="6" t="str">
        <f ca="1">IF(GameLog[[#This Row],[Check]]="","",COUNTIF(GameLog[[#Headers],[Check]]:GameLog[[#This Row],[Check]],"?*")-1)</f>
        <v/>
      </c>
      <c r="O307" s="6" t="str">
        <f>IFERROR(INDEX(Players[New name],MATCH(GameLog[[#This Row],[Player]],Players[Name],0)),GameLog[[#This Row],[Player]])</f>
        <v>Trevor</v>
      </c>
    </row>
    <row r="308" spans="1:15" x14ac:dyDescent="0.45">
      <c r="A308" s="6" t="s">
        <v>55</v>
      </c>
      <c r="B308" s="6" t="s">
        <v>53</v>
      </c>
      <c r="C308" s="6">
        <v>3</v>
      </c>
      <c r="D308" s="6">
        <v>1</v>
      </c>
      <c r="E308" s="6">
        <v>2</v>
      </c>
      <c r="F308" s="10">
        <v>45936</v>
      </c>
      <c r="G308" s="6" t="str">
        <f>_xlfn.TEXTJOIN("|",TRUE,GameLog[[#This Row],[Pod]],TEXT(INT(GameLog[[#This Row],[Round]]),"yyyymmdd"),GameLog[[#This Row],[Date]])</f>
        <v>1|19000102|45936</v>
      </c>
      <c r="H308" s="6">
        <f>COUNTIF(GameLog[Pod ID],GameLog[[#This Row],[Pod ID]])</f>
        <v>4</v>
      </c>
      <c r="I308" s="6">
        <f>YEAR(GameLog[[#This Row],[Date]])</f>
        <v>2025</v>
      </c>
      <c r="J308" s="6">
        <f>MONTH(GameLog[[#This Row],[Date]])</f>
        <v>10</v>
      </c>
      <c r="K308" s="6" t="str">
        <f>IF(GameLog[[#This Row],[Date]]=MAX(GameLog[Date]),"Current","Previous")</f>
        <v>Previous</v>
      </c>
      <c r="L308" s="6"/>
      <c r="M3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8" s="6" t="str">
        <f ca="1">IF(GameLog[[#This Row],[Check]]="","",COUNTIF(GameLog[[#Headers],[Check]]:GameLog[[#This Row],[Check]],"?*")-1)</f>
        <v/>
      </c>
      <c r="O308" s="6" t="str">
        <f>IFERROR(INDEX(Players[New name],MATCH(GameLog[[#This Row],[Player]],Players[Name],0)),GameLog[[#This Row],[Player]])</f>
        <v>Bryce C</v>
      </c>
    </row>
    <row r="309" spans="1:15" x14ac:dyDescent="0.45">
      <c r="A309" s="6" t="s">
        <v>49</v>
      </c>
      <c r="B309" s="6" t="s">
        <v>53</v>
      </c>
      <c r="C309" s="6">
        <v>4</v>
      </c>
      <c r="D309" s="6">
        <v>1</v>
      </c>
      <c r="E309" s="6">
        <v>2</v>
      </c>
      <c r="F309" s="10">
        <v>45936</v>
      </c>
      <c r="G309" s="6" t="str">
        <f>_xlfn.TEXTJOIN("|",TRUE,GameLog[[#This Row],[Pod]],TEXT(INT(GameLog[[#This Row],[Round]]),"yyyymmdd"),GameLog[[#This Row],[Date]])</f>
        <v>1|19000102|45936</v>
      </c>
      <c r="H309" s="6">
        <f>COUNTIF(GameLog[Pod ID],GameLog[[#This Row],[Pod ID]])</f>
        <v>4</v>
      </c>
      <c r="I309" s="6">
        <f>YEAR(GameLog[[#This Row],[Date]])</f>
        <v>2025</v>
      </c>
      <c r="J309" s="6">
        <f>MONTH(GameLog[[#This Row],[Date]])</f>
        <v>10</v>
      </c>
      <c r="K309" s="6" t="str">
        <f>IF(GameLog[[#This Row],[Date]]=MAX(GameLog[Date]),"Current","Previous")</f>
        <v>Previous</v>
      </c>
      <c r="L309" s="6"/>
      <c r="M3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09" s="6" t="str">
        <f ca="1">IF(GameLog[[#This Row],[Check]]="","",COUNTIF(GameLog[[#Headers],[Check]]:GameLog[[#This Row],[Check]],"?*")-1)</f>
        <v/>
      </c>
      <c r="O309" s="6" t="str">
        <f>IFERROR(INDEX(Players[New name],MATCH(GameLog[[#This Row],[Player]],Players[Name],0)),GameLog[[#This Row],[Player]])</f>
        <v>Brett R</v>
      </c>
    </row>
    <row r="310" spans="1:15" x14ac:dyDescent="0.45">
      <c r="A310" s="6" t="s">
        <v>70</v>
      </c>
      <c r="B310" s="6" t="s">
        <v>53</v>
      </c>
      <c r="C310" s="6">
        <v>1</v>
      </c>
      <c r="D310" s="6">
        <v>2</v>
      </c>
      <c r="E310" s="6">
        <v>2</v>
      </c>
      <c r="F310" s="10">
        <v>45936</v>
      </c>
      <c r="G310" s="6" t="str">
        <f>_xlfn.TEXTJOIN("|",TRUE,GameLog[[#This Row],[Pod]],TEXT(INT(GameLog[[#This Row],[Round]]),"yyyymmdd"),GameLog[[#This Row],[Date]])</f>
        <v>2|19000102|45936</v>
      </c>
      <c r="H310" s="6">
        <f>COUNTIF(GameLog[Pod ID],GameLog[[#This Row],[Pod ID]])</f>
        <v>5</v>
      </c>
      <c r="I310" s="6">
        <f>YEAR(GameLog[[#This Row],[Date]])</f>
        <v>2025</v>
      </c>
      <c r="J310" s="6">
        <f>MONTH(GameLog[[#This Row],[Date]])</f>
        <v>10</v>
      </c>
      <c r="K310" s="6" t="str">
        <f>IF(GameLog[[#This Row],[Date]]=MAX(GameLog[Date]),"Current","Previous")</f>
        <v>Previous</v>
      </c>
      <c r="L310" s="6"/>
      <c r="M3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0" s="6" t="str">
        <f ca="1">IF(GameLog[[#This Row],[Check]]="","",COUNTIF(GameLog[[#Headers],[Check]]:GameLog[[#This Row],[Check]],"?*")-1)</f>
        <v/>
      </c>
      <c r="O310" s="6" t="str">
        <f>IFERROR(INDEX(Players[New name],MATCH(GameLog[[#This Row],[Player]],Players[Name],0)),GameLog[[#This Row],[Player]])</f>
        <v>Brad F</v>
      </c>
    </row>
    <row r="311" spans="1:15" x14ac:dyDescent="0.45">
      <c r="A311" s="6" t="s">
        <v>71</v>
      </c>
      <c r="B311" s="6" t="s">
        <v>53</v>
      </c>
      <c r="C311" s="6">
        <v>2</v>
      </c>
      <c r="D311" s="6">
        <v>2</v>
      </c>
      <c r="E311" s="6">
        <v>2</v>
      </c>
      <c r="F311" s="10">
        <v>45936</v>
      </c>
      <c r="G311" s="6" t="str">
        <f>_xlfn.TEXTJOIN("|",TRUE,GameLog[[#This Row],[Pod]],TEXT(INT(GameLog[[#This Row],[Round]]),"yyyymmdd"),GameLog[[#This Row],[Date]])</f>
        <v>2|19000102|45936</v>
      </c>
      <c r="H311" s="6">
        <f>COUNTIF(GameLog[Pod ID],GameLog[[#This Row],[Pod ID]])</f>
        <v>5</v>
      </c>
      <c r="I311" s="6">
        <f>YEAR(GameLog[[#This Row],[Date]])</f>
        <v>2025</v>
      </c>
      <c r="J311" s="6">
        <f>MONTH(GameLog[[#This Row],[Date]])</f>
        <v>10</v>
      </c>
      <c r="K311" s="6" t="str">
        <f>IF(GameLog[[#This Row],[Date]]=MAX(GameLog[Date]),"Current","Previous")</f>
        <v>Previous</v>
      </c>
      <c r="L311" s="6"/>
      <c r="M3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1" s="6" t="str">
        <f ca="1">IF(GameLog[[#This Row],[Check]]="","",COUNTIF(GameLog[[#Headers],[Check]]:GameLog[[#This Row],[Check]],"?*")-1)</f>
        <v/>
      </c>
      <c r="O311" s="6" t="str">
        <f>IFERROR(INDEX(Players[New name],MATCH(GameLog[[#This Row],[Player]],Players[Name],0)),GameLog[[#This Row],[Player]])</f>
        <v>Rodney Y</v>
      </c>
    </row>
    <row r="312" spans="1:15" x14ac:dyDescent="0.45">
      <c r="A312" s="6" t="s">
        <v>69</v>
      </c>
      <c r="B312" s="6" t="s">
        <v>53</v>
      </c>
      <c r="C312" s="6">
        <v>3</v>
      </c>
      <c r="D312" s="6">
        <v>2</v>
      </c>
      <c r="E312" s="6">
        <v>2</v>
      </c>
      <c r="F312" s="10">
        <v>45936</v>
      </c>
      <c r="G312" s="6" t="str">
        <f>_xlfn.TEXTJOIN("|",TRUE,GameLog[[#This Row],[Pod]],TEXT(INT(GameLog[[#This Row],[Round]]),"yyyymmdd"),GameLog[[#This Row],[Date]])</f>
        <v>2|19000102|45936</v>
      </c>
      <c r="H312" s="6">
        <f>COUNTIF(GameLog[Pod ID],GameLog[[#This Row],[Pod ID]])</f>
        <v>5</v>
      </c>
      <c r="I312" s="6">
        <f>YEAR(GameLog[[#This Row],[Date]])</f>
        <v>2025</v>
      </c>
      <c r="J312" s="6">
        <f>MONTH(GameLog[[#This Row],[Date]])</f>
        <v>10</v>
      </c>
      <c r="K312" s="6" t="str">
        <f>IF(GameLog[[#This Row],[Date]]=MAX(GameLog[Date]),"Current","Previous")</f>
        <v>Previous</v>
      </c>
      <c r="L312" s="6"/>
      <c r="M3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2" s="6" t="str">
        <f ca="1">IF(GameLog[[#This Row],[Check]]="","",COUNTIF(GameLog[[#Headers],[Check]]:GameLog[[#This Row],[Check]],"?*")-1)</f>
        <v/>
      </c>
      <c r="O312" s="6" t="str">
        <f>IFERROR(INDEX(Players[New name],MATCH(GameLog[[#This Row],[Player]],Players[Name],0)),GameLog[[#This Row],[Player]])</f>
        <v>Ryan T</v>
      </c>
    </row>
    <row r="313" spans="1:15" x14ac:dyDescent="0.45">
      <c r="A313" s="6" t="s">
        <v>83</v>
      </c>
      <c r="B313" s="6" t="s">
        <v>53</v>
      </c>
      <c r="C313" s="6">
        <v>4</v>
      </c>
      <c r="D313" s="6">
        <v>2</v>
      </c>
      <c r="E313" s="6">
        <v>2</v>
      </c>
      <c r="F313" s="10">
        <v>45936</v>
      </c>
      <c r="G313" s="6" t="str">
        <f>_xlfn.TEXTJOIN("|",TRUE,GameLog[[#This Row],[Pod]],TEXT(INT(GameLog[[#This Row],[Round]]),"yyyymmdd"),GameLog[[#This Row],[Date]])</f>
        <v>2|19000102|45936</v>
      </c>
      <c r="H313" s="6">
        <f>COUNTIF(GameLog[Pod ID],GameLog[[#This Row],[Pod ID]])</f>
        <v>5</v>
      </c>
      <c r="I313" s="6">
        <f>YEAR(GameLog[[#This Row],[Date]])</f>
        <v>2025</v>
      </c>
      <c r="J313" s="6">
        <f>MONTH(GameLog[[#This Row],[Date]])</f>
        <v>10</v>
      </c>
      <c r="K313" s="6" t="str">
        <f>IF(GameLog[[#This Row],[Date]]=MAX(GameLog[Date]),"Current","Previous")</f>
        <v>Previous</v>
      </c>
      <c r="L313" s="6"/>
      <c r="M3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3" s="6" t="str">
        <f ca="1">IF(GameLog[[#This Row],[Check]]="","",COUNTIF(GameLog[[#Headers],[Check]]:GameLog[[#This Row],[Check]],"?*")-1)</f>
        <v/>
      </c>
      <c r="O313" s="6" t="str">
        <f>IFERROR(INDEX(Players[New name],MATCH(GameLog[[#This Row],[Player]],Players[Name],0)),GameLog[[#This Row],[Player]])</f>
        <v>Devyn S</v>
      </c>
    </row>
    <row r="314" spans="1:15" x14ac:dyDescent="0.45">
      <c r="A314" s="6" t="s">
        <v>57</v>
      </c>
      <c r="B314" s="6" t="s">
        <v>50</v>
      </c>
      <c r="C314" s="6">
        <v>5</v>
      </c>
      <c r="D314" s="6">
        <v>2</v>
      </c>
      <c r="E314" s="6">
        <v>2</v>
      </c>
      <c r="F314" s="10">
        <v>45936</v>
      </c>
      <c r="G314" s="6" t="str">
        <f>_xlfn.TEXTJOIN("|",TRUE,GameLog[[#This Row],[Pod]],TEXT(INT(GameLog[[#This Row],[Round]]),"yyyymmdd"),GameLog[[#This Row],[Date]])</f>
        <v>2|19000102|45936</v>
      </c>
      <c r="H314" s="6">
        <f>COUNTIF(GameLog[Pod ID],GameLog[[#This Row],[Pod ID]])</f>
        <v>5</v>
      </c>
      <c r="I314" s="6">
        <f>YEAR(GameLog[[#This Row],[Date]])</f>
        <v>2025</v>
      </c>
      <c r="J314" s="6">
        <f>MONTH(GameLog[[#This Row],[Date]])</f>
        <v>10</v>
      </c>
      <c r="K314" s="6" t="str">
        <f>IF(GameLog[[#This Row],[Date]]=MAX(GameLog[Date]),"Current","Previous")</f>
        <v>Previous</v>
      </c>
      <c r="L314" s="6"/>
      <c r="M3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4" s="6" t="str">
        <f ca="1">IF(GameLog[[#This Row],[Check]]="","",COUNTIF(GameLog[[#Headers],[Check]]:GameLog[[#This Row],[Check]],"?*")-1)</f>
        <v/>
      </c>
      <c r="O314" s="6" t="str">
        <f>IFERROR(INDEX(Players[New name],MATCH(GameLog[[#This Row],[Player]],Players[Name],0)),GameLog[[#This Row],[Player]])</f>
        <v>AJ W</v>
      </c>
    </row>
    <row r="315" spans="1:15" x14ac:dyDescent="0.45">
      <c r="A315" s="6" t="s">
        <v>77</v>
      </c>
      <c r="B315" s="6" t="s">
        <v>50</v>
      </c>
      <c r="C315" s="6">
        <v>1</v>
      </c>
      <c r="D315" s="6">
        <v>3</v>
      </c>
      <c r="E315" s="6">
        <v>2</v>
      </c>
      <c r="F315" s="10">
        <v>45936</v>
      </c>
      <c r="G315" s="6" t="str">
        <f>_xlfn.TEXTJOIN("|",TRUE,GameLog[[#This Row],[Pod]],TEXT(INT(GameLog[[#This Row],[Round]]),"yyyymmdd"),GameLog[[#This Row],[Date]])</f>
        <v>3|19000102|45936</v>
      </c>
      <c r="H315" s="6">
        <f>COUNTIF(GameLog[Pod ID],GameLog[[#This Row],[Pod ID]])</f>
        <v>4</v>
      </c>
      <c r="I315" s="6">
        <f>YEAR(GameLog[[#This Row],[Date]])</f>
        <v>2025</v>
      </c>
      <c r="J315" s="6">
        <f>MONTH(GameLog[[#This Row],[Date]])</f>
        <v>10</v>
      </c>
      <c r="K315" s="6" t="str">
        <f>IF(GameLog[[#This Row],[Date]]=MAX(GameLog[Date]),"Current","Previous")</f>
        <v>Previous</v>
      </c>
      <c r="L315" s="6"/>
      <c r="M3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5" s="6" t="str">
        <f ca="1">IF(GameLog[[#This Row],[Check]]="","",COUNTIF(GameLog[[#Headers],[Check]]:GameLog[[#This Row],[Check]],"?*")-1)</f>
        <v/>
      </c>
      <c r="O315" s="6" t="str">
        <f>IFERROR(INDEX(Players[New name],MATCH(GameLog[[#This Row],[Player]],Players[Name],0)),GameLog[[#This Row],[Player]])</f>
        <v>Dave M</v>
      </c>
    </row>
    <row r="316" spans="1:15" x14ac:dyDescent="0.45">
      <c r="A316" s="6" t="s">
        <v>60</v>
      </c>
      <c r="B316" s="6" t="s">
        <v>53</v>
      </c>
      <c r="C316" s="6">
        <v>2</v>
      </c>
      <c r="D316" s="6">
        <v>3</v>
      </c>
      <c r="E316" s="6">
        <v>2</v>
      </c>
      <c r="F316" s="10">
        <v>45936</v>
      </c>
      <c r="G316" s="6" t="str">
        <f>_xlfn.TEXTJOIN("|",TRUE,GameLog[[#This Row],[Pod]],TEXT(INT(GameLog[[#This Row],[Round]]),"yyyymmdd"),GameLog[[#This Row],[Date]])</f>
        <v>3|19000102|45936</v>
      </c>
      <c r="H316" s="6">
        <f>COUNTIF(GameLog[Pod ID],GameLog[[#This Row],[Pod ID]])</f>
        <v>4</v>
      </c>
      <c r="I316" s="6">
        <f>YEAR(GameLog[[#This Row],[Date]])</f>
        <v>2025</v>
      </c>
      <c r="J316" s="6">
        <f>MONTH(GameLog[[#This Row],[Date]])</f>
        <v>10</v>
      </c>
      <c r="K316" s="6" t="str">
        <f>IF(GameLog[[#This Row],[Date]]=MAX(GameLog[Date]),"Current","Previous")</f>
        <v>Previous</v>
      </c>
      <c r="L316" s="6"/>
      <c r="M3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6" s="6" t="str">
        <f ca="1">IF(GameLog[[#This Row],[Check]]="","",COUNTIF(GameLog[[#Headers],[Check]]:GameLog[[#This Row],[Check]],"?*")-1)</f>
        <v/>
      </c>
      <c r="O316" s="6" t="str">
        <f>IFERROR(INDEX(Players[New name],MATCH(GameLog[[#This Row],[Player]],Players[Name],0)),GameLog[[#This Row],[Player]])</f>
        <v>Brendan H</v>
      </c>
    </row>
    <row r="317" spans="1:15" x14ac:dyDescent="0.45">
      <c r="A317" s="6" t="s">
        <v>65</v>
      </c>
      <c r="B317" s="6" t="s">
        <v>53</v>
      </c>
      <c r="C317" s="6">
        <v>3</v>
      </c>
      <c r="D317" s="6">
        <v>3</v>
      </c>
      <c r="E317" s="6">
        <v>2</v>
      </c>
      <c r="F317" s="10">
        <v>45936</v>
      </c>
      <c r="G317" s="6" t="str">
        <f>_xlfn.TEXTJOIN("|",TRUE,GameLog[[#This Row],[Pod]],TEXT(INT(GameLog[[#This Row],[Round]]),"yyyymmdd"),GameLog[[#This Row],[Date]])</f>
        <v>3|19000102|45936</v>
      </c>
      <c r="H317" s="6">
        <f>COUNTIF(GameLog[Pod ID],GameLog[[#This Row],[Pod ID]])</f>
        <v>4</v>
      </c>
      <c r="I317" s="6">
        <f>YEAR(GameLog[[#This Row],[Date]])</f>
        <v>2025</v>
      </c>
      <c r="J317" s="6">
        <f>MONTH(GameLog[[#This Row],[Date]])</f>
        <v>10</v>
      </c>
      <c r="K317" s="6" t="str">
        <f>IF(GameLog[[#This Row],[Date]]=MAX(GameLog[Date]),"Current","Previous")</f>
        <v>Previous</v>
      </c>
      <c r="L317" s="6"/>
      <c r="M3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7" s="6" t="str">
        <f ca="1">IF(GameLog[[#This Row],[Check]]="","",COUNTIF(GameLog[[#Headers],[Check]]:GameLog[[#This Row],[Check]],"?*")-1)</f>
        <v/>
      </c>
      <c r="O317" s="6" t="str">
        <f>IFERROR(INDEX(Players[New name],MATCH(GameLog[[#This Row],[Player]],Players[Name],0)),GameLog[[#This Row],[Player]])</f>
        <v>Mitch</v>
      </c>
    </row>
    <row r="318" spans="1:15" x14ac:dyDescent="0.45">
      <c r="A318" s="6" t="s">
        <v>68</v>
      </c>
      <c r="B318" s="6" t="s">
        <v>53</v>
      </c>
      <c r="C318" s="6">
        <v>4</v>
      </c>
      <c r="D318" s="6">
        <v>3</v>
      </c>
      <c r="E318" s="6">
        <v>2</v>
      </c>
      <c r="F318" s="10">
        <v>45936</v>
      </c>
      <c r="G318" s="6" t="str">
        <f>_xlfn.TEXTJOIN("|",TRUE,GameLog[[#This Row],[Pod]],TEXT(INT(GameLog[[#This Row],[Round]]),"yyyymmdd"),GameLog[[#This Row],[Date]])</f>
        <v>3|19000102|45936</v>
      </c>
      <c r="H318" s="6">
        <f>COUNTIF(GameLog[Pod ID],GameLog[[#This Row],[Pod ID]])</f>
        <v>4</v>
      </c>
      <c r="I318" s="6">
        <f>YEAR(GameLog[[#This Row],[Date]])</f>
        <v>2025</v>
      </c>
      <c r="J318" s="6">
        <f>MONTH(GameLog[[#This Row],[Date]])</f>
        <v>10</v>
      </c>
      <c r="K318" s="6" t="str">
        <f>IF(GameLog[[#This Row],[Date]]=MAX(GameLog[Date]),"Current","Previous")</f>
        <v>Previous</v>
      </c>
      <c r="L318" s="6"/>
      <c r="M3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8" s="6" t="str">
        <f ca="1">IF(GameLog[[#This Row],[Check]]="","",COUNTIF(GameLog[[#Headers],[Check]]:GameLog[[#This Row],[Check]],"?*")-1)</f>
        <v/>
      </c>
      <c r="O318" s="6" t="str">
        <f>IFERROR(INDEX(Players[New name],MATCH(GameLog[[#This Row],[Player]],Players[Name],0)),GameLog[[#This Row],[Player]])</f>
        <v>Edwin M</v>
      </c>
    </row>
    <row r="319" spans="1:15" x14ac:dyDescent="0.45">
      <c r="A319" s="6" t="s">
        <v>60</v>
      </c>
      <c r="B319" s="6" t="s">
        <v>53</v>
      </c>
      <c r="C319" s="6">
        <v>1</v>
      </c>
      <c r="D319" s="6">
        <v>1</v>
      </c>
      <c r="E319" s="6">
        <v>1</v>
      </c>
      <c r="F319" s="10">
        <v>45943</v>
      </c>
      <c r="G319" s="6" t="str">
        <f>_xlfn.TEXTJOIN("|",TRUE,GameLog[[#This Row],[Pod]],TEXT(INT(GameLog[[#This Row],[Round]]),"yyyymmdd"),GameLog[[#This Row],[Date]])</f>
        <v>1|19000101|45943</v>
      </c>
      <c r="H319" s="6">
        <f>COUNTIF(GameLog[Pod ID],GameLog[[#This Row],[Pod ID]])</f>
        <v>5</v>
      </c>
      <c r="I319" s="6">
        <f>YEAR(GameLog[[#This Row],[Date]])</f>
        <v>2025</v>
      </c>
      <c r="J319" s="6">
        <f>MONTH(GameLog[[#This Row],[Date]])</f>
        <v>10</v>
      </c>
      <c r="K319" s="6" t="str">
        <f>IF(GameLog[[#This Row],[Date]]=MAX(GameLog[Date]),"Current","Previous")</f>
        <v>Previous</v>
      </c>
      <c r="L319" s="6"/>
      <c r="M3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19" s="6" t="str">
        <f ca="1">IF(GameLog[[#This Row],[Check]]="","",COUNTIF(GameLog[[#Headers],[Check]]:GameLog[[#This Row],[Check]],"?*")-1)</f>
        <v/>
      </c>
      <c r="O319" s="6" t="str">
        <f>IFERROR(INDEX(Players[New name],MATCH(GameLog[[#This Row],[Player]],Players[Name],0)),GameLog[[#This Row],[Player]])</f>
        <v>Brendan H</v>
      </c>
    </row>
    <row r="320" spans="1:15" x14ac:dyDescent="0.45">
      <c r="A320" s="6" t="s">
        <v>84</v>
      </c>
      <c r="B320" s="6" t="s">
        <v>53</v>
      </c>
      <c r="C320" s="6">
        <v>2</v>
      </c>
      <c r="D320" s="6">
        <v>1</v>
      </c>
      <c r="E320" s="6">
        <v>1</v>
      </c>
      <c r="F320" s="10">
        <v>45943</v>
      </c>
      <c r="G320" s="6" t="str">
        <f>_xlfn.TEXTJOIN("|",TRUE,GameLog[[#This Row],[Pod]],TEXT(INT(GameLog[[#This Row],[Round]]),"yyyymmdd"),GameLog[[#This Row],[Date]])</f>
        <v>1|19000101|45943</v>
      </c>
      <c r="H320" s="6">
        <f>COUNTIF(GameLog[Pod ID],GameLog[[#This Row],[Pod ID]])</f>
        <v>5</v>
      </c>
      <c r="I320" s="6">
        <f>YEAR(GameLog[[#This Row],[Date]])</f>
        <v>2025</v>
      </c>
      <c r="J320" s="6">
        <f>MONTH(GameLog[[#This Row],[Date]])</f>
        <v>10</v>
      </c>
      <c r="K320" s="6" t="str">
        <f>IF(GameLog[[#This Row],[Date]]=MAX(GameLog[Date]),"Current","Previous")</f>
        <v>Previous</v>
      </c>
      <c r="L320" s="6"/>
      <c r="M3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0" s="6" t="str">
        <f ca="1">IF(GameLog[[#This Row],[Check]]="","",COUNTIF(GameLog[[#Headers],[Check]]:GameLog[[#This Row],[Check]],"?*")-1)</f>
        <v/>
      </c>
      <c r="O320" s="6" t="str">
        <f>IFERROR(INDEX(Players[New name],MATCH(GameLog[[#This Row],[Player]],Players[Name],0)),GameLog[[#This Row],[Player]])</f>
        <v>Zach D</v>
      </c>
    </row>
    <row r="321" spans="1:15" x14ac:dyDescent="0.45">
      <c r="A321" s="6" t="s">
        <v>49</v>
      </c>
      <c r="B321" s="6" t="s">
        <v>53</v>
      </c>
      <c r="C321" s="6">
        <v>3</v>
      </c>
      <c r="D321" s="6">
        <v>1</v>
      </c>
      <c r="E321" s="6">
        <v>1</v>
      </c>
      <c r="F321" s="10">
        <v>45943</v>
      </c>
      <c r="G321" s="6" t="str">
        <f>_xlfn.TEXTJOIN("|",TRUE,GameLog[[#This Row],[Pod]],TEXT(INT(GameLog[[#This Row],[Round]]),"yyyymmdd"),GameLog[[#This Row],[Date]])</f>
        <v>1|19000101|45943</v>
      </c>
      <c r="H321" s="6">
        <f>COUNTIF(GameLog[Pod ID],GameLog[[#This Row],[Pod ID]])</f>
        <v>5</v>
      </c>
      <c r="I321" s="6">
        <f>YEAR(GameLog[[#This Row],[Date]])</f>
        <v>2025</v>
      </c>
      <c r="J321" s="6">
        <f>MONTH(GameLog[[#This Row],[Date]])</f>
        <v>10</v>
      </c>
      <c r="K321" s="6" t="str">
        <f>IF(GameLog[[#This Row],[Date]]=MAX(GameLog[Date]),"Current","Previous")</f>
        <v>Previous</v>
      </c>
      <c r="L321" s="6"/>
      <c r="M3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1" s="6" t="str">
        <f ca="1">IF(GameLog[[#This Row],[Check]]="","",COUNTIF(GameLog[[#Headers],[Check]]:GameLog[[#This Row],[Check]],"?*")-1)</f>
        <v/>
      </c>
      <c r="O321" s="6" t="str">
        <f>IFERROR(INDEX(Players[New name],MATCH(GameLog[[#This Row],[Player]],Players[Name],0)),GameLog[[#This Row],[Player]])</f>
        <v>Brett R</v>
      </c>
    </row>
    <row r="322" spans="1:15" x14ac:dyDescent="0.45">
      <c r="A322" s="6" t="s">
        <v>68</v>
      </c>
      <c r="B322" s="6" t="s">
        <v>50</v>
      </c>
      <c r="C322" s="6">
        <v>4</v>
      </c>
      <c r="D322" s="6">
        <v>1</v>
      </c>
      <c r="E322" s="6">
        <v>1</v>
      </c>
      <c r="F322" s="10">
        <v>45943</v>
      </c>
      <c r="G322" s="6" t="str">
        <f>_xlfn.TEXTJOIN("|",TRUE,GameLog[[#This Row],[Pod]],TEXT(INT(GameLog[[#This Row],[Round]]),"yyyymmdd"),GameLog[[#This Row],[Date]])</f>
        <v>1|19000101|45943</v>
      </c>
      <c r="H322" s="6">
        <f>COUNTIF(GameLog[Pod ID],GameLog[[#This Row],[Pod ID]])</f>
        <v>5</v>
      </c>
      <c r="I322" s="6">
        <f>YEAR(GameLog[[#This Row],[Date]])</f>
        <v>2025</v>
      </c>
      <c r="J322" s="6">
        <f>MONTH(GameLog[[#This Row],[Date]])</f>
        <v>10</v>
      </c>
      <c r="K322" s="6" t="str">
        <f>IF(GameLog[[#This Row],[Date]]=MAX(GameLog[Date]),"Current","Previous")</f>
        <v>Previous</v>
      </c>
      <c r="L322" s="6"/>
      <c r="M3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2" s="6" t="str">
        <f ca="1">IF(GameLog[[#This Row],[Check]]="","",COUNTIF(GameLog[[#Headers],[Check]]:GameLog[[#This Row],[Check]],"?*")-1)</f>
        <v/>
      </c>
      <c r="O322" s="6" t="str">
        <f>IFERROR(INDEX(Players[New name],MATCH(GameLog[[#This Row],[Player]],Players[Name],0)),GameLog[[#This Row],[Player]])</f>
        <v>Edwin M</v>
      </c>
    </row>
    <row r="323" spans="1:15" x14ac:dyDescent="0.45">
      <c r="A323" s="6" t="s">
        <v>85</v>
      </c>
      <c r="B323" s="6" t="s">
        <v>53</v>
      </c>
      <c r="C323" s="6">
        <v>5</v>
      </c>
      <c r="D323" s="6">
        <v>1</v>
      </c>
      <c r="E323" s="6">
        <v>1</v>
      </c>
      <c r="F323" s="10">
        <v>45943</v>
      </c>
      <c r="G323" s="6" t="str">
        <f>_xlfn.TEXTJOIN("|",TRUE,GameLog[[#This Row],[Pod]],TEXT(INT(GameLog[[#This Row],[Round]]),"yyyymmdd"),GameLog[[#This Row],[Date]])</f>
        <v>1|19000101|45943</v>
      </c>
      <c r="H323" s="6">
        <f>COUNTIF(GameLog[Pod ID],GameLog[[#This Row],[Pod ID]])</f>
        <v>5</v>
      </c>
      <c r="I323" s="6">
        <f>YEAR(GameLog[[#This Row],[Date]])</f>
        <v>2025</v>
      </c>
      <c r="J323" s="6">
        <f>MONTH(GameLog[[#This Row],[Date]])</f>
        <v>10</v>
      </c>
      <c r="K323" s="6" t="str">
        <f>IF(GameLog[[#This Row],[Date]]=MAX(GameLog[Date]),"Current","Previous")</f>
        <v>Previous</v>
      </c>
      <c r="L323" s="6"/>
      <c r="M3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3" s="6" t="str">
        <f ca="1">IF(GameLog[[#This Row],[Check]]="","",COUNTIF(GameLog[[#Headers],[Check]]:GameLog[[#This Row],[Check]],"?*")-1)</f>
        <v/>
      </c>
      <c r="O323" s="6" t="str">
        <f>IFERROR(INDEX(Players[New name],MATCH(GameLog[[#This Row],[Player]],Players[Name],0)),GameLog[[#This Row],[Player]])</f>
        <v>Logan</v>
      </c>
    </row>
    <row r="324" spans="1:15" x14ac:dyDescent="0.45">
      <c r="A324" s="6" t="s">
        <v>57</v>
      </c>
      <c r="B324" s="6" t="s">
        <v>53</v>
      </c>
      <c r="C324" s="6">
        <v>1</v>
      </c>
      <c r="D324" s="6">
        <v>2</v>
      </c>
      <c r="E324" s="6">
        <v>1</v>
      </c>
      <c r="F324" s="10">
        <v>45943</v>
      </c>
      <c r="G324" s="6" t="str">
        <f>_xlfn.TEXTJOIN("|",TRUE,GameLog[[#This Row],[Pod]],TEXT(INT(GameLog[[#This Row],[Round]]),"yyyymmdd"),GameLog[[#This Row],[Date]])</f>
        <v>2|19000101|45943</v>
      </c>
      <c r="H324" s="6">
        <f>COUNTIF(GameLog[Pod ID],GameLog[[#This Row],[Pod ID]])</f>
        <v>4</v>
      </c>
      <c r="I324" s="6">
        <f>YEAR(GameLog[[#This Row],[Date]])</f>
        <v>2025</v>
      </c>
      <c r="J324" s="6">
        <f>MONTH(GameLog[[#This Row],[Date]])</f>
        <v>10</v>
      </c>
      <c r="K324" s="6" t="str">
        <f>IF(GameLog[[#This Row],[Date]]=MAX(GameLog[Date]),"Current","Previous")</f>
        <v>Previous</v>
      </c>
      <c r="L324" s="6"/>
      <c r="M3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4" s="6" t="str">
        <f ca="1">IF(GameLog[[#This Row],[Check]]="","",COUNTIF(GameLog[[#Headers],[Check]]:GameLog[[#This Row],[Check]],"?*")-1)</f>
        <v/>
      </c>
      <c r="O324" s="6" t="str">
        <f>IFERROR(INDEX(Players[New name],MATCH(GameLog[[#This Row],[Player]],Players[Name],0)),GameLog[[#This Row],[Player]])</f>
        <v>AJ W</v>
      </c>
    </row>
    <row r="325" spans="1:15" x14ac:dyDescent="0.45">
      <c r="A325" s="6" t="s">
        <v>81</v>
      </c>
      <c r="B325" s="6" t="s">
        <v>53</v>
      </c>
      <c r="C325" s="6">
        <v>2</v>
      </c>
      <c r="D325" s="6">
        <v>2</v>
      </c>
      <c r="E325" s="6">
        <v>1</v>
      </c>
      <c r="F325" s="10">
        <v>45943</v>
      </c>
      <c r="G325" s="6" t="str">
        <f>_xlfn.TEXTJOIN("|",TRUE,GameLog[[#This Row],[Pod]],TEXT(INT(GameLog[[#This Row],[Round]]),"yyyymmdd"),GameLog[[#This Row],[Date]])</f>
        <v>2|19000101|45943</v>
      </c>
      <c r="H325" s="6">
        <f>COUNTIF(GameLog[Pod ID],GameLog[[#This Row],[Pod ID]])</f>
        <v>4</v>
      </c>
      <c r="I325" s="6">
        <f>YEAR(GameLog[[#This Row],[Date]])</f>
        <v>2025</v>
      </c>
      <c r="J325" s="6">
        <f>MONTH(GameLog[[#This Row],[Date]])</f>
        <v>10</v>
      </c>
      <c r="K325" s="6" t="str">
        <f>IF(GameLog[[#This Row],[Date]]=MAX(GameLog[Date]),"Current","Previous")</f>
        <v>Previous</v>
      </c>
      <c r="L325" s="6"/>
      <c r="M3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5" s="6" t="str">
        <f ca="1">IF(GameLog[[#This Row],[Check]]="","",COUNTIF(GameLog[[#Headers],[Check]]:GameLog[[#This Row],[Check]],"?*")-1)</f>
        <v/>
      </c>
      <c r="O325" s="6" t="str">
        <f>IFERROR(INDEX(Players[New name],MATCH(GameLog[[#This Row],[Player]],Players[Name],0)),GameLog[[#This Row],[Player]])</f>
        <v>Forrest</v>
      </c>
    </row>
    <row r="326" spans="1:15" x14ac:dyDescent="0.45">
      <c r="A326" s="6" t="s">
        <v>59</v>
      </c>
      <c r="B326" s="6" t="s">
        <v>50</v>
      </c>
      <c r="C326" s="6">
        <v>3</v>
      </c>
      <c r="D326" s="6">
        <v>2</v>
      </c>
      <c r="E326" s="6">
        <v>1</v>
      </c>
      <c r="F326" s="10">
        <v>45943</v>
      </c>
      <c r="G326" s="6" t="str">
        <f>_xlfn.TEXTJOIN("|",TRUE,GameLog[[#This Row],[Pod]],TEXT(INT(GameLog[[#This Row],[Round]]),"yyyymmdd"),GameLog[[#This Row],[Date]])</f>
        <v>2|19000101|45943</v>
      </c>
      <c r="H326" s="6">
        <f>COUNTIF(GameLog[Pod ID],GameLog[[#This Row],[Pod ID]])</f>
        <v>4</v>
      </c>
      <c r="I326" s="6">
        <f>YEAR(GameLog[[#This Row],[Date]])</f>
        <v>2025</v>
      </c>
      <c r="J326" s="6">
        <f>MONTH(GameLog[[#This Row],[Date]])</f>
        <v>10</v>
      </c>
      <c r="K326" s="6" t="str">
        <f>IF(GameLog[[#This Row],[Date]]=MAX(GameLog[Date]),"Current","Previous")</f>
        <v>Previous</v>
      </c>
      <c r="L326" s="6"/>
      <c r="M3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6" s="6" t="str">
        <f ca="1">IF(GameLog[[#This Row],[Check]]="","",COUNTIF(GameLog[[#Headers],[Check]]:GameLog[[#This Row],[Check]],"?*")-1)</f>
        <v/>
      </c>
      <c r="O326" s="6" t="str">
        <f>IFERROR(INDEX(Players[New name],MATCH(GameLog[[#This Row],[Player]],Players[Name],0)),GameLog[[#This Row],[Player]])</f>
        <v>Zack B</v>
      </c>
    </row>
    <row r="327" spans="1:15" x14ac:dyDescent="0.45">
      <c r="A327" s="6" t="s">
        <v>86</v>
      </c>
      <c r="B327" s="6" t="s">
        <v>53</v>
      </c>
      <c r="C327" s="6">
        <v>4</v>
      </c>
      <c r="D327" s="6">
        <v>2</v>
      </c>
      <c r="E327" s="6">
        <v>1</v>
      </c>
      <c r="F327" s="10">
        <v>45943</v>
      </c>
      <c r="G327" s="6" t="str">
        <f>_xlfn.TEXTJOIN("|",TRUE,GameLog[[#This Row],[Pod]],TEXT(INT(GameLog[[#This Row],[Round]]),"yyyymmdd"),GameLog[[#This Row],[Date]])</f>
        <v>2|19000101|45943</v>
      </c>
      <c r="H327" s="6">
        <f>COUNTIF(GameLog[Pod ID],GameLog[[#This Row],[Pod ID]])</f>
        <v>4</v>
      </c>
      <c r="I327" s="6">
        <f>YEAR(GameLog[[#This Row],[Date]])</f>
        <v>2025</v>
      </c>
      <c r="J327" s="6">
        <f>MONTH(GameLog[[#This Row],[Date]])</f>
        <v>10</v>
      </c>
      <c r="K327" s="6" t="str">
        <f>IF(GameLog[[#This Row],[Date]]=MAX(GameLog[Date]),"Current","Previous")</f>
        <v>Previous</v>
      </c>
      <c r="L327" s="6"/>
      <c r="M3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7" s="6" t="str">
        <f ca="1">IF(GameLog[[#This Row],[Check]]="","",COUNTIF(GameLog[[#Headers],[Check]]:GameLog[[#This Row],[Check]],"?*")-1)</f>
        <v/>
      </c>
      <c r="O327" s="6" t="str">
        <f>IFERROR(INDEX(Players[New name],MATCH(GameLog[[#This Row],[Player]],Players[Name],0)),GameLog[[#This Row],[Player]])</f>
        <v>Steve C</v>
      </c>
    </row>
    <row r="328" spans="1:15" x14ac:dyDescent="0.45">
      <c r="A328" s="6" t="s">
        <v>65</v>
      </c>
      <c r="B328" s="6" t="s">
        <v>53</v>
      </c>
      <c r="C328" s="6">
        <v>1</v>
      </c>
      <c r="D328" s="6">
        <v>3</v>
      </c>
      <c r="E328" s="6">
        <v>1</v>
      </c>
      <c r="F328" s="10">
        <v>45943</v>
      </c>
      <c r="G328" s="6" t="str">
        <f>_xlfn.TEXTJOIN("|",TRUE,GameLog[[#This Row],[Pod]],TEXT(INT(GameLog[[#This Row],[Round]]),"yyyymmdd"),GameLog[[#This Row],[Date]])</f>
        <v>3|19000101|45943</v>
      </c>
      <c r="H328" s="6">
        <f>COUNTIF(GameLog[Pod ID],GameLog[[#This Row],[Pod ID]])</f>
        <v>4</v>
      </c>
      <c r="I328" s="6">
        <f>YEAR(GameLog[[#This Row],[Date]])</f>
        <v>2025</v>
      </c>
      <c r="J328" s="6">
        <f>MONTH(GameLog[[#This Row],[Date]])</f>
        <v>10</v>
      </c>
      <c r="K328" s="6" t="str">
        <f>IF(GameLog[[#This Row],[Date]]=MAX(GameLog[Date]),"Current","Previous")</f>
        <v>Previous</v>
      </c>
      <c r="L328" s="6"/>
      <c r="M3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8" s="6" t="str">
        <f ca="1">IF(GameLog[[#This Row],[Check]]="","",COUNTIF(GameLog[[#Headers],[Check]]:GameLog[[#This Row],[Check]],"?*")-1)</f>
        <v/>
      </c>
      <c r="O328" s="6" t="str">
        <f>IFERROR(INDEX(Players[New name],MATCH(GameLog[[#This Row],[Player]],Players[Name],0)),GameLog[[#This Row],[Player]])</f>
        <v>Mitch</v>
      </c>
    </row>
    <row r="329" spans="1:15" x14ac:dyDescent="0.45">
      <c r="A329" s="6" t="s">
        <v>61</v>
      </c>
      <c r="B329" s="6" t="s">
        <v>53</v>
      </c>
      <c r="C329" s="6">
        <v>2</v>
      </c>
      <c r="D329" s="6">
        <v>3</v>
      </c>
      <c r="E329" s="6">
        <v>1</v>
      </c>
      <c r="F329" s="10">
        <v>45943</v>
      </c>
      <c r="G329" s="6" t="str">
        <f>_xlfn.TEXTJOIN("|",TRUE,GameLog[[#This Row],[Pod]],TEXT(INT(GameLog[[#This Row],[Round]]),"yyyymmdd"),GameLog[[#This Row],[Date]])</f>
        <v>3|19000101|45943</v>
      </c>
      <c r="H329" s="6">
        <f>COUNTIF(GameLog[Pod ID],GameLog[[#This Row],[Pod ID]])</f>
        <v>4</v>
      </c>
      <c r="I329" s="6">
        <f>YEAR(GameLog[[#This Row],[Date]])</f>
        <v>2025</v>
      </c>
      <c r="J329" s="6">
        <f>MONTH(GameLog[[#This Row],[Date]])</f>
        <v>10</v>
      </c>
      <c r="K329" s="6" t="str">
        <f>IF(GameLog[[#This Row],[Date]]=MAX(GameLog[Date]),"Current","Previous")</f>
        <v>Previous</v>
      </c>
      <c r="L329" s="6"/>
      <c r="M3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29" s="6" t="str">
        <f ca="1">IF(GameLog[[#This Row],[Check]]="","",COUNTIF(GameLog[[#Headers],[Check]]:GameLog[[#This Row],[Check]],"?*")-1)</f>
        <v/>
      </c>
      <c r="O329" s="6" t="str">
        <f>IFERROR(INDEX(Players[New name],MATCH(GameLog[[#This Row],[Player]],Players[Name],0)),GameLog[[#This Row],[Player]])</f>
        <v>Trevor</v>
      </c>
    </row>
    <row r="330" spans="1:15" x14ac:dyDescent="0.45">
      <c r="A330" s="6" t="s">
        <v>79</v>
      </c>
      <c r="B330" s="6" t="s">
        <v>50</v>
      </c>
      <c r="C330" s="6">
        <v>3</v>
      </c>
      <c r="D330" s="6">
        <v>3</v>
      </c>
      <c r="E330" s="6">
        <v>1</v>
      </c>
      <c r="F330" s="10">
        <v>45943</v>
      </c>
      <c r="G330" s="6" t="str">
        <f>_xlfn.TEXTJOIN("|",TRUE,GameLog[[#This Row],[Pod]],TEXT(INT(GameLog[[#This Row],[Round]]),"yyyymmdd"),GameLog[[#This Row],[Date]])</f>
        <v>3|19000101|45943</v>
      </c>
      <c r="H330" s="6">
        <f>COUNTIF(GameLog[Pod ID],GameLog[[#This Row],[Pod ID]])</f>
        <v>4</v>
      </c>
      <c r="I330" s="6">
        <f>YEAR(GameLog[[#This Row],[Date]])</f>
        <v>2025</v>
      </c>
      <c r="J330" s="6">
        <f>MONTH(GameLog[[#This Row],[Date]])</f>
        <v>10</v>
      </c>
      <c r="K330" s="6" t="str">
        <f>IF(GameLog[[#This Row],[Date]]=MAX(GameLog[Date]),"Current","Previous")</f>
        <v>Previous</v>
      </c>
      <c r="L330" s="6"/>
      <c r="M3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0" s="6" t="str">
        <f ca="1">IF(GameLog[[#This Row],[Check]]="","",COUNTIF(GameLog[[#Headers],[Check]]:GameLog[[#This Row],[Check]],"?*")-1)</f>
        <v/>
      </c>
      <c r="O330" s="6" t="str">
        <f>IFERROR(INDEX(Players[New name],MATCH(GameLog[[#This Row],[Player]],Players[Name],0)),GameLog[[#This Row],[Player]])</f>
        <v>Justin Lopez</v>
      </c>
    </row>
    <row r="331" spans="1:15" x14ac:dyDescent="0.45">
      <c r="A331" s="6" t="s">
        <v>70</v>
      </c>
      <c r="B331" s="6" t="s">
        <v>53</v>
      </c>
      <c r="C331" s="6">
        <v>4</v>
      </c>
      <c r="D331" s="6">
        <v>3</v>
      </c>
      <c r="E331" s="6">
        <v>1</v>
      </c>
      <c r="F331" s="10">
        <v>45943</v>
      </c>
      <c r="G331" s="6" t="str">
        <f>_xlfn.TEXTJOIN("|",TRUE,GameLog[[#This Row],[Pod]],TEXT(INT(GameLog[[#This Row],[Round]]),"yyyymmdd"),GameLog[[#This Row],[Date]])</f>
        <v>3|19000101|45943</v>
      </c>
      <c r="H331" s="6">
        <f>COUNTIF(GameLog[Pod ID],GameLog[[#This Row],[Pod ID]])</f>
        <v>4</v>
      </c>
      <c r="I331" s="6">
        <f>YEAR(GameLog[[#This Row],[Date]])</f>
        <v>2025</v>
      </c>
      <c r="J331" s="6">
        <f>MONTH(GameLog[[#This Row],[Date]])</f>
        <v>10</v>
      </c>
      <c r="K331" s="6" t="str">
        <f>IF(GameLog[[#This Row],[Date]]=MAX(GameLog[Date]),"Current","Previous")</f>
        <v>Previous</v>
      </c>
      <c r="L331" s="6"/>
      <c r="M3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1" s="6" t="str">
        <f ca="1">IF(GameLog[[#This Row],[Check]]="","",COUNTIF(GameLog[[#Headers],[Check]]:GameLog[[#This Row],[Check]],"?*")-1)</f>
        <v/>
      </c>
      <c r="O331" s="6" t="str">
        <f>IFERROR(INDEX(Players[New name],MATCH(GameLog[[#This Row],[Player]],Players[Name],0)),GameLog[[#This Row],[Player]])</f>
        <v>Brad F</v>
      </c>
    </row>
    <row r="332" spans="1:15" x14ac:dyDescent="0.45">
      <c r="A332" s="6" t="s">
        <v>77</v>
      </c>
      <c r="B332" s="6" t="s">
        <v>53</v>
      </c>
      <c r="C332" s="6">
        <v>1</v>
      </c>
      <c r="D332" s="6">
        <v>4</v>
      </c>
      <c r="E332" s="6">
        <v>1</v>
      </c>
      <c r="F332" s="10">
        <v>45943</v>
      </c>
      <c r="G332" s="6" t="str">
        <f>_xlfn.TEXTJOIN("|",TRUE,GameLog[[#This Row],[Pod]],TEXT(INT(GameLog[[#This Row],[Round]]),"yyyymmdd"),GameLog[[#This Row],[Date]])</f>
        <v>4|19000101|45943</v>
      </c>
      <c r="H332" s="6">
        <f>COUNTIF(GameLog[Pod ID],GameLog[[#This Row],[Pod ID]])</f>
        <v>4</v>
      </c>
      <c r="I332" s="6">
        <f>YEAR(GameLog[[#This Row],[Date]])</f>
        <v>2025</v>
      </c>
      <c r="J332" s="6">
        <f>MONTH(GameLog[[#This Row],[Date]])</f>
        <v>10</v>
      </c>
      <c r="K332" s="6" t="str">
        <f>IF(GameLog[[#This Row],[Date]]=MAX(GameLog[Date]),"Current","Previous")</f>
        <v>Previous</v>
      </c>
      <c r="L332" s="6"/>
      <c r="M3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2" s="6" t="str">
        <f ca="1">IF(GameLog[[#This Row],[Check]]="","",COUNTIF(GameLog[[#Headers],[Check]]:GameLog[[#This Row],[Check]],"?*")-1)</f>
        <v/>
      </c>
      <c r="O332" s="6" t="str">
        <f>IFERROR(INDEX(Players[New name],MATCH(GameLog[[#This Row],[Player]],Players[Name],0)),GameLog[[#This Row],[Player]])</f>
        <v>Dave M</v>
      </c>
    </row>
    <row r="333" spans="1:15" x14ac:dyDescent="0.45">
      <c r="A333" s="6" t="s">
        <v>55</v>
      </c>
      <c r="B333" s="6" t="s">
        <v>53</v>
      </c>
      <c r="C333" s="6">
        <v>2</v>
      </c>
      <c r="D333" s="6">
        <v>4</v>
      </c>
      <c r="E333" s="6">
        <v>1</v>
      </c>
      <c r="F333" s="10">
        <v>45943</v>
      </c>
      <c r="G333" s="6" t="str">
        <f>_xlfn.TEXTJOIN("|",TRUE,GameLog[[#This Row],[Pod]],TEXT(INT(GameLog[[#This Row],[Round]]),"yyyymmdd"),GameLog[[#This Row],[Date]])</f>
        <v>4|19000101|45943</v>
      </c>
      <c r="H333" s="6">
        <f>COUNTIF(GameLog[Pod ID],GameLog[[#This Row],[Pod ID]])</f>
        <v>4</v>
      </c>
      <c r="I333" s="6">
        <f>YEAR(GameLog[[#This Row],[Date]])</f>
        <v>2025</v>
      </c>
      <c r="J333" s="6">
        <f>MONTH(GameLog[[#This Row],[Date]])</f>
        <v>10</v>
      </c>
      <c r="K333" s="6" t="str">
        <f>IF(GameLog[[#This Row],[Date]]=MAX(GameLog[Date]),"Current","Previous")</f>
        <v>Previous</v>
      </c>
      <c r="L333" s="6"/>
      <c r="M3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3" s="6" t="str">
        <f ca="1">IF(GameLog[[#This Row],[Check]]="","",COUNTIF(GameLog[[#Headers],[Check]]:GameLog[[#This Row],[Check]],"?*")-1)</f>
        <v/>
      </c>
      <c r="O333" s="6" t="str">
        <f>IFERROR(INDEX(Players[New name],MATCH(GameLog[[#This Row],[Player]],Players[Name],0)),GameLog[[#This Row],[Player]])</f>
        <v>Bryce C</v>
      </c>
    </row>
    <row r="334" spans="1:15" x14ac:dyDescent="0.45">
      <c r="A334" s="6" t="s">
        <v>83</v>
      </c>
      <c r="B334" s="6" t="s">
        <v>50</v>
      </c>
      <c r="C334" s="6">
        <v>3</v>
      </c>
      <c r="D334" s="6">
        <v>4</v>
      </c>
      <c r="E334" s="6">
        <v>1</v>
      </c>
      <c r="F334" s="10">
        <v>45943</v>
      </c>
      <c r="G334" s="6" t="str">
        <f>_xlfn.TEXTJOIN("|",TRUE,GameLog[[#This Row],[Pod]],TEXT(INT(GameLog[[#This Row],[Round]]),"yyyymmdd"),GameLog[[#This Row],[Date]])</f>
        <v>4|19000101|45943</v>
      </c>
      <c r="H334" s="6">
        <f>COUNTIF(GameLog[Pod ID],GameLog[[#This Row],[Pod ID]])</f>
        <v>4</v>
      </c>
      <c r="I334" s="6">
        <f>YEAR(GameLog[[#This Row],[Date]])</f>
        <v>2025</v>
      </c>
      <c r="J334" s="6">
        <f>MONTH(GameLog[[#This Row],[Date]])</f>
        <v>10</v>
      </c>
      <c r="K334" s="6" t="str">
        <f>IF(GameLog[[#This Row],[Date]]=MAX(GameLog[Date]),"Current","Previous")</f>
        <v>Previous</v>
      </c>
      <c r="L334" s="6"/>
      <c r="M3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4" s="6" t="str">
        <f ca="1">IF(GameLog[[#This Row],[Check]]="","",COUNTIF(GameLog[[#Headers],[Check]]:GameLog[[#This Row],[Check]],"?*")-1)</f>
        <v/>
      </c>
      <c r="O334" s="6" t="str">
        <f>IFERROR(INDEX(Players[New name],MATCH(GameLog[[#This Row],[Player]],Players[Name],0)),GameLog[[#This Row],[Player]])</f>
        <v>Devyn S</v>
      </c>
    </row>
    <row r="335" spans="1:15" x14ac:dyDescent="0.45">
      <c r="A335" s="6" t="s">
        <v>76</v>
      </c>
      <c r="B335" s="6" t="s">
        <v>53</v>
      </c>
      <c r="C335" s="6">
        <v>4</v>
      </c>
      <c r="D335" s="6">
        <v>4</v>
      </c>
      <c r="E335" s="6">
        <v>1</v>
      </c>
      <c r="F335" s="10">
        <v>45943</v>
      </c>
      <c r="G335" s="6" t="str">
        <f>_xlfn.TEXTJOIN("|",TRUE,GameLog[[#This Row],[Pod]],TEXT(INT(GameLog[[#This Row],[Round]]),"yyyymmdd"),GameLog[[#This Row],[Date]])</f>
        <v>4|19000101|45943</v>
      </c>
      <c r="H335" s="6">
        <f>COUNTIF(GameLog[Pod ID],GameLog[[#This Row],[Pod ID]])</f>
        <v>4</v>
      </c>
      <c r="I335" s="6">
        <f>YEAR(GameLog[[#This Row],[Date]])</f>
        <v>2025</v>
      </c>
      <c r="J335" s="6">
        <f>MONTH(GameLog[[#This Row],[Date]])</f>
        <v>10</v>
      </c>
      <c r="K335" s="6" t="str">
        <f>IF(GameLog[[#This Row],[Date]]=MAX(GameLog[Date]),"Current","Previous")</f>
        <v>Previous</v>
      </c>
      <c r="L335" s="6"/>
      <c r="M3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5" s="6" t="str">
        <f ca="1">IF(GameLog[[#This Row],[Check]]="","",COUNTIF(GameLog[[#Headers],[Check]]:GameLog[[#This Row],[Check]],"?*")-1)</f>
        <v/>
      </c>
      <c r="O335" s="6" t="str">
        <f>IFERROR(INDEX(Players[New name],MATCH(GameLog[[#This Row],[Player]],Players[Name],0)),GameLog[[#This Row],[Player]])</f>
        <v>Jon M</v>
      </c>
    </row>
    <row r="336" spans="1:15" x14ac:dyDescent="0.45">
      <c r="A336" s="6" t="s">
        <v>79</v>
      </c>
      <c r="B336" s="6" t="s">
        <v>53</v>
      </c>
      <c r="C336" s="6">
        <v>1</v>
      </c>
      <c r="D336" s="6">
        <v>1</v>
      </c>
      <c r="E336" s="6">
        <v>2</v>
      </c>
      <c r="F336" s="10">
        <v>45943</v>
      </c>
      <c r="G336" s="6" t="str">
        <f>_xlfn.TEXTJOIN("|",TRUE,GameLog[[#This Row],[Pod]],TEXT(INT(GameLog[[#This Row],[Round]]),"yyyymmdd"),GameLog[[#This Row],[Date]])</f>
        <v>1|19000102|45943</v>
      </c>
      <c r="H336" s="6">
        <f>COUNTIF(GameLog[Pod ID],GameLog[[#This Row],[Pod ID]])</f>
        <v>4</v>
      </c>
      <c r="I336" s="6">
        <f>YEAR(GameLog[[#This Row],[Date]])</f>
        <v>2025</v>
      </c>
      <c r="J336" s="6">
        <f>MONTH(GameLog[[#This Row],[Date]])</f>
        <v>10</v>
      </c>
      <c r="K336" s="6" t="str">
        <f>IF(GameLog[[#This Row],[Date]]=MAX(GameLog[Date]),"Current","Previous")</f>
        <v>Previous</v>
      </c>
      <c r="L336" s="6"/>
      <c r="M3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6" s="6" t="str">
        <f ca="1">IF(GameLog[[#This Row],[Check]]="","",COUNTIF(GameLog[[#Headers],[Check]]:GameLog[[#This Row],[Check]],"?*")-1)</f>
        <v/>
      </c>
      <c r="O336" s="6" t="str">
        <f>IFERROR(INDEX(Players[New name],MATCH(GameLog[[#This Row],[Player]],Players[Name],0)),GameLog[[#This Row],[Player]])</f>
        <v>Justin Lopez</v>
      </c>
    </row>
    <row r="337" spans="1:15" x14ac:dyDescent="0.45">
      <c r="A337" s="6" t="s">
        <v>59</v>
      </c>
      <c r="B337" s="6" t="s">
        <v>53</v>
      </c>
      <c r="C337" s="6">
        <v>2</v>
      </c>
      <c r="D337" s="6">
        <v>1</v>
      </c>
      <c r="E337" s="6">
        <v>2</v>
      </c>
      <c r="F337" s="10">
        <v>45943</v>
      </c>
      <c r="G337" s="6" t="str">
        <f>_xlfn.TEXTJOIN("|",TRUE,GameLog[[#This Row],[Pod]],TEXT(INT(GameLog[[#This Row],[Round]]),"yyyymmdd"),GameLog[[#This Row],[Date]])</f>
        <v>1|19000102|45943</v>
      </c>
      <c r="H337" s="6">
        <f>COUNTIF(GameLog[Pod ID],GameLog[[#This Row],[Pod ID]])</f>
        <v>4</v>
      </c>
      <c r="I337" s="6">
        <f>YEAR(GameLog[[#This Row],[Date]])</f>
        <v>2025</v>
      </c>
      <c r="J337" s="6">
        <f>MONTH(GameLog[[#This Row],[Date]])</f>
        <v>10</v>
      </c>
      <c r="K337" s="6" t="str">
        <f>IF(GameLog[[#This Row],[Date]]=MAX(GameLog[Date]),"Current","Previous")</f>
        <v>Previous</v>
      </c>
      <c r="L337" s="6"/>
      <c r="M3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7" s="6" t="str">
        <f ca="1">IF(GameLog[[#This Row],[Check]]="","",COUNTIF(GameLog[[#Headers],[Check]]:GameLog[[#This Row],[Check]],"?*")-1)</f>
        <v/>
      </c>
      <c r="O337" s="6" t="str">
        <f>IFERROR(INDEX(Players[New name],MATCH(GameLog[[#This Row],[Player]],Players[Name],0)),GameLog[[#This Row],[Player]])</f>
        <v>Zack B</v>
      </c>
    </row>
    <row r="338" spans="1:15" x14ac:dyDescent="0.45">
      <c r="A338" s="6" t="s">
        <v>68</v>
      </c>
      <c r="B338" s="6" t="s">
        <v>50</v>
      </c>
      <c r="C338" s="6">
        <v>3</v>
      </c>
      <c r="D338" s="6">
        <v>1</v>
      </c>
      <c r="E338" s="6">
        <v>2</v>
      </c>
      <c r="F338" s="10">
        <v>45943</v>
      </c>
      <c r="G338" s="6" t="str">
        <f>_xlfn.TEXTJOIN("|",TRUE,GameLog[[#This Row],[Pod]],TEXT(INT(GameLog[[#This Row],[Round]]),"yyyymmdd"),GameLog[[#This Row],[Date]])</f>
        <v>1|19000102|45943</v>
      </c>
      <c r="H338" s="6">
        <f>COUNTIF(GameLog[Pod ID],GameLog[[#This Row],[Pod ID]])</f>
        <v>4</v>
      </c>
      <c r="I338" s="6">
        <f>YEAR(GameLog[[#This Row],[Date]])</f>
        <v>2025</v>
      </c>
      <c r="J338" s="6">
        <f>MONTH(GameLog[[#This Row],[Date]])</f>
        <v>10</v>
      </c>
      <c r="K338" s="6" t="str">
        <f>IF(GameLog[[#This Row],[Date]]=MAX(GameLog[Date]),"Current","Previous")</f>
        <v>Previous</v>
      </c>
      <c r="L338" s="6"/>
      <c r="M3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8" s="6" t="str">
        <f ca="1">IF(GameLog[[#This Row],[Check]]="","",COUNTIF(GameLog[[#Headers],[Check]]:GameLog[[#This Row],[Check]],"?*")-1)</f>
        <v/>
      </c>
      <c r="O338" s="6" t="str">
        <f>IFERROR(INDEX(Players[New name],MATCH(GameLog[[#This Row],[Player]],Players[Name],0)),GameLog[[#This Row],[Player]])</f>
        <v>Edwin M</v>
      </c>
    </row>
    <row r="339" spans="1:15" x14ac:dyDescent="0.45">
      <c r="A339" s="6" t="s">
        <v>83</v>
      </c>
      <c r="B339" s="6" t="s">
        <v>53</v>
      </c>
      <c r="C339" s="6">
        <v>4</v>
      </c>
      <c r="D339" s="6">
        <v>1</v>
      </c>
      <c r="E339" s="6">
        <v>2</v>
      </c>
      <c r="F339" s="10">
        <v>45943</v>
      </c>
      <c r="G339" s="6" t="str">
        <f>_xlfn.TEXTJOIN("|",TRUE,GameLog[[#This Row],[Pod]],TEXT(INT(GameLog[[#This Row],[Round]]),"yyyymmdd"),GameLog[[#This Row],[Date]])</f>
        <v>1|19000102|45943</v>
      </c>
      <c r="H339" s="6">
        <f>COUNTIF(GameLog[Pod ID],GameLog[[#This Row],[Pod ID]])</f>
        <v>4</v>
      </c>
      <c r="I339" s="6">
        <f>YEAR(GameLog[[#This Row],[Date]])</f>
        <v>2025</v>
      </c>
      <c r="J339" s="6">
        <f>MONTH(GameLog[[#This Row],[Date]])</f>
        <v>10</v>
      </c>
      <c r="K339" s="6" t="str">
        <f>IF(GameLog[[#This Row],[Date]]=MAX(GameLog[Date]),"Current","Previous")</f>
        <v>Previous</v>
      </c>
      <c r="L339" s="6"/>
      <c r="M3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39" s="6" t="str">
        <f ca="1">IF(GameLog[[#This Row],[Check]]="","",COUNTIF(GameLog[[#Headers],[Check]]:GameLog[[#This Row],[Check]],"?*")-1)</f>
        <v/>
      </c>
      <c r="O339" s="6" t="str">
        <f>IFERROR(INDEX(Players[New name],MATCH(GameLog[[#This Row],[Player]],Players[Name],0)),GameLog[[#This Row],[Player]])</f>
        <v>Devyn S</v>
      </c>
    </row>
    <row r="340" spans="1:15" x14ac:dyDescent="0.45">
      <c r="A340" s="6" t="s">
        <v>86</v>
      </c>
      <c r="B340" s="6" t="s">
        <v>50</v>
      </c>
      <c r="C340" s="6">
        <v>1</v>
      </c>
      <c r="D340" s="6">
        <v>2</v>
      </c>
      <c r="E340" s="6">
        <v>2</v>
      </c>
      <c r="F340" s="10">
        <v>45943</v>
      </c>
      <c r="G340" s="6" t="str">
        <f>_xlfn.TEXTJOIN("|",TRUE,GameLog[[#This Row],[Pod]],TEXT(INT(GameLog[[#This Row],[Round]]),"yyyymmdd"),GameLog[[#This Row],[Date]])</f>
        <v>2|19000102|45943</v>
      </c>
      <c r="H340" s="6">
        <f>COUNTIF(GameLog[Pod ID],GameLog[[#This Row],[Pod ID]])</f>
        <v>4</v>
      </c>
      <c r="I340" s="6">
        <f>YEAR(GameLog[[#This Row],[Date]])</f>
        <v>2025</v>
      </c>
      <c r="J340" s="6">
        <f>MONTH(GameLog[[#This Row],[Date]])</f>
        <v>10</v>
      </c>
      <c r="K340" s="6" t="str">
        <f>IF(GameLog[[#This Row],[Date]]=MAX(GameLog[Date]),"Current","Previous")</f>
        <v>Previous</v>
      </c>
      <c r="L340" s="6"/>
      <c r="M3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0" s="6" t="str">
        <f ca="1">IF(GameLog[[#This Row],[Check]]="","",COUNTIF(GameLog[[#Headers],[Check]]:GameLog[[#This Row],[Check]],"?*")-1)</f>
        <v/>
      </c>
      <c r="O340" s="6" t="str">
        <f>IFERROR(INDEX(Players[New name],MATCH(GameLog[[#This Row],[Player]],Players[Name],0)),GameLog[[#This Row],[Player]])</f>
        <v>Steve C</v>
      </c>
    </row>
    <row r="341" spans="1:15" x14ac:dyDescent="0.45">
      <c r="A341" s="6" t="s">
        <v>55</v>
      </c>
      <c r="B341" s="6" t="s">
        <v>53</v>
      </c>
      <c r="C341" s="6">
        <v>2</v>
      </c>
      <c r="D341" s="6">
        <v>2</v>
      </c>
      <c r="E341" s="6">
        <v>2</v>
      </c>
      <c r="F341" s="10">
        <v>45943</v>
      </c>
      <c r="G341" s="6" t="str">
        <f>_xlfn.TEXTJOIN("|",TRUE,GameLog[[#This Row],[Pod]],TEXT(INT(GameLog[[#This Row],[Round]]),"yyyymmdd"),GameLog[[#This Row],[Date]])</f>
        <v>2|19000102|45943</v>
      </c>
      <c r="H341" s="6">
        <f>COUNTIF(GameLog[Pod ID],GameLog[[#This Row],[Pod ID]])</f>
        <v>4</v>
      </c>
      <c r="I341" s="6">
        <f>YEAR(GameLog[[#This Row],[Date]])</f>
        <v>2025</v>
      </c>
      <c r="J341" s="6">
        <f>MONTH(GameLog[[#This Row],[Date]])</f>
        <v>10</v>
      </c>
      <c r="K341" s="6" t="str">
        <f>IF(GameLog[[#This Row],[Date]]=MAX(GameLog[Date]),"Current","Previous")</f>
        <v>Previous</v>
      </c>
      <c r="L341" s="6"/>
      <c r="M3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1" s="6" t="str">
        <f ca="1">IF(GameLog[[#This Row],[Check]]="","",COUNTIF(GameLog[[#Headers],[Check]]:GameLog[[#This Row],[Check]],"?*")-1)</f>
        <v/>
      </c>
      <c r="O341" s="6" t="str">
        <f>IFERROR(INDEX(Players[New name],MATCH(GameLog[[#This Row],[Player]],Players[Name],0)),GameLog[[#This Row],[Player]])</f>
        <v>Bryce C</v>
      </c>
    </row>
    <row r="342" spans="1:15" x14ac:dyDescent="0.45">
      <c r="A342" s="6" t="s">
        <v>73</v>
      </c>
      <c r="B342" s="6" t="s">
        <v>53</v>
      </c>
      <c r="C342" s="6">
        <v>3</v>
      </c>
      <c r="D342" s="6">
        <v>2</v>
      </c>
      <c r="E342" s="6">
        <v>2</v>
      </c>
      <c r="F342" s="10">
        <v>45943</v>
      </c>
      <c r="G342" s="6" t="str">
        <f>_xlfn.TEXTJOIN("|",TRUE,GameLog[[#This Row],[Pod]],TEXT(INT(GameLog[[#This Row],[Round]]),"yyyymmdd"),GameLog[[#This Row],[Date]])</f>
        <v>2|19000102|45943</v>
      </c>
      <c r="H342" s="6">
        <f>COUNTIF(GameLog[Pod ID],GameLog[[#This Row],[Pod ID]])</f>
        <v>4</v>
      </c>
      <c r="I342" s="6">
        <f>YEAR(GameLog[[#This Row],[Date]])</f>
        <v>2025</v>
      </c>
      <c r="J342" s="6">
        <f>MONTH(GameLog[[#This Row],[Date]])</f>
        <v>10</v>
      </c>
      <c r="K342" s="6" t="str">
        <f>IF(GameLog[[#This Row],[Date]]=MAX(GameLog[Date]),"Current","Previous")</f>
        <v>Previous</v>
      </c>
      <c r="L342" s="6"/>
      <c r="M3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2" s="6" t="str">
        <f ca="1">IF(GameLog[[#This Row],[Check]]="","",COUNTIF(GameLog[[#Headers],[Check]]:GameLog[[#This Row],[Check]],"?*")-1)</f>
        <v/>
      </c>
      <c r="O342" s="6" t="str">
        <f>IFERROR(INDEX(Players[New name],MATCH(GameLog[[#This Row],[Player]],Players[Name],0)),GameLog[[#This Row],[Player]])</f>
        <v>Brandon B</v>
      </c>
    </row>
    <row r="343" spans="1:15" x14ac:dyDescent="0.45">
      <c r="A343" s="6" t="s">
        <v>84</v>
      </c>
      <c r="B343" s="6" t="s">
        <v>53</v>
      </c>
      <c r="C343" s="6">
        <v>4</v>
      </c>
      <c r="D343" s="6">
        <v>2</v>
      </c>
      <c r="E343" s="6">
        <v>2</v>
      </c>
      <c r="F343" s="10">
        <v>45943</v>
      </c>
      <c r="G343" s="6" t="str">
        <f>_xlfn.TEXTJOIN("|",TRUE,GameLog[[#This Row],[Pod]],TEXT(INT(GameLog[[#This Row],[Round]]),"yyyymmdd"),GameLog[[#This Row],[Date]])</f>
        <v>2|19000102|45943</v>
      </c>
      <c r="H343" s="6">
        <f>COUNTIF(GameLog[Pod ID],GameLog[[#This Row],[Pod ID]])</f>
        <v>4</v>
      </c>
      <c r="I343" s="6">
        <f>YEAR(GameLog[[#This Row],[Date]])</f>
        <v>2025</v>
      </c>
      <c r="J343" s="6">
        <f>MONTH(GameLog[[#This Row],[Date]])</f>
        <v>10</v>
      </c>
      <c r="K343" s="6" t="str">
        <f>IF(GameLog[[#This Row],[Date]]=MAX(GameLog[Date]),"Current","Previous")</f>
        <v>Previous</v>
      </c>
      <c r="L343" s="6"/>
      <c r="M3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3" s="6" t="str">
        <f ca="1">IF(GameLog[[#This Row],[Check]]="","",COUNTIF(GameLog[[#Headers],[Check]]:GameLog[[#This Row],[Check]],"?*")-1)</f>
        <v/>
      </c>
      <c r="O343" s="6" t="str">
        <f>IFERROR(INDEX(Players[New name],MATCH(GameLog[[#This Row],[Player]],Players[Name],0)),GameLog[[#This Row],[Player]])</f>
        <v>Zach D</v>
      </c>
    </row>
    <row r="344" spans="1:15" x14ac:dyDescent="0.45">
      <c r="A344" s="6" t="s">
        <v>57</v>
      </c>
      <c r="B344" s="6" t="s">
        <v>53</v>
      </c>
      <c r="C344" s="6">
        <v>1</v>
      </c>
      <c r="D344" s="6">
        <v>3</v>
      </c>
      <c r="E344" s="6">
        <v>2</v>
      </c>
      <c r="F344" s="10">
        <v>45943</v>
      </c>
      <c r="G344" s="6" t="str">
        <f>_xlfn.TEXTJOIN("|",TRUE,GameLog[[#This Row],[Pod]],TEXT(INT(GameLog[[#This Row],[Round]]),"yyyymmdd"),GameLog[[#This Row],[Date]])</f>
        <v>3|19000102|45943</v>
      </c>
      <c r="H344" s="6">
        <f>COUNTIF(GameLog[Pod ID],GameLog[[#This Row],[Pod ID]])</f>
        <v>5</v>
      </c>
      <c r="I344" s="6">
        <f>YEAR(GameLog[[#This Row],[Date]])</f>
        <v>2025</v>
      </c>
      <c r="J344" s="6">
        <f>MONTH(GameLog[[#This Row],[Date]])</f>
        <v>10</v>
      </c>
      <c r="K344" s="6" t="str">
        <f>IF(GameLog[[#This Row],[Date]]=MAX(GameLog[Date]),"Current","Previous")</f>
        <v>Previous</v>
      </c>
      <c r="L344" s="6"/>
      <c r="M3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4" s="6" t="str">
        <f ca="1">IF(GameLog[[#This Row],[Check]]="","",COUNTIF(GameLog[[#Headers],[Check]]:GameLog[[#This Row],[Check]],"?*")-1)</f>
        <v/>
      </c>
      <c r="O344" s="6" t="str">
        <f>IFERROR(INDEX(Players[New name],MATCH(GameLog[[#This Row],[Player]],Players[Name],0)),GameLog[[#This Row],[Player]])</f>
        <v>AJ W</v>
      </c>
    </row>
    <row r="345" spans="1:15" x14ac:dyDescent="0.45">
      <c r="A345" s="6" t="s">
        <v>70</v>
      </c>
      <c r="B345" s="6" t="s">
        <v>50</v>
      </c>
      <c r="C345" s="6">
        <v>2</v>
      </c>
      <c r="D345" s="6">
        <v>3</v>
      </c>
      <c r="E345" s="6">
        <v>2</v>
      </c>
      <c r="F345" s="10">
        <v>45943</v>
      </c>
      <c r="G345" s="6" t="str">
        <f>_xlfn.TEXTJOIN("|",TRUE,GameLog[[#This Row],[Pod]],TEXT(INT(GameLog[[#This Row],[Round]]),"yyyymmdd"),GameLog[[#This Row],[Date]])</f>
        <v>3|19000102|45943</v>
      </c>
      <c r="H345" s="6">
        <f>COUNTIF(GameLog[Pod ID],GameLog[[#This Row],[Pod ID]])</f>
        <v>5</v>
      </c>
      <c r="I345" s="6">
        <f>YEAR(GameLog[[#This Row],[Date]])</f>
        <v>2025</v>
      </c>
      <c r="J345" s="6">
        <f>MONTH(GameLog[[#This Row],[Date]])</f>
        <v>10</v>
      </c>
      <c r="K345" s="6" t="str">
        <f>IF(GameLog[[#This Row],[Date]]=MAX(GameLog[Date]),"Current","Previous")</f>
        <v>Previous</v>
      </c>
      <c r="L345" s="6"/>
      <c r="M3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5" s="6" t="str">
        <f ca="1">IF(GameLog[[#This Row],[Check]]="","",COUNTIF(GameLog[[#Headers],[Check]]:GameLog[[#This Row],[Check]],"?*")-1)</f>
        <v/>
      </c>
      <c r="O345" s="6" t="str">
        <f>IFERROR(INDEX(Players[New name],MATCH(GameLog[[#This Row],[Player]],Players[Name],0)),GameLog[[#This Row],[Player]])</f>
        <v>Brad F</v>
      </c>
    </row>
    <row r="346" spans="1:15" x14ac:dyDescent="0.45">
      <c r="A346" s="6" t="s">
        <v>77</v>
      </c>
      <c r="B346" s="6" t="s">
        <v>53</v>
      </c>
      <c r="C346" s="6">
        <v>3</v>
      </c>
      <c r="D346" s="6">
        <v>3</v>
      </c>
      <c r="E346" s="6">
        <v>2</v>
      </c>
      <c r="F346" s="10">
        <v>45943</v>
      </c>
      <c r="G346" s="6" t="str">
        <f>_xlfn.TEXTJOIN("|",TRUE,GameLog[[#This Row],[Pod]],TEXT(INT(GameLog[[#This Row],[Round]]),"yyyymmdd"),GameLog[[#This Row],[Date]])</f>
        <v>3|19000102|45943</v>
      </c>
      <c r="H346" s="6">
        <f>COUNTIF(GameLog[Pod ID],GameLog[[#This Row],[Pod ID]])</f>
        <v>5</v>
      </c>
      <c r="I346" s="6">
        <f>YEAR(GameLog[[#This Row],[Date]])</f>
        <v>2025</v>
      </c>
      <c r="J346" s="6">
        <f>MONTH(GameLog[[#This Row],[Date]])</f>
        <v>10</v>
      </c>
      <c r="K346" s="6" t="str">
        <f>IF(GameLog[[#This Row],[Date]]=MAX(GameLog[Date]),"Current","Previous")</f>
        <v>Previous</v>
      </c>
      <c r="L346" s="6"/>
      <c r="M3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6" s="6" t="str">
        <f ca="1">IF(GameLog[[#This Row],[Check]]="","",COUNTIF(GameLog[[#Headers],[Check]]:GameLog[[#This Row],[Check]],"?*")-1)</f>
        <v/>
      </c>
      <c r="O346" s="6" t="str">
        <f>IFERROR(INDEX(Players[New name],MATCH(GameLog[[#This Row],[Player]],Players[Name],0)),GameLog[[#This Row],[Player]])</f>
        <v>Dave M</v>
      </c>
    </row>
    <row r="347" spans="1:15" x14ac:dyDescent="0.45">
      <c r="A347" s="6" t="s">
        <v>49</v>
      </c>
      <c r="B347" s="6" t="s">
        <v>53</v>
      </c>
      <c r="C347" s="6">
        <v>4</v>
      </c>
      <c r="D347" s="6">
        <v>3</v>
      </c>
      <c r="E347" s="6">
        <v>2</v>
      </c>
      <c r="F347" s="10">
        <v>45943</v>
      </c>
      <c r="G347" s="6" t="str">
        <f>_xlfn.TEXTJOIN("|",TRUE,GameLog[[#This Row],[Pod]],TEXT(INT(GameLog[[#This Row],[Round]]),"yyyymmdd"),GameLog[[#This Row],[Date]])</f>
        <v>3|19000102|45943</v>
      </c>
      <c r="H347" s="6">
        <f>COUNTIF(GameLog[Pod ID],GameLog[[#This Row],[Pod ID]])</f>
        <v>5</v>
      </c>
      <c r="I347" s="6">
        <f>YEAR(GameLog[[#This Row],[Date]])</f>
        <v>2025</v>
      </c>
      <c r="J347" s="6">
        <f>MONTH(GameLog[[#This Row],[Date]])</f>
        <v>10</v>
      </c>
      <c r="K347" s="6" t="str">
        <f>IF(GameLog[[#This Row],[Date]]=MAX(GameLog[Date]),"Current","Previous")</f>
        <v>Previous</v>
      </c>
      <c r="L347" s="6"/>
      <c r="M3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7" s="6" t="str">
        <f ca="1">IF(GameLog[[#This Row],[Check]]="","",COUNTIF(GameLog[[#Headers],[Check]]:GameLog[[#This Row],[Check]],"?*")-1)</f>
        <v/>
      </c>
      <c r="O347" s="6" t="str">
        <f>IFERROR(INDEX(Players[New name],MATCH(GameLog[[#This Row],[Player]],Players[Name],0)),GameLog[[#This Row],[Player]])</f>
        <v>Brett R</v>
      </c>
    </row>
    <row r="348" spans="1:15" x14ac:dyDescent="0.45">
      <c r="A348" s="6" t="s">
        <v>61</v>
      </c>
      <c r="B348" s="6" t="s">
        <v>53</v>
      </c>
      <c r="C348" s="6">
        <v>5</v>
      </c>
      <c r="D348" s="6">
        <v>3</v>
      </c>
      <c r="E348" s="6">
        <v>2</v>
      </c>
      <c r="F348" s="10">
        <v>45943</v>
      </c>
      <c r="G348" s="6" t="str">
        <f>_xlfn.TEXTJOIN("|",TRUE,GameLog[[#This Row],[Pod]],TEXT(INT(GameLog[[#This Row],[Round]]),"yyyymmdd"),GameLog[[#This Row],[Date]])</f>
        <v>3|19000102|45943</v>
      </c>
      <c r="H348" s="6">
        <f>COUNTIF(GameLog[Pod ID],GameLog[[#This Row],[Pod ID]])</f>
        <v>5</v>
      </c>
      <c r="I348" s="6">
        <f>YEAR(GameLog[[#This Row],[Date]])</f>
        <v>2025</v>
      </c>
      <c r="J348" s="6">
        <f>MONTH(GameLog[[#This Row],[Date]])</f>
        <v>10</v>
      </c>
      <c r="K348" s="6" t="str">
        <f>IF(GameLog[[#This Row],[Date]]=MAX(GameLog[Date]),"Current","Previous")</f>
        <v>Previous</v>
      </c>
      <c r="L348" s="6"/>
      <c r="M3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8" s="6" t="str">
        <f ca="1">IF(GameLog[[#This Row],[Check]]="","",COUNTIF(GameLog[[#Headers],[Check]]:GameLog[[#This Row],[Check]],"?*")-1)</f>
        <v/>
      </c>
      <c r="O348" s="6" t="str">
        <f>IFERROR(INDEX(Players[New name],MATCH(GameLog[[#This Row],[Player]],Players[Name],0)),GameLog[[#This Row],[Player]])</f>
        <v>Trevor</v>
      </c>
    </row>
    <row r="349" spans="1:15" x14ac:dyDescent="0.45">
      <c r="A349" s="6" t="s">
        <v>76</v>
      </c>
      <c r="B349" s="6" t="s">
        <v>53</v>
      </c>
      <c r="C349" s="6">
        <v>1</v>
      </c>
      <c r="D349" s="6">
        <v>4</v>
      </c>
      <c r="E349" s="6">
        <v>2</v>
      </c>
      <c r="F349" s="10">
        <v>45943</v>
      </c>
      <c r="G349" s="6" t="str">
        <f>_xlfn.TEXTJOIN("|",TRUE,GameLog[[#This Row],[Pod]],TEXT(INT(GameLog[[#This Row],[Round]]),"yyyymmdd"),GameLog[[#This Row],[Date]])</f>
        <v>4|19000102|45943</v>
      </c>
      <c r="H349" s="6">
        <f>COUNTIF(GameLog[Pod ID],GameLog[[#This Row],[Pod ID]])</f>
        <v>5</v>
      </c>
      <c r="I349" s="6">
        <f>YEAR(GameLog[[#This Row],[Date]])</f>
        <v>2025</v>
      </c>
      <c r="J349" s="6">
        <f>MONTH(GameLog[[#This Row],[Date]])</f>
        <v>10</v>
      </c>
      <c r="K349" s="6" t="str">
        <f>IF(GameLog[[#This Row],[Date]]=MAX(GameLog[Date]),"Current","Previous")</f>
        <v>Previous</v>
      </c>
      <c r="L349" s="6"/>
      <c r="M3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49" s="6" t="str">
        <f ca="1">IF(GameLog[[#This Row],[Check]]="","",COUNTIF(GameLog[[#Headers],[Check]]:GameLog[[#This Row],[Check]],"?*")-1)</f>
        <v/>
      </c>
      <c r="O349" s="6" t="str">
        <f>IFERROR(INDEX(Players[New name],MATCH(GameLog[[#This Row],[Player]],Players[Name],0)),GameLog[[#This Row],[Player]])</f>
        <v>Jon M</v>
      </c>
    </row>
    <row r="350" spans="1:15" x14ac:dyDescent="0.45">
      <c r="A350" s="6" t="s">
        <v>85</v>
      </c>
      <c r="B350" s="6" t="s">
        <v>53</v>
      </c>
      <c r="C350" s="6">
        <v>2</v>
      </c>
      <c r="D350" s="6">
        <v>4</v>
      </c>
      <c r="E350" s="6">
        <v>2</v>
      </c>
      <c r="F350" s="10">
        <v>45943</v>
      </c>
      <c r="G350" s="6" t="str">
        <f>_xlfn.TEXTJOIN("|",TRUE,GameLog[[#This Row],[Pod]],TEXT(INT(GameLog[[#This Row],[Round]]),"yyyymmdd"),GameLog[[#This Row],[Date]])</f>
        <v>4|19000102|45943</v>
      </c>
      <c r="H350" s="6">
        <f>COUNTIF(GameLog[Pod ID],GameLog[[#This Row],[Pod ID]])</f>
        <v>5</v>
      </c>
      <c r="I350" s="6">
        <f>YEAR(GameLog[[#This Row],[Date]])</f>
        <v>2025</v>
      </c>
      <c r="J350" s="6">
        <f>MONTH(GameLog[[#This Row],[Date]])</f>
        <v>10</v>
      </c>
      <c r="K350" s="6" t="str">
        <f>IF(GameLog[[#This Row],[Date]]=MAX(GameLog[Date]),"Current","Previous")</f>
        <v>Previous</v>
      </c>
      <c r="L350" s="6"/>
      <c r="M3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0" s="6" t="str">
        <f ca="1">IF(GameLog[[#This Row],[Check]]="","",COUNTIF(GameLog[[#Headers],[Check]]:GameLog[[#This Row],[Check]],"?*")-1)</f>
        <v/>
      </c>
      <c r="O350" s="6" t="str">
        <f>IFERROR(INDEX(Players[New name],MATCH(GameLog[[#This Row],[Player]],Players[Name],0)),GameLog[[#This Row],[Player]])</f>
        <v>Logan</v>
      </c>
    </row>
    <row r="351" spans="1:15" x14ac:dyDescent="0.45">
      <c r="A351" s="6" t="s">
        <v>65</v>
      </c>
      <c r="B351" s="6" t="s">
        <v>53</v>
      </c>
      <c r="C351" s="6">
        <v>3</v>
      </c>
      <c r="D351" s="6">
        <v>4</v>
      </c>
      <c r="E351" s="6">
        <v>2</v>
      </c>
      <c r="F351" s="10">
        <v>45943</v>
      </c>
      <c r="G351" s="6" t="str">
        <f>_xlfn.TEXTJOIN("|",TRUE,GameLog[[#This Row],[Pod]],TEXT(INT(GameLog[[#This Row],[Round]]),"yyyymmdd"),GameLog[[#This Row],[Date]])</f>
        <v>4|19000102|45943</v>
      </c>
      <c r="H351" s="6">
        <f>COUNTIF(GameLog[Pod ID],GameLog[[#This Row],[Pod ID]])</f>
        <v>5</v>
      </c>
      <c r="I351" s="6">
        <f>YEAR(GameLog[[#This Row],[Date]])</f>
        <v>2025</v>
      </c>
      <c r="J351" s="6">
        <f>MONTH(GameLog[[#This Row],[Date]])</f>
        <v>10</v>
      </c>
      <c r="K351" s="6" t="str">
        <f>IF(GameLog[[#This Row],[Date]]=MAX(GameLog[Date]),"Current","Previous")</f>
        <v>Previous</v>
      </c>
      <c r="L351" s="6"/>
      <c r="M3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1" s="6" t="str">
        <f ca="1">IF(GameLog[[#This Row],[Check]]="","",COUNTIF(GameLog[[#Headers],[Check]]:GameLog[[#This Row],[Check]],"?*")-1)</f>
        <v/>
      </c>
      <c r="O351" s="6" t="str">
        <f>IFERROR(INDEX(Players[New name],MATCH(GameLog[[#This Row],[Player]],Players[Name],0)),GameLog[[#This Row],[Player]])</f>
        <v>Mitch</v>
      </c>
    </row>
    <row r="352" spans="1:15" x14ac:dyDescent="0.45">
      <c r="A352" s="6" t="s">
        <v>81</v>
      </c>
      <c r="B352" s="6" t="s">
        <v>53</v>
      </c>
      <c r="C352" s="6">
        <v>4</v>
      </c>
      <c r="D352" s="6">
        <v>4</v>
      </c>
      <c r="E352" s="6">
        <v>2</v>
      </c>
      <c r="F352" s="10">
        <v>45943</v>
      </c>
      <c r="G352" s="6" t="str">
        <f>_xlfn.TEXTJOIN("|",TRUE,GameLog[[#This Row],[Pod]],TEXT(INT(GameLog[[#This Row],[Round]]),"yyyymmdd"),GameLog[[#This Row],[Date]])</f>
        <v>4|19000102|45943</v>
      </c>
      <c r="H352" s="6">
        <f>COUNTIF(GameLog[Pod ID],GameLog[[#This Row],[Pod ID]])</f>
        <v>5</v>
      </c>
      <c r="I352" s="6">
        <f>YEAR(GameLog[[#This Row],[Date]])</f>
        <v>2025</v>
      </c>
      <c r="J352" s="6">
        <f>MONTH(GameLog[[#This Row],[Date]])</f>
        <v>10</v>
      </c>
      <c r="K352" s="6" t="str">
        <f>IF(GameLog[[#This Row],[Date]]=MAX(GameLog[Date]),"Current","Previous")</f>
        <v>Previous</v>
      </c>
      <c r="L352" s="6"/>
      <c r="M3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2" s="6" t="str">
        <f ca="1">IF(GameLog[[#This Row],[Check]]="","",COUNTIF(GameLog[[#Headers],[Check]]:GameLog[[#This Row],[Check]],"?*")-1)</f>
        <v/>
      </c>
      <c r="O352" s="6" t="str">
        <f>IFERROR(INDEX(Players[New name],MATCH(GameLog[[#This Row],[Player]],Players[Name],0)),GameLog[[#This Row],[Player]])</f>
        <v>Forrest</v>
      </c>
    </row>
    <row r="353" spans="1:15" x14ac:dyDescent="0.45">
      <c r="A353" s="6" t="s">
        <v>60</v>
      </c>
      <c r="B353" s="6" t="s">
        <v>50</v>
      </c>
      <c r="C353" s="6">
        <v>5</v>
      </c>
      <c r="D353" s="6">
        <v>4</v>
      </c>
      <c r="E353" s="6">
        <v>2</v>
      </c>
      <c r="F353" s="10">
        <v>45943</v>
      </c>
      <c r="G353" s="6" t="str">
        <f>_xlfn.TEXTJOIN("|",TRUE,GameLog[[#This Row],[Pod]],TEXT(INT(GameLog[[#This Row],[Round]]),"yyyymmdd"),GameLog[[#This Row],[Date]])</f>
        <v>4|19000102|45943</v>
      </c>
      <c r="H353" s="6">
        <f>COUNTIF(GameLog[Pod ID],GameLog[[#This Row],[Pod ID]])</f>
        <v>5</v>
      </c>
      <c r="I353" s="6">
        <f>YEAR(GameLog[[#This Row],[Date]])</f>
        <v>2025</v>
      </c>
      <c r="J353" s="6">
        <f>MONTH(GameLog[[#This Row],[Date]])</f>
        <v>10</v>
      </c>
      <c r="K353" s="6" t="str">
        <f>IF(GameLog[[#This Row],[Date]]=MAX(GameLog[Date]),"Current","Previous")</f>
        <v>Previous</v>
      </c>
      <c r="L353" s="6"/>
      <c r="M3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3" s="6" t="str">
        <f ca="1">IF(GameLog[[#This Row],[Check]]="","",COUNTIF(GameLog[[#Headers],[Check]]:GameLog[[#This Row],[Check]],"?*")-1)</f>
        <v/>
      </c>
      <c r="O353" s="6" t="str">
        <f>IFERROR(INDEX(Players[New name],MATCH(GameLog[[#This Row],[Player]],Players[Name],0)),GameLog[[#This Row],[Player]])</f>
        <v>Brendan H</v>
      </c>
    </row>
    <row r="354" spans="1:15" x14ac:dyDescent="0.45">
      <c r="A354" s="6" t="s">
        <v>52</v>
      </c>
      <c r="B354" s="6" t="s">
        <v>53</v>
      </c>
      <c r="C354" s="6">
        <v>1</v>
      </c>
      <c r="D354" s="6">
        <v>1</v>
      </c>
      <c r="E354" s="6">
        <v>1</v>
      </c>
      <c r="F354" s="10">
        <v>45950</v>
      </c>
      <c r="G354" s="6" t="str">
        <f>_xlfn.TEXTJOIN("|",TRUE,GameLog[[#This Row],[Pod]],TEXT(INT(GameLog[[#This Row],[Round]]),"yyyymmdd"),GameLog[[#This Row],[Date]])</f>
        <v>1|19000101|45950</v>
      </c>
      <c r="H354" s="6">
        <f>COUNTIF(GameLog[Pod ID],GameLog[[#This Row],[Pod ID]])</f>
        <v>5</v>
      </c>
      <c r="I354" s="6">
        <f>YEAR(GameLog[[#This Row],[Date]])</f>
        <v>2025</v>
      </c>
      <c r="J354" s="6">
        <f>MONTH(GameLog[[#This Row],[Date]])</f>
        <v>10</v>
      </c>
      <c r="K354" s="6" t="str">
        <f>IF(GameLog[[#This Row],[Date]]=MAX(GameLog[Date]),"Current","Previous")</f>
        <v>Previous</v>
      </c>
      <c r="L354" s="6"/>
      <c r="M3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4" s="6" t="str">
        <f ca="1">IF(GameLog[[#This Row],[Check]]="","",COUNTIF(GameLog[[#Headers],[Check]]:GameLog[[#This Row],[Check]],"?*")-1)</f>
        <v/>
      </c>
      <c r="O354" s="6" t="str">
        <f>IFERROR(INDEX(Players[New name],MATCH(GameLog[[#This Row],[Player]],Players[Name],0)),GameLog[[#This Row],[Player]])</f>
        <v>Unknown</v>
      </c>
    </row>
    <row r="355" spans="1:15" x14ac:dyDescent="0.45">
      <c r="A355" s="6" t="s">
        <v>49</v>
      </c>
      <c r="B355" s="6" t="s">
        <v>53</v>
      </c>
      <c r="C355" s="6">
        <v>2</v>
      </c>
      <c r="D355" s="6">
        <v>1</v>
      </c>
      <c r="E355" s="6">
        <v>1</v>
      </c>
      <c r="F355" s="10">
        <v>45950</v>
      </c>
      <c r="G355" s="6" t="str">
        <f>_xlfn.TEXTJOIN("|",TRUE,GameLog[[#This Row],[Pod]],TEXT(INT(GameLog[[#This Row],[Round]]),"yyyymmdd"),GameLog[[#This Row],[Date]])</f>
        <v>1|19000101|45950</v>
      </c>
      <c r="H355" s="6">
        <f>COUNTIF(GameLog[Pod ID],GameLog[[#This Row],[Pod ID]])</f>
        <v>5</v>
      </c>
      <c r="I355" s="6">
        <f>YEAR(GameLog[[#This Row],[Date]])</f>
        <v>2025</v>
      </c>
      <c r="J355" s="6">
        <f>MONTH(GameLog[[#This Row],[Date]])</f>
        <v>10</v>
      </c>
      <c r="K355" s="6" t="str">
        <f>IF(GameLog[[#This Row],[Date]]=MAX(GameLog[Date]),"Current","Previous")</f>
        <v>Previous</v>
      </c>
      <c r="L355" s="6"/>
      <c r="M3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5" s="6" t="str">
        <f ca="1">IF(GameLog[[#This Row],[Check]]="","",COUNTIF(GameLog[[#Headers],[Check]]:GameLog[[#This Row],[Check]],"?*")-1)</f>
        <v/>
      </c>
      <c r="O355" s="6" t="str">
        <f>IFERROR(INDEX(Players[New name],MATCH(GameLog[[#This Row],[Player]],Players[Name],0)),GameLog[[#This Row],[Player]])</f>
        <v>Brett R</v>
      </c>
    </row>
    <row r="356" spans="1:15" x14ac:dyDescent="0.45">
      <c r="A356" s="6" t="s">
        <v>70</v>
      </c>
      <c r="B356" s="6" t="s">
        <v>50</v>
      </c>
      <c r="C356" s="6">
        <v>3</v>
      </c>
      <c r="D356" s="6">
        <v>1</v>
      </c>
      <c r="E356" s="6">
        <v>1</v>
      </c>
      <c r="F356" s="10">
        <v>45950</v>
      </c>
      <c r="G356" s="6" t="str">
        <f>_xlfn.TEXTJOIN("|",TRUE,GameLog[[#This Row],[Pod]],TEXT(INT(GameLog[[#This Row],[Round]]),"yyyymmdd"),GameLog[[#This Row],[Date]])</f>
        <v>1|19000101|45950</v>
      </c>
      <c r="H356" s="6">
        <f>COUNTIF(GameLog[Pod ID],GameLog[[#This Row],[Pod ID]])</f>
        <v>5</v>
      </c>
      <c r="I356" s="6">
        <f>YEAR(GameLog[[#This Row],[Date]])</f>
        <v>2025</v>
      </c>
      <c r="J356" s="6">
        <f>MONTH(GameLog[[#This Row],[Date]])</f>
        <v>10</v>
      </c>
      <c r="K356" s="6" t="str">
        <f>IF(GameLog[[#This Row],[Date]]=MAX(GameLog[Date]),"Current","Previous")</f>
        <v>Previous</v>
      </c>
      <c r="L356" s="6"/>
      <c r="M3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6" s="6" t="str">
        <f ca="1">IF(GameLog[[#This Row],[Check]]="","",COUNTIF(GameLog[[#Headers],[Check]]:GameLog[[#This Row],[Check]],"?*")-1)</f>
        <v/>
      </c>
      <c r="O356" s="6" t="str">
        <f>IFERROR(INDEX(Players[New name],MATCH(GameLog[[#This Row],[Player]],Players[Name],0)),GameLog[[#This Row],[Player]])</f>
        <v>Brad F</v>
      </c>
    </row>
    <row r="357" spans="1:15" x14ac:dyDescent="0.45">
      <c r="A357" s="6" t="s">
        <v>55</v>
      </c>
      <c r="B357" s="6" t="s">
        <v>53</v>
      </c>
      <c r="C357" s="6">
        <v>4</v>
      </c>
      <c r="D357" s="6">
        <v>1</v>
      </c>
      <c r="E357" s="6">
        <v>1</v>
      </c>
      <c r="F357" s="10">
        <v>45950</v>
      </c>
      <c r="G357" s="6" t="str">
        <f>_xlfn.TEXTJOIN("|",TRUE,GameLog[[#This Row],[Pod]],TEXT(INT(GameLog[[#This Row],[Round]]),"yyyymmdd"),GameLog[[#This Row],[Date]])</f>
        <v>1|19000101|45950</v>
      </c>
      <c r="H357" s="6">
        <f>COUNTIF(GameLog[Pod ID],GameLog[[#This Row],[Pod ID]])</f>
        <v>5</v>
      </c>
      <c r="I357" s="6">
        <f>YEAR(GameLog[[#This Row],[Date]])</f>
        <v>2025</v>
      </c>
      <c r="J357" s="6">
        <f>MONTH(GameLog[[#This Row],[Date]])</f>
        <v>10</v>
      </c>
      <c r="K357" s="6" t="str">
        <f>IF(GameLog[[#This Row],[Date]]=MAX(GameLog[Date]),"Current","Previous")</f>
        <v>Previous</v>
      </c>
      <c r="L357" s="6"/>
      <c r="M3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7" s="6" t="str">
        <f ca="1">IF(GameLog[[#This Row],[Check]]="","",COUNTIF(GameLog[[#Headers],[Check]]:GameLog[[#This Row],[Check]],"?*")-1)</f>
        <v/>
      </c>
      <c r="O357" s="6" t="str">
        <f>IFERROR(INDEX(Players[New name],MATCH(GameLog[[#This Row],[Player]],Players[Name],0)),GameLog[[#This Row],[Player]])</f>
        <v>Bryce C</v>
      </c>
    </row>
    <row r="358" spans="1:15" x14ac:dyDescent="0.45">
      <c r="A358" s="6" t="s">
        <v>57</v>
      </c>
      <c r="B358" s="6" t="s">
        <v>53</v>
      </c>
      <c r="C358" s="6">
        <v>5</v>
      </c>
      <c r="D358" s="6">
        <v>1</v>
      </c>
      <c r="E358" s="6">
        <v>1</v>
      </c>
      <c r="F358" s="10">
        <v>45950</v>
      </c>
      <c r="G358" s="6" t="str">
        <f>_xlfn.TEXTJOIN("|",TRUE,GameLog[[#This Row],[Pod]],TEXT(INT(GameLog[[#This Row],[Round]]),"yyyymmdd"),GameLog[[#This Row],[Date]])</f>
        <v>1|19000101|45950</v>
      </c>
      <c r="H358" s="6">
        <f>COUNTIF(GameLog[Pod ID],GameLog[[#This Row],[Pod ID]])</f>
        <v>5</v>
      </c>
      <c r="I358" s="6">
        <f>YEAR(GameLog[[#This Row],[Date]])</f>
        <v>2025</v>
      </c>
      <c r="J358" s="6">
        <f>MONTH(GameLog[[#This Row],[Date]])</f>
        <v>10</v>
      </c>
      <c r="K358" s="6" t="str">
        <f>IF(GameLog[[#This Row],[Date]]=MAX(GameLog[Date]),"Current","Previous")</f>
        <v>Previous</v>
      </c>
      <c r="L358" s="6"/>
      <c r="M3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8" s="6" t="str">
        <f ca="1">IF(GameLog[[#This Row],[Check]]="","",COUNTIF(GameLog[[#Headers],[Check]]:GameLog[[#This Row],[Check]],"?*")-1)</f>
        <v/>
      </c>
      <c r="O358" s="6" t="str">
        <f>IFERROR(INDEX(Players[New name],MATCH(GameLog[[#This Row],[Player]],Players[Name],0)),GameLog[[#This Row],[Player]])</f>
        <v>AJ W</v>
      </c>
    </row>
    <row r="359" spans="1:15" x14ac:dyDescent="0.45">
      <c r="A359" s="6" t="s">
        <v>87</v>
      </c>
      <c r="B359" s="6" t="s">
        <v>53</v>
      </c>
      <c r="C359" s="6">
        <v>1</v>
      </c>
      <c r="D359" s="6">
        <v>2</v>
      </c>
      <c r="E359" s="6">
        <v>1</v>
      </c>
      <c r="F359" s="10">
        <v>45950</v>
      </c>
      <c r="G359" s="6" t="str">
        <f>_xlfn.TEXTJOIN("|",TRUE,GameLog[[#This Row],[Pod]],TEXT(INT(GameLog[[#This Row],[Round]]),"yyyymmdd"),GameLog[[#This Row],[Date]])</f>
        <v>2|19000101|45950</v>
      </c>
      <c r="H359" s="6">
        <f>COUNTIF(GameLog[Pod ID],GameLog[[#This Row],[Pod ID]])</f>
        <v>4</v>
      </c>
      <c r="I359" s="6">
        <f>YEAR(GameLog[[#This Row],[Date]])</f>
        <v>2025</v>
      </c>
      <c r="J359" s="6">
        <f>MONTH(GameLog[[#This Row],[Date]])</f>
        <v>10</v>
      </c>
      <c r="K359" s="6" t="str">
        <f>IF(GameLog[[#This Row],[Date]]=MAX(GameLog[Date]),"Current","Previous")</f>
        <v>Previous</v>
      </c>
      <c r="L359" s="6"/>
      <c r="M3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59" s="6" t="str">
        <f ca="1">IF(GameLog[[#This Row],[Check]]="","",COUNTIF(GameLog[[#Headers],[Check]]:GameLog[[#This Row],[Check]],"?*")-1)</f>
        <v/>
      </c>
      <c r="O359" s="6" t="str">
        <f>IFERROR(INDEX(Players[New name],MATCH(GameLog[[#This Row],[Player]],Players[Name],0)),GameLog[[#This Row],[Player]])</f>
        <v>Manny R</v>
      </c>
    </row>
    <row r="360" spans="1:15" x14ac:dyDescent="0.45">
      <c r="A360" s="6" t="s">
        <v>61</v>
      </c>
      <c r="B360" s="6" t="s">
        <v>53</v>
      </c>
      <c r="C360" s="6">
        <v>2</v>
      </c>
      <c r="D360" s="6">
        <v>2</v>
      </c>
      <c r="E360" s="6">
        <v>1</v>
      </c>
      <c r="F360" s="10">
        <v>45950</v>
      </c>
      <c r="G360" s="6" t="str">
        <f>_xlfn.TEXTJOIN("|",TRUE,GameLog[[#This Row],[Pod]],TEXT(INT(GameLog[[#This Row],[Round]]),"yyyymmdd"),GameLog[[#This Row],[Date]])</f>
        <v>2|19000101|45950</v>
      </c>
      <c r="H360" s="6">
        <f>COUNTIF(GameLog[Pod ID],GameLog[[#This Row],[Pod ID]])</f>
        <v>4</v>
      </c>
      <c r="I360" s="6">
        <f>YEAR(GameLog[[#This Row],[Date]])</f>
        <v>2025</v>
      </c>
      <c r="J360" s="6">
        <f>MONTH(GameLog[[#This Row],[Date]])</f>
        <v>10</v>
      </c>
      <c r="K360" s="6" t="str">
        <f>IF(GameLog[[#This Row],[Date]]=MAX(GameLog[Date]),"Current","Previous")</f>
        <v>Previous</v>
      </c>
      <c r="L360" s="6"/>
      <c r="M3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0" s="6" t="str">
        <f ca="1">IF(GameLog[[#This Row],[Check]]="","",COUNTIF(GameLog[[#Headers],[Check]]:GameLog[[#This Row],[Check]],"?*")-1)</f>
        <v/>
      </c>
      <c r="O360" s="6" t="str">
        <f>IFERROR(INDEX(Players[New name],MATCH(GameLog[[#This Row],[Player]],Players[Name],0)),GameLog[[#This Row],[Player]])</f>
        <v>Trevor</v>
      </c>
    </row>
    <row r="361" spans="1:15" x14ac:dyDescent="0.45">
      <c r="A361" s="6" t="s">
        <v>68</v>
      </c>
      <c r="B361" s="6" t="s">
        <v>50</v>
      </c>
      <c r="C361" s="6">
        <v>3</v>
      </c>
      <c r="D361" s="6">
        <v>2</v>
      </c>
      <c r="E361" s="6">
        <v>1</v>
      </c>
      <c r="F361" s="10">
        <v>45950</v>
      </c>
      <c r="G361" s="6" t="str">
        <f>_xlfn.TEXTJOIN("|",TRUE,GameLog[[#This Row],[Pod]],TEXT(INT(GameLog[[#This Row],[Round]]),"yyyymmdd"),GameLog[[#This Row],[Date]])</f>
        <v>2|19000101|45950</v>
      </c>
      <c r="H361" s="6">
        <f>COUNTIF(GameLog[Pod ID],GameLog[[#This Row],[Pod ID]])</f>
        <v>4</v>
      </c>
      <c r="I361" s="6">
        <f>YEAR(GameLog[[#This Row],[Date]])</f>
        <v>2025</v>
      </c>
      <c r="J361" s="6">
        <f>MONTH(GameLog[[#This Row],[Date]])</f>
        <v>10</v>
      </c>
      <c r="K361" s="6" t="str">
        <f>IF(GameLog[[#This Row],[Date]]=MAX(GameLog[Date]),"Current","Previous")</f>
        <v>Previous</v>
      </c>
      <c r="L361" s="6"/>
      <c r="M3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1" s="6" t="str">
        <f ca="1">IF(GameLog[[#This Row],[Check]]="","",COUNTIF(GameLog[[#Headers],[Check]]:GameLog[[#This Row],[Check]],"?*")-1)</f>
        <v/>
      </c>
      <c r="O361" s="6" t="str">
        <f>IFERROR(INDEX(Players[New name],MATCH(GameLog[[#This Row],[Player]],Players[Name],0)),GameLog[[#This Row],[Player]])</f>
        <v>Edwin M</v>
      </c>
    </row>
    <row r="362" spans="1:15" x14ac:dyDescent="0.45">
      <c r="A362" s="6" t="s">
        <v>59</v>
      </c>
      <c r="B362" s="6" t="s">
        <v>53</v>
      </c>
      <c r="C362" s="6">
        <v>4</v>
      </c>
      <c r="D362" s="6">
        <v>2</v>
      </c>
      <c r="E362" s="6">
        <v>1</v>
      </c>
      <c r="F362" s="10">
        <v>45950</v>
      </c>
      <c r="G362" s="6" t="str">
        <f>_xlfn.TEXTJOIN("|",TRUE,GameLog[[#This Row],[Pod]],TEXT(INT(GameLog[[#This Row],[Round]]),"yyyymmdd"),GameLog[[#This Row],[Date]])</f>
        <v>2|19000101|45950</v>
      </c>
      <c r="H362" s="6">
        <f>COUNTIF(GameLog[Pod ID],GameLog[[#This Row],[Pod ID]])</f>
        <v>4</v>
      </c>
      <c r="I362" s="6">
        <f>YEAR(GameLog[[#This Row],[Date]])</f>
        <v>2025</v>
      </c>
      <c r="J362" s="6">
        <f>MONTH(GameLog[[#This Row],[Date]])</f>
        <v>10</v>
      </c>
      <c r="K362" s="6" t="str">
        <f>IF(GameLog[[#This Row],[Date]]=MAX(GameLog[Date]),"Current","Previous")</f>
        <v>Previous</v>
      </c>
      <c r="L362" s="6"/>
      <c r="M3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2" s="6" t="str">
        <f ca="1">IF(GameLog[[#This Row],[Check]]="","",COUNTIF(GameLog[[#Headers],[Check]]:GameLog[[#This Row],[Check]],"?*")-1)</f>
        <v/>
      </c>
      <c r="O362" s="6" t="str">
        <f>IFERROR(INDEX(Players[New name],MATCH(GameLog[[#This Row],[Player]],Players[Name],0)),GameLog[[#This Row],[Player]])</f>
        <v>Zack B</v>
      </c>
    </row>
    <row r="363" spans="1:15" x14ac:dyDescent="0.45">
      <c r="A363" s="6" t="s">
        <v>76</v>
      </c>
      <c r="B363" s="6" t="s">
        <v>53</v>
      </c>
      <c r="C363" s="6">
        <v>1</v>
      </c>
      <c r="D363" s="6">
        <v>3</v>
      </c>
      <c r="E363" s="6">
        <v>1</v>
      </c>
      <c r="F363" s="10">
        <v>45950</v>
      </c>
      <c r="G363" s="6" t="str">
        <f>_xlfn.TEXTJOIN("|",TRUE,GameLog[[#This Row],[Pod]],TEXT(INT(GameLog[[#This Row],[Round]]),"yyyymmdd"),GameLog[[#This Row],[Date]])</f>
        <v>3|19000101|45950</v>
      </c>
      <c r="H363" s="6">
        <f>COUNTIF(GameLog[Pod ID],GameLog[[#This Row],[Pod ID]])</f>
        <v>4</v>
      </c>
      <c r="I363" s="6">
        <f>YEAR(GameLog[[#This Row],[Date]])</f>
        <v>2025</v>
      </c>
      <c r="J363" s="6">
        <f>MONTH(GameLog[[#This Row],[Date]])</f>
        <v>10</v>
      </c>
      <c r="K363" s="6" t="str">
        <f>IF(GameLog[[#This Row],[Date]]=MAX(GameLog[Date]),"Current","Previous")</f>
        <v>Previous</v>
      </c>
      <c r="L363" s="6"/>
      <c r="M3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3" s="6" t="str">
        <f ca="1">IF(GameLog[[#This Row],[Check]]="","",COUNTIF(GameLog[[#Headers],[Check]]:GameLog[[#This Row],[Check]],"?*")-1)</f>
        <v/>
      </c>
      <c r="O363" s="6" t="str">
        <f>IFERROR(INDEX(Players[New name],MATCH(GameLog[[#This Row],[Player]],Players[Name],0)),GameLog[[#This Row],[Player]])</f>
        <v>Jon M</v>
      </c>
    </row>
    <row r="364" spans="1:15" x14ac:dyDescent="0.45">
      <c r="A364" s="6" t="s">
        <v>84</v>
      </c>
      <c r="B364" s="6" t="s">
        <v>50</v>
      </c>
      <c r="C364" s="6">
        <v>2</v>
      </c>
      <c r="D364" s="6">
        <v>3</v>
      </c>
      <c r="E364" s="6">
        <v>1</v>
      </c>
      <c r="F364" s="10">
        <v>45950</v>
      </c>
      <c r="G364" s="6" t="str">
        <f>_xlfn.TEXTJOIN("|",TRUE,GameLog[[#This Row],[Pod]],TEXT(INT(GameLog[[#This Row],[Round]]),"yyyymmdd"),GameLog[[#This Row],[Date]])</f>
        <v>3|19000101|45950</v>
      </c>
      <c r="H364" s="6">
        <f>COUNTIF(GameLog[Pod ID],GameLog[[#This Row],[Pod ID]])</f>
        <v>4</v>
      </c>
      <c r="I364" s="6">
        <f>YEAR(GameLog[[#This Row],[Date]])</f>
        <v>2025</v>
      </c>
      <c r="J364" s="6">
        <f>MONTH(GameLog[[#This Row],[Date]])</f>
        <v>10</v>
      </c>
      <c r="K364" s="6" t="str">
        <f>IF(GameLog[[#This Row],[Date]]=MAX(GameLog[Date]),"Current","Previous")</f>
        <v>Previous</v>
      </c>
      <c r="L364" s="6"/>
      <c r="M3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4" s="6" t="str">
        <f ca="1">IF(GameLog[[#This Row],[Check]]="","",COUNTIF(GameLog[[#Headers],[Check]]:GameLog[[#This Row],[Check]],"?*")-1)</f>
        <v/>
      </c>
      <c r="O364" s="6" t="str">
        <f>IFERROR(INDEX(Players[New name],MATCH(GameLog[[#This Row],[Player]],Players[Name],0)),GameLog[[#This Row],[Player]])</f>
        <v>Zach D</v>
      </c>
    </row>
    <row r="365" spans="1:15" x14ac:dyDescent="0.45">
      <c r="A365" s="6" t="s">
        <v>88</v>
      </c>
      <c r="B365" s="6" t="s">
        <v>53</v>
      </c>
      <c r="C365" s="6">
        <v>3</v>
      </c>
      <c r="D365" s="6">
        <v>3</v>
      </c>
      <c r="E365" s="6">
        <v>1</v>
      </c>
      <c r="F365" s="10">
        <v>45950</v>
      </c>
      <c r="G365" s="6" t="str">
        <f>_xlfn.TEXTJOIN("|",TRUE,GameLog[[#This Row],[Pod]],TEXT(INT(GameLog[[#This Row],[Round]]),"yyyymmdd"),GameLog[[#This Row],[Date]])</f>
        <v>3|19000101|45950</v>
      </c>
      <c r="H365" s="6">
        <f>COUNTIF(GameLog[Pod ID],GameLog[[#This Row],[Pod ID]])</f>
        <v>4</v>
      </c>
      <c r="I365" s="6">
        <f>YEAR(GameLog[[#This Row],[Date]])</f>
        <v>2025</v>
      </c>
      <c r="J365" s="6">
        <f>MONTH(GameLog[[#This Row],[Date]])</f>
        <v>10</v>
      </c>
      <c r="K365" s="6" t="str">
        <f>IF(GameLog[[#This Row],[Date]]=MAX(GameLog[Date]),"Current","Previous")</f>
        <v>Previous</v>
      </c>
      <c r="L365" s="6"/>
      <c r="M3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5" s="6" t="str">
        <f ca="1">IF(GameLog[[#This Row],[Check]]="","",COUNTIF(GameLog[[#Headers],[Check]]:GameLog[[#This Row],[Check]],"?*")-1)</f>
        <v/>
      </c>
      <c r="O365" s="6" t="str">
        <f>IFERROR(INDEX(Players[New name],MATCH(GameLog[[#This Row],[Player]],Players[Name],0)),GameLog[[#This Row],[Player]])</f>
        <v>Andrew R</v>
      </c>
    </row>
    <row r="366" spans="1:15" x14ac:dyDescent="0.45">
      <c r="A366" s="6" t="s">
        <v>65</v>
      </c>
      <c r="B366" s="6" t="s">
        <v>53</v>
      </c>
      <c r="C366" s="6">
        <v>4</v>
      </c>
      <c r="D366" s="6">
        <v>3</v>
      </c>
      <c r="E366" s="6">
        <v>1</v>
      </c>
      <c r="F366" s="10">
        <v>45950</v>
      </c>
      <c r="G366" s="6" t="str">
        <f>_xlfn.TEXTJOIN("|",TRUE,GameLog[[#This Row],[Pod]],TEXT(INT(GameLog[[#This Row],[Round]]),"yyyymmdd"),GameLog[[#This Row],[Date]])</f>
        <v>3|19000101|45950</v>
      </c>
      <c r="H366" s="6">
        <f>COUNTIF(GameLog[Pod ID],GameLog[[#This Row],[Pod ID]])</f>
        <v>4</v>
      </c>
      <c r="I366" s="6">
        <f>YEAR(GameLog[[#This Row],[Date]])</f>
        <v>2025</v>
      </c>
      <c r="J366" s="6">
        <f>MONTH(GameLog[[#This Row],[Date]])</f>
        <v>10</v>
      </c>
      <c r="K366" s="6" t="str">
        <f>IF(GameLog[[#This Row],[Date]]=MAX(GameLog[Date]),"Current","Previous")</f>
        <v>Previous</v>
      </c>
      <c r="L366" s="6"/>
      <c r="M3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6" s="6" t="str">
        <f ca="1">IF(GameLog[[#This Row],[Check]]="","",COUNTIF(GameLog[[#Headers],[Check]]:GameLog[[#This Row],[Check]],"?*")-1)</f>
        <v/>
      </c>
      <c r="O366" s="6" t="str">
        <f>IFERROR(INDEX(Players[New name],MATCH(GameLog[[#This Row],[Player]],Players[Name],0)),GameLog[[#This Row],[Player]])</f>
        <v>Mitch</v>
      </c>
    </row>
    <row r="367" spans="1:15" x14ac:dyDescent="0.45">
      <c r="A367" s="6" t="s">
        <v>85</v>
      </c>
      <c r="B367" s="6" t="s">
        <v>53</v>
      </c>
      <c r="C367" s="6">
        <v>1</v>
      </c>
      <c r="D367" s="6">
        <v>4</v>
      </c>
      <c r="E367" s="6">
        <v>1</v>
      </c>
      <c r="F367" s="10">
        <v>45950</v>
      </c>
      <c r="G367" s="6" t="str">
        <f>_xlfn.TEXTJOIN("|",TRUE,GameLog[[#This Row],[Pod]],TEXT(INT(GameLog[[#This Row],[Round]]),"yyyymmdd"),GameLog[[#This Row],[Date]])</f>
        <v>4|19000101|45950</v>
      </c>
      <c r="H367" s="6">
        <f>COUNTIF(GameLog[Pod ID],GameLog[[#This Row],[Pod ID]])</f>
        <v>4</v>
      </c>
      <c r="I367" s="6">
        <f>YEAR(GameLog[[#This Row],[Date]])</f>
        <v>2025</v>
      </c>
      <c r="J367" s="6">
        <f>MONTH(GameLog[[#This Row],[Date]])</f>
        <v>10</v>
      </c>
      <c r="K367" s="6" t="str">
        <f>IF(GameLog[[#This Row],[Date]]=MAX(GameLog[Date]),"Current","Previous")</f>
        <v>Previous</v>
      </c>
      <c r="L367" s="6"/>
      <c r="M3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7" s="6" t="str">
        <f ca="1">IF(GameLog[[#This Row],[Check]]="","",COUNTIF(GameLog[[#Headers],[Check]]:GameLog[[#This Row],[Check]],"?*")-1)</f>
        <v/>
      </c>
      <c r="O367" s="6" t="str">
        <f>IFERROR(INDEX(Players[New name],MATCH(GameLog[[#This Row],[Player]],Players[Name],0)),GameLog[[#This Row],[Player]])</f>
        <v>Logan</v>
      </c>
    </row>
    <row r="368" spans="1:15" x14ac:dyDescent="0.45">
      <c r="A368" s="6" t="s">
        <v>71</v>
      </c>
      <c r="B368" s="6" t="s">
        <v>50</v>
      </c>
      <c r="C368" s="6">
        <v>2</v>
      </c>
      <c r="D368" s="6">
        <v>4</v>
      </c>
      <c r="E368" s="6">
        <v>1</v>
      </c>
      <c r="F368" s="10">
        <v>45950</v>
      </c>
      <c r="G368" s="6" t="str">
        <f>_xlfn.TEXTJOIN("|",TRUE,GameLog[[#This Row],[Pod]],TEXT(INT(GameLog[[#This Row],[Round]]),"yyyymmdd"),GameLog[[#This Row],[Date]])</f>
        <v>4|19000101|45950</v>
      </c>
      <c r="H368" s="6">
        <f>COUNTIF(GameLog[Pod ID],GameLog[[#This Row],[Pod ID]])</f>
        <v>4</v>
      </c>
      <c r="I368" s="6">
        <f>YEAR(GameLog[[#This Row],[Date]])</f>
        <v>2025</v>
      </c>
      <c r="J368" s="6">
        <f>MONTH(GameLog[[#This Row],[Date]])</f>
        <v>10</v>
      </c>
      <c r="K368" s="6" t="str">
        <f>IF(GameLog[[#This Row],[Date]]=MAX(GameLog[Date]),"Current","Previous")</f>
        <v>Previous</v>
      </c>
      <c r="L368" s="6"/>
      <c r="M3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8" s="6" t="str">
        <f ca="1">IF(GameLog[[#This Row],[Check]]="","",COUNTIF(GameLog[[#Headers],[Check]]:GameLog[[#This Row],[Check]],"?*")-1)</f>
        <v/>
      </c>
      <c r="O368" s="6" t="str">
        <f>IFERROR(INDEX(Players[New name],MATCH(GameLog[[#This Row],[Player]],Players[Name],0)),GameLog[[#This Row],[Player]])</f>
        <v>Rodney Y</v>
      </c>
    </row>
    <row r="369" spans="1:15" x14ac:dyDescent="0.45">
      <c r="A369" s="6" t="s">
        <v>81</v>
      </c>
      <c r="B369" s="6" t="s">
        <v>53</v>
      </c>
      <c r="C369" s="6">
        <v>3</v>
      </c>
      <c r="D369" s="6">
        <v>4</v>
      </c>
      <c r="E369" s="6">
        <v>1</v>
      </c>
      <c r="F369" s="10">
        <v>45950</v>
      </c>
      <c r="G369" s="6" t="str">
        <f>_xlfn.TEXTJOIN("|",TRUE,GameLog[[#This Row],[Pod]],TEXT(INT(GameLog[[#This Row],[Round]]),"yyyymmdd"),GameLog[[#This Row],[Date]])</f>
        <v>4|19000101|45950</v>
      </c>
      <c r="H369" s="6">
        <f>COUNTIF(GameLog[Pod ID],GameLog[[#This Row],[Pod ID]])</f>
        <v>4</v>
      </c>
      <c r="I369" s="6">
        <f>YEAR(GameLog[[#This Row],[Date]])</f>
        <v>2025</v>
      </c>
      <c r="J369" s="6">
        <f>MONTH(GameLog[[#This Row],[Date]])</f>
        <v>10</v>
      </c>
      <c r="K369" s="6" t="str">
        <f>IF(GameLog[[#This Row],[Date]]=MAX(GameLog[Date]),"Current","Previous")</f>
        <v>Previous</v>
      </c>
      <c r="L369" s="6"/>
      <c r="M3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69" s="6" t="str">
        <f ca="1">IF(GameLog[[#This Row],[Check]]="","",COUNTIF(GameLog[[#Headers],[Check]]:GameLog[[#This Row],[Check]],"?*")-1)</f>
        <v/>
      </c>
      <c r="O369" s="6" t="str">
        <f>IFERROR(INDEX(Players[New name],MATCH(GameLog[[#This Row],[Player]],Players[Name],0)),GameLog[[#This Row],[Player]])</f>
        <v>Forrest</v>
      </c>
    </row>
    <row r="370" spans="1:15" x14ac:dyDescent="0.45">
      <c r="A370" s="6" t="s">
        <v>60</v>
      </c>
      <c r="B370" s="6" t="s">
        <v>53</v>
      </c>
      <c r="C370" s="6">
        <v>4</v>
      </c>
      <c r="D370" s="6">
        <v>4</v>
      </c>
      <c r="E370" s="6">
        <v>1</v>
      </c>
      <c r="F370" s="10">
        <v>45950</v>
      </c>
      <c r="G370" s="6" t="str">
        <f>_xlfn.TEXTJOIN("|",TRUE,GameLog[[#This Row],[Pod]],TEXT(INT(GameLog[[#This Row],[Round]]),"yyyymmdd"),GameLog[[#This Row],[Date]])</f>
        <v>4|19000101|45950</v>
      </c>
      <c r="H370" s="6">
        <f>COUNTIF(GameLog[Pod ID],GameLog[[#This Row],[Pod ID]])</f>
        <v>4</v>
      </c>
      <c r="I370" s="6">
        <f>YEAR(GameLog[[#This Row],[Date]])</f>
        <v>2025</v>
      </c>
      <c r="J370" s="6">
        <f>MONTH(GameLog[[#This Row],[Date]])</f>
        <v>10</v>
      </c>
      <c r="K370" s="6" t="str">
        <f>IF(GameLog[[#This Row],[Date]]=MAX(GameLog[Date]),"Current","Previous")</f>
        <v>Previous</v>
      </c>
      <c r="L370" s="6"/>
      <c r="M3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0" s="6" t="str">
        <f ca="1">IF(GameLog[[#This Row],[Check]]="","",COUNTIF(GameLog[[#Headers],[Check]]:GameLog[[#This Row],[Check]],"?*")-1)</f>
        <v/>
      </c>
      <c r="O370" s="6" t="str">
        <f>IFERROR(INDEX(Players[New name],MATCH(GameLog[[#This Row],[Player]],Players[Name],0)),GameLog[[#This Row],[Player]])</f>
        <v>Brendan H</v>
      </c>
    </row>
    <row r="371" spans="1:15" x14ac:dyDescent="0.45">
      <c r="A371" s="6" t="s">
        <v>68</v>
      </c>
      <c r="B371" s="6" t="s">
        <v>53</v>
      </c>
      <c r="C371" s="6">
        <v>1</v>
      </c>
      <c r="D371" s="6">
        <v>1</v>
      </c>
      <c r="E371" s="6">
        <v>2</v>
      </c>
      <c r="F371" s="10">
        <v>45950</v>
      </c>
      <c r="G371" s="6" t="str">
        <f>_xlfn.TEXTJOIN("|",TRUE,GameLog[[#This Row],[Pod]],TEXT(INT(GameLog[[#This Row],[Round]]),"yyyymmdd"),GameLog[[#This Row],[Date]])</f>
        <v>1|19000102|45950</v>
      </c>
      <c r="H371" s="6">
        <f>COUNTIF(GameLog[Pod ID],GameLog[[#This Row],[Pod ID]])</f>
        <v>4</v>
      </c>
      <c r="I371" s="6">
        <f>YEAR(GameLog[[#This Row],[Date]])</f>
        <v>2025</v>
      </c>
      <c r="J371" s="6">
        <f>MONTH(GameLog[[#This Row],[Date]])</f>
        <v>10</v>
      </c>
      <c r="K371" s="6" t="str">
        <f>IF(GameLog[[#This Row],[Date]]=MAX(GameLog[Date]),"Current","Previous")</f>
        <v>Previous</v>
      </c>
      <c r="L371" s="6"/>
      <c r="M3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1" s="6" t="str">
        <f ca="1">IF(GameLog[[#This Row],[Check]]="","",COUNTIF(GameLog[[#Headers],[Check]]:GameLog[[#This Row],[Check]],"?*")-1)</f>
        <v/>
      </c>
      <c r="O371" s="6" t="str">
        <f>IFERROR(INDEX(Players[New name],MATCH(GameLog[[#This Row],[Player]],Players[Name],0)),GameLog[[#This Row],[Player]])</f>
        <v>Edwin M</v>
      </c>
    </row>
    <row r="372" spans="1:15" x14ac:dyDescent="0.45">
      <c r="A372" s="6" t="s">
        <v>84</v>
      </c>
      <c r="B372" s="6" t="s">
        <v>53</v>
      </c>
      <c r="C372" s="6">
        <v>2</v>
      </c>
      <c r="D372" s="6">
        <v>1</v>
      </c>
      <c r="E372" s="6">
        <v>2</v>
      </c>
      <c r="F372" s="10">
        <v>45950</v>
      </c>
      <c r="G372" s="6" t="str">
        <f>_xlfn.TEXTJOIN("|",TRUE,GameLog[[#This Row],[Pod]],TEXT(INT(GameLog[[#This Row],[Round]]),"yyyymmdd"),GameLog[[#This Row],[Date]])</f>
        <v>1|19000102|45950</v>
      </c>
      <c r="H372" s="6">
        <f>COUNTIF(GameLog[Pod ID],GameLog[[#This Row],[Pod ID]])</f>
        <v>4</v>
      </c>
      <c r="I372" s="6">
        <f>YEAR(GameLog[[#This Row],[Date]])</f>
        <v>2025</v>
      </c>
      <c r="J372" s="6">
        <f>MONTH(GameLog[[#This Row],[Date]])</f>
        <v>10</v>
      </c>
      <c r="K372" s="6" t="str">
        <f>IF(GameLog[[#This Row],[Date]]=MAX(GameLog[Date]),"Current","Previous")</f>
        <v>Previous</v>
      </c>
      <c r="L372" s="6"/>
      <c r="M3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2" s="6" t="str">
        <f ca="1">IF(GameLog[[#This Row],[Check]]="","",COUNTIF(GameLog[[#Headers],[Check]]:GameLog[[#This Row],[Check]],"?*")-1)</f>
        <v/>
      </c>
      <c r="O372" s="6" t="str">
        <f>IFERROR(INDEX(Players[New name],MATCH(GameLog[[#This Row],[Player]],Players[Name],0)),GameLog[[#This Row],[Player]])</f>
        <v>Zach D</v>
      </c>
    </row>
    <row r="373" spans="1:15" x14ac:dyDescent="0.45">
      <c r="A373" s="6" t="s">
        <v>70</v>
      </c>
      <c r="B373" s="6" t="s">
        <v>50</v>
      </c>
      <c r="C373" s="6">
        <v>3</v>
      </c>
      <c r="D373" s="6">
        <v>1</v>
      </c>
      <c r="E373" s="6">
        <v>2</v>
      </c>
      <c r="F373" s="10">
        <v>45950</v>
      </c>
      <c r="G373" s="6" t="str">
        <f>_xlfn.TEXTJOIN("|",TRUE,GameLog[[#This Row],[Pod]],TEXT(INT(GameLog[[#This Row],[Round]]),"yyyymmdd"),GameLog[[#This Row],[Date]])</f>
        <v>1|19000102|45950</v>
      </c>
      <c r="H373" s="6">
        <f>COUNTIF(GameLog[Pod ID],GameLog[[#This Row],[Pod ID]])</f>
        <v>4</v>
      </c>
      <c r="I373" s="6">
        <f>YEAR(GameLog[[#This Row],[Date]])</f>
        <v>2025</v>
      </c>
      <c r="J373" s="6">
        <f>MONTH(GameLog[[#This Row],[Date]])</f>
        <v>10</v>
      </c>
      <c r="K373" s="6" t="str">
        <f>IF(GameLog[[#This Row],[Date]]=MAX(GameLog[Date]),"Current","Previous")</f>
        <v>Previous</v>
      </c>
      <c r="L373" s="6"/>
      <c r="M3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3" s="6" t="str">
        <f ca="1">IF(GameLog[[#This Row],[Check]]="","",COUNTIF(GameLog[[#Headers],[Check]]:GameLog[[#This Row],[Check]],"?*")-1)</f>
        <v/>
      </c>
      <c r="O373" s="6" t="str">
        <f>IFERROR(INDEX(Players[New name],MATCH(GameLog[[#This Row],[Player]],Players[Name],0)),GameLog[[#This Row],[Player]])</f>
        <v>Brad F</v>
      </c>
    </row>
    <row r="374" spans="1:15" x14ac:dyDescent="0.45">
      <c r="A374" s="6" t="s">
        <v>71</v>
      </c>
      <c r="B374" s="6" t="s">
        <v>53</v>
      </c>
      <c r="C374" s="6">
        <v>4</v>
      </c>
      <c r="D374" s="6">
        <v>1</v>
      </c>
      <c r="E374" s="6">
        <v>2</v>
      </c>
      <c r="F374" s="10">
        <v>45950</v>
      </c>
      <c r="G374" s="6" t="str">
        <f>_xlfn.TEXTJOIN("|",TRUE,GameLog[[#This Row],[Pod]],TEXT(INT(GameLog[[#This Row],[Round]]),"yyyymmdd"),GameLog[[#This Row],[Date]])</f>
        <v>1|19000102|45950</v>
      </c>
      <c r="H374" s="6">
        <f>COUNTIF(GameLog[Pod ID],GameLog[[#This Row],[Pod ID]])</f>
        <v>4</v>
      </c>
      <c r="I374" s="6">
        <f>YEAR(GameLog[[#This Row],[Date]])</f>
        <v>2025</v>
      </c>
      <c r="J374" s="6">
        <f>MONTH(GameLog[[#This Row],[Date]])</f>
        <v>10</v>
      </c>
      <c r="K374" s="6" t="str">
        <f>IF(GameLog[[#This Row],[Date]]=MAX(GameLog[Date]),"Current","Previous")</f>
        <v>Previous</v>
      </c>
      <c r="L374" s="6"/>
      <c r="M3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4" s="6" t="str">
        <f ca="1">IF(GameLog[[#This Row],[Check]]="","",COUNTIF(GameLog[[#Headers],[Check]]:GameLog[[#This Row],[Check]],"?*")-1)</f>
        <v/>
      </c>
      <c r="O374" s="6" t="str">
        <f>IFERROR(INDEX(Players[New name],MATCH(GameLog[[#This Row],[Player]],Players[Name],0)),GameLog[[#This Row],[Player]])</f>
        <v>Rodney Y</v>
      </c>
    </row>
    <row r="375" spans="1:15" x14ac:dyDescent="0.45">
      <c r="A375" s="6" t="s">
        <v>60</v>
      </c>
      <c r="B375" s="6" t="s">
        <v>53</v>
      </c>
      <c r="C375" s="6">
        <v>1</v>
      </c>
      <c r="D375" s="6">
        <v>2</v>
      </c>
      <c r="E375" s="6">
        <v>2</v>
      </c>
      <c r="F375" s="10">
        <v>45950</v>
      </c>
      <c r="G375" s="6" t="str">
        <f>_xlfn.TEXTJOIN("|",TRUE,GameLog[[#This Row],[Pod]],TEXT(INT(GameLog[[#This Row],[Round]]),"yyyymmdd"),GameLog[[#This Row],[Date]])</f>
        <v>2|19000102|45950</v>
      </c>
      <c r="H375" s="6">
        <f>COUNTIF(GameLog[Pod ID],GameLog[[#This Row],[Pod ID]])</f>
        <v>4</v>
      </c>
      <c r="I375" s="6">
        <f>YEAR(GameLog[[#This Row],[Date]])</f>
        <v>2025</v>
      </c>
      <c r="J375" s="6">
        <f>MONTH(GameLog[[#This Row],[Date]])</f>
        <v>10</v>
      </c>
      <c r="K375" s="6" t="str">
        <f>IF(GameLog[[#This Row],[Date]]=MAX(GameLog[Date]),"Current","Previous")</f>
        <v>Previous</v>
      </c>
      <c r="L375" s="6"/>
      <c r="M3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5" s="6" t="str">
        <f ca="1">IF(GameLog[[#This Row],[Check]]="","",COUNTIF(GameLog[[#Headers],[Check]]:GameLog[[#This Row],[Check]],"?*")-1)</f>
        <v/>
      </c>
      <c r="O375" s="6" t="str">
        <f>IFERROR(INDEX(Players[New name],MATCH(GameLog[[#This Row],[Player]],Players[Name],0)),GameLog[[#This Row],[Player]])</f>
        <v>Brendan H</v>
      </c>
    </row>
    <row r="376" spans="1:15" x14ac:dyDescent="0.45">
      <c r="A376" s="6" t="s">
        <v>52</v>
      </c>
      <c r="B376" s="6" t="s">
        <v>50</v>
      </c>
      <c r="C376" s="6">
        <v>2</v>
      </c>
      <c r="D376" s="6">
        <v>2</v>
      </c>
      <c r="E376" s="6">
        <v>2</v>
      </c>
      <c r="F376" s="10">
        <v>45950</v>
      </c>
      <c r="G376" s="6" t="str">
        <f>_xlfn.TEXTJOIN("|",TRUE,GameLog[[#This Row],[Pod]],TEXT(INT(GameLog[[#This Row],[Round]]),"yyyymmdd"),GameLog[[#This Row],[Date]])</f>
        <v>2|19000102|45950</v>
      </c>
      <c r="H376" s="6">
        <f>COUNTIF(GameLog[Pod ID],GameLog[[#This Row],[Pod ID]])</f>
        <v>4</v>
      </c>
      <c r="I376" s="6">
        <f>YEAR(GameLog[[#This Row],[Date]])</f>
        <v>2025</v>
      </c>
      <c r="J376" s="6">
        <f>MONTH(GameLog[[#This Row],[Date]])</f>
        <v>10</v>
      </c>
      <c r="K376" s="6" t="str">
        <f>IF(GameLog[[#This Row],[Date]]=MAX(GameLog[Date]),"Current","Previous")</f>
        <v>Previous</v>
      </c>
      <c r="L376" s="6"/>
      <c r="M3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6" s="6" t="str">
        <f ca="1">IF(GameLog[[#This Row],[Check]]="","",COUNTIF(GameLog[[#Headers],[Check]]:GameLog[[#This Row],[Check]],"?*")-1)</f>
        <v/>
      </c>
      <c r="O376" s="6" t="str">
        <f>IFERROR(INDEX(Players[New name],MATCH(GameLog[[#This Row],[Player]],Players[Name],0)),GameLog[[#This Row],[Player]])</f>
        <v>Unknown</v>
      </c>
    </row>
    <row r="377" spans="1:15" x14ac:dyDescent="0.45">
      <c r="A377" s="6" t="s">
        <v>55</v>
      </c>
      <c r="B377" s="6" t="s">
        <v>53</v>
      </c>
      <c r="C377" s="6">
        <v>3</v>
      </c>
      <c r="D377" s="6">
        <v>2</v>
      </c>
      <c r="E377" s="6">
        <v>2</v>
      </c>
      <c r="F377" s="10">
        <v>45950</v>
      </c>
      <c r="G377" s="6" t="str">
        <f>_xlfn.TEXTJOIN("|",TRUE,GameLog[[#This Row],[Pod]],TEXT(INT(GameLog[[#This Row],[Round]]),"yyyymmdd"),GameLog[[#This Row],[Date]])</f>
        <v>2|19000102|45950</v>
      </c>
      <c r="H377" s="6">
        <f>COUNTIF(GameLog[Pod ID],GameLog[[#This Row],[Pod ID]])</f>
        <v>4</v>
      </c>
      <c r="I377" s="6">
        <f>YEAR(GameLog[[#This Row],[Date]])</f>
        <v>2025</v>
      </c>
      <c r="J377" s="6">
        <f>MONTH(GameLog[[#This Row],[Date]])</f>
        <v>10</v>
      </c>
      <c r="K377" s="6" t="str">
        <f>IF(GameLog[[#This Row],[Date]]=MAX(GameLog[Date]),"Current","Previous")</f>
        <v>Previous</v>
      </c>
      <c r="L377" s="6"/>
      <c r="M3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7" s="6" t="str">
        <f ca="1">IF(GameLog[[#This Row],[Check]]="","",COUNTIF(GameLog[[#Headers],[Check]]:GameLog[[#This Row],[Check]],"?*")-1)</f>
        <v/>
      </c>
      <c r="O377" s="6" t="str">
        <f>IFERROR(INDEX(Players[New name],MATCH(GameLog[[#This Row],[Player]],Players[Name],0)),GameLog[[#This Row],[Player]])</f>
        <v>Bryce C</v>
      </c>
    </row>
    <row r="378" spans="1:15" x14ac:dyDescent="0.45">
      <c r="A378" s="6" t="s">
        <v>81</v>
      </c>
      <c r="B378" s="6" t="s">
        <v>53</v>
      </c>
      <c r="C378" s="6">
        <v>4</v>
      </c>
      <c r="D378" s="6">
        <v>2</v>
      </c>
      <c r="E378" s="6">
        <v>2</v>
      </c>
      <c r="F378" s="10">
        <v>45950</v>
      </c>
      <c r="G378" s="6" t="str">
        <f>_xlfn.TEXTJOIN("|",TRUE,GameLog[[#This Row],[Pod]],TEXT(INT(GameLog[[#This Row],[Round]]),"yyyymmdd"),GameLog[[#This Row],[Date]])</f>
        <v>2|19000102|45950</v>
      </c>
      <c r="H378" s="6">
        <f>COUNTIF(GameLog[Pod ID],GameLog[[#This Row],[Pod ID]])</f>
        <v>4</v>
      </c>
      <c r="I378" s="6">
        <f>YEAR(GameLog[[#This Row],[Date]])</f>
        <v>2025</v>
      </c>
      <c r="J378" s="6">
        <f>MONTH(GameLog[[#This Row],[Date]])</f>
        <v>10</v>
      </c>
      <c r="K378" s="6" t="str">
        <f>IF(GameLog[[#This Row],[Date]]=MAX(GameLog[Date]),"Current","Previous")</f>
        <v>Previous</v>
      </c>
      <c r="L378" s="6"/>
      <c r="M3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8" s="6" t="str">
        <f ca="1">IF(GameLog[[#This Row],[Check]]="","",COUNTIF(GameLog[[#Headers],[Check]]:GameLog[[#This Row],[Check]],"?*")-1)</f>
        <v/>
      </c>
      <c r="O378" s="6" t="str">
        <f>IFERROR(INDEX(Players[New name],MATCH(GameLog[[#This Row],[Player]],Players[Name],0)),GameLog[[#This Row],[Player]])</f>
        <v>Forrest</v>
      </c>
    </row>
    <row r="379" spans="1:15" x14ac:dyDescent="0.45">
      <c r="A379" s="6" t="s">
        <v>49</v>
      </c>
      <c r="B379" s="6" t="s">
        <v>53</v>
      </c>
      <c r="C379" s="6">
        <v>1</v>
      </c>
      <c r="D379" s="6">
        <v>3</v>
      </c>
      <c r="E379" s="6">
        <v>2</v>
      </c>
      <c r="F379" s="10">
        <v>45950</v>
      </c>
      <c r="G379" s="6" t="str">
        <f>_xlfn.TEXTJOIN("|",TRUE,GameLog[[#This Row],[Pod]],TEXT(INT(GameLog[[#This Row],[Round]]),"yyyymmdd"),GameLog[[#This Row],[Date]])</f>
        <v>3|19000102|45950</v>
      </c>
      <c r="H379" s="6">
        <f>COUNTIF(GameLog[Pod ID],GameLog[[#This Row],[Pod ID]])</f>
        <v>4</v>
      </c>
      <c r="I379" s="6">
        <f>YEAR(GameLog[[#This Row],[Date]])</f>
        <v>2025</v>
      </c>
      <c r="J379" s="6">
        <f>MONTH(GameLog[[#This Row],[Date]])</f>
        <v>10</v>
      </c>
      <c r="K379" s="6" t="str">
        <f>IF(GameLog[[#This Row],[Date]]=MAX(GameLog[Date]),"Current","Previous")</f>
        <v>Previous</v>
      </c>
      <c r="L379" s="6"/>
      <c r="M3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79" s="6" t="str">
        <f ca="1">IF(GameLog[[#This Row],[Check]]="","",COUNTIF(GameLog[[#Headers],[Check]]:GameLog[[#This Row],[Check]],"?*")-1)</f>
        <v/>
      </c>
      <c r="O379" s="6" t="str">
        <f>IFERROR(INDEX(Players[New name],MATCH(GameLog[[#This Row],[Player]],Players[Name],0)),GameLog[[#This Row],[Player]])</f>
        <v>Brett R</v>
      </c>
    </row>
    <row r="380" spans="1:15" x14ac:dyDescent="0.45">
      <c r="A380" s="6" t="s">
        <v>76</v>
      </c>
      <c r="B380" s="6" t="s">
        <v>53</v>
      </c>
      <c r="C380" s="6">
        <v>2</v>
      </c>
      <c r="D380" s="6">
        <v>3</v>
      </c>
      <c r="E380" s="6">
        <v>2</v>
      </c>
      <c r="F380" s="10">
        <v>45950</v>
      </c>
      <c r="G380" s="6" t="str">
        <f>_xlfn.TEXTJOIN("|",TRUE,GameLog[[#This Row],[Pod]],TEXT(INT(GameLog[[#This Row],[Round]]),"yyyymmdd"),GameLog[[#This Row],[Date]])</f>
        <v>3|19000102|45950</v>
      </c>
      <c r="H380" s="6">
        <f>COUNTIF(GameLog[Pod ID],GameLog[[#This Row],[Pod ID]])</f>
        <v>4</v>
      </c>
      <c r="I380" s="6">
        <f>YEAR(GameLog[[#This Row],[Date]])</f>
        <v>2025</v>
      </c>
      <c r="J380" s="6">
        <f>MONTH(GameLog[[#This Row],[Date]])</f>
        <v>10</v>
      </c>
      <c r="K380" s="6" t="str">
        <f>IF(GameLog[[#This Row],[Date]]=MAX(GameLog[Date]),"Current","Previous")</f>
        <v>Previous</v>
      </c>
      <c r="L380" s="6"/>
      <c r="M3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0" s="6" t="str">
        <f ca="1">IF(GameLog[[#This Row],[Check]]="","",COUNTIF(GameLog[[#Headers],[Check]]:GameLog[[#This Row],[Check]],"?*")-1)</f>
        <v/>
      </c>
      <c r="O380" s="6" t="str">
        <f>IFERROR(INDEX(Players[New name],MATCH(GameLog[[#This Row],[Player]],Players[Name],0)),GameLog[[#This Row],[Player]])</f>
        <v>Jon M</v>
      </c>
    </row>
    <row r="381" spans="1:15" x14ac:dyDescent="0.45">
      <c r="A381" s="6" t="s">
        <v>57</v>
      </c>
      <c r="B381" s="6" t="s">
        <v>50</v>
      </c>
      <c r="C381" s="6">
        <v>3</v>
      </c>
      <c r="D381" s="6">
        <v>3</v>
      </c>
      <c r="E381" s="6">
        <v>2</v>
      </c>
      <c r="F381" s="10">
        <v>45950</v>
      </c>
      <c r="G381" s="6" t="str">
        <f>_xlfn.TEXTJOIN("|",TRUE,GameLog[[#This Row],[Pod]],TEXT(INT(GameLog[[#This Row],[Round]]),"yyyymmdd"),GameLog[[#This Row],[Date]])</f>
        <v>3|19000102|45950</v>
      </c>
      <c r="H381" s="6">
        <f>COUNTIF(GameLog[Pod ID],GameLog[[#This Row],[Pod ID]])</f>
        <v>4</v>
      </c>
      <c r="I381" s="6">
        <f>YEAR(GameLog[[#This Row],[Date]])</f>
        <v>2025</v>
      </c>
      <c r="J381" s="6">
        <f>MONTH(GameLog[[#This Row],[Date]])</f>
        <v>10</v>
      </c>
      <c r="K381" s="6" t="str">
        <f>IF(GameLog[[#This Row],[Date]]=MAX(GameLog[Date]),"Current","Previous")</f>
        <v>Previous</v>
      </c>
      <c r="L381" s="6"/>
      <c r="M3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1" s="6" t="str">
        <f ca="1">IF(GameLog[[#This Row],[Check]]="","",COUNTIF(GameLog[[#Headers],[Check]]:GameLog[[#This Row],[Check]],"?*")-1)</f>
        <v/>
      </c>
      <c r="O381" s="6" t="str">
        <f>IFERROR(INDEX(Players[New name],MATCH(GameLog[[#This Row],[Player]],Players[Name],0)),GameLog[[#This Row],[Player]])</f>
        <v>AJ W</v>
      </c>
    </row>
    <row r="382" spans="1:15" x14ac:dyDescent="0.45">
      <c r="A382" s="6" t="s">
        <v>65</v>
      </c>
      <c r="B382" s="6" t="s">
        <v>53</v>
      </c>
      <c r="C382" s="6">
        <v>4</v>
      </c>
      <c r="D382" s="6">
        <v>3</v>
      </c>
      <c r="E382" s="6">
        <v>2</v>
      </c>
      <c r="F382" s="10">
        <v>45950</v>
      </c>
      <c r="G382" s="6" t="str">
        <f>_xlfn.TEXTJOIN("|",TRUE,GameLog[[#This Row],[Pod]],TEXT(INT(GameLog[[#This Row],[Round]]),"yyyymmdd"),GameLog[[#This Row],[Date]])</f>
        <v>3|19000102|45950</v>
      </c>
      <c r="H382" s="6">
        <f>COUNTIF(GameLog[Pod ID],GameLog[[#This Row],[Pod ID]])</f>
        <v>4</v>
      </c>
      <c r="I382" s="6">
        <f>YEAR(GameLog[[#This Row],[Date]])</f>
        <v>2025</v>
      </c>
      <c r="J382" s="6">
        <f>MONTH(GameLog[[#This Row],[Date]])</f>
        <v>10</v>
      </c>
      <c r="K382" s="6" t="str">
        <f>IF(GameLog[[#This Row],[Date]]=MAX(GameLog[Date]),"Current","Previous")</f>
        <v>Previous</v>
      </c>
      <c r="L382" s="6"/>
      <c r="M3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2" s="6" t="str">
        <f ca="1">IF(GameLog[[#This Row],[Check]]="","",COUNTIF(GameLog[[#Headers],[Check]]:GameLog[[#This Row],[Check]],"?*")-1)</f>
        <v/>
      </c>
      <c r="O382" s="6" t="str">
        <f>IFERROR(INDEX(Players[New name],MATCH(GameLog[[#This Row],[Player]],Players[Name],0)),GameLog[[#This Row],[Player]])</f>
        <v>Mitch</v>
      </c>
    </row>
    <row r="383" spans="1:15" x14ac:dyDescent="0.45">
      <c r="A383" s="6" t="s">
        <v>59</v>
      </c>
      <c r="B383" s="6" t="s">
        <v>53</v>
      </c>
      <c r="C383" s="6">
        <v>1</v>
      </c>
      <c r="D383" s="6">
        <v>4</v>
      </c>
      <c r="E383" s="6">
        <v>2</v>
      </c>
      <c r="F383" s="10">
        <v>45950</v>
      </c>
      <c r="G383" s="6" t="str">
        <f>_xlfn.TEXTJOIN("|",TRUE,GameLog[[#This Row],[Pod]],TEXT(INT(GameLog[[#This Row],[Round]]),"yyyymmdd"),GameLog[[#This Row],[Date]])</f>
        <v>4|19000102|45950</v>
      </c>
      <c r="H383" s="6">
        <f>COUNTIF(GameLog[Pod ID],GameLog[[#This Row],[Pod ID]])</f>
        <v>4</v>
      </c>
      <c r="I383" s="6">
        <f>YEAR(GameLog[[#This Row],[Date]])</f>
        <v>2025</v>
      </c>
      <c r="J383" s="6">
        <f>MONTH(GameLog[[#This Row],[Date]])</f>
        <v>10</v>
      </c>
      <c r="K383" s="6" t="str">
        <f>IF(GameLog[[#This Row],[Date]]=MAX(GameLog[Date]),"Current","Previous")</f>
        <v>Previous</v>
      </c>
      <c r="L383" s="6"/>
      <c r="M3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3" s="6" t="str">
        <f ca="1">IF(GameLog[[#This Row],[Check]]="","",COUNTIF(GameLog[[#Headers],[Check]]:GameLog[[#This Row],[Check]],"?*")-1)</f>
        <v/>
      </c>
      <c r="O383" s="6" t="str">
        <f>IFERROR(INDEX(Players[New name],MATCH(GameLog[[#This Row],[Player]],Players[Name],0)),GameLog[[#This Row],[Player]])</f>
        <v>Zack B</v>
      </c>
    </row>
    <row r="384" spans="1:15" x14ac:dyDescent="0.45">
      <c r="A384" s="6" t="s">
        <v>88</v>
      </c>
      <c r="B384" s="6" t="s">
        <v>53</v>
      </c>
      <c r="C384" s="6">
        <v>2</v>
      </c>
      <c r="D384" s="6">
        <v>4</v>
      </c>
      <c r="E384" s="6">
        <v>2</v>
      </c>
      <c r="F384" s="10">
        <v>45950</v>
      </c>
      <c r="G384" s="6" t="str">
        <f>_xlfn.TEXTJOIN("|",TRUE,GameLog[[#This Row],[Pod]],TEXT(INT(GameLog[[#This Row],[Round]]),"yyyymmdd"),GameLog[[#This Row],[Date]])</f>
        <v>4|19000102|45950</v>
      </c>
      <c r="H384" s="6">
        <f>COUNTIF(GameLog[Pod ID],GameLog[[#This Row],[Pod ID]])</f>
        <v>4</v>
      </c>
      <c r="I384" s="6">
        <f>YEAR(GameLog[[#This Row],[Date]])</f>
        <v>2025</v>
      </c>
      <c r="J384" s="6">
        <f>MONTH(GameLog[[#This Row],[Date]])</f>
        <v>10</v>
      </c>
      <c r="K384" s="6" t="str">
        <f>IF(GameLog[[#This Row],[Date]]=MAX(GameLog[Date]),"Current","Previous")</f>
        <v>Previous</v>
      </c>
      <c r="L384" s="6"/>
      <c r="M3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4" s="6" t="str">
        <f ca="1">IF(GameLog[[#This Row],[Check]]="","",COUNTIF(GameLog[[#Headers],[Check]]:GameLog[[#This Row],[Check]],"?*")-1)</f>
        <v/>
      </c>
      <c r="O384" s="6" t="str">
        <f>IFERROR(INDEX(Players[New name],MATCH(GameLog[[#This Row],[Player]],Players[Name],0)),GameLog[[#This Row],[Player]])</f>
        <v>Andrew R</v>
      </c>
    </row>
    <row r="385" spans="1:15" x14ac:dyDescent="0.45">
      <c r="A385" s="6" t="s">
        <v>61</v>
      </c>
      <c r="B385" s="6" t="s">
        <v>50</v>
      </c>
      <c r="C385" s="6">
        <v>3</v>
      </c>
      <c r="D385" s="6">
        <v>4</v>
      </c>
      <c r="E385" s="6">
        <v>2</v>
      </c>
      <c r="F385" s="10">
        <v>45950</v>
      </c>
      <c r="G385" s="6" t="str">
        <f>_xlfn.TEXTJOIN("|",TRUE,GameLog[[#This Row],[Pod]],TEXT(INT(GameLog[[#This Row],[Round]]),"yyyymmdd"),GameLog[[#This Row],[Date]])</f>
        <v>4|19000102|45950</v>
      </c>
      <c r="H385" s="6">
        <f>COUNTIF(GameLog[Pod ID],GameLog[[#This Row],[Pod ID]])</f>
        <v>4</v>
      </c>
      <c r="I385" s="6">
        <f>YEAR(GameLog[[#This Row],[Date]])</f>
        <v>2025</v>
      </c>
      <c r="J385" s="6">
        <f>MONTH(GameLog[[#This Row],[Date]])</f>
        <v>10</v>
      </c>
      <c r="K385" s="6" t="str">
        <f>IF(GameLog[[#This Row],[Date]]=MAX(GameLog[Date]),"Current","Previous")</f>
        <v>Previous</v>
      </c>
      <c r="L385" s="6"/>
      <c r="M3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5" s="6" t="str">
        <f ca="1">IF(GameLog[[#This Row],[Check]]="","",COUNTIF(GameLog[[#Headers],[Check]]:GameLog[[#This Row],[Check]],"?*")-1)</f>
        <v/>
      </c>
      <c r="O385" s="6" t="str">
        <f>IFERROR(INDEX(Players[New name],MATCH(GameLog[[#This Row],[Player]],Players[Name],0)),GameLog[[#This Row],[Player]])</f>
        <v>Trevor</v>
      </c>
    </row>
    <row r="386" spans="1:15" x14ac:dyDescent="0.45">
      <c r="A386" s="6" t="s">
        <v>87</v>
      </c>
      <c r="B386" s="6" t="s">
        <v>53</v>
      </c>
      <c r="C386" s="6">
        <v>4</v>
      </c>
      <c r="D386" s="6">
        <v>4</v>
      </c>
      <c r="E386" s="6">
        <v>2</v>
      </c>
      <c r="F386" s="10">
        <v>45950</v>
      </c>
      <c r="G386" s="6" t="str">
        <f>_xlfn.TEXTJOIN("|",TRUE,GameLog[[#This Row],[Pod]],TEXT(INT(GameLog[[#This Row],[Round]]),"yyyymmdd"),GameLog[[#This Row],[Date]])</f>
        <v>4|19000102|45950</v>
      </c>
      <c r="H386" s="6">
        <f>COUNTIF(GameLog[Pod ID],GameLog[[#This Row],[Pod ID]])</f>
        <v>4</v>
      </c>
      <c r="I386" s="6">
        <f>YEAR(GameLog[[#This Row],[Date]])</f>
        <v>2025</v>
      </c>
      <c r="J386" s="6">
        <f>MONTH(GameLog[[#This Row],[Date]])</f>
        <v>10</v>
      </c>
      <c r="K386" s="6" t="str">
        <f>IF(GameLog[[#This Row],[Date]]=MAX(GameLog[Date]),"Current","Previous")</f>
        <v>Previous</v>
      </c>
      <c r="L386" s="6"/>
      <c r="M3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6" s="6" t="str">
        <f ca="1">IF(GameLog[[#This Row],[Check]]="","",COUNTIF(GameLog[[#Headers],[Check]]:GameLog[[#This Row],[Check]],"?*")-1)</f>
        <v/>
      </c>
      <c r="O386" s="6" t="str">
        <f>IFERROR(INDEX(Players[New name],MATCH(GameLog[[#This Row],[Player]],Players[Name],0)),GameLog[[#This Row],[Player]])</f>
        <v>Manny R</v>
      </c>
    </row>
    <row r="387" spans="1:15" x14ac:dyDescent="0.45">
      <c r="A387" s="6" t="s">
        <v>73</v>
      </c>
      <c r="B387" s="6" t="s">
        <v>53</v>
      </c>
      <c r="C387" s="6">
        <v>1</v>
      </c>
      <c r="D387" s="6">
        <v>1</v>
      </c>
      <c r="E387" s="6">
        <v>1</v>
      </c>
      <c r="F387" s="10">
        <v>45957</v>
      </c>
      <c r="G387" s="6" t="str">
        <f>_xlfn.TEXTJOIN("|",TRUE,GameLog[[#This Row],[Pod]],TEXT(INT(GameLog[[#This Row],[Round]]),"yyyymmdd"),GameLog[[#This Row],[Date]])</f>
        <v>1|19000101|45957</v>
      </c>
      <c r="H387" s="6">
        <f>COUNTIF(GameLog[Pod ID],GameLog[[#This Row],[Pod ID]])</f>
        <v>5</v>
      </c>
      <c r="I387" s="6">
        <f>YEAR(GameLog[[#This Row],[Date]])</f>
        <v>2025</v>
      </c>
      <c r="J387" s="6">
        <f>MONTH(GameLog[[#This Row],[Date]])</f>
        <v>10</v>
      </c>
      <c r="K387" s="6" t="str">
        <f>IF(GameLog[[#This Row],[Date]]=MAX(GameLog[Date]),"Current","Previous")</f>
        <v>Previous</v>
      </c>
      <c r="L387" s="6"/>
      <c r="M3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7" s="6" t="str">
        <f ca="1">IF(GameLog[[#This Row],[Check]]="","",COUNTIF(GameLog[[#Headers],[Check]]:GameLog[[#This Row],[Check]],"?*")-1)</f>
        <v/>
      </c>
      <c r="O387" s="6" t="str">
        <f>IFERROR(INDEX(Players[New name],MATCH(GameLog[[#This Row],[Player]],Players[Name],0)),GameLog[[#This Row],[Player]])</f>
        <v>Brandon B</v>
      </c>
    </row>
    <row r="388" spans="1:15" x14ac:dyDescent="0.45">
      <c r="A388" s="6" t="s">
        <v>81</v>
      </c>
      <c r="B388" s="6" t="s">
        <v>53</v>
      </c>
      <c r="C388" s="6">
        <v>2</v>
      </c>
      <c r="D388" s="6">
        <v>1</v>
      </c>
      <c r="E388" s="6">
        <v>1</v>
      </c>
      <c r="F388" s="10">
        <v>45957</v>
      </c>
      <c r="G388" s="6" t="str">
        <f>_xlfn.TEXTJOIN("|",TRUE,GameLog[[#This Row],[Pod]],TEXT(INT(GameLog[[#This Row],[Round]]),"yyyymmdd"),GameLog[[#This Row],[Date]])</f>
        <v>1|19000101|45957</v>
      </c>
      <c r="H388" s="6">
        <f>COUNTIF(GameLog[Pod ID],GameLog[[#This Row],[Pod ID]])</f>
        <v>5</v>
      </c>
      <c r="I388" s="6">
        <f>YEAR(GameLog[[#This Row],[Date]])</f>
        <v>2025</v>
      </c>
      <c r="J388" s="6">
        <f>MONTH(GameLog[[#This Row],[Date]])</f>
        <v>10</v>
      </c>
      <c r="K388" s="6" t="str">
        <f>IF(GameLog[[#This Row],[Date]]=MAX(GameLog[Date]),"Current","Previous")</f>
        <v>Previous</v>
      </c>
      <c r="L388" s="6"/>
      <c r="M3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8" s="6" t="str">
        <f ca="1">IF(GameLog[[#This Row],[Check]]="","",COUNTIF(GameLog[[#Headers],[Check]]:GameLog[[#This Row],[Check]],"?*")-1)</f>
        <v/>
      </c>
      <c r="O388" s="6" t="str">
        <f>IFERROR(INDEX(Players[New name],MATCH(GameLog[[#This Row],[Player]],Players[Name],0)),GameLog[[#This Row],[Player]])</f>
        <v>Forrest</v>
      </c>
    </row>
    <row r="389" spans="1:15" x14ac:dyDescent="0.45">
      <c r="A389" s="6" t="s">
        <v>55</v>
      </c>
      <c r="B389" s="6" t="s">
        <v>53</v>
      </c>
      <c r="C389" s="6">
        <v>3</v>
      </c>
      <c r="D389" s="6">
        <v>1</v>
      </c>
      <c r="E389" s="6">
        <v>1</v>
      </c>
      <c r="F389" s="10">
        <v>45957</v>
      </c>
      <c r="G389" s="6" t="str">
        <f>_xlfn.TEXTJOIN("|",TRUE,GameLog[[#This Row],[Pod]],TEXT(INT(GameLog[[#This Row],[Round]]),"yyyymmdd"),GameLog[[#This Row],[Date]])</f>
        <v>1|19000101|45957</v>
      </c>
      <c r="H389" s="6">
        <f>COUNTIF(GameLog[Pod ID],GameLog[[#This Row],[Pod ID]])</f>
        <v>5</v>
      </c>
      <c r="I389" s="6">
        <f>YEAR(GameLog[[#This Row],[Date]])</f>
        <v>2025</v>
      </c>
      <c r="J389" s="6">
        <f>MONTH(GameLog[[#This Row],[Date]])</f>
        <v>10</v>
      </c>
      <c r="K389" s="6" t="str">
        <f>IF(GameLog[[#This Row],[Date]]=MAX(GameLog[Date]),"Current","Previous")</f>
        <v>Previous</v>
      </c>
      <c r="L389" s="6"/>
      <c r="M3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89" s="6" t="str">
        <f ca="1">IF(GameLog[[#This Row],[Check]]="","",COUNTIF(GameLog[[#Headers],[Check]]:GameLog[[#This Row],[Check]],"?*")-1)</f>
        <v/>
      </c>
      <c r="O389" s="6" t="str">
        <f>IFERROR(INDEX(Players[New name],MATCH(GameLog[[#This Row],[Player]],Players[Name],0)),GameLog[[#This Row],[Player]])</f>
        <v>Bryce C</v>
      </c>
    </row>
    <row r="390" spans="1:15" x14ac:dyDescent="0.45">
      <c r="A390" s="6" t="s">
        <v>61</v>
      </c>
      <c r="B390" s="6" t="s">
        <v>50</v>
      </c>
      <c r="C390" s="6">
        <v>4</v>
      </c>
      <c r="D390" s="6">
        <v>1</v>
      </c>
      <c r="E390" s="6">
        <v>1</v>
      </c>
      <c r="F390" s="10">
        <v>45957</v>
      </c>
      <c r="G390" s="6" t="str">
        <f>_xlfn.TEXTJOIN("|",TRUE,GameLog[[#This Row],[Pod]],TEXT(INT(GameLog[[#This Row],[Round]]),"yyyymmdd"),GameLog[[#This Row],[Date]])</f>
        <v>1|19000101|45957</v>
      </c>
      <c r="H390" s="6">
        <f>COUNTIF(GameLog[Pod ID],GameLog[[#This Row],[Pod ID]])</f>
        <v>5</v>
      </c>
      <c r="I390" s="6">
        <f>YEAR(GameLog[[#This Row],[Date]])</f>
        <v>2025</v>
      </c>
      <c r="J390" s="6">
        <f>MONTH(GameLog[[#This Row],[Date]])</f>
        <v>10</v>
      </c>
      <c r="K390" s="6" t="str">
        <f>IF(GameLog[[#This Row],[Date]]=MAX(GameLog[Date]),"Current","Previous")</f>
        <v>Previous</v>
      </c>
      <c r="L390" s="6"/>
      <c r="M3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0" s="6" t="str">
        <f ca="1">IF(GameLog[[#This Row],[Check]]="","",COUNTIF(GameLog[[#Headers],[Check]]:GameLog[[#This Row],[Check]],"?*")-1)</f>
        <v/>
      </c>
      <c r="O390" s="6" t="str">
        <f>IFERROR(INDEX(Players[New name],MATCH(GameLog[[#This Row],[Player]],Players[Name],0)),GameLog[[#This Row],[Player]])</f>
        <v>Trevor</v>
      </c>
    </row>
    <row r="391" spans="1:15" x14ac:dyDescent="0.45">
      <c r="A391" s="6" t="s">
        <v>84</v>
      </c>
      <c r="B391" s="6" t="s">
        <v>53</v>
      </c>
      <c r="C391" s="6">
        <v>5</v>
      </c>
      <c r="D391" s="6">
        <v>1</v>
      </c>
      <c r="E391" s="6">
        <v>1</v>
      </c>
      <c r="F391" s="10">
        <v>45957</v>
      </c>
      <c r="G391" s="6" t="str">
        <f>_xlfn.TEXTJOIN("|",TRUE,GameLog[[#This Row],[Pod]],TEXT(INT(GameLog[[#This Row],[Round]]),"yyyymmdd"),GameLog[[#This Row],[Date]])</f>
        <v>1|19000101|45957</v>
      </c>
      <c r="H391" s="6">
        <f>COUNTIF(GameLog[Pod ID],GameLog[[#This Row],[Pod ID]])</f>
        <v>5</v>
      </c>
      <c r="I391" s="6">
        <f>YEAR(GameLog[[#This Row],[Date]])</f>
        <v>2025</v>
      </c>
      <c r="J391" s="6">
        <f>MONTH(GameLog[[#This Row],[Date]])</f>
        <v>10</v>
      </c>
      <c r="K391" s="6" t="str">
        <f>IF(GameLog[[#This Row],[Date]]=MAX(GameLog[Date]),"Current","Previous")</f>
        <v>Previous</v>
      </c>
      <c r="L391" s="6"/>
      <c r="M3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1" s="6" t="str">
        <f ca="1">IF(GameLog[[#This Row],[Check]]="","",COUNTIF(GameLog[[#Headers],[Check]]:GameLog[[#This Row],[Check]],"?*")-1)</f>
        <v/>
      </c>
      <c r="O391" s="6" t="str">
        <f>IFERROR(INDEX(Players[New name],MATCH(GameLog[[#This Row],[Player]],Players[Name],0)),GameLog[[#This Row],[Player]])</f>
        <v>Zach D</v>
      </c>
    </row>
    <row r="392" spans="1:15" x14ac:dyDescent="0.45">
      <c r="A392" s="6" t="s">
        <v>49</v>
      </c>
      <c r="B392" s="6" t="s">
        <v>53</v>
      </c>
      <c r="C392" s="6">
        <v>1</v>
      </c>
      <c r="D392" s="6">
        <v>2</v>
      </c>
      <c r="E392" s="6">
        <v>1</v>
      </c>
      <c r="F392" s="10">
        <v>45957</v>
      </c>
      <c r="G392" s="6" t="str">
        <f>_xlfn.TEXTJOIN("|",TRUE,GameLog[[#This Row],[Pod]],TEXT(INT(GameLog[[#This Row],[Round]]),"yyyymmdd"),GameLog[[#This Row],[Date]])</f>
        <v>2|19000101|45957</v>
      </c>
      <c r="H392" s="6">
        <f>COUNTIF(GameLog[Pod ID],GameLog[[#This Row],[Pod ID]])</f>
        <v>4</v>
      </c>
      <c r="I392" s="6">
        <f>YEAR(GameLog[[#This Row],[Date]])</f>
        <v>2025</v>
      </c>
      <c r="J392" s="6">
        <f>MONTH(GameLog[[#This Row],[Date]])</f>
        <v>10</v>
      </c>
      <c r="K392" s="6" t="str">
        <f>IF(GameLog[[#This Row],[Date]]=MAX(GameLog[Date]),"Current","Previous")</f>
        <v>Previous</v>
      </c>
      <c r="L392" s="6"/>
      <c r="M3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2" s="6" t="str">
        <f ca="1">IF(GameLog[[#This Row],[Check]]="","",COUNTIF(GameLog[[#Headers],[Check]]:GameLog[[#This Row],[Check]],"?*")-1)</f>
        <v/>
      </c>
      <c r="O392" s="6" t="str">
        <f>IFERROR(INDEX(Players[New name],MATCH(GameLog[[#This Row],[Player]],Players[Name],0)),GameLog[[#This Row],[Player]])</f>
        <v>Brett R</v>
      </c>
    </row>
    <row r="393" spans="1:15" x14ac:dyDescent="0.45">
      <c r="A393" s="6" t="s">
        <v>83</v>
      </c>
      <c r="B393" s="6" t="s">
        <v>50</v>
      </c>
      <c r="C393" s="6">
        <v>2</v>
      </c>
      <c r="D393" s="6">
        <v>2</v>
      </c>
      <c r="E393" s="6">
        <v>1</v>
      </c>
      <c r="F393" s="10">
        <v>45957</v>
      </c>
      <c r="G393" s="6" t="str">
        <f>_xlfn.TEXTJOIN("|",TRUE,GameLog[[#This Row],[Pod]],TEXT(INT(GameLog[[#This Row],[Round]]),"yyyymmdd"),GameLog[[#This Row],[Date]])</f>
        <v>2|19000101|45957</v>
      </c>
      <c r="H393" s="6">
        <f>COUNTIF(GameLog[Pod ID],GameLog[[#This Row],[Pod ID]])</f>
        <v>4</v>
      </c>
      <c r="I393" s="6">
        <f>YEAR(GameLog[[#This Row],[Date]])</f>
        <v>2025</v>
      </c>
      <c r="J393" s="6">
        <f>MONTH(GameLog[[#This Row],[Date]])</f>
        <v>10</v>
      </c>
      <c r="K393" s="6" t="str">
        <f>IF(GameLog[[#This Row],[Date]]=MAX(GameLog[Date]),"Current","Previous")</f>
        <v>Previous</v>
      </c>
      <c r="L393" s="6"/>
      <c r="M3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3" s="6" t="str">
        <f ca="1">IF(GameLog[[#This Row],[Check]]="","",COUNTIF(GameLog[[#Headers],[Check]]:GameLog[[#This Row],[Check]],"?*")-1)</f>
        <v/>
      </c>
      <c r="O393" s="6" t="str">
        <f>IFERROR(INDEX(Players[New name],MATCH(GameLog[[#This Row],[Player]],Players[Name],0)),GameLog[[#This Row],[Player]])</f>
        <v>Devyn S</v>
      </c>
    </row>
    <row r="394" spans="1:15" x14ac:dyDescent="0.45">
      <c r="A394" s="6" t="s">
        <v>64</v>
      </c>
      <c r="B394" s="6" t="s">
        <v>53</v>
      </c>
      <c r="C394" s="6">
        <v>3</v>
      </c>
      <c r="D394" s="6">
        <v>2</v>
      </c>
      <c r="E394" s="6">
        <v>1</v>
      </c>
      <c r="F394" s="10">
        <v>45957</v>
      </c>
      <c r="G394" s="6" t="str">
        <f>_xlfn.TEXTJOIN("|",TRUE,GameLog[[#This Row],[Pod]],TEXT(INT(GameLog[[#This Row],[Round]]),"yyyymmdd"),GameLog[[#This Row],[Date]])</f>
        <v>2|19000101|45957</v>
      </c>
      <c r="H394" s="6">
        <f>COUNTIF(GameLog[Pod ID],GameLog[[#This Row],[Pod ID]])</f>
        <v>4</v>
      </c>
      <c r="I394" s="6">
        <f>YEAR(GameLog[[#This Row],[Date]])</f>
        <v>2025</v>
      </c>
      <c r="J394" s="6">
        <f>MONTH(GameLog[[#This Row],[Date]])</f>
        <v>10</v>
      </c>
      <c r="K394" s="6" t="str">
        <f>IF(GameLog[[#This Row],[Date]]=MAX(GameLog[Date]),"Current","Previous")</f>
        <v>Previous</v>
      </c>
      <c r="L394" s="6"/>
      <c r="M3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4" s="6" t="str">
        <f ca="1">IF(GameLog[[#This Row],[Check]]="","",COUNTIF(GameLog[[#Headers],[Check]]:GameLog[[#This Row],[Check]],"?*")-1)</f>
        <v/>
      </c>
      <c r="O394" s="6" t="str">
        <f>IFERROR(INDEX(Players[New name],MATCH(GameLog[[#This Row],[Player]],Players[Name],0)),GameLog[[#This Row],[Player]])</f>
        <v>Tyler B</v>
      </c>
    </row>
    <row r="395" spans="1:15" x14ac:dyDescent="0.45">
      <c r="A395" s="6" t="s">
        <v>69</v>
      </c>
      <c r="B395" s="6" t="s">
        <v>53</v>
      </c>
      <c r="C395" s="6">
        <v>4</v>
      </c>
      <c r="D395" s="6">
        <v>2</v>
      </c>
      <c r="E395" s="6">
        <v>1</v>
      </c>
      <c r="F395" s="10">
        <v>45957</v>
      </c>
      <c r="G395" s="6" t="str">
        <f>_xlfn.TEXTJOIN("|",TRUE,GameLog[[#This Row],[Pod]],TEXT(INT(GameLog[[#This Row],[Round]]),"yyyymmdd"),GameLog[[#This Row],[Date]])</f>
        <v>2|19000101|45957</v>
      </c>
      <c r="H395" s="6">
        <f>COUNTIF(GameLog[Pod ID],GameLog[[#This Row],[Pod ID]])</f>
        <v>4</v>
      </c>
      <c r="I395" s="6">
        <f>YEAR(GameLog[[#This Row],[Date]])</f>
        <v>2025</v>
      </c>
      <c r="J395" s="6">
        <f>MONTH(GameLog[[#This Row],[Date]])</f>
        <v>10</v>
      </c>
      <c r="K395" s="6" t="str">
        <f>IF(GameLog[[#This Row],[Date]]=MAX(GameLog[Date]),"Current","Previous")</f>
        <v>Previous</v>
      </c>
      <c r="L395" s="6"/>
      <c r="M3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5" s="6" t="str">
        <f ca="1">IF(GameLog[[#This Row],[Check]]="","",COUNTIF(GameLog[[#Headers],[Check]]:GameLog[[#This Row],[Check]],"?*")-1)</f>
        <v/>
      </c>
      <c r="O395" s="6" t="str">
        <f>IFERROR(INDEX(Players[New name],MATCH(GameLog[[#This Row],[Player]],Players[Name],0)),GameLog[[#This Row],[Player]])</f>
        <v>Ryan T</v>
      </c>
    </row>
    <row r="396" spans="1:15" x14ac:dyDescent="0.45">
      <c r="A396" s="6" t="s">
        <v>82</v>
      </c>
      <c r="B396" s="6" t="s">
        <v>53</v>
      </c>
      <c r="C396" s="6">
        <v>1</v>
      </c>
      <c r="D396" s="6">
        <v>3</v>
      </c>
      <c r="E396" s="6">
        <v>1</v>
      </c>
      <c r="F396" s="10">
        <v>45957</v>
      </c>
      <c r="G396" s="6" t="str">
        <f>_xlfn.TEXTJOIN("|",TRUE,GameLog[[#This Row],[Pod]],TEXT(INT(GameLog[[#This Row],[Round]]),"yyyymmdd"),GameLog[[#This Row],[Date]])</f>
        <v>3|19000101|45957</v>
      </c>
      <c r="H396" s="6">
        <f>COUNTIF(GameLog[Pod ID],GameLog[[#This Row],[Pod ID]])</f>
        <v>5</v>
      </c>
      <c r="I396" s="6">
        <f>YEAR(GameLog[[#This Row],[Date]])</f>
        <v>2025</v>
      </c>
      <c r="J396" s="6">
        <f>MONTH(GameLog[[#This Row],[Date]])</f>
        <v>10</v>
      </c>
      <c r="K396" s="6" t="str">
        <f>IF(GameLog[[#This Row],[Date]]=MAX(GameLog[Date]),"Current","Previous")</f>
        <v>Previous</v>
      </c>
      <c r="L396" s="6"/>
      <c r="M3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6" s="6" t="str">
        <f ca="1">IF(GameLog[[#This Row],[Check]]="","",COUNTIF(GameLog[[#Headers],[Check]]:GameLog[[#This Row],[Check]],"?*")-1)</f>
        <v/>
      </c>
      <c r="O396" s="6" t="str">
        <f>IFERROR(INDEX(Players[New name],MATCH(GameLog[[#This Row],[Player]],Players[Name],0)),GameLog[[#This Row],[Player]])</f>
        <v>Nick D</v>
      </c>
    </row>
    <row r="397" spans="1:15" x14ac:dyDescent="0.45">
      <c r="A397" s="6" t="s">
        <v>86</v>
      </c>
      <c r="B397" s="6" t="s">
        <v>53</v>
      </c>
      <c r="C397" s="6">
        <v>2</v>
      </c>
      <c r="D397" s="6">
        <v>3</v>
      </c>
      <c r="E397" s="6">
        <v>1</v>
      </c>
      <c r="F397" s="10">
        <v>45957</v>
      </c>
      <c r="G397" s="6" t="str">
        <f>_xlfn.TEXTJOIN("|",TRUE,GameLog[[#This Row],[Pod]],TEXT(INT(GameLog[[#This Row],[Round]]),"yyyymmdd"),GameLog[[#This Row],[Date]])</f>
        <v>3|19000101|45957</v>
      </c>
      <c r="H397" s="6">
        <f>COUNTIF(GameLog[Pod ID],GameLog[[#This Row],[Pod ID]])</f>
        <v>5</v>
      </c>
      <c r="I397" s="6">
        <f>YEAR(GameLog[[#This Row],[Date]])</f>
        <v>2025</v>
      </c>
      <c r="J397" s="6">
        <f>MONTH(GameLog[[#This Row],[Date]])</f>
        <v>10</v>
      </c>
      <c r="K397" s="6" t="str">
        <f>IF(GameLog[[#This Row],[Date]]=MAX(GameLog[Date]),"Current","Previous")</f>
        <v>Previous</v>
      </c>
      <c r="L397" s="6"/>
      <c r="M3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7" s="6" t="str">
        <f ca="1">IF(GameLog[[#This Row],[Check]]="","",COUNTIF(GameLog[[#Headers],[Check]]:GameLog[[#This Row],[Check]],"?*")-1)</f>
        <v/>
      </c>
      <c r="O397" s="6" t="str">
        <f>IFERROR(INDEX(Players[New name],MATCH(GameLog[[#This Row],[Player]],Players[Name],0)),GameLog[[#This Row],[Player]])</f>
        <v>Steve C</v>
      </c>
    </row>
    <row r="398" spans="1:15" x14ac:dyDescent="0.45">
      <c r="A398" s="6" t="s">
        <v>71</v>
      </c>
      <c r="B398" s="6" t="s">
        <v>50</v>
      </c>
      <c r="C398" s="6">
        <v>3</v>
      </c>
      <c r="D398" s="6">
        <v>3</v>
      </c>
      <c r="E398" s="6">
        <v>1</v>
      </c>
      <c r="F398" s="10">
        <v>45957</v>
      </c>
      <c r="G398" s="6" t="str">
        <f>_xlfn.TEXTJOIN("|",TRUE,GameLog[[#This Row],[Pod]],TEXT(INT(GameLog[[#This Row],[Round]]),"yyyymmdd"),GameLog[[#This Row],[Date]])</f>
        <v>3|19000101|45957</v>
      </c>
      <c r="H398" s="6">
        <f>COUNTIF(GameLog[Pod ID],GameLog[[#This Row],[Pod ID]])</f>
        <v>5</v>
      </c>
      <c r="I398" s="6">
        <f>YEAR(GameLog[[#This Row],[Date]])</f>
        <v>2025</v>
      </c>
      <c r="J398" s="6">
        <f>MONTH(GameLog[[#This Row],[Date]])</f>
        <v>10</v>
      </c>
      <c r="K398" s="6" t="str">
        <f>IF(GameLog[[#This Row],[Date]]=MAX(GameLog[Date]),"Current","Previous")</f>
        <v>Previous</v>
      </c>
      <c r="L398" s="6"/>
      <c r="M3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8" s="6" t="str">
        <f ca="1">IF(GameLog[[#This Row],[Check]]="","",COUNTIF(GameLog[[#Headers],[Check]]:GameLog[[#This Row],[Check]],"?*")-1)</f>
        <v/>
      </c>
      <c r="O398" s="6" t="str">
        <f>IFERROR(INDEX(Players[New name],MATCH(GameLog[[#This Row],[Player]],Players[Name],0)),GameLog[[#This Row],[Player]])</f>
        <v>Rodney Y</v>
      </c>
    </row>
    <row r="399" spans="1:15" x14ac:dyDescent="0.45">
      <c r="A399" s="6" t="s">
        <v>65</v>
      </c>
      <c r="B399" s="6" t="s">
        <v>53</v>
      </c>
      <c r="C399" s="6">
        <v>4</v>
      </c>
      <c r="D399" s="6">
        <v>3</v>
      </c>
      <c r="E399" s="6">
        <v>1</v>
      </c>
      <c r="F399" s="10">
        <v>45957</v>
      </c>
      <c r="G399" s="6" t="str">
        <f>_xlfn.TEXTJOIN("|",TRUE,GameLog[[#This Row],[Pod]],TEXT(INT(GameLog[[#This Row],[Round]]),"yyyymmdd"),GameLog[[#This Row],[Date]])</f>
        <v>3|19000101|45957</v>
      </c>
      <c r="H399" s="6">
        <f>COUNTIF(GameLog[Pod ID],GameLog[[#This Row],[Pod ID]])</f>
        <v>5</v>
      </c>
      <c r="I399" s="6">
        <f>YEAR(GameLog[[#This Row],[Date]])</f>
        <v>2025</v>
      </c>
      <c r="J399" s="6">
        <f>MONTH(GameLog[[#This Row],[Date]])</f>
        <v>10</v>
      </c>
      <c r="K399" s="6" t="str">
        <f>IF(GameLog[[#This Row],[Date]]=MAX(GameLog[Date]),"Current","Previous")</f>
        <v>Previous</v>
      </c>
      <c r="L399" s="6"/>
      <c r="M3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399" s="6" t="str">
        <f ca="1">IF(GameLog[[#This Row],[Check]]="","",COUNTIF(GameLog[[#Headers],[Check]]:GameLog[[#This Row],[Check]],"?*")-1)</f>
        <v/>
      </c>
      <c r="O399" s="6" t="str">
        <f>IFERROR(INDEX(Players[New name],MATCH(GameLog[[#This Row],[Player]],Players[Name],0)),GameLog[[#This Row],[Player]])</f>
        <v>Mitch</v>
      </c>
    </row>
    <row r="400" spans="1:15" x14ac:dyDescent="0.45">
      <c r="A400" s="6" t="s">
        <v>63</v>
      </c>
      <c r="B400" s="6" t="s">
        <v>53</v>
      </c>
      <c r="C400" s="6">
        <v>5</v>
      </c>
      <c r="D400" s="6">
        <v>3</v>
      </c>
      <c r="E400" s="6">
        <v>1</v>
      </c>
      <c r="F400" s="10">
        <v>45957</v>
      </c>
      <c r="G400" s="6" t="str">
        <f>_xlfn.TEXTJOIN("|",TRUE,GameLog[[#This Row],[Pod]],TEXT(INT(GameLog[[#This Row],[Round]]),"yyyymmdd"),GameLog[[#This Row],[Date]])</f>
        <v>3|19000101|45957</v>
      </c>
      <c r="H400" s="6">
        <f>COUNTIF(GameLog[Pod ID],GameLog[[#This Row],[Pod ID]])</f>
        <v>5</v>
      </c>
      <c r="I400" s="6">
        <f>YEAR(GameLog[[#This Row],[Date]])</f>
        <v>2025</v>
      </c>
      <c r="J400" s="6">
        <f>MONTH(GameLog[[#This Row],[Date]])</f>
        <v>10</v>
      </c>
      <c r="K400" s="6" t="str">
        <f>IF(GameLog[[#This Row],[Date]]=MAX(GameLog[Date]),"Current","Previous")</f>
        <v>Previous</v>
      </c>
      <c r="L400" s="6"/>
      <c r="M4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0" s="6" t="str">
        <f ca="1">IF(GameLog[[#This Row],[Check]]="","",COUNTIF(GameLog[[#Headers],[Check]]:GameLog[[#This Row],[Check]],"?*")-1)</f>
        <v/>
      </c>
      <c r="O400" s="6" t="str">
        <f>IFERROR(INDEX(Players[New name],MATCH(GameLog[[#This Row],[Player]],Players[Name],0)),GameLog[[#This Row],[Player]])</f>
        <v>Jake D</v>
      </c>
    </row>
    <row r="401" spans="1:15" x14ac:dyDescent="0.45">
      <c r="A401" s="6" t="s">
        <v>85</v>
      </c>
      <c r="B401" s="6" t="s">
        <v>53</v>
      </c>
      <c r="C401" s="6">
        <v>1</v>
      </c>
      <c r="D401" s="6">
        <v>4</v>
      </c>
      <c r="E401" s="6">
        <v>1</v>
      </c>
      <c r="F401" s="10">
        <v>45957</v>
      </c>
      <c r="G401" s="6" t="str">
        <f>_xlfn.TEXTJOIN("|",TRUE,GameLog[[#This Row],[Pod]],TEXT(INT(GameLog[[#This Row],[Round]]),"yyyymmdd"),GameLog[[#This Row],[Date]])</f>
        <v>4|19000101|45957</v>
      </c>
      <c r="H401" s="6">
        <f>COUNTIF(GameLog[Pod ID],GameLog[[#This Row],[Pod ID]])</f>
        <v>5</v>
      </c>
      <c r="I401" s="6">
        <f>YEAR(GameLog[[#This Row],[Date]])</f>
        <v>2025</v>
      </c>
      <c r="J401" s="6">
        <f>MONTH(GameLog[[#This Row],[Date]])</f>
        <v>10</v>
      </c>
      <c r="K401" s="6" t="str">
        <f>IF(GameLog[[#This Row],[Date]]=MAX(GameLog[Date]),"Current","Previous")</f>
        <v>Previous</v>
      </c>
      <c r="L401" s="6"/>
      <c r="M4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1" s="6" t="str">
        <f ca="1">IF(GameLog[[#This Row],[Check]]="","",COUNTIF(GameLog[[#Headers],[Check]]:GameLog[[#This Row],[Check]],"?*")-1)</f>
        <v/>
      </c>
      <c r="O401" s="6" t="str">
        <f>IFERROR(INDEX(Players[New name],MATCH(GameLog[[#This Row],[Player]],Players[Name],0)),GameLog[[#This Row],[Player]])</f>
        <v>Logan</v>
      </c>
    </row>
    <row r="402" spans="1:15" x14ac:dyDescent="0.45">
      <c r="A402" s="6" t="s">
        <v>80</v>
      </c>
      <c r="B402" s="6" t="s">
        <v>53</v>
      </c>
      <c r="C402" s="6">
        <v>2</v>
      </c>
      <c r="D402" s="6">
        <v>4</v>
      </c>
      <c r="E402" s="6">
        <v>1</v>
      </c>
      <c r="F402" s="10">
        <v>45957</v>
      </c>
      <c r="G402" s="6" t="str">
        <f>_xlfn.TEXTJOIN("|",TRUE,GameLog[[#This Row],[Pod]],TEXT(INT(GameLog[[#This Row],[Round]]),"yyyymmdd"),GameLog[[#This Row],[Date]])</f>
        <v>4|19000101|45957</v>
      </c>
      <c r="H402" s="6">
        <f>COUNTIF(GameLog[Pod ID],GameLog[[#This Row],[Pod ID]])</f>
        <v>5</v>
      </c>
      <c r="I402" s="6">
        <f>YEAR(GameLog[[#This Row],[Date]])</f>
        <v>2025</v>
      </c>
      <c r="J402" s="6">
        <f>MONTH(GameLog[[#This Row],[Date]])</f>
        <v>10</v>
      </c>
      <c r="K402" s="6" t="str">
        <f>IF(GameLog[[#This Row],[Date]]=MAX(GameLog[Date]),"Current","Previous")</f>
        <v>Previous</v>
      </c>
      <c r="L402" s="6"/>
      <c r="M4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2" s="6" t="str">
        <f ca="1">IF(GameLog[[#This Row],[Check]]="","",COUNTIF(GameLog[[#Headers],[Check]]:GameLog[[#This Row],[Check]],"?*")-1)</f>
        <v/>
      </c>
      <c r="O402" s="6" t="str">
        <f>IFERROR(INDEX(Players[New name],MATCH(GameLog[[#This Row],[Player]],Players[Name],0)),GameLog[[#This Row],[Player]])</f>
        <v>Jeremiah</v>
      </c>
    </row>
    <row r="403" spans="1:15" x14ac:dyDescent="0.45">
      <c r="A403" s="6" t="s">
        <v>57</v>
      </c>
      <c r="B403" s="6" t="s">
        <v>50</v>
      </c>
      <c r="C403" s="6">
        <v>3</v>
      </c>
      <c r="D403" s="6">
        <v>4</v>
      </c>
      <c r="E403" s="6">
        <v>1</v>
      </c>
      <c r="F403" s="10">
        <v>45957</v>
      </c>
      <c r="G403" s="6" t="str">
        <f>_xlfn.TEXTJOIN("|",TRUE,GameLog[[#This Row],[Pod]],TEXT(INT(GameLog[[#This Row],[Round]]),"yyyymmdd"),GameLog[[#This Row],[Date]])</f>
        <v>4|19000101|45957</v>
      </c>
      <c r="H403" s="6">
        <f>COUNTIF(GameLog[Pod ID],GameLog[[#This Row],[Pod ID]])</f>
        <v>5</v>
      </c>
      <c r="I403" s="6">
        <f>YEAR(GameLog[[#This Row],[Date]])</f>
        <v>2025</v>
      </c>
      <c r="J403" s="6">
        <f>MONTH(GameLog[[#This Row],[Date]])</f>
        <v>10</v>
      </c>
      <c r="K403" s="6" t="str">
        <f>IF(GameLog[[#This Row],[Date]]=MAX(GameLog[Date]),"Current","Previous")</f>
        <v>Previous</v>
      </c>
      <c r="L403" s="6"/>
      <c r="M4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3" s="6" t="str">
        <f ca="1">IF(GameLog[[#This Row],[Check]]="","",COUNTIF(GameLog[[#Headers],[Check]]:GameLog[[#This Row],[Check]],"?*")-1)</f>
        <v/>
      </c>
      <c r="O403" s="6" t="str">
        <f>IFERROR(INDEX(Players[New name],MATCH(GameLog[[#This Row],[Player]],Players[Name],0)),GameLog[[#This Row],[Player]])</f>
        <v>AJ W</v>
      </c>
    </row>
    <row r="404" spans="1:15" x14ac:dyDescent="0.45">
      <c r="A404" s="6" t="s">
        <v>68</v>
      </c>
      <c r="B404" s="6" t="s">
        <v>53</v>
      </c>
      <c r="C404" s="6">
        <v>4</v>
      </c>
      <c r="D404" s="6">
        <v>4</v>
      </c>
      <c r="E404" s="6">
        <v>1</v>
      </c>
      <c r="F404" s="10">
        <v>45957</v>
      </c>
      <c r="G404" s="6" t="str">
        <f>_xlfn.TEXTJOIN("|",TRUE,GameLog[[#This Row],[Pod]],TEXT(INT(GameLog[[#This Row],[Round]]),"yyyymmdd"),GameLog[[#This Row],[Date]])</f>
        <v>4|19000101|45957</v>
      </c>
      <c r="H404" s="6">
        <f>COUNTIF(GameLog[Pod ID],GameLog[[#This Row],[Pod ID]])</f>
        <v>5</v>
      </c>
      <c r="I404" s="6">
        <f>YEAR(GameLog[[#This Row],[Date]])</f>
        <v>2025</v>
      </c>
      <c r="J404" s="6">
        <f>MONTH(GameLog[[#This Row],[Date]])</f>
        <v>10</v>
      </c>
      <c r="K404" s="6" t="str">
        <f>IF(GameLog[[#This Row],[Date]]=MAX(GameLog[Date]),"Current","Previous")</f>
        <v>Previous</v>
      </c>
      <c r="L404" s="6"/>
      <c r="M4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4" s="6" t="str">
        <f ca="1">IF(GameLog[[#This Row],[Check]]="","",COUNTIF(GameLog[[#Headers],[Check]]:GameLog[[#This Row],[Check]],"?*")-1)</f>
        <v/>
      </c>
      <c r="O404" s="6" t="str">
        <f>IFERROR(INDEX(Players[New name],MATCH(GameLog[[#This Row],[Player]],Players[Name],0)),GameLog[[#This Row],[Player]])</f>
        <v>Edwin M</v>
      </c>
    </row>
    <row r="405" spans="1:15" x14ac:dyDescent="0.45">
      <c r="A405" s="6" t="s">
        <v>58</v>
      </c>
      <c r="B405" s="6" t="s">
        <v>53</v>
      </c>
      <c r="C405" s="6">
        <v>5</v>
      </c>
      <c r="D405" s="6">
        <v>4</v>
      </c>
      <c r="E405" s="6">
        <v>1</v>
      </c>
      <c r="F405" s="10">
        <v>45957</v>
      </c>
      <c r="G405" s="6" t="str">
        <f>_xlfn.TEXTJOIN("|",TRUE,GameLog[[#This Row],[Pod]],TEXT(INT(GameLog[[#This Row],[Round]]),"yyyymmdd"),GameLog[[#This Row],[Date]])</f>
        <v>4|19000101|45957</v>
      </c>
      <c r="H405" s="6">
        <f>COUNTIF(GameLog[Pod ID],GameLog[[#This Row],[Pod ID]])</f>
        <v>5</v>
      </c>
      <c r="I405" s="6">
        <f>YEAR(GameLog[[#This Row],[Date]])</f>
        <v>2025</v>
      </c>
      <c r="J405" s="6">
        <f>MONTH(GameLog[[#This Row],[Date]])</f>
        <v>10</v>
      </c>
      <c r="K405" s="6" t="str">
        <f>IF(GameLog[[#This Row],[Date]]=MAX(GameLog[Date]),"Current","Previous")</f>
        <v>Previous</v>
      </c>
      <c r="L405" s="6"/>
      <c r="M4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5" s="6" t="str">
        <f ca="1">IF(GameLog[[#This Row],[Check]]="","",COUNTIF(GameLog[[#Headers],[Check]]:GameLog[[#This Row],[Check]],"?*")-1)</f>
        <v/>
      </c>
      <c r="O405" s="6" t="str">
        <f>IFERROR(INDEX(Players[New name],MATCH(GameLog[[#This Row],[Player]],Players[Name],0)),GameLog[[#This Row],[Player]])</f>
        <v>Dakota P</v>
      </c>
    </row>
    <row r="406" spans="1:15" x14ac:dyDescent="0.45">
      <c r="A406" s="6" t="s">
        <v>61</v>
      </c>
      <c r="B406" s="6" t="s">
        <v>53</v>
      </c>
      <c r="C406" s="6">
        <v>1</v>
      </c>
      <c r="D406" s="6">
        <v>1</v>
      </c>
      <c r="E406" s="6">
        <v>2</v>
      </c>
      <c r="F406" s="10">
        <v>45957</v>
      </c>
      <c r="G406" s="6" t="str">
        <f>_xlfn.TEXTJOIN("|",TRUE,GameLog[[#This Row],[Pod]],TEXT(INT(GameLog[[#This Row],[Round]]),"yyyymmdd"),GameLog[[#This Row],[Date]])</f>
        <v>1|19000102|45957</v>
      </c>
      <c r="H406" s="6">
        <f>COUNTIF(GameLog[Pod ID],GameLog[[#This Row],[Pod ID]])</f>
        <v>4</v>
      </c>
      <c r="I406" s="6">
        <f>YEAR(GameLog[[#This Row],[Date]])</f>
        <v>2025</v>
      </c>
      <c r="J406" s="6">
        <f>MONTH(GameLog[[#This Row],[Date]])</f>
        <v>10</v>
      </c>
      <c r="K406" s="6" t="str">
        <f>IF(GameLog[[#This Row],[Date]]=MAX(GameLog[Date]),"Current","Previous")</f>
        <v>Previous</v>
      </c>
      <c r="L406" s="6"/>
      <c r="M4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6" s="6" t="str">
        <f ca="1">IF(GameLog[[#This Row],[Check]]="","",COUNTIF(GameLog[[#Headers],[Check]]:GameLog[[#This Row],[Check]],"?*")-1)</f>
        <v/>
      </c>
      <c r="O406" s="6" t="str">
        <f>IFERROR(INDEX(Players[New name],MATCH(GameLog[[#This Row],[Player]],Players[Name],0)),GameLog[[#This Row],[Player]])</f>
        <v>Trevor</v>
      </c>
    </row>
    <row r="407" spans="1:15" x14ac:dyDescent="0.45">
      <c r="A407" s="6" t="s">
        <v>83</v>
      </c>
      <c r="B407" s="6" t="s">
        <v>53</v>
      </c>
      <c r="C407" s="6">
        <v>2</v>
      </c>
      <c r="D407" s="6">
        <v>1</v>
      </c>
      <c r="E407" s="6">
        <v>2</v>
      </c>
      <c r="F407" s="10">
        <v>45957</v>
      </c>
      <c r="G407" s="6" t="str">
        <f>_xlfn.TEXTJOIN("|",TRUE,GameLog[[#This Row],[Pod]],TEXT(INT(GameLog[[#This Row],[Round]]),"yyyymmdd"),GameLog[[#This Row],[Date]])</f>
        <v>1|19000102|45957</v>
      </c>
      <c r="H407" s="6">
        <f>COUNTIF(GameLog[Pod ID],GameLog[[#This Row],[Pod ID]])</f>
        <v>4</v>
      </c>
      <c r="I407" s="6">
        <f>YEAR(GameLog[[#This Row],[Date]])</f>
        <v>2025</v>
      </c>
      <c r="J407" s="6">
        <f>MONTH(GameLog[[#This Row],[Date]])</f>
        <v>10</v>
      </c>
      <c r="K407" s="6" t="str">
        <f>IF(GameLog[[#This Row],[Date]]=MAX(GameLog[Date]),"Current","Previous")</f>
        <v>Previous</v>
      </c>
      <c r="L407" s="6"/>
      <c r="M4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7" s="6" t="str">
        <f ca="1">IF(GameLog[[#This Row],[Check]]="","",COUNTIF(GameLog[[#Headers],[Check]]:GameLog[[#This Row],[Check]],"?*")-1)</f>
        <v/>
      </c>
      <c r="O407" s="6" t="str">
        <f>IFERROR(INDEX(Players[New name],MATCH(GameLog[[#This Row],[Player]],Players[Name],0)),GameLog[[#This Row],[Player]])</f>
        <v>Devyn S</v>
      </c>
    </row>
    <row r="408" spans="1:15" x14ac:dyDescent="0.45">
      <c r="A408" s="6" t="s">
        <v>71</v>
      </c>
      <c r="B408" s="6" t="s">
        <v>53</v>
      </c>
      <c r="C408" s="6">
        <v>3</v>
      </c>
      <c r="D408" s="6">
        <v>1</v>
      </c>
      <c r="E408" s="6">
        <v>2</v>
      </c>
      <c r="F408" s="10">
        <v>45957</v>
      </c>
      <c r="G408" s="6" t="str">
        <f>_xlfn.TEXTJOIN("|",TRUE,GameLog[[#This Row],[Pod]],TEXT(INT(GameLog[[#This Row],[Round]]),"yyyymmdd"),GameLog[[#This Row],[Date]])</f>
        <v>1|19000102|45957</v>
      </c>
      <c r="H408" s="6">
        <f>COUNTIF(GameLog[Pod ID],GameLog[[#This Row],[Pod ID]])</f>
        <v>4</v>
      </c>
      <c r="I408" s="6">
        <f>YEAR(GameLog[[#This Row],[Date]])</f>
        <v>2025</v>
      </c>
      <c r="J408" s="6">
        <f>MONTH(GameLog[[#This Row],[Date]])</f>
        <v>10</v>
      </c>
      <c r="K408" s="6" t="str">
        <f>IF(GameLog[[#This Row],[Date]]=MAX(GameLog[Date]),"Current","Previous")</f>
        <v>Previous</v>
      </c>
      <c r="L408" s="6"/>
      <c r="M4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8" s="6" t="str">
        <f ca="1">IF(GameLog[[#This Row],[Check]]="","",COUNTIF(GameLog[[#Headers],[Check]]:GameLog[[#This Row],[Check]],"?*")-1)</f>
        <v/>
      </c>
      <c r="O408" s="6" t="str">
        <f>IFERROR(INDEX(Players[New name],MATCH(GameLog[[#This Row],[Player]],Players[Name],0)),GameLog[[#This Row],[Player]])</f>
        <v>Rodney Y</v>
      </c>
    </row>
    <row r="409" spans="1:15" x14ac:dyDescent="0.45">
      <c r="A409" s="6" t="s">
        <v>57</v>
      </c>
      <c r="B409" s="6" t="s">
        <v>50</v>
      </c>
      <c r="C409" s="6">
        <v>4</v>
      </c>
      <c r="D409" s="6">
        <v>1</v>
      </c>
      <c r="E409" s="6">
        <v>2</v>
      </c>
      <c r="F409" s="10">
        <v>45957</v>
      </c>
      <c r="G409" s="6" t="str">
        <f>_xlfn.TEXTJOIN("|",TRUE,GameLog[[#This Row],[Pod]],TEXT(INT(GameLog[[#This Row],[Round]]),"yyyymmdd"),GameLog[[#This Row],[Date]])</f>
        <v>1|19000102|45957</v>
      </c>
      <c r="H409" s="6">
        <f>COUNTIF(GameLog[Pod ID],GameLog[[#This Row],[Pod ID]])</f>
        <v>4</v>
      </c>
      <c r="I409" s="6">
        <f>YEAR(GameLog[[#This Row],[Date]])</f>
        <v>2025</v>
      </c>
      <c r="J409" s="6">
        <f>MONTH(GameLog[[#This Row],[Date]])</f>
        <v>10</v>
      </c>
      <c r="K409" s="6" t="str">
        <f>IF(GameLog[[#This Row],[Date]]=MAX(GameLog[Date]),"Current","Previous")</f>
        <v>Previous</v>
      </c>
      <c r="L409" s="6"/>
      <c r="M4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09" s="6" t="str">
        <f ca="1">IF(GameLog[[#This Row],[Check]]="","",COUNTIF(GameLog[[#Headers],[Check]]:GameLog[[#This Row],[Check]],"?*")-1)</f>
        <v/>
      </c>
      <c r="O409" s="6" t="str">
        <f>IFERROR(INDEX(Players[New name],MATCH(GameLog[[#This Row],[Player]],Players[Name],0)),GameLog[[#This Row],[Player]])</f>
        <v>AJ W</v>
      </c>
    </row>
    <row r="410" spans="1:15" x14ac:dyDescent="0.45">
      <c r="A410" s="6" t="s">
        <v>68</v>
      </c>
      <c r="B410" s="6" t="s">
        <v>53</v>
      </c>
      <c r="C410" s="6">
        <v>1</v>
      </c>
      <c r="D410" s="6">
        <v>2</v>
      </c>
      <c r="E410" s="6">
        <v>2</v>
      </c>
      <c r="F410" s="10">
        <v>45957</v>
      </c>
      <c r="G410" s="6" t="str">
        <f>_xlfn.TEXTJOIN("|",TRUE,GameLog[[#This Row],[Pod]],TEXT(INT(GameLog[[#This Row],[Round]]),"yyyymmdd"),GameLog[[#This Row],[Date]])</f>
        <v>2|19000102|45957</v>
      </c>
      <c r="H410" s="6">
        <f>COUNTIF(GameLog[Pod ID],GameLog[[#This Row],[Pod ID]])</f>
        <v>5</v>
      </c>
      <c r="I410" s="6">
        <f>YEAR(GameLog[[#This Row],[Date]])</f>
        <v>2025</v>
      </c>
      <c r="J410" s="6">
        <f>MONTH(GameLog[[#This Row],[Date]])</f>
        <v>10</v>
      </c>
      <c r="K410" s="6" t="str">
        <f>IF(GameLog[[#This Row],[Date]]=MAX(GameLog[Date]),"Current","Previous")</f>
        <v>Previous</v>
      </c>
      <c r="L410" s="6"/>
      <c r="M4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0" s="6" t="str">
        <f ca="1">IF(GameLog[[#This Row],[Check]]="","",COUNTIF(GameLog[[#Headers],[Check]]:GameLog[[#This Row],[Check]],"?*")-1)</f>
        <v/>
      </c>
      <c r="O410" s="6" t="str">
        <f>IFERROR(INDEX(Players[New name],MATCH(GameLog[[#This Row],[Player]],Players[Name],0)),GameLog[[#This Row],[Player]])</f>
        <v>Edwin M</v>
      </c>
    </row>
    <row r="411" spans="1:15" x14ac:dyDescent="0.45">
      <c r="A411" s="6" t="s">
        <v>55</v>
      </c>
      <c r="B411" s="6" t="s">
        <v>50</v>
      </c>
      <c r="C411" s="6">
        <v>2</v>
      </c>
      <c r="D411" s="6">
        <v>2</v>
      </c>
      <c r="E411" s="6">
        <v>2</v>
      </c>
      <c r="F411" s="10">
        <v>45957</v>
      </c>
      <c r="G411" s="6" t="str">
        <f>_xlfn.TEXTJOIN("|",TRUE,GameLog[[#This Row],[Pod]],TEXT(INT(GameLog[[#This Row],[Round]]),"yyyymmdd"),GameLog[[#This Row],[Date]])</f>
        <v>2|19000102|45957</v>
      </c>
      <c r="H411" s="6">
        <f>COUNTIF(GameLog[Pod ID],GameLog[[#This Row],[Pod ID]])</f>
        <v>5</v>
      </c>
      <c r="I411" s="6">
        <f>YEAR(GameLog[[#This Row],[Date]])</f>
        <v>2025</v>
      </c>
      <c r="J411" s="6">
        <f>MONTH(GameLog[[#This Row],[Date]])</f>
        <v>10</v>
      </c>
      <c r="K411" s="6" t="str">
        <f>IF(GameLog[[#This Row],[Date]]=MAX(GameLog[Date]),"Current","Previous")</f>
        <v>Previous</v>
      </c>
      <c r="L411" s="6"/>
      <c r="M4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1" s="6" t="str">
        <f ca="1">IF(GameLog[[#This Row],[Check]]="","",COUNTIF(GameLog[[#Headers],[Check]]:GameLog[[#This Row],[Check]],"?*")-1)</f>
        <v/>
      </c>
      <c r="O411" s="6" t="str">
        <f>IFERROR(INDEX(Players[New name],MATCH(GameLog[[#This Row],[Player]],Players[Name],0)),GameLog[[#This Row],[Player]])</f>
        <v>Bryce C</v>
      </c>
    </row>
    <row r="412" spans="1:15" x14ac:dyDescent="0.45">
      <c r="A412" s="6" t="s">
        <v>85</v>
      </c>
      <c r="B412" s="6" t="s">
        <v>53</v>
      </c>
      <c r="C412" s="6">
        <v>3</v>
      </c>
      <c r="D412" s="6">
        <v>2</v>
      </c>
      <c r="E412" s="6">
        <v>2</v>
      </c>
      <c r="F412" s="10">
        <v>45957</v>
      </c>
      <c r="G412" s="6" t="str">
        <f>_xlfn.TEXTJOIN("|",TRUE,GameLog[[#This Row],[Pod]],TEXT(INT(GameLog[[#This Row],[Round]]),"yyyymmdd"),GameLog[[#This Row],[Date]])</f>
        <v>2|19000102|45957</v>
      </c>
      <c r="H412" s="6">
        <f>COUNTIF(GameLog[Pod ID],GameLog[[#This Row],[Pod ID]])</f>
        <v>5</v>
      </c>
      <c r="I412" s="6">
        <f>YEAR(GameLog[[#This Row],[Date]])</f>
        <v>2025</v>
      </c>
      <c r="J412" s="6">
        <f>MONTH(GameLog[[#This Row],[Date]])</f>
        <v>10</v>
      </c>
      <c r="K412" s="6" t="str">
        <f>IF(GameLog[[#This Row],[Date]]=MAX(GameLog[Date]),"Current","Previous")</f>
        <v>Previous</v>
      </c>
      <c r="L412" s="6"/>
      <c r="M4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2" s="6" t="str">
        <f ca="1">IF(GameLog[[#This Row],[Check]]="","",COUNTIF(GameLog[[#Headers],[Check]]:GameLog[[#This Row],[Check]],"?*")-1)</f>
        <v/>
      </c>
      <c r="O412" s="6" t="str">
        <f>IFERROR(INDEX(Players[New name],MATCH(GameLog[[#This Row],[Player]],Players[Name],0)),GameLog[[#This Row],[Player]])</f>
        <v>Logan</v>
      </c>
    </row>
    <row r="413" spans="1:15" x14ac:dyDescent="0.45">
      <c r="A413" s="6" t="s">
        <v>82</v>
      </c>
      <c r="B413" s="6" t="s">
        <v>53</v>
      </c>
      <c r="C413" s="6">
        <v>4</v>
      </c>
      <c r="D413" s="6">
        <v>2</v>
      </c>
      <c r="E413" s="6">
        <v>2</v>
      </c>
      <c r="F413" s="10">
        <v>45957</v>
      </c>
      <c r="G413" s="6" t="str">
        <f>_xlfn.TEXTJOIN("|",TRUE,GameLog[[#This Row],[Pod]],TEXT(INT(GameLog[[#This Row],[Round]]),"yyyymmdd"),GameLog[[#This Row],[Date]])</f>
        <v>2|19000102|45957</v>
      </c>
      <c r="H413" s="6">
        <f>COUNTIF(GameLog[Pod ID],GameLog[[#This Row],[Pod ID]])</f>
        <v>5</v>
      </c>
      <c r="I413" s="6">
        <f>YEAR(GameLog[[#This Row],[Date]])</f>
        <v>2025</v>
      </c>
      <c r="J413" s="6">
        <f>MONTH(GameLog[[#This Row],[Date]])</f>
        <v>10</v>
      </c>
      <c r="K413" s="6" t="str">
        <f>IF(GameLog[[#This Row],[Date]]=MAX(GameLog[Date]),"Current","Previous")</f>
        <v>Previous</v>
      </c>
      <c r="L413" s="6"/>
      <c r="M4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3" s="6" t="str">
        <f ca="1">IF(GameLog[[#This Row],[Check]]="","",COUNTIF(GameLog[[#Headers],[Check]]:GameLog[[#This Row],[Check]],"?*")-1)</f>
        <v/>
      </c>
      <c r="O413" s="6" t="str">
        <f>IFERROR(INDEX(Players[New name],MATCH(GameLog[[#This Row],[Player]],Players[Name],0)),GameLog[[#This Row],[Player]])</f>
        <v>Nick D</v>
      </c>
    </row>
    <row r="414" spans="1:15" x14ac:dyDescent="0.45">
      <c r="A414" s="6" t="s">
        <v>69</v>
      </c>
      <c r="B414" s="6" t="s">
        <v>53</v>
      </c>
      <c r="C414" s="6">
        <v>5</v>
      </c>
      <c r="D414" s="6">
        <v>2</v>
      </c>
      <c r="E414" s="6">
        <v>2</v>
      </c>
      <c r="F414" s="10">
        <v>45957</v>
      </c>
      <c r="G414" s="6" t="str">
        <f>_xlfn.TEXTJOIN("|",TRUE,GameLog[[#This Row],[Pod]],TEXT(INT(GameLog[[#This Row],[Round]]),"yyyymmdd"),GameLog[[#This Row],[Date]])</f>
        <v>2|19000102|45957</v>
      </c>
      <c r="H414" s="6">
        <f>COUNTIF(GameLog[Pod ID],GameLog[[#This Row],[Pod ID]])</f>
        <v>5</v>
      </c>
      <c r="I414" s="6">
        <f>YEAR(GameLog[[#This Row],[Date]])</f>
        <v>2025</v>
      </c>
      <c r="J414" s="6">
        <f>MONTH(GameLog[[#This Row],[Date]])</f>
        <v>10</v>
      </c>
      <c r="K414" s="6" t="str">
        <f>IF(GameLog[[#This Row],[Date]]=MAX(GameLog[Date]),"Current","Previous")</f>
        <v>Previous</v>
      </c>
      <c r="L414" s="6"/>
      <c r="M4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4" s="6" t="str">
        <f ca="1">IF(GameLog[[#This Row],[Check]]="","",COUNTIF(GameLog[[#Headers],[Check]]:GameLog[[#This Row],[Check]],"?*")-1)</f>
        <v/>
      </c>
      <c r="O414" s="6" t="str">
        <f>IFERROR(INDEX(Players[New name],MATCH(GameLog[[#This Row],[Player]],Players[Name],0)),GameLog[[#This Row],[Player]])</f>
        <v>Ryan T</v>
      </c>
    </row>
    <row r="415" spans="1:15" x14ac:dyDescent="0.45">
      <c r="A415" s="6" t="s">
        <v>65</v>
      </c>
      <c r="B415" s="6" t="s">
        <v>50</v>
      </c>
      <c r="C415" s="6">
        <v>1</v>
      </c>
      <c r="D415" s="6">
        <v>3</v>
      </c>
      <c r="E415" s="6">
        <v>2</v>
      </c>
      <c r="F415" s="10">
        <v>45957</v>
      </c>
      <c r="G415" s="6" t="str">
        <f>_xlfn.TEXTJOIN("|",TRUE,GameLog[[#This Row],[Pod]],TEXT(INT(GameLog[[#This Row],[Round]]),"yyyymmdd"),GameLog[[#This Row],[Date]])</f>
        <v>3|19000102|45957</v>
      </c>
      <c r="H415" s="6">
        <f>COUNTIF(GameLog[Pod ID],GameLog[[#This Row],[Pod ID]])</f>
        <v>5</v>
      </c>
      <c r="I415" s="6">
        <f>YEAR(GameLog[[#This Row],[Date]])</f>
        <v>2025</v>
      </c>
      <c r="J415" s="6">
        <f>MONTH(GameLog[[#This Row],[Date]])</f>
        <v>10</v>
      </c>
      <c r="K415" s="6" t="str">
        <f>IF(GameLog[[#This Row],[Date]]=MAX(GameLog[Date]),"Current","Previous")</f>
        <v>Previous</v>
      </c>
      <c r="L415" s="6"/>
      <c r="M4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5" s="6" t="str">
        <f ca="1">IF(GameLog[[#This Row],[Check]]="","",COUNTIF(GameLog[[#Headers],[Check]]:GameLog[[#This Row],[Check]],"?*")-1)</f>
        <v/>
      </c>
      <c r="O415" s="6" t="str">
        <f>IFERROR(INDEX(Players[New name],MATCH(GameLog[[#This Row],[Player]],Players[Name],0)),GameLog[[#This Row],[Player]])</f>
        <v>Mitch</v>
      </c>
    </row>
    <row r="416" spans="1:15" x14ac:dyDescent="0.45">
      <c r="A416" s="6" t="s">
        <v>49</v>
      </c>
      <c r="B416" s="6" t="s">
        <v>53</v>
      </c>
      <c r="C416" s="6">
        <v>2</v>
      </c>
      <c r="D416" s="6">
        <v>3</v>
      </c>
      <c r="E416" s="6">
        <v>2</v>
      </c>
      <c r="F416" s="10">
        <v>45957</v>
      </c>
      <c r="G416" s="6" t="str">
        <f>_xlfn.TEXTJOIN("|",TRUE,GameLog[[#This Row],[Pod]],TEXT(INT(GameLog[[#This Row],[Round]]),"yyyymmdd"),GameLog[[#This Row],[Date]])</f>
        <v>3|19000102|45957</v>
      </c>
      <c r="H416" s="6">
        <f>COUNTIF(GameLog[Pod ID],GameLog[[#This Row],[Pod ID]])</f>
        <v>5</v>
      </c>
      <c r="I416" s="6">
        <f>YEAR(GameLog[[#This Row],[Date]])</f>
        <v>2025</v>
      </c>
      <c r="J416" s="6">
        <f>MONTH(GameLog[[#This Row],[Date]])</f>
        <v>10</v>
      </c>
      <c r="K416" s="6" t="str">
        <f>IF(GameLog[[#This Row],[Date]]=MAX(GameLog[Date]),"Current","Previous")</f>
        <v>Previous</v>
      </c>
      <c r="L416" s="6"/>
      <c r="M4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6" s="6" t="str">
        <f ca="1">IF(GameLog[[#This Row],[Check]]="","",COUNTIF(GameLog[[#Headers],[Check]]:GameLog[[#This Row],[Check]],"?*")-1)</f>
        <v/>
      </c>
      <c r="O416" s="6" t="str">
        <f>IFERROR(INDEX(Players[New name],MATCH(GameLog[[#This Row],[Player]],Players[Name],0)),GameLog[[#This Row],[Player]])</f>
        <v>Brett R</v>
      </c>
    </row>
    <row r="417" spans="1:15" x14ac:dyDescent="0.45">
      <c r="A417" s="6" t="s">
        <v>80</v>
      </c>
      <c r="B417" s="6" t="s">
        <v>53</v>
      </c>
      <c r="C417" s="6">
        <v>3</v>
      </c>
      <c r="D417" s="6">
        <v>3</v>
      </c>
      <c r="E417" s="6">
        <v>2</v>
      </c>
      <c r="F417" s="10">
        <v>45957</v>
      </c>
      <c r="G417" s="6" t="str">
        <f>_xlfn.TEXTJOIN("|",TRUE,GameLog[[#This Row],[Pod]],TEXT(INT(GameLog[[#This Row],[Round]]),"yyyymmdd"),GameLog[[#This Row],[Date]])</f>
        <v>3|19000102|45957</v>
      </c>
      <c r="H417" s="6">
        <f>COUNTIF(GameLog[Pod ID],GameLog[[#This Row],[Pod ID]])</f>
        <v>5</v>
      </c>
      <c r="I417" s="6">
        <f>YEAR(GameLog[[#This Row],[Date]])</f>
        <v>2025</v>
      </c>
      <c r="J417" s="6">
        <f>MONTH(GameLog[[#This Row],[Date]])</f>
        <v>10</v>
      </c>
      <c r="K417" s="6" t="str">
        <f>IF(GameLog[[#This Row],[Date]]=MAX(GameLog[Date]),"Current","Previous")</f>
        <v>Previous</v>
      </c>
      <c r="L417" s="6"/>
      <c r="M4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7" s="6" t="str">
        <f ca="1">IF(GameLog[[#This Row],[Check]]="","",COUNTIF(GameLog[[#Headers],[Check]]:GameLog[[#This Row],[Check]],"?*")-1)</f>
        <v/>
      </c>
      <c r="O417" s="6" t="str">
        <f>IFERROR(INDEX(Players[New name],MATCH(GameLog[[#This Row],[Player]],Players[Name],0)),GameLog[[#This Row],[Player]])</f>
        <v>Jeremiah</v>
      </c>
    </row>
    <row r="418" spans="1:15" x14ac:dyDescent="0.45">
      <c r="A418" s="6" t="s">
        <v>84</v>
      </c>
      <c r="B418" s="6" t="s">
        <v>53</v>
      </c>
      <c r="C418" s="6">
        <v>4</v>
      </c>
      <c r="D418" s="6">
        <v>3</v>
      </c>
      <c r="E418" s="6">
        <v>2</v>
      </c>
      <c r="F418" s="10">
        <v>45957</v>
      </c>
      <c r="G418" s="6" t="str">
        <f>_xlfn.TEXTJOIN("|",TRUE,GameLog[[#This Row],[Pod]],TEXT(INT(GameLog[[#This Row],[Round]]),"yyyymmdd"),GameLog[[#This Row],[Date]])</f>
        <v>3|19000102|45957</v>
      </c>
      <c r="H418" s="6">
        <f>COUNTIF(GameLog[Pod ID],GameLog[[#This Row],[Pod ID]])</f>
        <v>5</v>
      </c>
      <c r="I418" s="6">
        <f>YEAR(GameLog[[#This Row],[Date]])</f>
        <v>2025</v>
      </c>
      <c r="J418" s="6">
        <f>MONTH(GameLog[[#This Row],[Date]])</f>
        <v>10</v>
      </c>
      <c r="K418" s="6" t="str">
        <f>IF(GameLog[[#This Row],[Date]]=MAX(GameLog[Date]),"Current","Previous")</f>
        <v>Previous</v>
      </c>
      <c r="L418" s="6"/>
      <c r="M4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8" s="6" t="str">
        <f ca="1">IF(GameLog[[#This Row],[Check]]="","",COUNTIF(GameLog[[#Headers],[Check]]:GameLog[[#This Row],[Check]],"?*")-1)</f>
        <v/>
      </c>
      <c r="O418" s="6" t="str">
        <f>IFERROR(INDEX(Players[New name],MATCH(GameLog[[#This Row],[Player]],Players[Name],0)),GameLog[[#This Row],[Player]])</f>
        <v>Zach D</v>
      </c>
    </row>
    <row r="419" spans="1:15" x14ac:dyDescent="0.45">
      <c r="A419" s="6" t="s">
        <v>73</v>
      </c>
      <c r="B419" s="6" t="s">
        <v>53</v>
      </c>
      <c r="C419" s="6">
        <v>5</v>
      </c>
      <c r="D419" s="6">
        <v>3</v>
      </c>
      <c r="E419" s="6">
        <v>2</v>
      </c>
      <c r="F419" s="10">
        <v>45957</v>
      </c>
      <c r="G419" s="6" t="str">
        <f>_xlfn.TEXTJOIN("|",TRUE,GameLog[[#This Row],[Pod]],TEXT(INT(GameLog[[#This Row],[Round]]),"yyyymmdd"),GameLog[[#This Row],[Date]])</f>
        <v>3|19000102|45957</v>
      </c>
      <c r="H419" s="6">
        <f>COUNTIF(GameLog[Pod ID],GameLog[[#This Row],[Pod ID]])</f>
        <v>5</v>
      </c>
      <c r="I419" s="6">
        <f>YEAR(GameLog[[#This Row],[Date]])</f>
        <v>2025</v>
      </c>
      <c r="J419" s="6">
        <f>MONTH(GameLog[[#This Row],[Date]])</f>
        <v>10</v>
      </c>
      <c r="K419" s="6" t="str">
        <f>IF(GameLog[[#This Row],[Date]]=MAX(GameLog[Date]),"Current","Previous")</f>
        <v>Previous</v>
      </c>
      <c r="L419" s="6"/>
      <c r="M4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19" s="6" t="str">
        <f ca="1">IF(GameLog[[#This Row],[Check]]="","",COUNTIF(GameLog[[#Headers],[Check]]:GameLog[[#This Row],[Check]],"?*")-1)</f>
        <v/>
      </c>
      <c r="O419" s="6" t="str">
        <f>IFERROR(INDEX(Players[New name],MATCH(GameLog[[#This Row],[Player]],Players[Name],0)),GameLog[[#This Row],[Player]])</f>
        <v>Brandon B</v>
      </c>
    </row>
    <row r="420" spans="1:15" x14ac:dyDescent="0.45">
      <c r="A420" s="6" t="s">
        <v>63</v>
      </c>
      <c r="B420" s="6" t="s">
        <v>53</v>
      </c>
      <c r="C420" s="6">
        <v>1</v>
      </c>
      <c r="D420" s="6">
        <v>4</v>
      </c>
      <c r="E420" s="6">
        <v>2</v>
      </c>
      <c r="F420" s="10">
        <v>45957</v>
      </c>
      <c r="G420" s="6" t="str">
        <f>_xlfn.TEXTJOIN("|",TRUE,GameLog[[#This Row],[Pod]],TEXT(INT(GameLog[[#This Row],[Round]]),"yyyymmdd"),GameLog[[#This Row],[Date]])</f>
        <v>4|19000102|45957</v>
      </c>
      <c r="H420" s="6">
        <f>COUNTIF(GameLog[Pod ID],GameLog[[#This Row],[Pod ID]])</f>
        <v>5</v>
      </c>
      <c r="I420" s="6">
        <f>YEAR(GameLog[[#This Row],[Date]])</f>
        <v>2025</v>
      </c>
      <c r="J420" s="6">
        <f>MONTH(GameLog[[#This Row],[Date]])</f>
        <v>10</v>
      </c>
      <c r="K420" s="6" t="str">
        <f>IF(GameLog[[#This Row],[Date]]=MAX(GameLog[Date]),"Current","Previous")</f>
        <v>Previous</v>
      </c>
      <c r="L420" s="6"/>
      <c r="M4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0" s="6" t="str">
        <f ca="1">IF(GameLog[[#This Row],[Check]]="","",COUNTIF(GameLog[[#Headers],[Check]]:GameLog[[#This Row],[Check]],"?*")-1)</f>
        <v/>
      </c>
      <c r="O420" s="6" t="str">
        <f>IFERROR(INDEX(Players[New name],MATCH(GameLog[[#This Row],[Player]],Players[Name],0)),GameLog[[#This Row],[Player]])</f>
        <v>Jake D</v>
      </c>
    </row>
    <row r="421" spans="1:15" x14ac:dyDescent="0.45">
      <c r="A421" s="6" t="s">
        <v>86</v>
      </c>
      <c r="B421" s="6" t="s">
        <v>53</v>
      </c>
      <c r="C421" s="6">
        <v>2</v>
      </c>
      <c r="D421" s="6">
        <v>4</v>
      </c>
      <c r="E421" s="6">
        <v>2</v>
      </c>
      <c r="F421" s="10">
        <v>45957</v>
      </c>
      <c r="G421" s="6" t="str">
        <f>_xlfn.TEXTJOIN("|",TRUE,GameLog[[#This Row],[Pod]],TEXT(INT(GameLog[[#This Row],[Round]]),"yyyymmdd"),GameLog[[#This Row],[Date]])</f>
        <v>4|19000102|45957</v>
      </c>
      <c r="H421" s="6">
        <f>COUNTIF(GameLog[Pod ID],GameLog[[#This Row],[Pod ID]])</f>
        <v>5</v>
      </c>
      <c r="I421" s="6">
        <f>YEAR(GameLog[[#This Row],[Date]])</f>
        <v>2025</v>
      </c>
      <c r="J421" s="6">
        <f>MONTH(GameLog[[#This Row],[Date]])</f>
        <v>10</v>
      </c>
      <c r="K421" s="6" t="str">
        <f>IF(GameLog[[#This Row],[Date]]=MAX(GameLog[Date]),"Current","Previous")</f>
        <v>Previous</v>
      </c>
      <c r="L421" s="6"/>
      <c r="M4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1" s="6" t="str">
        <f ca="1">IF(GameLog[[#This Row],[Check]]="","",COUNTIF(GameLog[[#Headers],[Check]]:GameLog[[#This Row],[Check]],"?*")-1)</f>
        <v/>
      </c>
      <c r="O421" s="6" t="str">
        <f>IFERROR(INDEX(Players[New name],MATCH(GameLog[[#This Row],[Player]],Players[Name],0)),GameLog[[#This Row],[Player]])</f>
        <v>Steve C</v>
      </c>
    </row>
    <row r="422" spans="1:15" x14ac:dyDescent="0.45">
      <c r="A422" s="6" t="s">
        <v>58</v>
      </c>
      <c r="B422" s="6" t="s">
        <v>53</v>
      </c>
      <c r="C422" s="6">
        <v>3</v>
      </c>
      <c r="D422" s="6">
        <v>4</v>
      </c>
      <c r="E422" s="6">
        <v>2</v>
      </c>
      <c r="F422" s="10">
        <v>45957</v>
      </c>
      <c r="G422" s="6" t="str">
        <f>_xlfn.TEXTJOIN("|",TRUE,GameLog[[#This Row],[Pod]],TEXT(INT(GameLog[[#This Row],[Round]]),"yyyymmdd"),GameLog[[#This Row],[Date]])</f>
        <v>4|19000102|45957</v>
      </c>
      <c r="H422" s="6">
        <f>COUNTIF(GameLog[Pod ID],GameLog[[#This Row],[Pod ID]])</f>
        <v>5</v>
      </c>
      <c r="I422" s="6">
        <f>YEAR(GameLog[[#This Row],[Date]])</f>
        <v>2025</v>
      </c>
      <c r="J422" s="6">
        <f>MONTH(GameLog[[#This Row],[Date]])</f>
        <v>10</v>
      </c>
      <c r="K422" s="6" t="str">
        <f>IF(GameLog[[#This Row],[Date]]=MAX(GameLog[Date]),"Current","Previous")</f>
        <v>Previous</v>
      </c>
      <c r="L422" s="6"/>
      <c r="M4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2" s="6" t="str">
        <f ca="1">IF(GameLog[[#This Row],[Check]]="","",COUNTIF(GameLog[[#Headers],[Check]]:GameLog[[#This Row],[Check]],"?*")-1)</f>
        <v/>
      </c>
      <c r="O422" s="6" t="str">
        <f>IFERROR(INDEX(Players[New name],MATCH(GameLog[[#This Row],[Player]],Players[Name],0)),GameLog[[#This Row],[Player]])</f>
        <v>Dakota P</v>
      </c>
    </row>
    <row r="423" spans="1:15" x14ac:dyDescent="0.45">
      <c r="A423" s="6" t="s">
        <v>64</v>
      </c>
      <c r="B423" s="6" t="s">
        <v>53</v>
      </c>
      <c r="C423" s="6">
        <v>4</v>
      </c>
      <c r="D423" s="6">
        <v>4</v>
      </c>
      <c r="E423" s="6">
        <v>2</v>
      </c>
      <c r="F423" s="10">
        <v>45957</v>
      </c>
      <c r="G423" s="6" t="str">
        <f>_xlfn.TEXTJOIN("|",TRUE,GameLog[[#This Row],[Pod]],TEXT(INT(GameLog[[#This Row],[Round]]),"yyyymmdd"),GameLog[[#This Row],[Date]])</f>
        <v>4|19000102|45957</v>
      </c>
      <c r="H423" s="6">
        <f>COUNTIF(GameLog[Pod ID],GameLog[[#This Row],[Pod ID]])</f>
        <v>5</v>
      </c>
      <c r="I423" s="6">
        <f>YEAR(GameLog[[#This Row],[Date]])</f>
        <v>2025</v>
      </c>
      <c r="J423" s="6">
        <f>MONTH(GameLog[[#This Row],[Date]])</f>
        <v>10</v>
      </c>
      <c r="K423" s="6" t="str">
        <f>IF(GameLog[[#This Row],[Date]]=MAX(GameLog[Date]),"Current","Previous")</f>
        <v>Previous</v>
      </c>
      <c r="L423" s="6"/>
      <c r="M4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3" s="6" t="str">
        <f ca="1">IF(GameLog[[#This Row],[Check]]="","",COUNTIF(GameLog[[#Headers],[Check]]:GameLog[[#This Row],[Check]],"?*")-1)</f>
        <v/>
      </c>
      <c r="O423" s="6" t="str">
        <f>IFERROR(INDEX(Players[New name],MATCH(GameLog[[#This Row],[Player]],Players[Name],0)),GameLog[[#This Row],[Player]])</f>
        <v>Tyler B</v>
      </c>
    </row>
    <row r="424" spans="1:15" x14ac:dyDescent="0.45">
      <c r="A424" s="6" t="s">
        <v>81</v>
      </c>
      <c r="B424" s="6" t="s">
        <v>50</v>
      </c>
      <c r="C424" s="6">
        <v>5</v>
      </c>
      <c r="D424" s="6">
        <v>4</v>
      </c>
      <c r="E424" s="6">
        <v>2</v>
      </c>
      <c r="F424" s="10">
        <v>45957</v>
      </c>
      <c r="G424" s="6" t="str">
        <f>_xlfn.TEXTJOIN("|",TRUE,GameLog[[#This Row],[Pod]],TEXT(INT(GameLog[[#This Row],[Round]]),"yyyymmdd"),GameLog[[#This Row],[Date]])</f>
        <v>4|19000102|45957</v>
      </c>
      <c r="H424" s="6">
        <f>COUNTIF(GameLog[Pod ID],GameLog[[#This Row],[Pod ID]])</f>
        <v>5</v>
      </c>
      <c r="I424" s="6">
        <f>YEAR(GameLog[[#This Row],[Date]])</f>
        <v>2025</v>
      </c>
      <c r="J424" s="6">
        <f>MONTH(GameLog[[#This Row],[Date]])</f>
        <v>10</v>
      </c>
      <c r="K424" s="6" t="str">
        <f>IF(GameLog[[#This Row],[Date]]=MAX(GameLog[Date]),"Current","Previous")</f>
        <v>Previous</v>
      </c>
      <c r="L424" s="6"/>
      <c r="M4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4" s="6" t="str">
        <f ca="1">IF(GameLog[[#This Row],[Check]]="","",COUNTIF(GameLog[[#Headers],[Check]]:GameLog[[#This Row],[Check]],"?*")-1)</f>
        <v/>
      </c>
      <c r="O424" s="6" t="str">
        <f>IFERROR(INDEX(Players[New name],MATCH(GameLog[[#This Row],[Player]],Players[Name],0)),GameLog[[#This Row],[Player]])</f>
        <v>Forrest</v>
      </c>
    </row>
    <row r="425" spans="1:15" x14ac:dyDescent="0.45">
      <c r="A425" s="6" t="s">
        <v>55</v>
      </c>
      <c r="B425" s="6" t="s">
        <v>50</v>
      </c>
      <c r="C425" s="6">
        <v>1</v>
      </c>
      <c r="D425" s="6">
        <v>1</v>
      </c>
      <c r="E425" s="6">
        <v>1</v>
      </c>
      <c r="F425" s="10">
        <v>45964</v>
      </c>
      <c r="G425" s="6" t="str">
        <f>_xlfn.TEXTJOIN("|",TRUE,GameLog[[#This Row],[Pod]],TEXT(INT(GameLog[[#This Row],[Round]]),"yyyymmdd"),GameLog[[#This Row],[Date]])</f>
        <v>1|19000101|45964</v>
      </c>
      <c r="H425" s="6">
        <f>COUNTIF(GameLog[Pod ID],GameLog[[#This Row],[Pod ID]])</f>
        <v>5</v>
      </c>
      <c r="I425" s="6">
        <f>YEAR(GameLog[[#This Row],[Date]])</f>
        <v>2025</v>
      </c>
      <c r="J425" s="6">
        <f>MONTH(GameLog[[#This Row],[Date]])</f>
        <v>11</v>
      </c>
      <c r="K425" s="6" t="str">
        <f>IF(GameLog[[#This Row],[Date]]=MAX(GameLog[Date]),"Current","Previous")</f>
        <v>Previous</v>
      </c>
      <c r="L425" s="6"/>
      <c r="M4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5" s="6" t="str">
        <f ca="1">IF(GameLog[[#This Row],[Check]]="","",COUNTIF(GameLog[[#Headers],[Check]]:GameLog[[#This Row],[Check]],"?*")-1)</f>
        <v/>
      </c>
      <c r="O425" s="6" t="str">
        <f>IFERROR(INDEX(Players[New name],MATCH(GameLog[[#This Row],[Player]],Players[Name],0)),GameLog[[#This Row],[Player]])</f>
        <v>Bryce C</v>
      </c>
    </row>
    <row r="426" spans="1:15" x14ac:dyDescent="0.45">
      <c r="A426" s="6" t="s">
        <v>61</v>
      </c>
      <c r="B426" s="6" t="s">
        <v>53</v>
      </c>
      <c r="C426" s="6">
        <v>2</v>
      </c>
      <c r="D426" s="6">
        <v>1</v>
      </c>
      <c r="E426" s="6">
        <v>1</v>
      </c>
      <c r="F426" s="10">
        <v>45964</v>
      </c>
      <c r="G426" s="6" t="str">
        <f>_xlfn.TEXTJOIN("|",TRUE,GameLog[[#This Row],[Pod]],TEXT(INT(GameLog[[#This Row],[Round]]),"yyyymmdd"),GameLog[[#This Row],[Date]])</f>
        <v>1|19000101|45964</v>
      </c>
      <c r="H426" s="6">
        <f>COUNTIF(GameLog[Pod ID],GameLog[[#This Row],[Pod ID]])</f>
        <v>5</v>
      </c>
      <c r="I426" s="6">
        <f>YEAR(GameLog[[#This Row],[Date]])</f>
        <v>2025</v>
      </c>
      <c r="J426" s="6">
        <f>MONTH(GameLog[[#This Row],[Date]])</f>
        <v>11</v>
      </c>
      <c r="K426" s="6" t="str">
        <f>IF(GameLog[[#This Row],[Date]]=MAX(GameLog[Date]),"Current","Previous")</f>
        <v>Previous</v>
      </c>
      <c r="L426" s="6"/>
      <c r="M4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6" s="6" t="str">
        <f ca="1">IF(GameLog[[#This Row],[Check]]="","",COUNTIF(GameLog[[#Headers],[Check]]:GameLog[[#This Row],[Check]],"?*")-1)</f>
        <v/>
      </c>
      <c r="O426" s="6" t="str">
        <f>IFERROR(INDEX(Players[New name],MATCH(GameLog[[#This Row],[Player]],Players[Name],0)),GameLog[[#This Row],[Player]])</f>
        <v>Trevor</v>
      </c>
    </row>
    <row r="427" spans="1:15" x14ac:dyDescent="0.45">
      <c r="A427" s="6" t="s">
        <v>49</v>
      </c>
      <c r="B427" s="6" t="s">
        <v>53</v>
      </c>
      <c r="C427" s="6">
        <v>3</v>
      </c>
      <c r="D427" s="6">
        <v>1</v>
      </c>
      <c r="E427" s="6">
        <v>1</v>
      </c>
      <c r="F427" s="10">
        <v>45964</v>
      </c>
      <c r="G427" s="6" t="str">
        <f>_xlfn.TEXTJOIN("|",TRUE,GameLog[[#This Row],[Pod]],TEXT(INT(GameLog[[#This Row],[Round]]),"yyyymmdd"),GameLog[[#This Row],[Date]])</f>
        <v>1|19000101|45964</v>
      </c>
      <c r="H427" s="6">
        <f>COUNTIF(GameLog[Pod ID],GameLog[[#This Row],[Pod ID]])</f>
        <v>5</v>
      </c>
      <c r="I427" s="6">
        <f>YEAR(GameLog[[#This Row],[Date]])</f>
        <v>2025</v>
      </c>
      <c r="J427" s="6">
        <f>MONTH(GameLog[[#This Row],[Date]])</f>
        <v>11</v>
      </c>
      <c r="K427" s="6" t="str">
        <f>IF(GameLog[[#This Row],[Date]]=MAX(GameLog[Date]),"Current","Previous")</f>
        <v>Previous</v>
      </c>
      <c r="L427" s="6"/>
      <c r="M4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7" s="6" t="str">
        <f ca="1">IF(GameLog[[#This Row],[Check]]="","",COUNTIF(GameLog[[#Headers],[Check]]:GameLog[[#This Row],[Check]],"?*")-1)</f>
        <v/>
      </c>
      <c r="O427" s="6" t="str">
        <f>IFERROR(INDEX(Players[New name],MATCH(GameLog[[#This Row],[Player]],Players[Name],0)),GameLog[[#This Row],[Player]])</f>
        <v>Brett R</v>
      </c>
    </row>
    <row r="428" spans="1:15" x14ac:dyDescent="0.45">
      <c r="A428" s="6" t="s">
        <v>60</v>
      </c>
      <c r="B428" s="6" t="s">
        <v>53</v>
      </c>
      <c r="C428" s="6">
        <v>4</v>
      </c>
      <c r="D428" s="6">
        <v>1</v>
      </c>
      <c r="E428" s="6">
        <v>1</v>
      </c>
      <c r="F428" s="10">
        <v>45964</v>
      </c>
      <c r="G428" s="6" t="str">
        <f>_xlfn.TEXTJOIN("|",TRUE,GameLog[[#This Row],[Pod]],TEXT(INT(GameLog[[#This Row],[Round]]),"yyyymmdd"),GameLog[[#This Row],[Date]])</f>
        <v>1|19000101|45964</v>
      </c>
      <c r="H428" s="6">
        <f>COUNTIF(GameLog[Pod ID],GameLog[[#This Row],[Pod ID]])</f>
        <v>5</v>
      </c>
      <c r="I428" s="6">
        <f>YEAR(GameLog[[#This Row],[Date]])</f>
        <v>2025</v>
      </c>
      <c r="J428" s="6">
        <f>MONTH(GameLog[[#This Row],[Date]])</f>
        <v>11</v>
      </c>
      <c r="K428" s="6" t="str">
        <f>IF(GameLog[[#This Row],[Date]]=MAX(GameLog[Date]),"Current","Previous")</f>
        <v>Previous</v>
      </c>
      <c r="L428" s="6"/>
      <c r="M4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8" s="6" t="str">
        <f ca="1">IF(GameLog[[#This Row],[Check]]="","",COUNTIF(GameLog[[#Headers],[Check]]:GameLog[[#This Row],[Check]],"?*")-1)</f>
        <v/>
      </c>
      <c r="O428" s="6" t="str">
        <f>IFERROR(INDEX(Players[New name],MATCH(GameLog[[#This Row],[Player]],Players[Name],0)),GameLog[[#This Row],[Player]])</f>
        <v>Brendan H</v>
      </c>
    </row>
    <row r="429" spans="1:15" x14ac:dyDescent="0.45">
      <c r="A429" s="6" t="s">
        <v>76</v>
      </c>
      <c r="B429" s="6" t="s">
        <v>53</v>
      </c>
      <c r="C429" s="6">
        <v>5</v>
      </c>
      <c r="D429" s="6">
        <v>1</v>
      </c>
      <c r="E429" s="6">
        <v>1</v>
      </c>
      <c r="F429" s="10">
        <v>45964</v>
      </c>
      <c r="G429" s="6" t="str">
        <f>_xlfn.TEXTJOIN("|",TRUE,GameLog[[#This Row],[Pod]],TEXT(INT(GameLog[[#This Row],[Round]]),"yyyymmdd"),GameLog[[#This Row],[Date]])</f>
        <v>1|19000101|45964</v>
      </c>
      <c r="H429" s="6">
        <f>COUNTIF(GameLog[Pod ID],GameLog[[#This Row],[Pod ID]])</f>
        <v>5</v>
      </c>
      <c r="I429" s="6">
        <f>YEAR(GameLog[[#This Row],[Date]])</f>
        <v>2025</v>
      </c>
      <c r="J429" s="6">
        <f>MONTH(GameLog[[#This Row],[Date]])</f>
        <v>11</v>
      </c>
      <c r="K429" s="6" t="str">
        <f>IF(GameLog[[#This Row],[Date]]=MAX(GameLog[Date]),"Current","Previous")</f>
        <v>Previous</v>
      </c>
      <c r="L429" s="6"/>
      <c r="M4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29" s="6" t="str">
        <f ca="1">IF(GameLog[[#This Row],[Check]]="","",COUNTIF(GameLog[[#Headers],[Check]]:GameLog[[#This Row],[Check]],"?*")-1)</f>
        <v/>
      </c>
      <c r="O429" s="6" t="str">
        <f>IFERROR(INDEX(Players[New name],MATCH(GameLog[[#This Row],[Player]],Players[Name],0)),GameLog[[#This Row],[Player]])</f>
        <v>Jon M</v>
      </c>
    </row>
    <row r="430" spans="1:15" x14ac:dyDescent="0.45">
      <c r="A430" s="6" t="s">
        <v>82</v>
      </c>
      <c r="B430" s="6" t="s">
        <v>53</v>
      </c>
      <c r="C430" s="6">
        <v>1</v>
      </c>
      <c r="D430" s="6">
        <v>2</v>
      </c>
      <c r="E430" s="6">
        <v>1</v>
      </c>
      <c r="F430" s="10">
        <v>45964</v>
      </c>
      <c r="G430" s="6" t="str">
        <f>_xlfn.TEXTJOIN("|",TRUE,GameLog[[#This Row],[Pod]],TEXT(INT(GameLog[[#This Row],[Round]]),"yyyymmdd"),GameLog[[#This Row],[Date]])</f>
        <v>2|19000101|45964</v>
      </c>
      <c r="H430" s="6">
        <f>COUNTIF(GameLog[Pod ID],GameLog[[#This Row],[Pod ID]])</f>
        <v>5</v>
      </c>
      <c r="I430" s="6">
        <f>YEAR(GameLog[[#This Row],[Date]])</f>
        <v>2025</v>
      </c>
      <c r="J430" s="6">
        <f>MONTH(GameLog[[#This Row],[Date]])</f>
        <v>11</v>
      </c>
      <c r="K430" s="6" t="str">
        <f>IF(GameLog[[#This Row],[Date]]=MAX(GameLog[Date]),"Current","Previous")</f>
        <v>Previous</v>
      </c>
      <c r="L430" s="6"/>
      <c r="M4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0" s="6" t="str">
        <f ca="1">IF(GameLog[[#This Row],[Check]]="","",COUNTIF(GameLog[[#Headers],[Check]]:GameLog[[#This Row],[Check]],"?*")-1)</f>
        <v/>
      </c>
      <c r="O430" s="6" t="str">
        <f>IFERROR(INDEX(Players[New name],MATCH(GameLog[[#This Row],[Player]],Players[Name],0)),GameLog[[#This Row],[Player]])</f>
        <v>Nick D</v>
      </c>
    </row>
    <row r="431" spans="1:15" x14ac:dyDescent="0.45">
      <c r="A431" s="6" t="s">
        <v>84</v>
      </c>
      <c r="B431" s="6" t="s">
        <v>53</v>
      </c>
      <c r="C431" s="6">
        <v>2</v>
      </c>
      <c r="D431" s="6">
        <v>2</v>
      </c>
      <c r="E431" s="6">
        <v>1</v>
      </c>
      <c r="F431" s="10">
        <v>45964</v>
      </c>
      <c r="G431" s="6" t="str">
        <f>_xlfn.TEXTJOIN("|",TRUE,GameLog[[#This Row],[Pod]],TEXT(INT(GameLog[[#This Row],[Round]]),"yyyymmdd"),GameLog[[#This Row],[Date]])</f>
        <v>2|19000101|45964</v>
      </c>
      <c r="H431" s="6">
        <f>COUNTIF(GameLog[Pod ID],GameLog[[#This Row],[Pod ID]])</f>
        <v>5</v>
      </c>
      <c r="I431" s="6">
        <f>YEAR(GameLog[[#This Row],[Date]])</f>
        <v>2025</v>
      </c>
      <c r="J431" s="6">
        <f>MONTH(GameLog[[#This Row],[Date]])</f>
        <v>11</v>
      </c>
      <c r="K431" s="6" t="str">
        <f>IF(GameLog[[#This Row],[Date]]=MAX(GameLog[Date]),"Current","Previous")</f>
        <v>Previous</v>
      </c>
      <c r="L431" s="6"/>
      <c r="M4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1" s="6" t="str">
        <f ca="1">IF(GameLog[[#This Row],[Check]]="","",COUNTIF(GameLog[[#Headers],[Check]]:GameLog[[#This Row],[Check]],"?*")-1)</f>
        <v/>
      </c>
      <c r="O431" s="6" t="str">
        <f>IFERROR(INDEX(Players[New name],MATCH(GameLog[[#This Row],[Player]],Players[Name],0)),GameLog[[#This Row],[Player]])</f>
        <v>Zach D</v>
      </c>
    </row>
    <row r="432" spans="1:15" x14ac:dyDescent="0.45">
      <c r="A432" s="6" t="s">
        <v>86</v>
      </c>
      <c r="B432" s="6" t="s">
        <v>53</v>
      </c>
      <c r="C432" s="6">
        <v>3</v>
      </c>
      <c r="D432" s="6">
        <v>2</v>
      </c>
      <c r="E432" s="6">
        <v>1</v>
      </c>
      <c r="F432" s="10">
        <v>45964</v>
      </c>
      <c r="G432" s="6" t="str">
        <f>_xlfn.TEXTJOIN("|",TRUE,GameLog[[#This Row],[Pod]],TEXT(INT(GameLog[[#This Row],[Round]]),"yyyymmdd"),GameLog[[#This Row],[Date]])</f>
        <v>2|19000101|45964</v>
      </c>
      <c r="H432" s="6">
        <f>COUNTIF(GameLog[Pod ID],GameLog[[#This Row],[Pod ID]])</f>
        <v>5</v>
      </c>
      <c r="I432" s="6">
        <f>YEAR(GameLog[[#This Row],[Date]])</f>
        <v>2025</v>
      </c>
      <c r="J432" s="6">
        <f>MONTH(GameLog[[#This Row],[Date]])</f>
        <v>11</v>
      </c>
      <c r="K432" s="6" t="str">
        <f>IF(GameLog[[#This Row],[Date]]=MAX(GameLog[Date]),"Current","Previous")</f>
        <v>Previous</v>
      </c>
      <c r="L432" s="6"/>
      <c r="M4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2" s="6" t="str">
        <f ca="1">IF(GameLog[[#This Row],[Check]]="","",COUNTIF(GameLog[[#Headers],[Check]]:GameLog[[#This Row],[Check]],"?*")-1)</f>
        <v/>
      </c>
      <c r="O432" s="6" t="str">
        <f>IFERROR(INDEX(Players[New name],MATCH(GameLog[[#This Row],[Player]],Players[Name],0)),GameLog[[#This Row],[Player]])</f>
        <v>Steve C</v>
      </c>
    </row>
    <row r="433" spans="1:15" x14ac:dyDescent="0.45">
      <c r="A433" s="6" t="s">
        <v>89</v>
      </c>
      <c r="B433" s="6" t="s">
        <v>50</v>
      </c>
      <c r="C433" s="6">
        <v>4</v>
      </c>
      <c r="D433" s="6">
        <v>2</v>
      </c>
      <c r="E433" s="6">
        <v>1</v>
      </c>
      <c r="F433" s="10">
        <v>45964</v>
      </c>
      <c r="G433" s="6" t="str">
        <f>_xlfn.TEXTJOIN("|",TRUE,GameLog[[#This Row],[Pod]],TEXT(INT(GameLog[[#This Row],[Round]]),"yyyymmdd"),GameLog[[#This Row],[Date]])</f>
        <v>2|19000101|45964</v>
      </c>
      <c r="H433" s="6">
        <f>COUNTIF(GameLog[Pod ID],GameLog[[#This Row],[Pod ID]])</f>
        <v>5</v>
      </c>
      <c r="I433" s="6">
        <f>YEAR(GameLog[[#This Row],[Date]])</f>
        <v>2025</v>
      </c>
      <c r="J433" s="6">
        <f>MONTH(GameLog[[#This Row],[Date]])</f>
        <v>11</v>
      </c>
      <c r="K433" s="6" t="str">
        <f>IF(GameLog[[#This Row],[Date]]=MAX(GameLog[Date]),"Current","Previous")</f>
        <v>Previous</v>
      </c>
      <c r="L433" s="6"/>
      <c r="M4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3" s="6" t="str">
        <f ca="1">IF(GameLog[[#This Row],[Check]]="","",COUNTIF(GameLog[[#Headers],[Check]]:GameLog[[#This Row],[Check]],"?*")-1)</f>
        <v/>
      </c>
      <c r="O433" s="6" t="str">
        <f>IFERROR(INDEX(Players[New name],MATCH(GameLog[[#This Row],[Player]],Players[Name],0)),GameLog[[#This Row],[Player]])</f>
        <v>Fernando J</v>
      </c>
    </row>
    <row r="434" spans="1:15" x14ac:dyDescent="0.45">
      <c r="A434" s="6" t="s">
        <v>80</v>
      </c>
      <c r="B434" s="6" t="s">
        <v>53</v>
      </c>
      <c r="C434" s="6">
        <v>5</v>
      </c>
      <c r="D434" s="6">
        <v>2</v>
      </c>
      <c r="E434" s="6">
        <v>1</v>
      </c>
      <c r="F434" s="10">
        <v>45964</v>
      </c>
      <c r="G434" s="6" t="str">
        <f>_xlfn.TEXTJOIN("|",TRUE,GameLog[[#This Row],[Pod]],TEXT(INT(GameLog[[#This Row],[Round]]),"yyyymmdd"),GameLog[[#This Row],[Date]])</f>
        <v>2|19000101|45964</v>
      </c>
      <c r="H434" s="6">
        <f>COUNTIF(GameLog[Pod ID],GameLog[[#This Row],[Pod ID]])</f>
        <v>5</v>
      </c>
      <c r="I434" s="6">
        <f>YEAR(GameLog[[#This Row],[Date]])</f>
        <v>2025</v>
      </c>
      <c r="J434" s="6">
        <f>MONTH(GameLog[[#This Row],[Date]])</f>
        <v>11</v>
      </c>
      <c r="K434" s="6" t="str">
        <f>IF(GameLog[[#This Row],[Date]]=MAX(GameLog[Date]),"Current","Previous")</f>
        <v>Previous</v>
      </c>
      <c r="L434" s="6"/>
      <c r="M4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4" s="6" t="str">
        <f ca="1">IF(GameLog[[#This Row],[Check]]="","",COUNTIF(GameLog[[#Headers],[Check]]:GameLog[[#This Row],[Check]],"?*")-1)</f>
        <v/>
      </c>
      <c r="O434" s="6" t="str">
        <f>IFERROR(INDEX(Players[New name],MATCH(GameLog[[#This Row],[Player]],Players[Name],0)),GameLog[[#This Row],[Player]])</f>
        <v>Jeremiah</v>
      </c>
    </row>
    <row r="435" spans="1:15" x14ac:dyDescent="0.45">
      <c r="A435" s="6" t="s">
        <v>83</v>
      </c>
      <c r="B435" s="6" t="s">
        <v>53</v>
      </c>
      <c r="C435" s="6">
        <v>1</v>
      </c>
      <c r="D435" s="6">
        <v>3</v>
      </c>
      <c r="E435" s="6">
        <v>1</v>
      </c>
      <c r="F435" s="10">
        <v>45964</v>
      </c>
      <c r="G435" s="6" t="str">
        <f>_xlfn.TEXTJOIN("|",TRUE,GameLog[[#This Row],[Pod]],TEXT(INT(GameLog[[#This Row],[Round]]),"yyyymmdd"),GameLog[[#This Row],[Date]])</f>
        <v>3|19000101|45964</v>
      </c>
      <c r="H435" s="6">
        <f>COUNTIF(GameLog[Pod ID],GameLog[[#This Row],[Pod ID]])</f>
        <v>5</v>
      </c>
      <c r="I435" s="6">
        <f>YEAR(GameLog[[#This Row],[Date]])</f>
        <v>2025</v>
      </c>
      <c r="J435" s="6">
        <f>MONTH(GameLog[[#This Row],[Date]])</f>
        <v>11</v>
      </c>
      <c r="K435" s="6" t="str">
        <f>IF(GameLog[[#This Row],[Date]]=MAX(GameLog[Date]),"Current","Previous")</f>
        <v>Previous</v>
      </c>
      <c r="L435" s="6"/>
      <c r="M4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5" s="6" t="str">
        <f ca="1">IF(GameLog[[#This Row],[Check]]="","",COUNTIF(GameLog[[#Headers],[Check]]:GameLog[[#This Row],[Check]],"?*")-1)</f>
        <v/>
      </c>
      <c r="O435" s="6" t="str">
        <f>IFERROR(INDEX(Players[New name],MATCH(GameLog[[#This Row],[Player]],Players[Name],0)),GameLog[[#This Row],[Player]])</f>
        <v>Devyn S</v>
      </c>
    </row>
    <row r="436" spans="1:15" x14ac:dyDescent="0.45">
      <c r="A436" s="6" t="s">
        <v>68</v>
      </c>
      <c r="B436" s="6" t="s">
        <v>50</v>
      </c>
      <c r="C436" s="6">
        <v>2</v>
      </c>
      <c r="D436" s="6">
        <v>3</v>
      </c>
      <c r="E436" s="6">
        <v>1</v>
      </c>
      <c r="F436" s="10">
        <v>45964</v>
      </c>
      <c r="G436" s="6" t="str">
        <f>_xlfn.TEXTJOIN("|",TRUE,GameLog[[#This Row],[Pod]],TEXT(INT(GameLog[[#This Row],[Round]]),"yyyymmdd"),GameLog[[#This Row],[Date]])</f>
        <v>3|19000101|45964</v>
      </c>
      <c r="H436" s="6">
        <f>COUNTIF(GameLog[Pod ID],GameLog[[#This Row],[Pod ID]])</f>
        <v>5</v>
      </c>
      <c r="I436" s="6">
        <f>YEAR(GameLog[[#This Row],[Date]])</f>
        <v>2025</v>
      </c>
      <c r="J436" s="6">
        <f>MONTH(GameLog[[#This Row],[Date]])</f>
        <v>11</v>
      </c>
      <c r="K436" s="6" t="str">
        <f>IF(GameLog[[#This Row],[Date]]=MAX(GameLog[Date]),"Current","Previous")</f>
        <v>Previous</v>
      </c>
      <c r="L436" s="6"/>
      <c r="M4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6" s="6" t="str">
        <f ca="1">IF(GameLog[[#This Row],[Check]]="","",COUNTIF(GameLog[[#Headers],[Check]]:GameLog[[#This Row],[Check]],"?*")-1)</f>
        <v/>
      </c>
      <c r="O436" s="6" t="str">
        <f>IFERROR(INDEX(Players[New name],MATCH(GameLog[[#This Row],[Player]],Players[Name],0)),GameLog[[#This Row],[Player]])</f>
        <v>Edwin M</v>
      </c>
    </row>
    <row r="437" spans="1:15" x14ac:dyDescent="0.45">
      <c r="A437" s="6" t="s">
        <v>52</v>
      </c>
      <c r="B437" s="6" t="s">
        <v>53</v>
      </c>
      <c r="C437" s="6">
        <v>3</v>
      </c>
      <c r="D437" s="6">
        <v>3</v>
      </c>
      <c r="E437" s="6">
        <v>1</v>
      </c>
      <c r="F437" s="10">
        <v>45964</v>
      </c>
      <c r="G437" s="6" t="str">
        <f>_xlfn.TEXTJOIN("|",TRUE,GameLog[[#This Row],[Pod]],TEXT(INT(GameLog[[#This Row],[Round]]),"yyyymmdd"),GameLog[[#This Row],[Date]])</f>
        <v>3|19000101|45964</v>
      </c>
      <c r="H437" s="6">
        <f>COUNTIF(GameLog[Pod ID],GameLog[[#This Row],[Pod ID]])</f>
        <v>5</v>
      </c>
      <c r="I437" s="6">
        <f>YEAR(GameLog[[#This Row],[Date]])</f>
        <v>2025</v>
      </c>
      <c r="J437" s="6">
        <f>MONTH(GameLog[[#This Row],[Date]])</f>
        <v>11</v>
      </c>
      <c r="K437" s="6" t="str">
        <f>IF(GameLog[[#This Row],[Date]]=MAX(GameLog[Date]),"Current","Previous")</f>
        <v>Previous</v>
      </c>
      <c r="L437" s="6"/>
      <c r="M4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7" s="6" t="str">
        <f ca="1">IF(GameLog[[#This Row],[Check]]="","",COUNTIF(GameLog[[#Headers],[Check]]:GameLog[[#This Row],[Check]],"?*")-1)</f>
        <v/>
      </c>
      <c r="O437" s="6" t="str">
        <f>IFERROR(INDEX(Players[New name],MATCH(GameLog[[#This Row],[Player]],Players[Name],0)),GameLog[[#This Row],[Player]])</f>
        <v>Unknown</v>
      </c>
    </row>
    <row r="438" spans="1:15" x14ac:dyDescent="0.45">
      <c r="A438" s="6" t="s">
        <v>52</v>
      </c>
      <c r="B438" s="6" t="s">
        <v>53</v>
      </c>
      <c r="C438" s="6">
        <v>4</v>
      </c>
      <c r="D438" s="6">
        <v>3</v>
      </c>
      <c r="E438" s="6">
        <v>1</v>
      </c>
      <c r="F438" s="10">
        <v>45964</v>
      </c>
      <c r="G438" s="6" t="str">
        <f>_xlfn.TEXTJOIN("|",TRUE,GameLog[[#This Row],[Pod]],TEXT(INT(GameLog[[#This Row],[Round]]),"yyyymmdd"),GameLog[[#This Row],[Date]])</f>
        <v>3|19000101|45964</v>
      </c>
      <c r="H438" s="6">
        <f>COUNTIF(GameLog[Pod ID],GameLog[[#This Row],[Pod ID]])</f>
        <v>5</v>
      </c>
      <c r="I438" s="6">
        <f>YEAR(GameLog[[#This Row],[Date]])</f>
        <v>2025</v>
      </c>
      <c r="J438" s="6">
        <f>MONTH(GameLog[[#This Row],[Date]])</f>
        <v>11</v>
      </c>
      <c r="K438" s="6" t="str">
        <f>IF(GameLog[[#This Row],[Date]]=MAX(GameLog[Date]),"Current","Previous")</f>
        <v>Previous</v>
      </c>
      <c r="L438" s="6"/>
      <c r="M4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8" s="6" t="str">
        <f ca="1">IF(GameLog[[#This Row],[Check]]="","",COUNTIF(GameLog[[#Headers],[Check]]:GameLog[[#This Row],[Check]],"?*")-1)</f>
        <v/>
      </c>
      <c r="O438" s="6" t="str">
        <f>IFERROR(INDEX(Players[New name],MATCH(GameLog[[#This Row],[Player]],Players[Name],0)),GameLog[[#This Row],[Player]])</f>
        <v>Unknown</v>
      </c>
    </row>
    <row r="439" spans="1:15" x14ac:dyDescent="0.45">
      <c r="A439" s="6" t="s">
        <v>64</v>
      </c>
      <c r="B439" s="6" t="s">
        <v>53</v>
      </c>
      <c r="C439" s="6">
        <v>5</v>
      </c>
      <c r="D439" s="6">
        <v>3</v>
      </c>
      <c r="E439" s="6">
        <v>1</v>
      </c>
      <c r="F439" s="10">
        <v>45964</v>
      </c>
      <c r="G439" s="6" t="str">
        <f>_xlfn.TEXTJOIN("|",TRUE,GameLog[[#This Row],[Pod]],TEXT(INT(GameLog[[#This Row],[Round]]),"yyyymmdd"),GameLog[[#This Row],[Date]])</f>
        <v>3|19000101|45964</v>
      </c>
      <c r="H439" s="6">
        <f>COUNTIF(GameLog[Pod ID],GameLog[[#This Row],[Pod ID]])</f>
        <v>5</v>
      </c>
      <c r="I439" s="6">
        <f>YEAR(GameLog[[#This Row],[Date]])</f>
        <v>2025</v>
      </c>
      <c r="J439" s="6">
        <f>MONTH(GameLog[[#This Row],[Date]])</f>
        <v>11</v>
      </c>
      <c r="K439" s="6" t="str">
        <f>IF(GameLog[[#This Row],[Date]]=MAX(GameLog[Date]),"Current","Previous")</f>
        <v>Previous</v>
      </c>
      <c r="L439" s="6"/>
      <c r="M4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39" s="6" t="str">
        <f ca="1">IF(GameLog[[#This Row],[Check]]="","",COUNTIF(GameLog[[#Headers],[Check]]:GameLog[[#This Row],[Check]],"?*")-1)</f>
        <v/>
      </c>
      <c r="O439" s="6" t="str">
        <f>IFERROR(INDEX(Players[New name],MATCH(GameLog[[#This Row],[Player]],Players[Name],0)),GameLog[[#This Row],[Player]])</f>
        <v>Tyler B</v>
      </c>
    </row>
    <row r="440" spans="1:15" x14ac:dyDescent="0.45">
      <c r="A440" s="6" t="s">
        <v>65</v>
      </c>
      <c r="B440" s="6" t="s">
        <v>53</v>
      </c>
      <c r="C440" s="6">
        <v>1</v>
      </c>
      <c r="D440" s="6">
        <v>4</v>
      </c>
      <c r="E440" s="6">
        <v>1</v>
      </c>
      <c r="F440" s="10">
        <v>45964</v>
      </c>
      <c r="G440" s="6" t="str">
        <f>_xlfn.TEXTJOIN("|",TRUE,GameLog[[#This Row],[Pod]],TEXT(INT(GameLog[[#This Row],[Round]]),"yyyymmdd"),GameLog[[#This Row],[Date]])</f>
        <v>4|19000101|45964</v>
      </c>
      <c r="H440" s="6">
        <f>COUNTIF(GameLog[Pod ID],GameLog[[#This Row],[Pod ID]])</f>
        <v>4</v>
      </c>
      <c r="I440" s="6">
        <f>YEAR(GameLog[[#This Row],[Date]])</f>
        <v>2025</v>
      </c>
      <c r="J440" s="6">
        <f>MONTH(GameLog[[#This Row],[Date]])</f>
        <v>11</v>
      </c>
      <c r="K440" s="6" t="str">
        <f>IF(GameLog[[#This Row],[Date]]=MAX(GameLog[Date]),"Current","Previous")</f>
        <v>Previous</v>
      </c>
      <c r="L440" s="6"/>
      <c r="M4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0" s="6" t="str">
        <f ca="1">IF(GameLog[[#This Row],[Check]]="","",COUNTIF(GameLog[[#Headers],[Check]]:GameLog[[#This Row],[Check]],"?*")-1)</f>
        <v/>
      </c>
      <c r="O440" s="6" t="str">
        <f>IFERROR(INDEX(Players[New name],MATCH(GameLog[[#This Row],[Player]],Players[Name],0)),GameLog[[#This Row],[Player]])</f>
        <v>Mitch</v>
      </c>
    </row>
    <row r="441" spans="1:15" x14ac:dyDescent="0.45">
      <c r="A441" s="6" t="s">
        <v>79</v>
      </c>
      <c r="B441" s="6" t="s">
        <v>50</v>
      </c>
      <c r="C441" s="6">
        <v>2</v>
      </c>
      <c r="D441" s="6">
        <v>4</v>
      </c>
      <c r="E441" s="6">
        <v>1</v>
      </c>
      <c r="F441" s="10">
        <v>45964</v>
      </c>
      <c r="G441" s="6" t="str">
        <f>_xlfn.TEXTJOIN("|",TRUE,GameLog[[#This Row],[Pod]],TEXT(INT(GameLog[[#This Row],[Round]]),"yyyymmdd"),GameLog[[#This Row],[Date]])</f>
        <v>4|19000101|45964</v>
      </c>
      <c r="H441" s="6">
        <f>COUNTIF(GameLog[Pod ID],GameLog[[#This Row],[Pod ID]])</f>
        <v>4</v>
      </c>
      <c r="I441" s="6">
        <f>YEAR(GameLog[[#This Row],[Date]])</f>
        <v>2025</v>
      </c>
      <c r="J441" s="6">
        <f>MONTH(GameLog[[#This Row],[Date]])</f>
        <v>11</v>
      </c>
      <c r="K441" s="6" t="str">
        <f>IF(GameLog[[#This Row],[Date]]=MAX(GameLog[Date]),"Current","Previous")</f>
        <v>Previous</v>
      </c>
      <c r="L441" s="6"/>
      <c r="M4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1" s="6" t="str">
        <f ca="1">IF(GameLog[[#This Row],[Check]]="","",COUNTIF(GameLog[[#Headers],[Check]]:GameLog[[#This Row],[Check]],"?*")-1)</f>
        <v/>
      </c>
      <c r="O441" s="6" t="str">
        <f>IFERROR(INDEX(Players[New name],MATCH(GameLog[[#This Row],[Player]],Players[Name],0)),GameLog[[#This Row],[Player]])</f>
        <v>Justin Lopez</v>
      </c>
    </row>
    <row r="442" spans="1:15" x14ac:dyDescent="0.45">
      <c r="A442" s="6" t="s">
        <v>57</v>
      </c>
      <c r="B442" s="6" t="s">
        <v>53</v>
      </c>
      <c r="C442" s="6">
        <v>3</v>
      </c>
      <c r="D442" s="6">
        <v>4</v>
      </c>
      <c r="E442" s="6">
        <v>1</v>
      </c>
      <c r="F442" s="10">
        <v>45964</v>
      </c>
      <c r="G442" s="6" t="str">
        <f>_xlfn.TEXTJOIN("|",TRUE,GameLog[[#This Row],[Pod]],TEXT(INT(GameLog[[#This Row],[Round]]),"yyyymmdd"),GameLog[[#This Row],[Date]])</f>
        <v>4|19000101|45964</v>
      </c>
      <c r="H442" s="6">
        <f>COUNTIF(GameLog[Pod ID],GameLog[[#This Row],[Pod ID]])</f>
        <v>4</v>
      </c>
      <c r="I442" s="6">
        <f>YEAR(GameLog[[#This Row],[Date]])</f>
        <v>2025</v>
      </c>
      <c r="J442" s="6">
        <f>MONTH(GameLog[[#This Row],[Date]])</f>
        <v>11</v>
      </c>
      <c r="K442" s="6" t="str">
        <f>IF(GameLog[[#This Row],[Date]]=MAX(GameLog[Date]),"Current","Previous")</f>
        <v>Previous</v>
      </c>
      <c r="L442" s="6"/>
      <c r="M4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2" s="6" t="str">
        <f ca="1">IF(GameLog[[#This Row],[Check]]="","",COUNTIF(GameLog[[#Headers],[Check]]:GameLog[[#This Row],[Check]],"?*")-1)</f>
        <v/>
      </c>
      <c r="O442" s="6" t="str">
        <f>IFERROR(INDEX(Players[New name],MATCH(GameLog[[#This Row],[Player]],Players[Name],0)),GameLog[[#This Row],[Player]])</f>
        <v>AJ W</v>
      </c>
    </row>
    <row r="443" spans="1:15" x14ac:dyDescent="0.45">
      <c r="A443" s="6" t="s">
        <v>63</v>
      </c>
      <c r="B443" s="6" t="s">
        <v>53</v>
      </c>
      <c r="C443" s="6">
        <v>4</v>
      </c>
      <c r="D443" s="6">
        <v>4</v>
      </c>
      <c r="E443" s="6">
        <v>1</v>
      </c>
      <c r="F443" s="10">
        <v>45964</v>
      </c>
      <c r="G443" s="6" t="str">
        <f>_xlfn.TEXTJOIN("|",TRUE,GameLog[[#This Row],[Pod]],TEXT(INT(GameLog[[#This Row],[Round]]),"yyyymmdd"),GameLog[[#This Row],[Date]])</f>
        <v>4|19000101|45964</v>
      </c>
      <c r="H443" s="6">
        <f>COUNTIF(GameLog[Pod ID],GameLog[[#This Row],[Pod ID]])</f>
        <v>4</v>
      </c>
      <c r="I443" s="6">
        <f>YEAR(GameLog[[#This Row],[Date]])</f>
        <v>2025</v>
      </c>
      <c r="J443" s="6">
        <f>MONTH(GameLog[[#This Row],[Date]])</f>
        <v>11</v>
      </c>
      <c r="K443" s="6" t="str">
        <f>IF(GameLog[[#This Row],[Date]]=MAX(GameLog[Date]),"Current","Previous")</f>
        <v>Previous</v>
      </c>
      <c r="L443" s="6"/>
      <c r="M4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3" s="6" t="str">
        <f ca="1">IF(GameLog[[#This Row],[Check]]="","",COUNTIF(GameLog[[#Headers],[Check]]:GameLog[[#This Row],[Check]],"?*")-1)</f>
        <v/>
      </c>
      <c r="O443" s="6" t="str">
        <f>IFERROR(INDEX(Players[New name],MATCH(GameLog[[#This Row],[Player]],Players[Name],0)),GameLog[[#This Row],[Player]])</f>
        <v>Jake D</v>
      </c>
    </row>
    <row r="444" spans="1:15" x14ac:dyDescent="0.45">
      <c r="A444" s="6" t="s">
        <v>70</v>
      </c>
      <c r="B444" s="6" t="s">
        <v>53</v>
      </c>
      <c r="C444" s="6">
        <v>1</v>
      </c>
      <c r="D444" s="6">
        <v>5</v>
      </c>
      <c r="E444" s="6">
        <v>1</v>
      </c>
      <c r="F444" s="10">
        <v>45964</v>
      </c>
      <c r="G444" s="6" t="str">
        <f>_xlfn.TEXTJOIN("|",TRUE,GameLog[[#This Row],[Pod]],TEXT(INT(GameLog[[#This Row],[Round]]),"yyyymmdd"),GameLog[[#This Row],[Date]])</f>
        <v>5|19000101|45964</v>
      </c>
      <c r="H444" s="6">
        <f>COUNTIF(GameLog[Pod ID],GameLog[[#This Row],[Pod ID]])</f>
        <v>4</v>
      </c>
      <c r="I444" s="6">
        <f>YEAR(GameLog[[#This Row],[Date]])</f>
        <v>2025</v>
      </c>
      <c r="J444" s="6">
        <f>MONTH(GameLog[[#This Row],[Date]])</f>
        <v>11</v>
      </c>
      <c r="K444" s="6" t="str">
        <f>IF(GameLog[[#This Row],[Date]]=MAX(GameLog[Date]),"Current","Previous")</f>
        <v>Previous</v>
      </c>
      <c r="L444" s="6"/>
      <c r="M4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4" s="6" t="str">
        <f ca="1">IF(GameLog[[#This Row],[Check]]="","",COUNTIF(GameLog[[#Headers],[Check]]:GameLog[[#This Row],[Check]],"?*")-1)</f>
        <v/>
      </c>
      <c r="O444" s="6" t="str">
        <f>IFERROR(INDEX(Players[New name],MATCH(GameLog[[#This Row],[Player]],Players[Name],0)),GameLog[[#This Row],[Player]])</f>
        <v>Brad F</v>
      </c>
    </row>
    <row r="445" spans="1:15" x14ac:dyDescent="0.45">
      <c r="A445" s="6" t="s">
        <v>81</v>
      </c>
      <c r="B445" s="6" t="s">
        <v>53</v>
      </c>
      <c r="C445" s="6">
        <v>2</v>
      </c>
      <c r="D445" s="6">
        <v>5</v>
      </c>
      <c r="E445" s="6">
        <v>1</v>
      </c>
      <c r="F445" s="10">
        <v>45964</v>
      </c>
      <c r="G445" s="6" t="str">
        <f>_xlfn.TEXTJOIN("|",TRUE,GameLog[[#This Row],[Pod]],TEXT(INT(GameLog[[#This Row],[Round]]),"yyyymmdd"),GameLog[[#This Row],[Date]])</f>
        <v>5|19000101|45964</v>
      </c>
      <c r="H445" s="6">
        <f>COUNTIF(GameLog[Pod ID],GameLog[[#This Row],[Pod ID]])</f>
        <v>4</v>
      </c>
      <c r="I445" s="6">
        <f>YEAR(GameLog[[#This Row],[Date]])</f>
        <v>2025</v>
      </c>
      <c r="J445" s="6">
        <f>MONTH(GameLog[[#This Row],[Date]])</f>
        <v>11</v>
      </c>
      <c r="K445" s="6" t="str">
        <f>IF(GameLog[[#This Row],[Date]]=MAX(GameLog[Date]),"Current","Previous")</f>
        <v>Previous</v>
      </c>
      <c r="L445" s="6"/>
      <c r="M4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5" s="6" t="str">
        <f ca="1">IF(GameLog[[#This Row],[Check]]="","",COUNTIF(GameLog[[#Headers],[Check]]:GameLog[[#This Row],[Check]],"?*")-1)</f>
        <v/>
      </c>
      <c r="O445" s="6" t="str">
        <f>IFERROR(INDEX(Players[New name],MATCH(GameLog[[#This Row],[Player]],Players[Name],0)),GameLog[[#This Row],[Player]])</f>
        <v>Forrest</v>
      </c>
    </row>
    <row r="446" spans="1:15" x14ac:dyDescent="0.45">
      <c r="A446" s="6" t="s">
        <v>58</v>
      </c>
      <c r="B446" s="6" t="s">
        <v>50</v>
      </c>
      <c r="C446" s="6">
        <v>3</v>
      </c>
      <c r="D446" s="6">
        <v>5</v>
      </c>
      <c r="E446" s="6">
        <v>1</v>
      </c>
      <c r="F446" s="10">
        <v>45964</v>
      </c>
      <c r="G446" s="6" t="str">
        <f>_xlfn.TEXTJOIN("|",TRUE,GameLog[[#This Row],[Pod]],TEXT(INT(GameLog[[#This Row],[Round]]),"yyyymmdd"),GameLog[[#This Row],[Date]])</f>
        <v>5|19000101|45964</v>
      </c>
      <c r="H446" s="6">
        <f>COUNTIF(GameLog[Pod ID],GameLog[[#This Row],[Pod ID]])</f>
        <v>4</v>
      </c>
      <c r="I446" s="6">
        <f>YEAR(GameLog[[#This Row],[Date]])</f>
        <v>2025</v>
      </c>
      <c r="J446" s="6">
        <f>MONTH(GameLog[[#This Row],[Date]])</f>
        <v>11</v>
      </c>
      <c r="K446" s="6" t="str">
        <f>IF(GameLog[[#This Row],[Date]]=MAX(GameLog[Date]),"Current","Previous")</f>
        <v>Previous</v>
      </c>
      <c r="L446" s="6"/>
      <c r="M4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6" s="6" t="str">
        <f ca="1">IF(GameLog[[#This Row],[Check]]="","",COUNTIF(GameLog[[#Headers],[Check]]:GameLog[[#This Row],[Check]],"?*")-1)</f>
        <v/>
      </c>
      <c r="O446" s="6" t="str">
        <f>IFERROR(INDEX(Players[New name],MATCH(GameLog[[#This Row],[Player]],Players[Name],0)),GameLog[[#This Row],[Player]])</f>
        <v>Dakota P</v>
      </c>
    </row>
    <row r="447" spans="1:15" x14ac:dyDescent="0.45">
      <c r="A447" s="6" t="s">
        <v>73</v>
      </c>
      <c r="B447" s="6" t="s">
        <v>53</v>
      </c>
      <c r="C447" s="6">
        <v>4</v>
      </c>
      <c r="D447" s="6">
        <v>5</v>
      </c>
      <c r="E447" s="6">
        <v>1</v>
      </c>
      <c r="F447" s="10">
        <v>45964</v>
      </c>
      <c r="G447" s="6" t="str">
        <f>_xlfn.TEXTJOIN("|",TRUE,GameLog[[#This Row],[Pod]],TEXT(INT(GameLog[[#This Row],[Round]]),"yyyymmdd"),GameLog[[#This Row],[Date]])</f>
        <v>5|19000101|45964</v>
      </c>
      <c r="H447" s="6">
        <f>COUNTIF(GameLog[Pod ID],GameLog[[#This Row],[Pod ID]])</f>
        <v>4</v>
      </c>
      <c r="I447" s="6">
        <f>YEAR(GameLog[[#This Row],[Date]])</f>
        <v>2025</v>
      </c>
      <c r="J447" s="6">
        <f>MONTH(GameLog[[#This Row],[Date]])</f>
        <v>11</v>
      </c>
      <c r="K447" s="6" t="str">
        <f>IF(GameLog[[#This Row],[Date]]=MAX(GameLog[Date]),"Current","Previous")</f>
        <v>Previous</v>
      </c>
      <c r="L447" s="6"/>
      <c r="M4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7" s="6" t="str">
        <f ca="1">IF(GameLog[[#This Row],[Check]]="","",COUNTIF(GameLog[[#Headers],[Check]]:GameLog[[#This Row],[Check]],"?*")-1)</f>
        <v/>
      </c>
      <c r="O447" s="6" t="str">
        <f>IFERROR(INDEX(Players[New name],MATCH(GameLog[[#This Row],[Player]],Players[Name],0)),GameLog[[#This Row],[Player]])</f>
        <v>Brandon B</v>
      </c>
    </row>
    <row r="448" spans="1:15" x14ac:dyDescent="0.45">
      <c r="A448" s="6" t="s">
        <v>89</v>
      </c>
      <c r="B448" s="6" t="s">
        <v>53</v>
      </c>
      <c r="C448" s="6">
        <v>1</v>
      </c>
      <c r="D448" s="6">
        <v>1</v>
      </c>
      <c r="E448" s="6">
        <v>2</v>
      </c>
      <c r="F448" s="10">
        <v>45964</v>
      </c>
      <c r="G448" s="6" t="str">
        <f>_xlfn.TEXTJOIN("|",TRUE,GameLog[[#This Row],[Pod]],TEXT(INT(GameLog[[#This Row],[Round]]),"yyyymmdd"),GameLog[[#This Row],[Date]])</f>
        <v>1|19000102|45964</v>
      </c>
      <c r="H448" s="6">
        <f>COUNTIF(GameLog[Pod ID],GameLog[[#This Row],[Pod ID]])</f>
        <v>5</v>
      </c>
      <c r="I448" s="6">
        <f>YEAR(GameLog[[#This Row],[Date]])</f>
        <v>2025</v>
      </c>
      <c r="J448" s="6">
        <f>MONTH(GameLog[[#This Row],[Date]])</f>
        <v>11</v>
      </c>
      <c r="K448" s="6" t="str">
        <f>IF(GameLog[[#This Row],[Date]]=MAX(GameLog[Date]),"Current","Previous")</f>
        <v>Previous</v>
      </c>
      <c r="L448" s="6"/>
      <c r="M4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8" s="6" t="str">
        <f ca="1">IF(GameLog[[#This Row],[Check]]="","",COUNTIF(GameLog[[#Headers],[Check]]:GameLog[[#This Row],[Check]],"?*")-1)</f>
        <v/>
      </c>
      <c r="O448" s="6" t="str">
        <f>IFERROR(INDEX(Players[New name],MATCH(GameLog[[#This Row],[Player]],Players[Name],0)),GameLog[[#This Row],[Player]])</f>
        <v>Fernando J</v>
      </c>
    </row>
    <row r="449" spans="1:15" x14ac:dyDescent="0.45">
      <c r="A449" s="6" t="s">
        <v>55</v>
      </c>
      <c r="B449" s="6" t="s">
        <v>50</v>
      </c>
      <c r="C449" s="6">
        <v>2</v>
      </c>
      <c r="D449" s="6">
        <v>1</v>
      </c>
      <c r="E449" s="6">
        <v>2</v>
      </c>
      <c r="F449" s="10">
        <v>45964</v>
      </c>
      <c r="G449" s="6" t="str">
        <f>_xlfn.TEXTJOIN("|",TRUE,GameLog[[#This Row],[Pod]],TEXT(INT(GameLog[[#This Row],[Round]]),"yyyymmdd"),GameLog[[#This Row],[Date]])</f>
        <v>1|19000102|45964</v>
      </c>
      <c r="H449" s="6">
        <f>COUNTIF(GameLog[Pod ID],GameLog[[#This Row],[Pod ID]])</f>
        <v>5</v>
      </c>
      <c r="I449" s="6">
        <f>YEAR(GameLog[[#This Row],[Date]])</f>
        <v>2025</v>
      </c>
      <c r="J449" s="6">
        <f>MONTH(GameLog[[#This Row],[Date]])</f>
        <v>11</v>
      </c>
      <c r="K449" s="6" t="str">
        <f>IF(GameLog[[#This Row],[Date]]=MAX(GameLog[Date]),"Current","Previous")</f>
        <v>Previous</v>
      </c>
      <c r="L449" s="6"/>
      <c r="M4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49" s="6" t="str">
        <f ca="1">IF(GameLog[[#This Row],[Check]]="","",COUNTIF(GameLog[[#Headers],[Check]]:GameLog[[#This Row],[Check]],"?*")-1)</f>
        <v/>
      </c>
      <c r="O449" s="6" t="str">
        <f>IFERROR(INDEX(Players[New name],MATCH(GameLog[[#This Row],[Player]],Players[Name],0)),GameLog[[#This Row],[Player]])</f>
        <v>Bryce C</v>
      </c>
    </row>
    <row r="450" spans="1:15" x14ac:dyDescent="0.45">
      <c r="A450" s="6" t="s">
        <v>79</v>
      </c>
      <c r="B450" s="6" t="s">
        <v>53</v>
      </c>
      <c r="C450" s="6">
        <v>3</v>
      </c>
      <c r="D450" s="6">
        <v>1</v>
      </c>
      <c r="E450" s="6">
        <v>2</v>
      </c>
      <c r="F450" s="10">
        <v>45964</v>
      </c>
      <c r="G450" s="6" t="str">
        <f>_xlfn.TEXTJOIN("|",TRUE,GameLog[[#This Row],[Pod]],TEXT(INT(GameLog[[#This Row],[Round]]),"yyyymmdd"),GameLog[[#This Row],[Date]])</f>
        <v>1|19000102|45964</v>
      </c>
      <c r="H450" s="6">
        <f>COUNTIF(GameLog[Pod ID],GameLog[[#This Row],[Pod ID]])</f>
        <v>5</v>
      </c>
      <c r="I450" s="6">
        <f>YEAR(GameLog[[#This Row],[Date]])</f>
        <v>2025</v>
      </c>
      <c r="J450" s="6">
        <f>MONTH(GameLog[[#This Row],[Date]])</f>
        <v>11</v>
      </c>
      <c r="K450" s="6" t="str">
        <f>IF(GameLog[[#This Row],[Date]]=MAX(GameLog[Date]),"Current","Previous")</f>
        <v>Previous</v>
      </c>
      <c r="L450" s="6"/>
      <c r="M4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0" s="6" t="str">
        <f ca="1">IF(GameLog[[#This Row],[Check]]="","",COUNTIF(GameLog[[#Headers],[Check]]:GameLog[[#This Row],[Check]],"?*")-1)</f>
        <v/>
      </c>
      <c r="O450" s="6" t="str">
        <f>IFERROR(INDEX(Players[New name],MATCH(GameLog[[#This Row],[Player]],Players[Name],0)),GameLog[[#This Row],[Player]])</f>
        <v>Justin Lopez</v>
      </c>
    </row>
    <row r="451" spans="1:15" x14ac:dyDescent="0.45">
      <c r="A451" s="6" t="s">
        <v>68</v>
      </c>
      <c r="B451" s="6" t="s">
        <v>53</v>
      </c>
      <c r="C451" s="6">
        <v>4</v>
      </c>
      <c r="D451" s="6">
        <v>1</v>
      </c>
      <c r="E451" s="6">
        <v>2</v>
      </c>
      <c r="F451" s="10">
        <v>45964</v>
      </c>
      <c r="G451" s="6" t="str">
        <f>_xlfn.TEXTJOIN("|",TRUE,GameLog[[#This Row],[Pod]],TEXT(INT(GameLog[[#This Row],[Round]]),"yyyymmdd"),GameLog[[#This Row],[Date]])</f>
        <v>1|19000102|45964</v>
      </c>
      <c r="H451" s="6">
        <f>COUNTIF(GameLog[Pod ID],GameLog[[#This Row],[Pod ID]])</f>
        <v>5</v>
      </c>
      <c r="I451" s="6">
        <f>YEAR(GameLog[[#This Row],[Date]])</f>
        <v>2025</v>
      </c>
      <c r="J451" s="6">
        <f>MONTH(GameLog[[#This Row],[Date]])</f>
        <v>11</v>
      </c>
      <c r="K451" s="6" t="str">
        <f>IF(GameLog[[#This Row],[Date]]=MAX(GameLog[Date]),"Current","Previous")</f>
        <v>Previous</v>
      </c>
      <c r="L451" s="6"/>
      <c r="M4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1" s="6" t="str">
        <f ca="1">IF(GameLog[[#This Row],[Check]]="","",COUNTIF(GameLog[[#Headers],[Check]]:GameLog[[#This Row],[Check]],"?*")-1)</f>
        <v/>
      </c>
      <c r="O451" s="6" t="str">
        <f>IFERROR(INDEX(Players[New name],MATCH(GameLog[[#This Row],[Player]],Players[Name],0)),GameLog[[#This Row],[Player]])</f>
        <v>Edwin M</v>
      </c>
    </row>
    <row r="452" spans="1:15" x14ac:dyDescent="0.45">
      <c r="A452" s="6" t="s">
        <v>58</v>
      </c>
      <c r="B452" s="6" t="s">
        <v>53</v>
      </c>
      <c r="C452" s="6">
        <v>5</v>
      </c>
      <c r="D452" s="6">
        <v>1</v>
      </c>
      <c r="E452" s="6">
        <v>2</v>
      </c>
      <c r="F452" s="10">
        <v>45964</v>
      </c>
      <c r="G452" s="6" t="str">
        <f>_xlfn.TEXTJOIN("|",TRUE,GameLog[[#This Row],[Pod]],TEXT(INT(GameLog[[#This Row],[Round]]),"yyyymmdd"),GameLog[[#This Row],[Date]])</f>
        <v>1|19000102|45964</v>
      </c>
      <c r="H452" s="6">
        <f>COUNTIF(GameLog[Pod ID],GameLog[[#This Row],[Pod ID]])</f>
        <v>5</v>
      </c>
      <c r="I452" s="6">
        <f>YEAR(GameLog[[#This Row],[Date]])</f>
        <v>2025</v>
      </c>
      <c r="J452" s="6">
        <f>MONTH(GameLog[[#This Row],[Date]])</f>
        <v>11</v>
      </c>
      <c r="K452" s="6" t="str">
        <f>IF(GameLog[[#This Row],[Date]]=MAX(GameLog[Date]),"Current","Previous")</f>
        <v>Previous</v>
      </c>
      <c r="L452" s="6"/>
      <c r="M4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2" s="6" t="str">
        <f ca="1">IF(GameLog[[#This Row],[Check]]="","",COUNTIF(GameLog[[#Headers],[Check]]:GameLog[[#This Row],[Check]],"?*")-1)</f>
        <v/>
      </c>
      <c r="O452" s="6" t="str">
        <f>IFERROR(INDEX(Players[New name],MATCH(GameLog[[#This Row],[Player]],Players[Name],0)),GameLog[[#This Row],[Player]])</f>
        <v>Dakota P</v>
      </c>
    </row>
    <row r="453" spans="1:15" x14ac:dyDescent="0.45">
      <c r="A453" s="6" t="s">
        <v>82</v>
      </c>
      <c r="B453" s="6" t="s">
        <v>53</v>
      </c>
      <c r="C453" s="6">
        <v>1</v>
      </c>
      <c r="D453" s="6">
        <v>2</v>
      </c>
      <c r="E453" s="6">
        <v>2</v>
      </c>
      <c r="F453" s="10">
        <v>45964</v>
      </c>
      <c r="G453" s="6" t="str">
        <f>_xlfn.TEXTJOIN("|",TRUE,GameLog[[#This Row],[Pod]],TEXT(INT(GameLog[[#This Row],[Round]]),"yyyymmdd"),GameLog[[#This Row],[Date]])</f>
        <v>2|19000102|45964</v>
      </c>
      <c r="H453" s="6">
        <f>COUNTIF(GameLog[Pod ID],GameLog[[#This Row],[Pod ID]])</f>
        <v>5</v>
      </c>
      <c r="I453" s="6">
        <f>YEAR(GameLog[[#This Row],[Date]])</f>
        <v>2025</v>
      </c>
      <c r="J453" s="6">
        <f>MONTH(GameLog[[#This Row],[Date]])</f>
        <v>11</v>
      </c>
      <c r="K453" s="6" t="str">
        <f>IF(GameLog[[#This Row],[Date]]=MAX(GameLog[Date]),"Current","Previous")</f>
        <v>Previous</v>
      </c>
      <c r="L453" s="6"/>
      <c r="M4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3" s="6" t="str">
        <f ca="1">IF(GameLog[[#This Row],[Check]]="","",COUNTIF(GameLog[[#Headers],[Check]]:GameLog[[#This Row],[Check]],"?*")-1)</f>
        <v/>
      </c>
      <c r="O453" s="6" t="str">
        <f>IFERROR(INDEX(Players[New name],MATCH(GameLog[[#This Row],[Player]],Players[Name],0)),GameLog[[#This Row],[Player]])</f>
        <v>Nick D</v>
      </c>
    </row>
    <row r="454" spans="1:15" x14ac:dyDescent="0.45">
      <c r="A454" s="6" t="s">
        <v>57</v>
      </c>
      <c r="B454" s="6" t="s">
        <v>53</v>
      </c>
      <c r="C454" s="6">
        <v>2</v>
      </c>
      <c r="D454" s="6">
        <v>2</v>
      </c>
      <c r="E454" s="6">
        <v>2</v>
      </c>
      <c r="F454" s="10">
        <v>45964</v>
      </c>
      <c r="G454" s="6" t="str">
        <f>_xlfn.TEXTJOIN("|",TRUE,GameLog[[#This Row],[Pod]],TEXT(INT(GameLog[[#This Row],[Round]]),"yyyymmdd"),GameLog[[#This Row],[Date]])</f>
        <v>2|19000102|45964</v>
      </c>
      <c r="H454" s="6">
        <f>COUNTIF(GameLog[Pod ID],GameLog[[#This Row],[Pod ID]])</f>
        <v>5</v>
      </c>
      <c r="I454" s="6">
        <f>YEAR(GameLog[[#This Row],[Date]])</f>
        <v>2025</v>
      </c>
      <c r="J454" s="6">
        <f>MONTH(GameLog[[#This Row],[Date]])</f>
        <v>11</v>
      </c>
      <c r="K454" s="6" t="str">
        <f>IF(GameLog[[#This Row],[Date]]=MAX(GameLog[Date]),"Current","Previous")</f>
        <v>Previous</v>
      </c>
      <c r="L454" s="6"/>
      <c r="M4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4" s="6" t="str">
        <f ca="1">IF(GameLog[[#This Row],[Check]]="","",COUNTIF(GameLog[[#Headers],[Check]]:GameLog[[#This Row],[Check]],"?*")-1)</f>
        <v/>
      </c>
      <c r="O454" s="6" t="str">
        <f>IFERROR(INDEX(Players[New name],MATCH(GameLog[[#This Row],[Player]],Players[Name],0)),GameLog[[#This Row],[Player]])</f>
        <v>AJ W</v>
      </c>
    </row>
    <row r="455" spans="1:15" x14ac:dyDescent="0.45">
      <c r="A455" s="6" t="s">
        <v>52</v>
      </c>
      <c r="B455" s="6" t="s">
        <v>50</v>
      </c>
      <c r="C455" s="6">
        <v>3</v>
      </c>
      <c r="D455" s="6">
        <v>2</v>
      </c>
      <c r="E455" s="6">
        <v>2</v>
      </c>
      <c r="F455" s="10">
        <v>45964</v>
      </c>
      <c r="G455" s="6" t="str">
        <f>_xlfn.TEXTJOIN("|",TRUE,GameLog[[#This Row],[Pod]],TEXT(INT(GameLog[[#This Row],[Round]]),"yyyymmdd"),GameLog[[#This Row],[Date]])</f>
        <v>2|19000102|45964</v>
      </c>
      <c r="H455" s="6">
        <f>COUNTIF(GameLog[Pod ID],GameLog[[#This Row],[Pod ID]])</f>
        <v>5</v>
      </c>
      <c r="I455" s="6">
        <f>YEAR(GameLog[[#This Row],[Date]])</f>
        <v>2025</v>
      </c>
      <c r="J455" s="6">
        <f>MONTH(GameLog[[#This Row],[Date]])</f>
        <v>11</v>
      </c>
      <c r="K455" s="6" t="str">
        <f>IF(GameLog[[#This Row],[Date]]=MAX(GameLog[Date]),"Current","Previous")</f>
        <v>Previous</v>
      </c>
      <c r="L455" s="6"/>
      <c r="M4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5" s="6" t="str">
        <f ca="1">IF(GameLog[[#This Row],[Check]]="","",COUNTIF(GameLog[[#Headers],[Check]]:GameLog[[#This Row],[Check]],"?*")-1)</f>
        <v/>
      </c>
      <c r="O455" s="6" t="str">
        <f>IFERROR(INDEX(Players[New name],MATCH(GameLog[[#This Row],[Player]],Players[Name],0)),GameLog[[#This Row],[Player]])</f>
        <v>Unknown</v>
      </c>
    </row>
    <row r="456" spans="1:15" x14ac:dyDescent="0.45">
      <c r="A456" s="6" t="s">
        <v>73</v>
      </c>
      <c r="B456" s="6" t="s">
        <v>53</v>
      </c>
      <c r="C456" s="6">
        <v>4</v>
      </c>
      <c r="D456" s="6">
        <v>2</v>
      </c>
      <c r="E456" s="6">
        <v>2</v>
      </c>
      <c r="F456" s="10">
        <v>45964</v>
      </c>
      <c r="G456" s="6" t="str">
        <f>_xlfn.TEXTJOIN("|",TRUE,GameLog[[#This Row],[Pod]],TEXT(INT(GameLog[[#This Row],[Round]]),"yyyymmdd"),GameLog[[#This Row],[Date]])</f>
        <v>2|19000102|45964</v>
      </c>
      <c r="H456" s="6">
        <f>COUNTIF(GameLog[Pod ID],GameLog[[#This Row],[Pod ID]])</f>
        <v>5</v>
      </c>
      <c r="I456" s="6">
        <f>YEAR(GameLog[[#This Row],[Date]])</f>
        <v>2025</v>
      </c>
      <c r="J456" s="6">
        <f>MONTH(GameLog[[#This Row],[Date]])</f>
        <v>11</v>
      </c>
      <c r="K456" s="6" t="str">
        <f>IF(GameLog[[#This Row],[Date]]=MAX(GameLog[Date]),"Current","Previous")</f>
        <v>Previous</v>
      </c>
      <c r="L456" s="6"/>
      <c r="M4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6" s="6" t="str">
        <f ca="1">IF(GameLog[[#This Row],[Check]]="","",COUNTIF(GameLog[[#Headers],[Check]]:GameLog[[#This Row],[Check]],"?*")-1)</f>
        <v/>
      </c>
      <c r="O456" s="6" t="str">
        <f>IFERROR(INDEX(Players[New name],MATCH(GameLog[[#This Row],[Player]],Players[Name],0)),GameLog[[#This Row],[Player]])</f>
        <v>Brandon B</v>
      </c>
    </row>
    <row r="457" spans="1:15" x14ac:dyDescent="0.45">
      <c r="A457" s="6" t="s">
        <v>64</v>
      </c>
      <c r="B457" s="6" t="s">
        <v>53</v>
      </c>
      <c r="C457" s="6">
        <v>5</v>
      </c>
      <c r="D457" s="6">
        <v>2</v>
      </c>
      <c r="E457" s="6">
        <v>2</v>
      </c>
      <c r="F457" s="10">
        <v>45964</v>
      </c>
      <c r="G457" s="6" t="str">
        <f>_xlfn.TEXTJOIN("|",TRUE,GameLog[[#This Row],[Pod]],TEXT(INT(GameLog[[#This Row],[Round]]),"yyyymmdd"),GameLog[[#This Row],[Date]])</f>
        <v>2|19000102|45964</v>
      </c>
      <c r="H457" s="6">
        <f>COUNTIF(GameLog[Pod ID],GameLog[[#This Row],[Pod ID]])</f>
        <v>5</v>
      </c>
      <c r="I457" s="6">
        <f>YEAR(GameLog[[#This Row],[Date]])</f>
        <v>2025</v>
      </c>
      <c r="J457" s="6">
        <f>MONTH(GameLog[[#This Row],[Date]])</f>
        <v>11</v>
      </c>
      <c r="K457" s="6" t="str">
        <f>IF(GameLog[[#This Row],[Date]]=MAX(GameLog[Date]),"Current","Previous")</f>
        <v>Previous</v>
      </c>
      <c r="L457" s="6"/>
      <c r="M4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7" s="6" t="str">
        <f ca="1">IF(GameLog[[#This Row],[Check]]="","",COUNTIF(GameLog[[#Headers],[Check]]:GameLog[[#This Row],[Check]],"?*")-1)</f>
        <v/>
      </c>
      <c r="O457" s="6" t="str">
        <f>IFERROR(INDEX(Players[New name],MATCH(GameLog[[#This Row],[Player]],Players[Name],0)),GameLog[[#This Row],[Player]])</f>
        <v>Tyler B</v>
      </c>
    </row>
    <row r="458" spans="1:15" x14ac:dyDescent="0.45">
      <c r="A458" s="6" t="s">
        <v>52</v>
      </c>
      <c r="B458" s="6" t="s">
        <v>53</v>
      </c>
      <c r="C458" s="6">
        <v>1</v>
      </c>
      <c r="D458" s="6">
        <v>3</v>
      </c>
      <c r="E458" s="6">
        <v>2</v>
      </c>
      <c r="F458" s="10">
        <v>45964</v>
      </c>
      <c r="G458" s="6" t="str">
        <f>_xlfn.TEXTJOIN("|",TRUE,GameLog[[#This Row],[Pod]],TEXT(INT(GameLog[[#This Row],[Round]]),"yyyymmdd"),GameLog[[#This Row],[Date]])</f>
        <v>3|19000102|45964</v>
      </c>
      <c r="H458" s="6">
        <f>COUNTIF(GameLog[Pod ID],GameLog[[#This Row],[Pod ID]])</f>
        <v>5</v>
      </c>
      <c r="I458" s="6">
        <f>YEAR(GameLog[[#This Row],[Date]])</f>
        <v>2025</v>
      </c>
      <c r="J458" s="6">
        <f>MONTH(GameLog[[#This Row],[Date]])</f>
        <v>11</v>
      </c>
      <c r="K458" s="6" t="str">
        <f>IF(GameLog[[#This Row],[Date]]=MAX(GameLog[Date]),"Current","Previous")</f>
        <v>Previous</v>
      </c>
      <c r="L458" s="6"/>
      <c r="M4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8" s="6" t="str">
        <f ca="1">IF(GameLog[[#This Row],[Check]]="","",COUNTIF(GameLog[[#Headers],[Check]]:GameLog[[#This Row],[Check]],"?*")-1)</f>
        <v/>
      </c>
      <c r="O458" s="6" t="str">
        <f>IFERROR(INDEX(Players[New name],MATCH(GameLog[[#This Row],[Player]],Players[Name],0)),GameLog[[#This Row],[Player]])</f>
        <v>Unknown</v>
      </c>
    </row>
    <row r="459" spans="1:15" x14ac:dyDescent="0.45">
      <c r="A459" s="6" t="s">
        <v>80</v>
      </c>
      <c r="B459" s="6" t="s">
        <v>53</v>
      </c>
      <c r="C459" s="6">
        <v>2</v>
      </c>
      <c r="D459" s="6">
        <v>3</v>
      </c>
      <c r="E459" s="6">
        <v>2</v>
      </c>
      <c r="F459" s="10">
        <v>45964</v>
      </c>
      <c r="G459" s="6" t="str">
        <f>_xlfn.TEXTJOIN("|",TRUE,GameLog[[#This Row],[Pod]],TEXT(INT(GameLog[[#This Row],[Round]]),"yyyymmdd"),GameLog[[#This Row],[Date]])</f>
        <v>3|19000102|45964</v>
      </c>
      <c r="H459" s="6">
        <f>COUNTIF(GameLog[Pod ID],GameLog[[#This Row],[Pod ID]])</f>
        <v>5</v>
      </c>
      <c r="I459" s="6">
        <f>YEAR(GameLog[[#This Row],[Date]])</f>
        <v>2025</v>
      </c>
      <c r="J459" s="6">
        <f>MONTH(GameLog[[#This Row],[Date]])</f>
        <v>11</v>
      </c>
      <c r="K459" s="6" t="str">
        <f>IF(GameLog[[#This Row],[Date]]=MAX(GameLog[Date]),"Current","Previous")</f>
        <v>Previous</v>
      </c>
      <c r="L459" s="6"/>
      <c r="M4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59" s="6" t="str">
        <f ca="1">IF(GameLog[[#This Row],[Check]]="","",COUNTIF(GameLog[[#Headers],[Check]]:GameLog[[#This Row],[Check]],"?*")-1)</f>
        <v/>
      </c>
      <c r="O459" s="6" t="str">
        <f>IFERROR(INDEX(Players[New name],MATCH(GameLog[[#This Row],[Player]],Players[Name],0)),GameLog[[#This Row],[Player]])</f>
        <v>Jeremiah</v>
      </c>
    </row>
    <row r="460" spans="1:15" x14ac:dyDescent="0.45">
      <c r="A460" s="6" t="s">
        <v>63</v>
      </c>
      <c r="B460" s="6" t="s">
        <v>50</v>
      </c>
      <c r="C460" s="6">
        <v>3</v>
      </c>
      <c r="D460" s="6">
        <v>3</v>
      </c>
      <c r="E460" s="6">
        <v>2</v>
      </c>
      <c r="F460" s="10">
        <v>45964</v>
      </c>
      <c r="G460" s="6" t="str">
        <f>_xlfn.TEXTJOIN("|",TRUE,GameLog[[#This Row],[Pod]],TEXT(INT(GameLog[[#This Row],[Round]]),"yyyymmdd"),GameLog[[#This Row],[Date]])</f>
        <v>3|19000102|45964</v>
      </c>
      <c r="H460" s="6">
        <f>COUNTIF(GameLog[Pod ID],GameLog[[#This Row],[Pod ID]])</f>
        <v>5</v>
      </c>
      <c r="I460" s="6">
        <f>YEAR(GameLog[[#This Row],[Date]])</f>
        <v>2025</v>
      </c>
      <c r="J460" s="6">
        <f>MONTH(GameLog[[#This Row],[Date]])</f>
        <v>11</v>
      </c>
      <c r="K460" s="6" t="str">
        <f>IF(GameLog[[#This Row],[Date]]=MAX(GameLog[Date]),"Current","Previous")</f>
        <v>Previous</v>
      </c>
      <c r="L460" s="6"/>
      <c r="M4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0" s="6" t="str">
        <f ca="1">IF(GameLog[[#This Row],[Check]]="","",COUNTIF(GameLog[[#Headers],[Check]]:GameLog[[#This Row],[Check]],"?*")-1)</f>
        <v/>
      </c>
      <c r="O460" s="6" t="str">
        <f>IFERROR(INDEX(Players[New name],MATCH(GameLog[[#This Row],[Player]],Players[Name],0)),GameLog[[#This Row],[Player]])</f>
        <v>Jake D</v>
      </c>
    </row>
    <row r="461" spans="1:15" x14ac:dyDescent="0.45">
      <c r="A461" s="6" t="s">
        <v>60</v>
      </c>
      <c r="B461" s="6" t="s">
        <v>53</v>
      </c>
      <c r="C461" s="6">
        <v>4</v>
      </c>
      <c r="D461" s="6">
        <v>3</v>
      </c>
      <c r="E461" s="6">
        <v>2</v>
      </c>
      <c r="F461" s="10">
        <v>45964</v>
      </c>
      <c r="G461" s="6" t="str">
        <f>_xlfn.TEXTJOIN("|",TRUE,GameLog[[#This Row],[Pod]],TEXT(INT(GameLog[[#This Row],[Round]]),"yyyymmdd"),GameLog[[#This Row],[Date]])</f>
        <v>3|19000102|45964</v>
      </c>
      <c r="H461" s="6">
        <f>COUNTIF(GameLog[Pod ID],GameLog[[#This Row],[Pod ID]])</f>
        <v>5</v>
      </c>
      <c r="I461" s="6">
        <f>YEAR(GameLog[[#This Row],[Date]])</f>
        <v>2025</v>
      </c>
      <c r="J461" s="6">
        <f>MONTH(GameLog[[#This Row],[Date]])</f>
        <v>11</v>
      </c>
      <c r="K461" s="6" t="str">
        <f>IF(GameLog[[#This Row],[Date]]=MAX(GameLog[Date]),"Current","Previous")</f>
        <v>Previous</v>
      </c>
      <c r="L461" s="6"/>
      <c r="M4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1" s="6" t="str">
        <f ca="1">IF(GameLog[[#This Row],[Check]]="","",COUNTIF(GameLog[[#Headers],[Check]]:GameLog[[#This Row],[Check]],"?*")-1)</f>
        <v/>
      </c>
      <c r="O461" s="6" t="str">
        <f>IFERROR(INDEX(Players[New name],MATCH(GameLog[[#This Row],[Player]],Players[Name],0)),GameLog[[#This Row],[Player]])</f>
        <v>Brendan H</v>
      </c>
    </row>
    <row r="462" spans="1:15" x14ac:dyDescent="0.45">
      <c r="A462" s="6" t="s">
        <v>70</v>
      </c>
      <c r="B462" s="6" t="s">
        <v>53</v>
      </c>
      <c r="C462" s="6">
        <v>5</v>
      </c>
      <c r="D462" s="6">
        <v>3</v>
      </c>
      <c r="E462" s="6">
        <v>2</v>
      </c>
      <c r="F462" s="10">
        <v>45964</v>
      </c>
      <c r="G462" s="6" t="str">
        <f>_xlfn.TEXTJOIN("|",TRUE,GameLog[[#This Row],[Pod]],TEXT(INT(GameLog[[#This Row],[Round]]),"yyyymmdd"),GameLog[[#This Row],[Date]])</f>
        <v>3|19000102|45964</v>
      </c>
      <c r="H462" s="6">
        <f>COUNTIF(GameLog[Pod ID],GameLog[[#This Row],[Pod ID]])</f>
        <v>5</v>
      </c>
      <c r="I462" s="6">
        <f>YEAR(GameLog[[#This Row],[Date]])</f>
        <v>2025</v>
      </c>
      <c r="J462" s="6">
        <f>MONTH(GameLog[[#This Row],[Date]])</f>
        <v>11</v>
      </c>
      <c r="K462" s="6" t="str">
        <f>IF(GameLog[[#This Row],[Date]]=MAX(GameLog[Date]),"Current","Previous")</f>
        <v>Previous</v>
      </c>
      <c r="L462" s="6"/>
      <c r="M4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2" s="6" t="str">
        <f ca="1">IF(GameLog[[#This Row],[Check]]="","",COUNTIF(GameLog[[#Headers],[Check]]:GameLog[[#This Row],[Check]],"?*")-1)</f>
        <v/>
      </c>
      <c r="O462" s="6" t="str">
        <f>IFERROR(INDEX(Players[New name],MATCH(GameLog[[#This Row],[Player]],Players[Name],0)),GameLog[[#This Row],[Player]])</f>
        <v>Brad F</v>
      </c>
    </row>
    <row r="463" spans="1:15" x14ac:dyDescent="0.45">
      <c r="A463" s="6" t="s">
        <v>81</v>
      </c>
      <c r="B463" s="6" t="s">
        <v>50</v>
      </c>
      <c r="C463" s="6">
        <v>1</v>
      </c>
      <c r="D463" s="6">
        <v>4</v>
      </c>
      <c r="E463" s="6">
        <v>2</v>
      </c>
      <c r="F463" s="10">
        <v>45964</v>
      </c>
      <c r="G463" s="6" t="str">
        <f>_xlfn.TEXTJOIN("|",TRUE,GameLog[[#This Row],[Pod]],TEXT(INT(GameLog[[#This Row],[Round]]),"yyyymmdd"),GameLog[[#This Row],[Date]])</f>
        <v>4|19000102|45964</v>
      </c>
      <c r="H463" s="6">
        <f>COUNTIF(GameLog[Pod ID],GameLog[[#This Row],[Pod ID]])</f>
        <v>4</v>
      </c>
      <c r="I463" s="6">
        <f>YEAR(GameLog[[#This Row],[Date]])</f>
        <v>2025</v>
      </c>
      <c r="J463" s="6">
        <f>MONTH(GameLog[[#This Row],[Date]])</f>
        <v>11</v>
      </c>
      <c r="K463" s="6" t="str">
        <f>IF(GameLog[[#This Row],[Date]]=MAX(GameLog[Date]),"Current","Previous")</f>
        <v>Previous</v>
      </c>
      <c r="L463" s="6"/>
      <c r="M4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3" s="6" t="str">
        <f ca="1">IF(GameLog[[#This Row],[Check]]="","",COUNTIF(GameLog[[#Headers],[Check]]:GameLog[[#This Row],[Check]],"?*")-1)</f>
        <v/>
      </c>
      <c r="O463" s="6" t="str">
        <f>IFERROR(INDEX(Players[New name],MATCH(GameLog[[#This Row],[Player]],Players[Name],0)),GameLog[[#This Row],[Player]])</f>
        <v>Forrest</v>
      </c>
    </row>
    <row r="464" spans="1:15" x14ac:dyDescent="0.45">
      <c r="A464" s="6" t="s">
        <v>65</v>
      </c>
      <c r="B464" s="6" t="s">
        <v>53</v>
      </c>
      <c r="C464" s="6">
        <v>2</v>
      </c>
      <c r="D464" s="6">
        <v>4</v>
      </c>
      <c r="E464" s="6">
        <v>2</v>
      </c>
      <c r="F464" s="10">
        <v>45964</v>
      </c>
      <c r="G464" s="6" t="str">
        <f>_xlfn.TEXTJOIN("|",TRUE,GameLog[[#This Row],[Pod]],TEXT(INT(GameLog[[#This Row],[Round]]),"yyyymmdd"),GameLog[[#This Row],[Date]])</f>
        <v>4|19000102|45964</v>
      </c>
      <c r="H464" s="6">
        <f>COUNTIF(GameLog[Pod ID],GameLog[[#This Row],[Pod ID]])</f>
        <v>4</v>
      </c>
      <c r="I464" s="6">
        <f>YEAR(GameLog[[#This Row],[Date]])</f>
        <v>2025</v>
      </c>
      <c r="J464" s="6">
        <f>MONTH(GameLog[[#This Row],[Date]])</f>
        <v>11</v>
      </c>
      <c r="K464" s="6" t="str">
        <f>IF(GameLog[[#This Row],[Date]]=MAX(GameLog[Date]),"Current","Previous")</f>
        <v>Previous</v>
      </c>
      <c r="L464" s="6"/>
      <c r="M4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4" s="6" t="str">
        <f ca="1">IF(GameLog[[#This Row],[Check]]="","",COUNTIF(GameLog[[#Headers],[Check]]:GameLog[[#This Row],[Check]],"?*")-1)</f>
        <v/>
      </c>
      <c r="O464" s="6" t="str">
        <f>IFERROR(INDEX(Players[New name],MATCH(GameLog[[#This Row],[Player]],Players[Name],0)),GameLog[[#This Row],[Player]])</f>
        <v>Mitch</v>
      </c>
    </row>
    <row r="465" spans="1:15" x14ac:dyDescent="0.45">
      <c r="A465" s="6" t="s">
        <v>83</v>
      </c>
      <c r="B465" s="6" t="s">
        <v>53</v>
      </c>
      <c r="C465" s="6">
        <v>3</v>
      </c>
      <c r="D465" s="6">
        <v>4</v>
      </c>
      <c r="E465" s="6">
        <v>2</v>
      </c>
      <c r="F465" s="10">
        <v>45964</v>
      </c>
      <c r="G465" s="6" t="str">
        <f>_xlfn.TEXTJOIN("|",TRUE,GameLog[[#This Row],[Pod]],TEXT(INT(GameLog[[#This Row],[Round]]),"yyyymmdd"),GameLog[[#This Row],[Date]])</f>
        <v>4|19000102|45964</v>
      </c>
      <c r="H465" s="6">
        <f>COUNTIF(GameLog[Pod ID],GameLog[[#This Row],[Pod ID]])</f>
        <v>4</v>
      </c>
      <c r="I465" s="6">
        <f>YEAR(GameLog[[#This Row],[Date]])</f>
        <v>2025</v>
      </c>
      <c r="J465" s="6">
        <f>MONTH(GameLog[[#This Row],[Date]])</f>
        <v>11</v>
      </c>
      <c r="K465" s="6" t="str">
        <f>IF(GameLog[[#This Row],[Date]]=MAX(GameLog[Date]),"Current","Previous")</f>
        <v>Previous</v>
      </c>
      <c r="L465" s="6"/>
      <c r="M4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5" s="6" t="str">
        <f ca="1">IF(GameLog[[#This Row],[Check]]="","",COUNTIF(GameLog[[#Headers],[Check]]:GameLog[[#This Row],[Check]],"?*")-1)</f>
        <v/>
      </c>
      <c r="O465" s="6" t="str">
        <f>IFERROR(INDEX(Players[New name],MATCH(GameLog[[#This Row],[Player]],Players[Name],0)),GameLog[[#This Row],[Player]])</f>
        <v>Devyn S</v>
      </c>
    </row>
    <row r="466" spans="1:15" x14ac:dyDescent="0.45">
      <c r="A466" s="6" t="s">
        <v>84</v>
      </c>
      <c r="B466" s="6" t="s">
        <v>53</v>
      </c>
      <c r="C466" s="6">
        <v>4</v>
      </c>
      <c r="D466" s="6">
        <v>4</v>
      </c>
      <c r="E466" s="6">
        <v>2</v>
      </c>
      <c r="F466" s="10">
        <v>45964</v>
      </c>
      <c r="G466" s="6" t="str">
        <f>_xlfn.TEXTJOIN("|",TRUE,GameLog[[#This Row],[Pod]],TEXT(INT(GameLog[[#This Row],[Round]]),"yyyymmdd"),GameLog[[#This Row],[Date]])</f>
        <v>4|19000102|45964</v>
      </c>
      <c r="H466" s="6">
        <f>COUNTIF(GameLog[Pod ID],GameLog[[#This Row],[Pod ID]])</f>
        <v>4</v>
      </c>
      <c r="I466" s="6">
        <f>YEAR(GameLog[[#This Row],[Date]])</f>
        <v>2025</v>
      </c>
      <c r="J466" s="6">
        <f>MONTH(GameLog[[#This Row],[Date]])</f>
        <v>11</v>
      </c>
      <c r="K466" s="6" t="str">
        <f>IF(GameLog[[#This Row],[Date]]=MAX(GameLog[Date]),"Current","Previous")</f>
        <v>Previous</v>
      </c>
      <c r="L466" s="6"/>
      <c r="M4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6" s="6" t="str">
        <f ca="1">IF(GameLog[[#This Row],[Check]]="","",COUNTIF(GameLog[[#Headers],[Check]]:GameLog[[#This Row],[Check]],"?*")-1)</f>
        <v/>
      </c>
      <c r="O466" s="6" t="str">
        <f>IFERROR(INDEX(Players[New name],MATCH(GameLog[[#This Row],[Player]],Players[Name],0)),GameLog[[#This Row],[Player]])</f>
        <v>Zach D</v>
      </c>
    </row>
    <row r="467" spans="1:15" x14ac:dyDescent="0.45">
      <c r="A467" s="6" t="s">
        <v>76</v>
      </c>
      <c r="B467" s="6" t="s">
        <v>90</v>
      </c>
      <c r="C467" s="6">
        <v>1</v>
      </c>
      <c r="D467" s="6">
        <v>5</v>
      </c>
      <c r="E467" s="6">
        <v>2</v>
      </c>
      <c r="F467" s="10">
        <v>45964</v>
      </c>
      <c r="G467" s="6" t="str">
        <f>_xlfn.TEXTJOIN("|",TRUE,GameLog[[#This Row],[Pod]],TEXT(INT(GameLog[[#This Row],[Round]]),"yyyymmdd"),GameLog[[#This Row],[Date]])</f>
        <v>5|19000102|45964</v>
      </c>
      <c r="H467" s="6">
        <f>COUNTIF(GameLog[Pod ID],GameLog[[#This Row],[Pod ID]])</f>
        <v>4</v>
      </c>
      <c r="I467" s="6">
        <f>YEAR(GameLog[[#This Row],[Date]])</f>
        <v>2025</v>
      </c>
      <c r="J467" s="6">
        <f>MONTH(GameLog[[#This Row],[Date]])</f>
        <v>11</v>
      </c>
      <c r="K467" s="6" t="str">
        <f>IF(GameLog[[#This Row],[Date]]=MAX(GameLog[Date]),"Current","Previous")</f>
        <v>Previous</v>
      </c>
      <c r="L467" s="6"/>
      <c r="M4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7" s="6" t="str">
        <f ca="1">IF(GameLog[[#This Row],[Check]]="","",COUNTIF(GameLog[[#Headers],[Check]]:GameLog[[#This Row],[Check]],"?*")-1)</f>
        <v/>
      </c>
      <c r="O467" s="6" t="str">
        <f>IFERROR(INDEX(Players[New name],MATCH(GameLog[[#This Row],[Player]],Players[Name],0)),GameLog[[#This Row],[Player]])</f>
        <v>Jon M</v>
      </c>
    </row>
    <row r="468" spans="1:15" x14ac:dyDescent="0.45">
      <c r="A468" s="6" t="s">
        <v>86</v>
      </c>
      <c r="B468" s="6" t="s">
        <v>90</v>
      </c>
      <c r="C468" s="6">
        <v>2</v>
      </c>
      <c r="D468" s="6">
        <v>5</v>
      </c>
      <c r="E468" s="6">
        <v>2</v>
      </c>
      <c r="F468" s="10">
        <v>45964</v>
      </c>
      <c r="G468" s="6" t="str">
        <f>_xlfn.TEXTJOIN("|",TRUE,GameLog[[#This Row],[Pod]],TEXT(INT(GameLog[[#This Row],[Round]]),"yyyymmdd"),GameLog[[#This Row],[Date]])</f>
        <v>5|19000102|45964</v>
      </c>
      <c r="H468" s="6">
        <f>COUNTIF(GameLog[Pod ID],GameLog[[#This Row],[Pod ID]])</f>
        <v>4</v>
      </c>
      <c r="I468" s="6">
        <f>YEAR(GameLog[[#This Row],[Date]])</f>
        <v>2025</v>
      </c>
      <c r="J468" s="6">
        <f>MONTH(GameLog[[#This Row],[Date]])</f>
        <v>11</v>
      </c>
      <c r="K468" s="6" t="str">
        <f>IF(GameLog[[#This Row],[Date]]=MAX(GameLog[Date]),"Current","Previous")</f>
        <v>Previous</v>
      </c>
      <c r="L468" s="6"/>
      <c r="M4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8" s="6" t="str">
        <f ca="1">IF(GameLog[[#This Row],[Check]]="","",COUNTIF(GameLog[[#Headers],[Check]]:GameLog[[#This Row],[Check]],"?*")-1)</f>
        <v/>
      </c>
      <c r="O468" s="6" t="str">
        <f>IFERROR(INDEX(Players[New name],MATCH(GameLog[[#This Row],[Player]],Players[Name],0)),GameLog[[#This Row],[Player]])</f>
        <v>Steve C</v>
      </c>
    </row>
    <row r="469" spans="1:15" x14ac:dyDescent="0.45">
      <c r="A469" s="6" t="s">
        <v>49</v>
      </c>
      <c r="B469" s="6" t="s">
        <v>90</v>
      </c>
      <c r="C469" s="6">
        <v>3</v>
      </c>
      <c r="D469" s="6">
        <v>5</v>
      </c>
      <c r="E469" s="6">
        <v>2</v>
      </c>
      <c r="F469" s="10">
        <v>45964</v>
      </c>
      <c r="G469" s="6" t="str">
        <f>_xlfn.TEXTJOIN("|",TRUE,GameLog[[#This Row],[Pod]],TEXT(INT(GameLog[[#This Row],[Round]]),"yyyymmdd"),GameLog[[#This Row],[Date]])</f>
        <v>5|19000102|45964</v>
      </c>
      <c r="H469" s="6">
        <f>COUNTIF(GameLog[Pod ID],GameLog[[#This Row],[Pod ID]])</f>
        <v>4</v>
      </c>
      <c r="I469" s="6">
        <f>YEAR(GameLog[[#This Row],[Date]])</f>
        <v>2025</v>
      </c>
      <c r="J469" s="6">
        <f>MONTH(GameLog[[#This Row],[Date]])</f>
        <v>11</v>
      </c>
      <c r="K469" s="6" t="str">
        <f>IF(GameLog[[#This Row],[Date]]=MAX(GameLog[Date]),"Current","Previous")</f>
        <v>Previous</v>
      </c>
      <c r="L469" s="6"/>
      <c r="M4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69" s="6" t="str">
        <f ca="1">IF(GameLog[[#This Row],[Check]]="","",COUNTIF(GameLog[[#Headers],[Check]]:GameLog[[#This Row],[Check]],"?*")-1)</f>
        <v/>
      </c>
      <c r="O469" s="6" t="str">
        <f>IFERROR(INDEX(Players[New name],MATCH(GameLog[[#This Row],[Player]],Players[Name],0)),GameLog[[#This Row],[Player]])</f>
        <v>Brett R</v>
      </c>
    </row>
    <row r="470" spans="1:15" x14ac:dyDescent="0.45">
      <c r="A470" s="6" t="s">
        <v>61</v>
      </c>
      <c r="B470" s="6" t="s">
        <v>90</v>
      </c>
      <c r="C470" s="6">
        <v>4</v>
      </c>
      <c r="D470" s="6">
        <v>5</v>
      </c>
      <c r="E470" s="6">
        <v>2</v>
      </c>
      <c r="F470" s="10">
        <v>45964</v>
      </c>
      <c r="G470" s="6" t="str">
        <f>_xlfn.TEXTJOIN("|",TRUE,GameLog[[#This Row],[Pod]],TEXT(INT(GameLog[[#This Row],[Round]]),"yyyymmdd"),GameLog[[#This Row],[Date]])</f>
        <v>5|19000102|45964</v>
      </c>
      <c r="H470" s="6">
        <f>COUNTIF(GameLog[Pod ID],GameLog[[#This Row],[Pod ID]])</f>
        <v>4</v>
      </c>
      <c r="I470" s="6">
        <f>YEAR(GameLog[[#This Row],[Date]])</f>
        <v>2025</v>
      </c>
      <c r="J470" s="6">
        <f>MONTH(GameLog[[#This Row],[Date]])</f>
        <v>11</v>
      </c>
      <c r="K470" s="6" t="str">
        <f>IF(GameLog[[#This Row],[Date]]=MAX(GameLog[Date]),"Current","Previous")</f>
        <v>Previous</v>
      </c>
      <c r="L470" s="6"/>
      <c r="M4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0" s="6" t="str">
        <f ca="1">IF(GameLog[[#This Row],[Check]]="","",COUNTIF(GameLog[[#Headers],[Check]]:GameLog[[#This Row],[Check]],"?*")-1)</f>
        <v/>
      </c>
      <c r="O470" s="6" t="str">
        <f>IFERROR(INDEX(Players[New name],MATCH(GameLog[[#This Row],[Player]],Players[Name],0)),GameLog[[#This Row],[Player]])</f>
        <v>Trevor</v>
      </c>
    </row>
    <row r="471" spans="1:15" x14ac:dyDescent="0.45">
      <c r="A471" s="6" t="s">
        <v>73</v>
      </c>
      <c r="B471" s="6" t="s">
        <v>50</v>
      </c>
      <c r="C471" s="6">
        <v>1</v>
      </c>
      <c r="D471" s="6">
        <v>1</v>
      </c>
      <c r="E471" s="6">
        <v>1</v>
      </c>
      <c r="F471" s="10">
        <v>45971</v>
      </c>
      <c r="G471" s="6" t="str">
        <f>_xlfn.TEXTJOIN("|",TRUE,GameLog[[#This Row],[Pod]],TEXT(INT(GameLog[[#This Row],[Round]]),"yyyymmdd"),GameLog[[#This Row],[Date]])</f>
        <v>1|19000101|45971</v>
      </c>
      <c r="H471" s="6">
        <f>COUNTIF(GameLog[Pod ID],GameLog[[#This Row],[Pod ID]])</f>
        <v>5</v>
      </c>
      <c r="I471" s="6">
        <f>YEAR(GameLog[[#This Row],[Date]])</f>
        <v>2025</v>
      </c>
      <c r="J471" s="6">
        <f>MONTH(GameLog[[#This Row],[Date]])</f>
        <v>11</v>
      </c>
      <c r="K471" s="6" t="str">
        <f>IF(GameLog[[#This Row],[Date]]=MAX(GameLog[Date]),"Current","Previous")</f>
        <v>Previous</v>
      </c>
      <c r="L471" s="6"/>
      <c r="M4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1" s="6" t="str">
        <f ca="1">IF(GameLog[[#This Row],[Check]]="","",COUNTIF(GameLog[[#Headers],[Check]]:GameLog[[#This Row],[Check]],"?*")-1)</f>
        <v/>
      </c>
      <c r="O471" s="6" t="str">
        <f>IFERROR(INDEX(Players[New name],MATCH(GameLog[[#This Row],[Player]],Players[Name],0)),GameLog[[#This Row],[Player]])</f>
        <v>Brandon B</v>
      </c>
    </row>
    <row r="472" spans="1:15" x14ac:dyDescent="0.45">
      <c r="A472" s="6" t="s">
        <v>83</v>
      </c>
      <c r="B472" s="6" t="s">
        <v>53</v>
      </c>
      <c r="C472" s="6">
        <v>2</v>
      </c>
      <c r="D472" s="6">
        <v>1</v>
      </c>
      <c r="E472" s="6">
        <v>1</v>
      </c>
      <c r="F472" s="10">
        <v>45971</v>
      </c>
      <c r="G472" s="6" t="str">
        <f>_xlfn.TEXTJOIN("|",TRUE,GameLog[[#This Row],[Pod]],TEXT(INT(GameLog[[#This Row],[Round]]),"yyyymmdd"),GameLog[[#This Row],[Date]])</f>
        <v>1|19000101|45971</v>
      </c>
      <c r="H472" s="6">
        <f>COUNTIF(GameLog[Pod ID],GameLog[[#This Row],[Pod ID]])</f>
        <v>5</v>
      </c>
      <c r="I472" s="6">
        <f>YEAR(GameLog[[#This Row],[Date]])</f>
        <v>2025</v>
      </c>
      <c r="J472" s="6">
        <f>MONTH(GameLog[[#This Row],[Date]])</f>
        <v>11</v>
      </c>
      <c r="K472" s="6" t="str">
        <f>IF(GameLog[[#This Row],[Date]]=MAX(GameLog[Date]),"Current","Previous")</f>
        <v>Previous</v>
      </c>
      <c r="L472" s="6"/>
      <c r="M4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2" s="6" t="str">
        <f ca="1">IF(GameLog[[#This Row],[Check]]="","",COUNTIF(GameLog[[#Headers],[Check]]:GameLog[[#This Row],[Check]],"?*")-1)</f>
        <v/>
      </c>
      <c r="O472" s="6" t="str">
        <f>IFERROR(INDEX(Players[New name],MATCH(GameLog[[#This Row],[Player]],Players[Name],0)),GameLog[[#This Row],[Player]])</f>
        <v>Devyn S</v>
      </c>
    </row>
    <row r="473" spans="1:15" x14ac:dyDescent="0.45">
      <c r="A473" s="6" t="s">
        <v>59</v>
      </c>
      <c r="B473" s="6" t="s">
        <v>53</v>
      </c>
      <c r="C473" s="6">
        <v>3</v>
      </c>
      <c r="D473" s="6">
        <v>1</v>
      </c>
      <c r="E473" s="6">
        <v>1</v>
      </c>
      <c r="F473" s="10">
        <v>45971</v>
      </c>
      <c r="G473" s="6" t="str">
        <f>_xlfn.TEXTJOIN("|",TRUE,GameLog[[#This Row],[Pod]],TEXT(INT(GameLog[[#This Row],[Round]]),"yyyymmdd"),GameLog[[#This Row],[Date]])</f>
        <v>1|19000101|45971</v>
      </c>
      <c r="H473" s="6">
        <f>COUNTIF(GameLog[Pod ID],GameLog[[#This Row],[Pod ID]])</f>
        <v>5</v>
      </c>
      <c r="I473" s="6">
        <f>YEAR(GameLog[[#This Row],[Date]])</f>
        <v>2025</v>
      </c>
      <c r="J473" s="6">
        <f>MONTH(GameLog[[#This Row],[Date]])</f>
        <v>11</v>
      </c>
      <c r="K473" s="6" t="str">
        <f>IF(GameLog[[#This Row],[Date]]=MAX(GameLog[Date]),"Current","Previous")</f>
        <v>Previous</v>
      </c>
      <c r="L473" s="6"/>
      <c r="M4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3" s="6" t="str">
        <f ca="1">IF(GameLog[[#This Row],[Check]]="","",COUNTIF(GameLog[[#Headers],[Check]]:GameLog[[#This Row],[Check]],"?*")-1)</f>
        <v/>
      </c>
      <c r="O473" s="6" t="str">
        <f>IFERROR(INDEX(Players[New name],MATCH(GameLog[[#This Row],[Player]],Players[Name],0)),GameLog[[#This Row],[Player]])</f>
        <v>Zack B</v>
      </c>
    </row>
    <row r="474" spans="1:15" x14ac:dyDescent="0.45">
      <c r="A474" s="6" t="s">
        <v>71</v>
      </c>
      <c r="B474" s="6" t="s">
        <v>53</v>
      </c>
      <c r="C474" s="6">
        <v>4</v>
      </c>
      <c r="D474" s="6">
        <v>1</v>
      </c>
      <c r="E474" s="6">
        <v>1</v>
      </c>
      <c r="F474" s="10">
        <v>45971</v>
      </c>
      <c r="G474" s="6" t="str">
        <f>_xlfn.TEXTJOIN("|",TRUE,GameLog[[#This Row],[Pod]],TEXT(INT(GameLog[[#This Row],[Round]]),"yyyymmdd"),GameLog[[#This Row],[Date]])</f>
        <v>1|19000101|45971</v>
      </c>
      <c r="H474" s="6">
        <f>COUNTIF(GameLog[Pod ID],GameLog[[#This Row],[Pod ID]])</f>
        <v>5</v>
      </c>
      <c r="I474" s="6">
        <f>YEAR(GameLog[[#This Row],[Date]])</f>
        <v>2025</v>
      </c>
      <c r="J474" s="6">
        <f>MONTH(GameLog[[#This Row],[Date]])</f>
        <v>11</v>
      </c>
      <c r="K474" s="6" t="str">
        <f>IF(GameLog[[#This Row],[Date]]=MAX(GameLog[Date]),"Current","Previous")</f>
        <v>Previous</v>
      </c>
      <c r="L474" s="6"/>
      <c r="M4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4" s="6" t="str">
        <f ca="1">IF(GameLog[[#This Row],[Check]]="","",COUNTIF(GameLog[[#Headers],[Check]]:GameLog[[#This Row],[Check]],"?*")-1)</f>
        <v/>
      </c>
      <c r="O474" s="6" t="str">
        <f>IFERROR(INDEX(Players[New name],MATCH(GameLog[[#This Row],[Player]],Players[Name],0)),GameLog[[#This Row],[Player]])</f>
        <v>Rodney Y</v>
      </c>
    </row>
    <row r="475" spans="1:15" x14ac:dyDescent="0.45">
      <c r="A475" s="6" t="s">
        <v>57</v>
      </c>
      <c r="B475" s="6" t="s">
        <v>53</v>
      </c>
      <c r="C475" s="6">
        <v>5</v>
      </c>
      <c r="D475" s="6">
        <v>1</v>
      </c>
      <c r="E475" s="6">
        <v>1</v>
      </c>
      <c r="F475" s="10">
        <v>45971</v>
      </c>
      <c r="G475" s="6" t="str">
        <f>_xlfn.TEXTJOIN("|",TRUE,GameLog[[#This Row],[Pod]],TEXT(INT(GameLog[[#This Row],[Round]]),"yyyymmdd"),GameLog[[#This Row],[Date]])</f>
        <v>1|19000101|45971</v>
      </c>
      <c r="H475" s="6">
        <f>COUNTIF(GameLog[Pod ID],GameLog[[#This Row],[Pod ID]])</f>
        <v>5</v>
      </c>
      <c r="I475" s="6">
        <f>YEAR(GameLog[[#This Row],[Date]])</f>
        <v>2025</v>
      </c>
      <c r="J475" s="6">
        <f>MONTH(GameLog[[#This Row],[Date]])</f>
        <v>11</v>
      </c>
      <c r="K475" s="6" t="str">
        <f>IF(GameLog[[#This Row],[Date]]=MAX(GameLog[Date]),"Current","Previous")</f>
        <v>Previous</v>
      </c>
      <c r="L475" s="6"/>
      <c r="M4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5" s="6" t="str">
        <f ca="1">IF(GameLog[[#This Row],[Check]]="","",COUNTIF(GameLog[[#Headers],[Check]]:GameLog[[#This Row],[Check]],"?*")-1)</f>
        <v/>
      </c>
      <c r="O475" s="6" t="str">
        <f>IFERROR(INDEX(Players[New name],MATCH(GameLog[[#This Row],[Player]],Players[Name],0)),GameLog[[#This Row],[Player]])</f>
        <v>AJ W</v>
      </c>
    </row>
    <row r="476" spans="1:15" x14ac:dyDescent="0.45">
      <c r="A476" s="6" t="s">
        <v>82</v>
      </c>
      <c r="B476" s="6" t="s">
        <v>53</v>
      </c>
      <c r="C476" s="6">
        <v>1</v>
      </c>
      <c r="D476" s="6">
        <v>2</v>
      </c>
      <c r="E476" s="6">
        <v>1</v>
      </c>
      <c r="F476" s="10">
        <v>45971</v>
      </c>
      <c r="G476" s="6" t="str">
        <f>_xlfn.TEXTJOIN("|",TRUE,GameLog[[#This Row],[Pod]],TEXT(INT(GameLog[[#This Row],[Round]]),"yyyymmdd"),GameLog[[#This Row],[Date]])</f>
        <v>2|19000101|45971</v>
      </c>
      <c r="H476" s="6">
        <f>COUNTIF(GameLog[Pod ID],GameLog[[#This Row],[Pod ID]])</f>
        <v>4</v>
      </c>
      <c r="I476" s="6">
        <f>YEAR(GameLog[[#This Row],[Date]])</f>
        <v>2025</v>
      </c>
      <c r="J476" s="6">
        <f>MONTH(GameLog[[#This Row],[Date]])</f>
        <v>11</v>
      </c>
      <c r="K476" s="6" t="str">
        <f>IF(GameLog[[#This Row],[Date]]=MAX(GameLog[Date]),"Current","Previous")</f>
        <v>Previous</v>
      </c>
      <c r="L476" s="6"/>
      <c r="M4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6" s="6" t="str">
        <f ca="1">IF(GameLog[[#This Row],[Check]]="","",COUNTIF(GameLog[[#Headers],[Check]]:GameLog[[#This Row],[Check]],"?*")-1)</f>
        <v/>
      </c>
      <c r="O476" s="6" t="str">
        <f>IFERROR(INDEX(Players[New name],MATCH(GameLog[[#This Row],[Player]],Players[Name],0)),GameLog[[#This Row],[Player]])</f>
        <v>Nick D</v>
      </c>
    </row>
    <row r="477" spans="1:15" x14ac:dyDescent="0.45">
      <c r="A477" s="6" t="s">
        <v>76</v>
      </c>
      <c r="B477" s="6" t="s">
        <v>50</v>
      </c>
      <c r="C477" s="6">
        <v>2</v>
      </c>
      <c r="D477" s="6">
        <v>2</v>
      </c>
      <c r="E477" s="6">
        <v>1</v>
      </c>
      <c r="F477" s="10">
        <v>45971</v>
      </c>
      <c r="G477" s="6" t="str">
        <f>_xlfn.TEXTJOIN("|",TRUE,GameLog[[#This Row],[Pod]],TEXT(INT(GameLog[[#This Row],[Round]]),"yyyymmdd"),GameLog[[#This Row],[Date]])</f>
        <v>2|19000101|45971</v>
      </c>
      <c r="H477" s="6">
        <f>COUNTIF(GameLog[Pod ID],GameLog[[#This Row],[Pod ID]])</f>
        <v>4</v>
      </c>
      <c r="I477" s="6">
        <f>YEAR(GameLog[[#This Row],[Date]])</f>
        <v>2025</v>
      </c>
      <c r="J477" s="6">
        <f>MONTH(GameLog[[#This Row],[Date]])</f>
        <v>11</v>
      </c>
      <c r="K477" s="6" t="str">
        <f>IF(GameLog[[#This Row],[Date]]=MAX(GameLog[Date]),"Current","Previous")</f>
        <v>Previous</v>
      </c>
      <c r="L477" s="6"/>
      <c r="M4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7" s="6" t="str">
        <f ca="1">IF(GameLog[[#This Row],[Check]]="","",COUNTIF(GameLog[[#Headers],[Check]]:GameLog[[#This Row],[Check]],"?*")-1)</f>
        <v/>
      </c>
      <c r="O477" s="6" t="str">
        <f>IFERROR(INDEX(Players[New name],MATCH(GameLog[[#This Row],[Player]],Players[Name],0)),GameLog[[#This Row],[Player]])</f>
        <v>Jon M</v>
      </c>
    </row>
    <row r="478" spans="1:15" x14ac:dyDescent="0.45">
      <c r="A478" s="6" t="s">
        <v>49</v>
      </c>
      <c r="B478" s="6" t="s">
        <v>53</v>
      </c>
      <c r="C478" s="6">
        <v>3</v>
      </c>
      <c r="D478" s="6">
        <v>2</v>
      </c>
      <c r="E478" s="6">
        <v>1</v>
      </c>
      <c r="F478" s="10">
        <v>45971</v>
      </c>
      <c r="G478" s="6" t="str">
        <f>_xlfn.TEXTJOIN("|",TRUE,GameLog[[#This Row],[Pod]],TEXT(INT(GameLog[[#This Row],[Round]]),"yyyymmdd"),GameLog[[#This Row],[Date]])</f>
        <v>2|19000101|45971</v>
      </c>
      <c r="H478" s="6">
        <f>COUNTIF(GameLog[Pod ID],GameLog[[#This Row],[Pod ID]])</f>
        <v>4</v>
      </c>
      <c r="I478" s="6">
        <f>YEAR(GameLog[[#This Row],[Date]])</f>
        <v>2025</v>
      </c>
      <c r="J478" s="6">
        <f>MONTH(GameLog[[#This Row],[Date]])</f>
        <v>11</v>
      </c>
      <c r="K478" s="6" t="str">
        <f>IF(GameLog[[#This Row],[Date]]=MAX(GameLog[Date]),"Current","Previous")</f>
        <v>Previous</v>
      </c>
      <c r="L478" s="6"/>
      <c r="M4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8" s="6" t="str">
        <f ca="1">IF(GameLog[[#This Row],[Check]]="","",COUNTIF(GameLog[[#Headers],[Check]]:GameLog[[#This Row],[Check]],"?*")-1)</f>
        <v/>
      </c>
      <c r="O478" s="6" t="str">
        <f>IFERROR(INDEX(Players[New name],MATCH(GameLog[[#This Row],[Player]],Players[Name],0)),GameLog[[#This Row],[Player]])</f>
        <v>Brett R</v>
      </c>
    </row>
    <row r="479" spans="1:15" x14ac:dyDescent="0.45">
      <c r="A479" s="6" t="s">
        <v>84</v>
      </c>
      <c r="B479" s="6" t="s">
        <v>53</v>
      </c>
      <c r="C479" s="6">
        <v>4</v>
      </c>
      <c r="D479" s="6">
        <v>2</v>
      </c>
      <c r="E479" s="6">
        <v>1</v>
      </c>
      <c r="F479" s="10">
        <v>45971</v>
      </c>
      <c r="G479" s="6" t="str">
        <f>_xlfn.TEXTJOIN("|",TRUE,GameLog[[#This Row],[Pod]],TEXT(INT(GameLog[[#This Row],[Round]]),"yyyymmdd"),GameLog[[#This Row],[Date]])</f>
        <v>2|19000101|45971</v>
      </c>
      <c r="H479" s="6">
        <f>COUNTIF(GameLog[Pod ID],GameLog[[#This Row],[Pod ID]])</f>
        <v>4</v>
      </c>
      <c r="I479" s="6">
        <f>YEAR(GameLog[[#This Row],[Date]])</f>
        <v>2025</v>
      </c>
      <c r="J479" s="6">
        <f>MONTH(GameLog[[#This Row],[Date]])</f>
        <v>11</v>
      </c>
      <c r="K479" s="6" t="str">
        <f>IF(GameLog[[#This Row],[Date]]=MAX(GameLog[Date]),"Current","Previous")</f>
        <v>Previous</v>
      </c>
      <c r="L479" s="6"/>
      <c r="M4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79" s="6" t="str">
        <f ca="1">IF(GameLog[[#This Row],[Check]]="","",COUNTIF(GameLog[[#Headers],[Check]]:GameLog[[#This Row],[Check]],"?*")-1)</f>
        <v/>
      </c>
      <c r="O479" s="6" t="str">
        <f>IFERROR(INDEX(Players[New name],MATCH(GameLog[[#This Row],[Player]],Players[Name],0)),GameLog[[#This Row],[Player]])</f>
        <v>Zach D</v>
      </c>
    </row>
    <row r="480" spans="1:15" x14ac:dyDescent="0.45">
      <c r="A480" s="6" t="s">
        <v>61</v>
      </c>
      <c r="B480" s="6" t="s">
        <v>53</v>
      </c>
      <c r="C480" s="6">
        <v>1</v>
      </c>
      <c r="D480" s="6">
        <v>3</v>
      </c>
      <c r="E480" s="6">
        <v>1</v>
      </c>
      <c r="F480" s="10">
        <v>45971</v>
      </c>
      <c r="G480" s="6" t="str">
        <f>_xlfn.TEXTJOIN("|",TRUE,GameLog[[#This Row],[Pod]],TEXT(INT(GameLog[[#This Row],[Round]]),"yyyymmdd"),GameLog[[#This Row],[Date]])</f>
        <v>3|19000101|45971</v>
      </c>
      <c r="H480" s="6">
        <f>COUNTIF(GameLog[Pod ID],GameLog[[#This Row],[Pod ID]])</f>
        <v>4</v>
      </c>
      <c r="I480" s="6">
        <f>YEAR(GameLog[[#This Row],[Date]])</f>
        <v>2025</v>
      </c>
      <c r="J480" s="6">
        <f>MONTH(GameLog[[#This Row],[Date]])</f>
        <v>11</v>
      </c>
      <c r="K480" s="6" t="str">
        <f>IF(GameLog[[#This Row],[Date]]=MAX(GameLog[Date]),"Current","Previous")</f>
        <v>Previous</v>
      </c>
      <c r="L480" s="6"/>
      <c r="M4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0" s="6" t="str">
        <f ca="1">IF(GameLog[[#This Row],[Check]]="","",COUNTIF(GameLog[[#Headers],[Check]]:GameLog[[#This Row],[Check]],"?*")-1)</f>
        <v/>
      </c>
      <c r="O480" s="6" t="str">
        <f>IFERROR(INDEX(Players[New name],MATCH(GameLog[[#This Row],[Player]],Players[Name],0)),GameLog[[#This Row],[Player]])</f>
        <v>Trevor</v>
      </c>
    </row>
    <row r="481" spans="1:15" x14ac:dyDescent="0.45">
      <c r="A481" s="6" t="s">
        <v>60</v>
      </c>
      <c r="B481" s="6" t="s">
        <v>50</v>
      </c>
      <c r="C481" s="6">
        <v>2</v>
      </c>
      <c r="D481" s="6">
        <v>3</v>
      </c>
      <c r="E481" s="6">
        <v>1</v>
      </c>
      <c r="F481" s="10">
        <v>45971</v>
      </c>
      <c r="G481" s="6" t="str">
        <f>_xlfn.TEXTJOIN("|",TRUE,GameLog[[#This Row],[Pod]],TEXT(INT(GameLog[[#This Row],[Round]]),"yyyymmdd"),GameLog[[#This Row],[Date]])</f>
        <v>3|19000101|45971</v>
      </c>
      <c r="H481" s="6">
        <f>COUNTIF(GameLog[Pod ID],GameLog[[#This Row],[Pod ID]])</f>
        <v>4</v>
      </c>
      <c r="I481" s="6">
        <f>YEAR(GameLog[[#This Row],[Date]])</f>
        <v>2025</v>
      </c>
      <c r="J481" s="6">
        <f>MONTH(GameLog[[#This Row],[Date]])</f>
        <v>11</v>
      </c>
      <c r="K481" s="6" t="str">
        <f>IF(GameLog[[#This Row],[Date]]=MAX(GameLog[Date]),"Current","Previous")</f>
        <v>Previous</v>
      </c>
      <c r="L481" s="6"/>
      <c r="M4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1" s="6" t="str">
        <f ca="1">IF(GameLog[[#This Row],[Check]]="","",COUNTIF(GameLog[[#Headers],[Check]]:GameLog[[#This Row],[Check]],"?*")-1)</f>
        <v/>
      </c>
      <c r="O481" s="6" t="str">
        <f>IFERROR(INDEX(Players[New name],MATCH(GameLog[[#This Row],[Player]],Players[Name],0)),GameLog[[#This Row],[Player]])</f>
        <v>Brendan H</v>
      </c>
    </row>
    <row r="482" spans="1:15" x14ac:dyDescent="0.45">
      <c r="A482" s="6" t="s">
        <v>64</v>
      </c>
      <c r="B482" s="6" t="s">
        <v>53</v>
      </c>
      <c r="C482" s="6">
        <v>3</v>
      </c>
      <c r="D482" s="6">
        <v>3</v>
      </c>
      <c r="E482" s="6">
        <v>1</v>
      </c>
      <c r="F482" s="10">
        <v>45971</v>
      </c>
      <c r="G482" s="6" t="str">
        <f>_xlfn.TEXTJOIN("|",TRUE,GameLog[[#This Row],[Pod]],TEXT(INT(GameLog[[#This Row],[Round]]),"yyyymmdd"),GameLog[[#This Row],[Date]])</f>
        <v>3|19000101|45971</v>
      </c>
      <c r="H482" s="6">
        <f>COUNTIF(GameLog[Pod ID],GameLog[[#This Row],[Pod ID]])</f>
        <v>4</v>
      </c>
      <c r="I482" s="6">
        <f>YEAR(GameLog[[#This Row],[Date]])</f>
        <v>2025</v>
      </c>
      <c r="J482" s="6">
        <f>MONTH(GameLog[[#This Row],[Date]])</f>
        <v>11</v>
      </c>
      <c r="K482" s="6" t="str">
        <f>IF(GameLog[[#This Row],[Date]]=MAX(GameLog[Date]),"Current","Previous")</f>
        <v>Previous</v>
      </c>
      <c r="L482" s="6"/>
      <c r="M4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2" s="6" t="str">
        <f ca="1">IF(GameLog[[#This Row],[Check]]="","",COUNTIF(GameLog[[#Headers],[Check]]:GameLog[[#This Row],[Check]],"?*")-1)</f>
        <v/>
      </c>
      <c r="O482" s="6" t="str">
        <f>IFERROR(INDEX(Players[New name],MATCH(GameLog[[#This Row],[Player]],Players[Name],0)),GameLog[[#This Row],[Player]])</f>
        <v>Tyler B</v>
      </c>
    </row>
    <row r="483" spans="1:15" x14ac:dyDescent="0.45">
      <c r="A483" s="6" t="s">
        <v>81</v>
      </c>
      <c r="B483" s="6" t="s">
        <v>53</v>
      </c>
      <c r="C483" s="6">
        <v>4</v>
      </c>
      <c r="D483" s="6">
        <v>3</v>
      </c>
      <c r="E483" s="6">
        <v>1</v>
      </c>
      <c r="F483" s="10">
        <v>45971</v>
      </c>
      <c r="G483" s="6" t="str">
        <f>_xlfn.TEXTJOIN("|",TRUE,GameLog[[#This Row],[Pod]],TEXT(INT(GameLog[[#This Row],[Round]]),"yyyymmdd"),GameLog[[#This Row],[Date]])</f>
        <v>3|19000101|45971</v>
      </c>
      <c r="H483" s="6">
        <f>COUNTIF(GameLog[Pod ID],GameLog[[#This Row],[Pod ID]])</f>
        <v>4</v>
      </c>
      <c r="I483" s="6">
        <f>YEAR(GameLog[[#This Row],[Date]])</f>
        <v>2025</v>
      </c>
      <c r="J483" s="6">
        <f>MONTH(GameLog[[#This Row],[Date]])</f>
        <v>11</v>
      </c>
      <c r="K483" s="6" t="str">
        <f>IF(GameLog[[#This Row],[Date]]=MAX(GameLog[Date]),"Current","Previous")</f>
        <v>Previous</v>
      </c>
      <c r="L483" s="6"/>
      <c r="M4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3" s="6" t="str">
        <f ca="1">IF(GameLog[[#This Row],[Check]]="","",COUNTIF(GameLog[[#Headers],[Check]]:GameLog[[#This Row],[Check]],"?*")-1)</f>
        <v/>
      </c>
      <c r="O483" s="6" t="str">
        <f>IFERROR(INDEX(Players[New name],MATCH(GameLog[[#This Row],[Player]],Players[Name],0)),GameLog[[#This Row],[Player]])</f>
        <v>Forrest</v>
      </c>
    </row>
    <row r="484" spans="1:15" x14ac:dyDescent="0.45">
      <c r="A484" s="6" t="s">
        <v>70</v>
      </c>
      <c r="B484" s="6" t="s">
        <v>50</v>
      </c>
      <c r="C484" s="6">
        <v>1</v>
      </c>
      <c r="D484" s="6">
        <v>4</v>
      </c>
      <c r="E484" s="6">
        <v>1</v>
      </c>
      <c r="F484" s="10">
        <v>45971</v>
      </c>
      <c r="G484" s="6" t="str">
        <f>_xlfn.TEXTJOIN("|",TRUE,GameLog[[#This Row],[Pod]],TEXT(INT(GameLog[[#This Row],[Round]]),"yyyymmdd"),GameLog[[#This Row],[Date]])</f>
        <v>4|19000101|45971</v>
      </c>
      <c r="H484" s="6">
        <f>COUNTIF(GameLog[Pod ID],GameLog[[#This Row],[Pod ID]])</f>
        <v>4</v>
      </c>
      <c r="I484" s="6">
        <f>YEAR(GameLog[[#This Row],[Date]])</f>
        <v>2025</v>
      </c>
      <c r="J484" s="6">
        <f>MONTH(GameLog[[#This Row],[Date]])</f>
        <v>11</v>
      </c>
      <c r="K484" s="6" t="str">
        <f>IF(GameLog[[#This Row],[Date]]=MAX(GameLog[Date]),"Current","Previous")</f>
        <v>Previous</v>
      </c>
      <c r="L484" s="6"/>
      <c r="M4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4" s="6" t="str">
        <f ca="1">IF(GameLog[[#This Row],[Check]]="","",COUNTIF(GameLog[[#Headers],[Check]]:GameLog[[#This Row],[Check]],"?*")-1)</f>
        <v/>
      </c>
      <c r="O484" s="6" t="str">
        <f>IFERROR(INDEX(Players[New name],MATCH(GameLog[[#This Row],[Player]],Players[Name],0)),GameLog[[#This Row],[Player]])</f>
        <v>Brad F</v>
      </c>
    </row>
    <row r="485" spans="1:15" x14ac:dyDescent="0.45">
      <c r="A485" s="6" t="s">
        <v>80</v>
      </c>
      <c r="B485" s="6" t="s">
        <v>53</v>
      </c>
      <c r="C485" s="6">
        <v>2</v>
      </c>
      <c r="D485" s="6">
        <v>4</v>
      </c>
      <c r="E485" s="6">
        <v>1</v>
      </c>
      <c r="F485" s="10">
        <v>45971</v>
      </c>
      <c r="G485" s="6" t="str">
        <f>_xlfn.TEXTJOIN("|",TRUE,GameLog[[#This Row],[Pod]],TEXT(INT(GameLog[[#This Row],[Round]]),"yyyymmdd"),GameLog[[#This Row],[Date]])</f>
        <v>4|19000101|45971</v>
      </c>
      <c r="H485" s="6">
        <f>COUNTIF(GameLog[Pod ID],GameLog[[#This Row],[Pod ID]])</f>
        <v>4</v>
      </c>
      <c r="I485" s="6">
        <f>YEAR(GameLog[[#This Row],[Date]])</f>
        <v>2025</v>
      </c>
      <c r="J485" s="6">
        <f>MONTH(GameLog[[#This Row],[Date]])</f>
        <v>11</v>
      </c>
      <c r="K485" s="6" t="str">
        <f>IF(GameLog[[#This Row],[Date]]=MAX(GameLog[Date]),"Current","Previous")</f>
        <v>Previous</v>
      </c>
      <c r="L485" s="6"/>
      <c r="M4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5" s="6" t="str">
        <f ca="1">IF(GameLog[[#This Row],[Check]]="","",COUNTIF(GameLog[[#Headers],[Check]]:GameLog[[#This Row],[Check]],"?*")-1)</f>
        <v/>
      </c>
      <c r="O485" s="6" t="str">
        <f>IFERROR(INDEX(Players[New name],MATCH(GameLog[[#This Row],[Player]],Players[Name],0)),GameLog[[#This Row],[Player]])</f>
        <v>Jeremiah</v>
      </c>
    </row>
    <row r="486" spans="1:15" x14ac:dyDescent="0.45">
      <c r="A486" s="6" t="s">
        <v>79</v>
      </c>
      <c r="B486" s="6" t="s">
        <v>53</v>
      </c>
      <c r="C486" s="6">
        <v>3</v>
      </c>
      <c r="D486" s="6">
        <v>4</v>
      </c>
      <c r="E486" s="6">
        <v>1</v>
      </c>
      <c r="F486" s="10">
        <v>45971</v>
      </c>
      <c r="G486" s="6" t="str">
        <f>_xlfn.TEXTJOIN("|",TRUE,GameLog[[#This Row],[Pod]],TEXT(INT(GameLog[[#This Row],[Round]]),"yyyymmdd"),GameLog[[#This Row],[Date]])</f>
        <v>4|19000101|45971</v>
      </c>
      <c r="H486" s="6">
        <f>COUNTIF(GameLog[Pod ID],GameLog[[#This Row],[Pod ID]])</f>
        <v>4</v>
      </c>
      <c r="I486" s="6">
        <f>YEAR(GameLog[[#This Row],[Date]])</f>
        <v>2025</v>
      </c>
      <c r="J486" s="6">
        <f>MONTH(GameLog[[#This Row],[Date]])</f>
        <v>11</v>
      </c>
      <c r="K486" s="6" t="str">
        <f>IF(GameLog[[#This Row],[Date]]=MAX(GameLog[Date]),"Current","Previous")</f>
        <v>Previous</v>
      </c>
      <c r="L486" s="6"/>
      <c r="M4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6" s="6" t="str">
        <f ca="1">IF(GameLog[[#This Row],[Check]]="","",COUNTIF(GameLog[[#Headers],[Check]]:GameLog[[#This Row],[Check]],"?*")-1)</f>
        <v/>
      </c>
      <c r="O486" s="6" t="str">
        <f>IFERROR(INDEX(Players[New name],MATCH(GameLog[[#This Row],[Player]],Players[Name],0)),GameLog[[#This Row],[Player]])</f>
        <v>Justin Lopez</v>
      </c>
    </row>
    <row r="487" spans="1:15" x14ac:dyDescent="0.45">
      <c r="A487" s="6" t="s">
        <v>68</v>
      </c>
      <c r="B487" s="6" t="s">
        <v>53</v>
      </c>
      <c r="C487" s="6">
        <v>4</v>
      </c>
      <c r="D487" s="6">
        <v>4</v>
      </c>
      <c r="E487" s="6">
        <v>1</v>
      </c>
      <c r="F487" s="10">
        <v>45971</v>
      </c>
      <c r="G487" s="6" t="str">
        <f>_xlfn.TEXTJOIN("|",TRUE,GameLog[[#This Row],[Pod]],TEXT(INT(GameLog[[#This Row],[Round]]),"yyyymmdd"),GameLog[[#This Row],[Date]])</f>
        <v>4|19000101|45971</v>
      </c>
      <c r="H487" s="6">
        <f>COUNTIF(GameLog[Pod ID],GameLog[[#This Row],[Pod ID]])</f>
        <v>4</v>
      </c>
      <c r="I487" s="6">
        <f>YEAR(GameLog[[#This Row],[Date]])</f>
        <v>2025</v>
      </c>
      <c r="J487" s="6">
        <f>MONTH(GameLog[[#This Row],[Date]])</f>
        <v>11</v>
      </c>
      <c r="K487" s="6" t="str">
        <f>IF(GameLog[[#This Row],[Date]]=MAX(GameLog[Date]),"Current","Previous")</f>
        <v>Previous</v>
      </c>
      <c r="L487" s="6"/>
      <c r="M4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7" s="6" t="str">
        <f ca="1">IF(GameLog[[#This Row],[Check]]="","",COUNTIF(GameLog[[#Headers],[Check]]:GameLog[[#This Row],[Check]],"?*")-1)</f>
        <v/>
      </c>
      <c r="O487" s="6" t="str">
        <f>IFERROR(INDEX(Players[New name],MATCH(GameLog[[#This Row],[Player]],Players[Name],0)),GameLog[[#This Row],[Player]])</f>
        <v>Edwin M</v>
      </c>
    </row>
    <row r="488" spans="1:15" x14ac:dyDescent="0.45">
      <c r="A488" s="6" t="s">
        <v>55</v>
      </c>
      <c r="B488" s="6" t="s">
        <v>50</v>
      </c>
      <c r="C488" s="6">
        <v>1</v>
      </c>
      <c r="D488" s="6">
        <v>5</v>
      </c>
      <c r="E488" s="6">
        <v>1</v>
      </c>
      <c r="F488" s="10">
        <v>45971</v>
      </c>
      <c r="G488" s="6" t="str">
        <f>_xlfn.TEXTJOIN("|",TRUE,GameLog[[#This Row],[Pod]],TEXT(INT(GameLog[[#This Row],[Round]]),"yyyymmdd"),GameLog[[#This Row],[Date]])</f>
        <v>5|19000101|45971</v>
      </c>
      <c r="H488" s="6">
        <f>COUNTIF(GameLog[Pod ID],GameLog[[#This Row],[Pod ID]])</f>
        <v>4</v>
      </c>
      <c r="I488" s="6">
        <f>YEAR(GameLog[[#This Row],[Date]])</f>
        <v>2025</v>
      </c>
      <c r="J488" s="6">
        <f>MONTH(GameLog[[#This Row],[Date]])</f>
        <v>11</v>
      </c>
      <c r="K488" s="6" t="str">
        <f>IF(GameLog[[#This Row],[Date]]=MAX(GameLog[Date]),"Current","Previous")</f>
        <v>Previous</v>
      </c>
      <c r="L488" s="6"/>
      <c r="M4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8" s="6" t="str">
        <f ca="1">IF(GameLog[[#This Row],[Check]]="","",COUNTIF(GameLog[[#Headers],[Check]]:GameLog[[#This Row],[Check]],"?*")-1)</f>
        <v/>
      </c>
      <c r="O488" s="6" t="str">
        <f>IFERROR(INDEX(Players[New name],MATCH(GameLog[[#This Row],[Player]],Players[Name],0)),GameLog[[#This Row],[Player]])</f>
        <v>Bryce C</v>
      </c>
    </row>
    <row r="489" spans="1:15" x14ac:dyDescent="0.45">
      <c r="A489" s="6" t="s">
        <v>86</v>
      </c>
      <c r="B489" s="6" t="s">
        <v>53</v>
      </c>
      <c r="C489" s="6">
        <v>2</v>
      </c>
      <c r="D489" s="6">
        <v>5</v>
      </c>
      <c r="E489" s="6">
        <v>1</v>
      </c>
      <c r="F489" s="10">
        <v>45971</v>
      </c>
      <c r="G489" s="6" t="str">
        <f>_xlfn.TEXTJOIN("|",TRUE,GameLog[[#This Row],[Pod]],TEXT(INT(GameLog[[#This Row],[Round]]),"yyyymmdd"),GameLog[[#This Row],[Date]])</f>
        <v>5|19000101|45971</v>
      </c>
      <c r="H489" s="6">
        <f>COUNTIF(GameLog[Pod ID],GameLog[[#This Row],[Pod ID]])</f>
        <v>4</v>
      </c>
      <c r="I489" s="6">
        <f>YEAR(GameLog[[#This Row],[Date]])</f>
        <v>2025</v>
      </c>
      <c r="J489" s="6">
        <f>MONTH(GameLog[[#This Row],[Date]])</f>
        <v>11</v>
      </c>
      <c r="K489" s="6" t="str">
        <f>IF(GameLog[[#This Row],[Date]]=MAX(GameLog[Date]),"Current","Previous")</f>
        <v>Previous</v>
      </c>
      <c r="L489" s="6"/>
      <c r="M4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89" s="6" t="str">
        <f ca="1">IF(GameLog[[#This Row],[Check]]="","",COUNTIF(GameLog[[#Headers],[Check]]:GameLog[[#This Row],[Check]],"?*")-1)</f>
        <v/>
      </c>
      <c r="O489" s="6" t="str">
        <f>IFERROR(INDEX(Players[New name],MATCH(GameLog[[#This Row],[Player]],Players[Name],0)),GameLog[[#This Row],[Player]])</f>
        <v>Steve C</v>
      </c>
    </row>
    <row r="490" spans="1:15" x14ac:dyDescent="0.45">
      <c r="A490" s="6" t="s">
        <v>56</v>
      </c>
      <c r="B490" s="6" t="s">
        <v>53</v>
      </c>
      <c r="C490" s="6">
        <v>3</v>
      </c>
      <c r="D490" s="6">
        <v>5</v>
      </c>
      <c r="E490" s="6">
        <v>1</v>
      </c>
      <c r="F490" s="10">
        <v>45971</v>
      </c>
      <c r="G490" s="6" t="str">
        <f>_xlfn.TEXTJOIN("|",TRUE,GameLog[[#This Row],[Pod]],TEXT(INT(GameLog[[#This Row],[Round]]),"yyyymmdd"),GameLog[[#This Row],[Date]])</f>
        <v>5|19000101|45971</v>
      </c>
      <c r="H490" s="6">
        <f>COUNTIF(GameLog[Pod ID],GameLog[[#This Row],[Pod ID]])</f>
        <v>4</v>
      </c>
      <c r="I490" s="6">
        <f>YEAR(GameLog[[#This Row],[Date]])</f>
        <v>2025</v>
      </c>
      <c r="J490" s="6">
        <f>MONTH(GameLog[[#This Row],[Date]])</f>
        <v>11</v>
      </c>
      <c r="K490" s="6" t="str">
        <f>IF(GameLog[[#This Row],[Date]]=MAX(GameLog[Date]),"Current","Previous")</f>
        <v>Previous</v>
      </c>
      <c r="L490" s="6"/>
      <c r="M4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0" s="6" t="str">
        <f ca="1">IF(GameLog[[#This Row],[Check]]="","",COUNTIF(GameLog[[#Headers],[Check]]:GameLog[[#This Row],[Check]],"?*")-1)</f>
        <v/>
      </c>
      <c r="O490" s="6" t="str">
        <f>IFERROR(INDEX(Players[New name],MATCH(GameLog[[#This Row],[Player]],Players[Name],0)),GameLog[[#This Row],[Player]])</f>
        <v>Mark D</v>
      </c>
    </row>
    <row r="491" spans="1:15" x14ac:dyDescent="0.45">
      <c r="A491" s="6" t="s">
        <v>58</v>
      </c>
      <c r="B491" s="6" t="s">
        <v>53</v>
      </c>
      <c r="C491" s="6">
        <v>4</v>
      </c>
      <c r="D491" s="6">
        <v>5</v>
      </c>
      <c r="E491" s="6">
        <v>1</v>
      </c>
      <c r="F491" s="10">
        <v>45971</v>
      </c>
      <c r="G491" s="6" t="str">
        <f>_xlfn.TEXTJOIN("|",TRUE,GameLog[[#This Row],[Pod]],TEXT(INT(GameLog[[#This Row],[Round]]),"yyyymmdd"),GameLog[[#This Row],[Date]])</f>
        <v>5|19000101|45971</v>
      </c>
      <c r="H491" s="6">
        <f>COUNTIF(GameLog[Pod ID],GameLog[[#This Row],[Pod ID]])</f>
        <v>4</v>
      </c>
      <c r="I491" s="6">
        <f>YEAR(GameLog[[#This Row],[Date]])</f>
        <v>2025</v>
      </c>
      <c r="J491" s="6">
        <f>MONTH(GameLog[[#This Row],[Date]])</f>
        <v>11</v>
      </c>
      <c r="K491" s="6" t="str">
        <f>IF(GameLog[[#This Row],[Date]]=MAX(GameLog[Date]),"Current","Previous")</f>
        <v>Previous</v>
      </c>
      <c r="L491" s="6"/>
      <c r="M4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1" s="6" t="str">
        <f ca="1">IF(GameLog[[#This Row],[Check]]="","",COUNTIF(GameLog[[#Headers],[Check]]:GameLog[[#This Row],[Check]],"?*")-1)</f>
        <v/>
      </c>
      <c r="O491" s="6" t="str">
        <f>IFERROR(INDEX(Players[New name],MATCH(GameLog[[#This Row],[Player]],Players[Name],0)),GameLog[[#This Row],[Player]])</f>
        <v>Dakota P</v>
      </c>
    </row>
    <row r="492" spans="1:15" x14ac:dyDescent="0.45">
      <c r="A492" s="6" t="s">
        <v>60</v>
      </c>
      <c r="B492" s="6" t="s">
        <v>53</v>
      </c>
      <c r="C492" s="6">
        <v>1</v>
      </c>
      <c r="D492" s="6">
        <v>1</v>
      </c>
      <c r="E492" s="6">
        <v>2</v>
      </c>
      <c r="F492" s="10">
        <v>45971</v>
      </c>
      <c r="G492" s="6" t="str">
        <f>_xlfn.TEXTJOIN("|",TRUE,GameLog[[#This Row],[Pod]],TEXT(INT(GameLog[[#This Row],[Round]]),"yyyymmdd"),GameLog[[#This Row],[Date]])</f>
        <v>1|19000102|45971</v>
      </c>
      <c r="H492" s="6">
        <f>COUNTIF(GameLog[Pod ID],GameLog[[#This Row],[Pod ID]])</f>
        <v>5</v>
      </c>
      <c r="I492" s="6">
        <f>YEAR(GameLog[[#This Row],[Date]])</f>
        <v>2025</v>
      </c>
      <c r="J492" s="6">
        <f>MONTH(GameLog[[#This Row],[Date]])</f>
        <v>11</v>
      </c>
      <c r="K492" s="6" t="str">
        <f>IF(GameLog[[#This Row],[Date]]=MAX(GameLog[Date]),"Current","Previous")</f>
        <v>Previous</v>
      </c>
      <c r="L492" s="6"/>
      <c r="M4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2" s="6" t="str">
        <f ca="1">IF(GameLog[[#This Row],[Check]]="","",COUNTIF(GameLog[[#Headers],[Check]]:GameLog[[#This Row],[Check]],"?*")-1)</f>
        <v/>
      </c>
      <c r="O492" s="6" t="str">
        <f>IFERROR(INDEX(Players[New name],MATCH(GameLog[[#This Row],[Player]],Players[Name],0)),GameLog[[#This Row],[Player]])</f>
        <v>Brendan H</v>
      </c>
    </row>
    <row r="493" spans="1:15" x14ac:dyDescent="0.45">
      <c r="A493" s="6" t="s">
        <v>55</v>
      </c>
      <c r="B493" s="6" t="s">
        <v>53</v>
      </c>
      <c r="C493" s="6">
        <v>2</v>
      </c>
      <c r="D493" s="6">
        <v>1</v>
      </c>
      <c r="E493" s="6">
        <v>2</v>
      </c>
      <c r="F493" s="10">
        <v>45971</v>
      </c>
      <c r="G493" s="6" t="str">
        <f>_xlfn.TEXTJOIN("|",TRUE,GameLog[[#This Row],[Pod]],TEXT(INT(GameLog[[#This Row],[Round]]),"yyyymmdd"),GameLog[[#This Row],[Date]])</f>
        <v>1|19000102|45971</v>
      </c>
      <c r="H493" s="6">
        <f>COUNTIF(GameLog[Pod ID],GameLog[[#This Row],[Pod ID]])</f>
        <v>5</v>
      </c>
      <c r="I493" s="6">
        <f>YEAR(GameLog[[#This Row],[Date]])</f>
        <v>2025</v>
      </c>
      <c r="J493" s="6">
        <f>MONTH(GameLog[[#This Row],[Date]])</f>
        <v>11</v>
      </c>
      <c r="K493" s="6" t="str">
        <f>IF(GameLog[[#This Row],[Date]]=MAX(GameLog[Date]),"Current","Previous")</f>
        <v>Previous</v>
      </c>
      <c r="L493" s="6"/>
      <c r="M4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3" s="6" t="str">
        <f ca="1">IF(GameLog[[#This Row],[Check]]="","",COUNTIF(GameLog[[#Headers],[Check]]:GameLog[[#This Row],[Check]],"?*")-1)</f>
        <v/>
      </c>
      <c r="O493" s="6" t="str">
        <f>IFERROR(INDEX(Players[New name],MATCH(GameLog[[#This Row],[Player]],Players[Name],0)),GameLog[[#This Row],[Player]])</f>
        <v>Bryce C</v>
      </c>
    </row>
    <row r="494" spans="1:15" x14ac:dyDescent="0.45">
      <c r="A494" s="6" t="s">
        <v>76</v>
      </c>
      <c r="B494" s="6" t="s">
        <v>53</v>
      </c>
      <c r="C494" s="6">
        <v>3</v>
      </c>
      <c r="D494" s="6">
        <v>1</v>
      </c>
      <c r="E494" s="6">
        <v>2</v>
      </c>
      <c r="F494" s="10">
        <v>45971</v>
      </c>
      <c r="G494" s="6" t="str">
        <f>_xlfn.TEXTJOIN("|",TRUE,GameLog[[#This Row],[Pod]],TEXT(INT(GameLog[[#This Row],[Round]]),"yyyymmdd"),GameLog[[#This Row],[Date]])</f>
        <v>1|19000102|45971</v>
      </c>
      <c r="H494" s="6">
        <f>COUNTIF(GameLog[Pod ID],GameLog[[#This Row],[Pod ID]])</f>
        <v>5</v>
      </c>
      <c r="I494" s="6">
        <f>YEAR(GameLog[[#This Row],[Date]])</f>
        <v>2025</v>
      </c>
      <c r="J494" s="6">
        <f>MONTH(GameLog[[#This Row],[Date]])</f>
        <v>11</v>
      </c>
      <c r="K494" s="6" t="str">
        <f>IF(GameLog[[#This Row],[Date]]=MAX(GameLog[Date]),"Current","Previous")</f>
        <v>Previous</v>
      </c>
      <c r="L494" s="6"/>
      <c r="M4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4" s="6" t="str">
        <f ca="1">IF(GameLog[[#This Row],[Check]]="","",COUNTIF(GameLog[[#Headers],[Check]]:GameLog[[#This Row],[Check]],"?*")-1)</f>
        <v/>
      </c>
      <c r="O494" s="6" t="str">
        <f>IFERROR(INDEX(Players[New name],MATCH(GameLog[[#This Row],[Player]],Players[Name],0)),GameLog[[#This Row],[Player]])</f>
        <v>Jon M</v>
      </c>
    </row>
    <row r="495" spans="1:15" x14ac:dyDescent="0.45">
      <c r="A495" s="6" t="s">
        <v>73</v>
      </c>
      <c r="B495" s="6" t="s">
        <v>50</v>
      </c>
      <c r="C495" s="6">
        <v>4</v>
      </c>
      <c r="D495" s="6">
        <v>1</v>
      </c>
      <c r="E495" s="6">
        <v>2</v>
      </c>
      <c r="F495" s="10">
        <v>45971</v>
      </c>
      <c r="G495" s="6" t="str">
        <f>_xlfn.TEXTJOIN("|",TRUE,GameLog[[#This Row],[Pod]],TEXT(INT(GameLog[[#This Row],[Round]]),"yyyymmdd"),GameLog[[#This Row],[Date]])</f>
        <v>1|19000102|45971</v>
      </c>
      <c r="H495" s="6">
        <f>COUNTIF(GameLog[Pod ID],GameLog[[#This Row],[Pod ID]])</f>
        <v>5</v>
      </c>
      <c r="I495" s="6">
        <f>YEAR(GameLog[[#This Row],[Date]])</f>
        <v>2025</v>
      </c>
      <c r="J495" s="6">
        <f>MONTH(GameLog[[#This Row],[Date]])</f>
        <v>11</v>
      </c>
      <c r="K495" s="6" t="str">
        <f>IF(GameLog[[#This Row],[Date]]=MAX(GameLog[Date]),"Current","Previous")</f>
        <v>Previous</v>
      </c>
      <c r="L495" s="6"/>
      <c r="M4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5" s="6" t="str">
        <f ca="1">IF(GameLog[[#This Row],[Check]]="","",COUNTIF(GameLog[[#Headers],[Check]]:GameLog[[#This Row],[Check]],"?*")-1)</f>
        <v/>
      </c>
      <c r="O495" s="6" t="str">
        <f>IFERROR(INDEX(Players[New name],MATCH(GameLog[[#This Row],[Player]],Players[Name],0)),GameLog[[#This Row],[Player]])</f>
        <v>Brandon B</v>
      </c>
    </row>
    <row r="496" spans="1:15" x14ac:dyDescent="0.45">
      <c r="A496" s="6" t="s">
        <v>70</v>
      </c>
      <c r="B496" s="6" t="s">
        <v>53</v>
      </c>
      <c r="C496" s="6">
        <v>5</v>
      </c>
      <c r="D496" s="6">
        <v>1</v>
      </c>
      <c r="E496" s="6">
        <v>2</v>
      </c>
      <c r="F496" s="10">
        <v>45971</v>
      </c>
      <c r="G496" s="6" t="str">
        <f>_xlfn.TEXTJOIN("|",TRUE,GameLog[[#This Row],[Pod]],TEXT(INT(GameLog[[#This Row],[Round]]),"yyyymmdd"),GameLog[[#This Row],[Date]])</f>
        <v>1|19000102|45971</v>
      </c>
      <c r="H496" s="6">
        <f>COUNTIF(GameLog[Pod ID],GameLog[[#This Row],[Pod ID]])</f>
        <v>5</v>
      </c>
      <c r="I496" s="6">
        <f>YEAR(GameLog[[#This Row],[Date]])</f>
        <v>2025</v>
      </c>
      <c r="J496" s="6">
        <f>MONTH(GameLog[[#This Row],[Date]])</f>
        <v>11</v>
      </c>
      <c r="K496" s="6" t="str">
        <f>IF(GameLog[[#This Row],[Date]]=MAX(GameLog[Date]),"Current","Previous")</f>
        <v>Previous</v>
      </c>
      <c r="L496" s="6"/>
      <c r="M4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6" s="6" t="str">
        <f ca="1">IF(GameLog[[#This Row],[Check]]="","",COUNTIF(GameLog[[#Headers],[Check]]:GameLog[[#This Row],[Check]],"?*")-1)</f>
        <v/>
      </c>
      <c r="O496" s="6" t="str">
        <f>IFERROR(INDEX(Players[New name],MATCH(GameLog[[#This Row],[Player]],Players[Name],0)),GameLog[[#This Row],[Player]])</f>
        <v>Brad F</v>
      </c>
    </row>
    <row r="497" spans="1:15" x14ac:dyDescent="0.45">
      <c r="A497" s="6" t="s">
        <v>84</v>
      </c>
      <c r="B497" s="6" t="s">
        <v>53</v>
      </c>
      <c r="C497" s="6">
        <v>1</v>
      </c>
      <c r="D497" s="6">
        <v>2</v>
      </c>
      <c r="E497" s="6">
        <v>2</v>
      </c>
      <c r="F497" s="10">
        <v>45971</v>
      </c>
      <c r="G497" s="6" t="str">
        <f>_xlfn.TEXTJOIN("|",TRUE,GameLog[[#This Row],[Pod]],TEXT(INT(GameLog[[#This Row],[Round]]),"yyyymmdd"),GameLog[[#This Row],[Date]])</f>
        <v>2|19000102|45971</v>
      </c>
      <c r="H497" s="6">
        <f>COUNTIF(GameLog[Pod ID],GameLog[[#This Row],[Pod ID]])</f>
        <v>4</v>
      </c>
      <c r="I497" s="6">
        <f>YEAR(GameLog[[#This Row],[Date]])</f>
        <v>2025</v>
      </c>
      <c r="J497" s="6">
        <f>MONTH(GameLog[[#This Row],[Date]])</f>
        <v>11</v>
      </c>
      <c r="K497" s="6" t="str">
        <f>IF(GameLog[[#This Row],[Date]]=MAX(GameLog[Date]),"Current","Previous")</f>
        <v>Previous</v>
      </c>
      <c r="L497" s="6"/>
      <c r="M4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7" s="6" t="str">
        <f ca="1">IF(GameLog[[#This Row],[Check]]="","",COUNTIF(GameLog[[#Headers],[Check]]:GameLog[[#This Row],[Check]],"?*")-1)</f>
        <v/>
      </c>
      <c r="O497" s="6" t="str">
        <f>IFERROR(INDEX(Players[New name],MATCH(GameLog[[#This Row],[Player]],Players[Name],0)),GameLog[[#This Row],[Player]])</f>
        <v>Zach D</v>
      </c>
    </row>
    <row r="498" spans="1:15" x14ac:dyDescent="0.45">
      <c r="A498" s="6" t="s">
        <v>68</v>
      </c>
      <c r="B498" s="6" t="s">
        <v>50</v>
      </c>
      <c r="C498" s="6">
        <v>2</v>
      </c>
      <c r="D498" s="6">
        <v>2</v>
      </c>
      <c r="E498" s="6">
        <v>2</v>
      </c>
      <c r="F498" s="10">
        <v>45971</v>
      </c>
      <c r="G498" s="6" t="str">
        <f>_xlfn.TEXTJOIN("|",TRUE,GameLog[[#This Row],[Pod]],TEXT(INT(GameLog[[#This Row],[Round]]),"yyyymmdd"),GameLog[[#This Row],[Date]])</f>
        <v>2|19000102|45971</v>
      </c>
      <c r="H498" s="6">
        <f>COUNTIF(GameLog[Pod ID],GameLog[[#This Row],[Pod ID]])</f>
        <v>4</v>
      </c>
      <c r="I498" s="6">
        <f>YEAR(GameLog[[#This Row],[Date]])</f>
        <v>2025</v>
      </c>
      <c r="J498" s="6">
        <f>MONTH(GameLog[[#This Row],[Date]])</f>
        <v>11</v>
      </c>
      <c r="K498" s="6" t="str">
        <f>IF(GameLog[[#This Row],[Date]]=MAX(GameLog[Date]),"Current","Previous")</f>
        <v>Previous</v>
      </c>
      <c r="L498" s="6"/>
      <c r="M4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8" s="6" t="str">
        <f ca="1">IF(GameLog[[#This Row],[Check]]="","",COUNTIF(GameLog[[#Headers],[Check]]:GameLog[[#This Row],[Check]],"?*")-1)</f>
        <v/>
      </c>
      <c r="O498" s="6" t="str">
        <f>IFERROR(INDEX(Players[New name],MATCH(GameLog[[#This Row],[Player]],Players[Name],0)),GameLog[[#This Row],[Player]])</f>
        <v>Edwin M</v>
      </c>
    </row>
    <row r="499" spans="1:15" x14ac:dyDescent="0.45">
      <c r="A499" s="6" t="s">
        <v>56</v>
      </c>
      <c r="B499" s="6" t="s">
        <v>53</v>
      </c>
      <c r="C499" s="6">
        <v>3</v>
      </c>
      <c r="D499" s="6">
        <v>2</v>
      </c>
      <c r="E499" s="6">
        <v>2</v>
      </c>
      <c r="F499" s="10">
        <v>45971</v>
      </c>
      <c r="G499" s="6" t="str">
        <f>_xlfn.TEXTJOIN("|",TRUE,GameLog[[#This Row],[Pod]],TEXT(INT(GameLog[[#This Row],[Round]]),"yyyymmdd"),GameLog[[#This Row],[Date]])</f>
        <v>2|19000102|45971</v>
      </c>
      <c r="H499" s="6">
        <f>COUNTIF(GameLog[Pod ID],GameLog[[#This Row],[Pod ID]])</f>
        <v>4</v>
      </c>
      <c r="I499" s="6">
        <f>YEAR(GameLog[[#This Row],[Date]])</f>
        <v>2025</v>
      </c>
      <c r="J499" s="6">
        <f>MONTH(GameLog[[#This Row],[Date]])</f>
        <v>11</v>
      </c>
      <c r="K499" s="6" t="str">
        <f>IF(GameLog[[#This Row],[Date]]=MAX(GameLog[Date]),"Current","Previous")</f>
        <v>Previous</v>
      </c>
      <c r="L499" s="6"/>
      <c r="M4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499" s="6" t="str">
        <f ca="1">IF(GameLog[[#This Row],[Check]]="","",COUNTIF(GameLog[[#Headers],[Check]]:GameLog[[#This Row],[Check]],"?*")-1)</f>
        <v/>
      </c>
      <c r="O499" s="6" t="str">
        <f>IFERROR(INDEX(Players[New name],MATCH(GameLog[[#This Row],[Player]],Players[Name],0)),GameLog[[#This Row],[Player]])</f>
        <v>Mark D</v>
      </c>
    </row>
    <row r="500" spans="1:15" x14ac:dyDescent="0.45">
      <c r="A500" s="6" t="s">
        <v>79</v>
      </c>
      <c r="B500" s="6" t="s">
        <v>53</v>
      </c>
      <c r="C500" s="6">
        <v>4</v>
      </c>
      <c r="D500" s="6">
        <v>2</v>
      </c>
      <c r="E500" s="6">
        <v>2</v>
      </c>
      <c r="F500" s="10">
        <v>45971</v>
      </c>
      <c r="G500" s="6" t="str">
        <f>_xlfn.TEXTJOIN("|",TRUE,GameLog[[#This Row],[Pod]],TEXT(INT(GameLog[[#This Row],[Round]]),"yyyymmdd"),GameLog[[#This Row],[Date]])</f>
        <v>2|19000102|45971</v>
      </c>
      <c r="H500" s="6">
        <f>COUNTIF(GameLog[Pod ID],GameLog[[#This Row],[Pod ID]])</f>
        <v>4</v>
      </c>
      <c r="I500" s="6">
        <f>YEAR(GameLog[[#This Row],[Date]])</f>
        <v>2025</v>
      </c>
      <c r="J500" s="6">
        <f>MONTH(GameLog[[#This Row],[Date]])</f>
        <v>11</v>
      </c>
      <c r="K500" s="6" t="str">
        <f>IF(GameLog[[#This Row],[Date]]=MAX(GameLog[Date]),"Current","Previous")</f>
        <v>Previous</v>
      </c>
      <c r="L500" s="6"/>
      <c r="M5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0" s="6" t="str">
        <f ca="1">IF(GameLog[[#This Row],[Check]]="","",COUNTIF(GameLog[[#Headers],[Check]]:GameLog[[#This Row],[Check]],"?*")-1)</f>
        <v/>
      </c>
      <c r="O500" s="6" t="str">
        <f>IFERROR(INDEX(Players[New name],MATCH(GameLog[[#This Row],[Player]],Players[Name],0)),GameLog[[#This Row],[Player]])</f>
        <v>Justin Lopez</v>
      </c>
    </row>
    <row r="501" spans="1:15" x14ac:dyDescent="0.45">
      <c r="A501" s="6" t="s">
        <v>64</v>
      </c>
      <c r="B501" s="6" t="s">
        <v>53</v>
      </c>
      <c r="C501" s="6">
        <v>1</v>
      </c>
      <c r="D501" s="6">
        <v>3</v>
      </c>
      <c r="E501" s="6">
        <v>2</v>
      </c>
      <c r="F501" s="10">
        <v>45971</v>
      </c>
      <c r="G501" s="6" t="str">
        <f>_xlfn.TEXTJOIN("|",TRUE,GameLog[[#This Row],[Pod]],TEXT(INT(GameLog[[#This Row],[Round]]),"yyyymmdd"),GameLog[[#This Row],[Date]])</f>
        <v>3|19000102|45971</v>
      </c>
      <c r="H501" s="6">
        <f>COUNTIF(GameLog[Pod ID],GameLog[[#This Row],[Pod ID]])</f>
        <v>4</v>
      </c>
      <c r="I501" s="6">
        <f>YEAR(GameLog[[#This Row],[Date]])</f>
        <v>2025</v>
      </c>
      <c r="J501" s="6">
        <f>MONTH(GameLog[[#This Row],[Date]])</f>
        <v>11</v>
      </c>
      <c r="K501" s="6" t="str">
        <f>IF(GameLog[[#This Row],[Date]]=MAX(GameLog[Date]),"Current","Previous")</f>
        <v>Previous</v>
      </c>
      <c r="L501" s="6"/>
      <c r="M5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1" s="6" t="str">
        <f ca="1">IF(GameLog[[#This Row],[Check]]="","",COUNTIF(GameLog[[#Headers],[Check]]:GameLog[[#This Row],[Check]],"?*")-1)</f>
        <v/>
      </c>
      <c r="O501" s="6" t="str">
        <f>IFERROR(INDEX(Players[New name],MATCH(GameLog[[#This Row],[Player]],Players[Name],0)),GameLog[[#This Row],[Player]])</f>
        <v>Tyler B</v>
      </c>
    </row>
    <row r="502" spans="1:15" x14ac:dyDescent="0.45">
      <c r="A502" s="6" t="s">
        <v>80</v>
      </c>
      <c r="B502" s="6" t="s">
        <v>53</v>
      </c>
      <c r="C502" s="6">
        <v>2</v>
      </c>
      <c r="D502" s="6">
        <v>3</v>
      </c>
      <c r="E502" s="6">
        <v>2</v>
      </c>
      <c r="F502" s="10">
        <v>45971</v>
      </c>
      <c r="G502" s="6" t="str">
        <f>_xlfn.TEXTJOIN("|",TRUE,GameLog[[#This Row],[Pod]],TEXT(INT(GameLog[[#This Row],[Round]]),"yyyymmdd"),GameLog[[#This Row],[Date]])</f>
        <v>3|19000102|45971</v>
      </c>
      <c r="H502" s="6">
        <f>COUNTIF(GameLog[Pod ID],GameLog[[#This Row],[Pod ID]])</f>
        <v>4</v>
      </c>
      <c r="I502" s="6">
        <f>YEAR(GameLog[[#This Row],[Date]])</f>
        <v>2025</v>
      </c>
      <c r="J502" s="6">
        <f>MONTH(GameLog[[#This Row],[Date]])</f>
        <v>11</v>
      </c>
      <c r="K502" s="6" t="str">
        <f>IF(GameLog[[#This Row],[Date]]=MAX(GameLog[Date]),"Current","Previous")</f>
        <v>Previous</v>
      </c>
      <c r="L502" s="6"/>
      <c r="M5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2" s="6" t="str">
        <f ca="1">IF(GameLog[[#This Row],[Check]]="","",COUNTIF(GameLog[[#Headers],[Check]]:GameLog[[#This Row],[Check]],"?*")-1)</f>
        <v/>
      </c>
      <c r="O502" s="6" t="str">
        <f>IFERROR(INDEX(Players[New name],MATCH(GameLog[[#This Row],[Player]],Players[Name],0)),GameLog[[#This Row],[Player]])</f>
        <v>Jeremiah</v>
      </c>
    </row>
    <row r="503" spans="1:15" x14ac:dyDescent="0.45">
      <c r="A503" s="6" t="s">
        <v>86</v>
      </c>
      <c r="B503" s="6" t="s">
        <v>53</v>
      </c>
      <c r="C503" s="6">
        <v>3</v>
      </c>
      <c r="D503" s="6">
        <v>3</v>
      </c>
      <c r="E503" s="6">
        <v>2</v>
      </c>
      <c r="F503" s="10">
        <v>45971</v>
      </c>
      <c r="G503" s="6" t="str">
        <f>_xlfn.TEXTJOIN("|",TRUE,GameLog[[#This Row],[Pod]],TEXT(INT(GameLog[[#This Row],[Round]]),"yyyymmdd"),GameLog[[#This Row],[Date]])</f>
        <v>3|19000102|45971</v>
      </c>
      <c r="H503" s="6">
        <f>COUNTIF(GameLog[Pod ID],GameLog[[#This Row],[Pod ID]])</f>
        <v>4</v>
      </c>
      <c r="I503" s="6">
        <f>YEAR(GameLog[[#This Row],[Date]])</f>
        <v>2025</v>
      </c>
      <c r="J503" s="6">
        <f>MONTH(GameLog[[#This Row],[Date]])</f>
        <v>11</v>
      </c>
      <c r="K503" s="6" t="str">
        <f>IF(GameLog[[#This Row],[Date]]=MAX(GameLog[Date]),"Current","Previous")</f>
        <v>Previous</v>
      </c>
      <c r="L503" s="6"/>
      <c r="M5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3" s="6" t="str">
        <f ca="1">IF(GameLog[[#This Row],[Check]]="","",COUNTIF(GameLog[[#Headers],[Check]]:GameLog[[#This Row],[Check]],"?*")-1)</f>
        <v/>
      </c>
      <c r="O503" s="6" t="str">
        <f>IFERROR(INDEX(Players[New name],MATCH(GameLog[[#This Row],[Player]],Players[Name],0)),GameLog[[#This Row],[Player]])</f>
        <v>Steve C</v>
      </c>
    </row>
    <row r="504" spans="1:15" x14ac:dyDescent="0.45">
      <c r="A504" s="6" t="s">
        <v>71</v>
      </c>
      <c r="B504" s="6" t="s">
        <v>50</v>
      </c>
      <c r="C504" s="6">
        <v>4</v>
      </c>
      <c r="D504" s="6">
        <v>3</v>
      </c>
      <c r="E504" s="6">
        <v>2</v>
      </c>
      <c r="F504" s="10">
        <v>45971</v>
      </c>
      <c r="G504" s="6" t="str">
        <f>_xlfn.TEXTJOIN("|",TRUE,GameLog[[#This Row],[Pod]],TEXT(INT(GameLog[[#This Row],[Round]]),"yyyymmdd"),GameLog[[#This Row],[Date]])</f>
        <v>3|19000102|45971</v>
      </c>
      <c r="H504" s="6">
        <f>COUNTIF(GameLog[Pod ID],GameLog[[#This Row],[Pod ID]])</f>
        <v>4</v>
      </c>
      <c r="I504" s="6">
        <f>YEAR(GameLog[[#This Row],[Date]])</f>
        <v>2025</v>
      </c>
      <c r="J504" s="6">
        <f>MONTH(GameLog[[#This Row],[Date]])</f>
        <v>11</v>
      </c>
      <c r="K504" s="6" t="str">
        <f>IF(GameLog[[#This Row],[Date]]=MAX(GameLog[Date]),"Current","Previous")</f>
        <v>Previous</v>
      </c>
      <c r="L504" s="6"/>
      <c r="M5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4" s="6" t="str">
        <f ca="1">IF(GameLog[[#This Row],[Check]]="","",COUNTIF(GameLog[[#Headers],[Check]]:GameLog[[#This Row],[Check]],"?*")-1)</f>
        <v/>
      </c>
      <c r="O504" s="6" t="str">
        <f>IFERROR(INDEX(Players[New name],MATCH(GameLog[[#This Row],[Player]],Players[Name],0)),GameLog[[#This Row],[Player]])</f>
        <v>Rodney Y</v>
      </c>
    </row>
    <row r="505" spans="1:15" x14ac:dyDescent="0.45">
      <c r="A505" s="6" t="s">
        <v>81</v>
      </c>
      <c r="B505" s="6" t="s">
        <v>53</v>
      </c>
      <c r="C505" s="6">
        <v>1</v>
      </c>
      <c r="D505" s="6">
        <v>4</v>
      </c>
      <c r="E505" s="6">
        <v>2</v>
      </c>
      <c r="F505" s="10">
        <v>45971</v>
      </c>
      <c r="G505" s="6" t="str">
        <f>_xlfn.TEXTJOIN("|",TRUE,GameLog[[#This Row],[Pod]],TEXT(INT(GameLog[[#This Row],[Round]]),"yyyymmdd"),GameLog[[#This Row],[Date]])</f>
        <v>4|19000102|45971</v>
      </c>
      <c r="H505" s="6">
        <f>COUNTIF(GameLog[Pod ID],GameLog[[#This Row],[Pod ID]])</f>
        <v>4</v>
      </c>
      <c r="I505" s="6">
        <f>YEAR(GameLog[[#This Row],[Date]])</f>
        <v>2025</v>
      </c>
      <c r="J505" s="6">
        <f>MONTH(GameLog[[#This Row],[Date]])</f>
        <v>11</v>
      </c>
      <c r="K505" s="6" t="str">
        <f>IF(GameLog[[#This Row],[Date]]=MAX(GameLog[Date]),"Current","Previous")</f>
        <v>Previous</v>
      </c>
      <c r="L505" s="6"/>
      <c r="M5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5" s="6" t="str">
        <f ca="1">IF(GameLog[[#This Row],[Check]]="","",COUNTIF(GameLog[[#Headers],[Check]]:GameLog[[#This Row],[Check]],"?*")-1)</f>
        <v/>
      </c>
      <c r="O505" s="6" t="str">
        <f>IFERROR(INDEX(Players[New name],MATCH(GameLog[[#This Row],[Player]],Players[Name],0)),GameLog[[#This Row],[Player]])</f>
        <v>Forrest</v>
      </c>
    </row>
    <row r="506" spans="1:15" x14ac:dyDescent="0.45">
      <c r="A506" s="6" t="s">
        <v>61</v>
      </c>
      <c r="B506" s="6" t="s">
        <v>50</v>
      </c>
      <c r="C506" s="6">
        <v>2</v>
      </c>
      <c r="D506" s="6">
        <v>4</v>
      </c>
      <c r="E506" s="6">
        <v>2</v>
      </c>
      <c r="F506" s="10">
        <v>45971</v>
      </c>
      <c r="G506" s="6" t="str">
        <f>_xlfn.TEXTJOIN("|",TRUE,GameLog[[#This Row],[Pod]],TEXT(INT(GameLog[[#This Row],[Round]]),"yyyymmdd"),GameLog[[#This Row],[Date]])</f>
        <v>4|19000102|45971</v>
      </c>
      <c r="H506" s="6">
        <f>COUNTIF(GameLog[Pod ID],GameLog[[#This Row],[Pod ID]])</f>
        <v>4</v>
      </c>
      <c r="I506" s="6">
        <f>YEAR(GameLog[[#This Row],[Date]])</f>
        <v>2025</v>
      </c>
      <c r="J506" s="6">
        <f>MONTH(GameLog[[#This Row],[Date]])</f>
        <v>11</v>
      </c>
      <c r="K506" s="6" t="str">
        <f>IF(GameLog[[#This Row],[Date]]=MAX(GameLog[Date]),"Current","Previous")</f>
        <v>Previous</v>
      </c>
      <c r="L506" s="6"/>
      <c r="M5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6" s="6" t="str">
        <f ca="1">IF(GameLog[[#This Row],[Check]]="","",COUNTIF(GameLog[[#Headers],[Check]]:GameLog[[#This Row],[Check]],"?*")-1)</f>
        <v/>
      </c>
      <c r="O506" s="6" t="str">
        <f>IFERROR(INDEX(Players[New name],MATCH(GameLog[[#This Row],[Player]],Players[Name],0)),GameLog[[#This Row],[Player]])</f>
        <v>Trevor</v>
      </c>
    </row>
    <row r="507" spans="1:15" x14ac:dyDescent="0.45">
      <c r="A507" s="6" t="s">
        <v>58</v>
      </c>
      <c r="B507" s="6" t="s">
        <v>53</v>
      </c>
      <c r="C507" s="6">
        <v>3</v>
      </c>
      <c r="D507" s="6">
        <v>4</v>
      </c>
      <c r="E507" s="6">
        <v>2</v>
      </c>
      <c r="F507" s="10">
        <v>45971</v>
      </c>
      <c r="G507" s="6" t="str">
        <f>_xlfn.TEXTJOIN("|",TRUE,GameLog[[#This Row],[Pod]],TEXT(INT(GameLog[[#This Row],[Round]]),"yyyymmdd"),GameLog[[#This Row],[Date]])</f>
        <v>4|19000102|45971</v>
      </c>
      <c r="H507" s="6">
        <f>COUNTIF(GameLog[Pod ID],GameLog[[#This Row],[Pod ID]])</f>
        <v>4</v>
      </c>
      <c r="I507" s="6">
        <f>YEAR(GameLog[[#This Row],[Date]])</f>
        <v>2025</v>
      </c>
      <c r="J507" s="6">
        <f>MONTH(GameLog[[#This Row],[Date]])</f>
        <v>11</v>
      </c>
      <c r="K507" s="6" t="str">
        <f>IF(GameLog[[#This Row],[Date]]=MAX(GameLog[Date]),"Current","Previous")</f>
        <v>Previous</v>
      </c>
      <c r="L507" s="6"/>
      <c r="M5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7" s="6" t="str">
        <f ca="1">IF(GameLog[[#This Row],[Check]]="","",COUNTIF(GameLog[[#Headers],[Check]]:GameLog[[#This Row],[Check]],"?*")-1)</f>
        <v/>
      </c>
      <c r="O507" s="6" t="str">
        <f>IFERROR(INDEX(Players[New name],MATCH(GameLog[[#This Row],[Player]],Players[Name],0)),GameLog[[#This Row],[Player]])</f>
        <v>Dakota P</v>
      </c>
    </row>
    <row r="508" spans="1:15" x14ac:dyDescent="0.45">
      <c r="A508" s="6" t="s">
        <v>83</v>
      </c>
      <c r="B508" s="6" t="s">
        <v>53</v>
      </c>
      <c r="C508" s="6">
        <v>4</v>
      </c>
      <c r="D508" s="6">
        <v>4</v>
      </c>
      <c r="E508" s="6">
        <v>2</v>
      </c>
      <c r="F508" s="10">
        <v>45971</v>
      </c>
      <c r="G508" s="6" t="str">
        <f>_xlfn.TEXTJOIN("|",TRUE,GameLog[[#This Row],[Pod]],TEXT(INT(GameLog[[#This Row],[Round]]),"yyyymmdd"),GameLog[[#This Row],[Date]])</f>
        <v>4|19000102|45971</v>
      </c>
      <c r="H508" s="6">
        <f>COUNTIF(GameLog[Pod ID],GameLog[[#This Row],[Pod ID]])</f>
        <v>4</v>
      </c>
      <c r="I508" s="6">
        <f>YEAR(GameLog[[#This Row],[Date]])</f>
        <v>2025</v>
      </c>
      <c r="J508" s="6">
        <f>MONTH(GameLog[[#This Row],[Date]])</f>
        <v>11</v>
      </c>
      <c r="K508" s="6" t="str">
        <f>IF(GameLog[[#This Row],[Date]]=MAX(GameLog[Date]),"Current","Previous")</f>
        <v>Previous</v>
      </c>
      <c r="L508" s="6"/>
      <c r="M5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8" s="6" t="str">
        <f ca="1">IF(GameLog[[#This Row],[Check]]="","",COUNTIF(GameLog[[#Headers],[Check]]:GameLog[[#This Row],[Check]],"?*")-1)</f>
        <v/>
      </c>
      <c r="O508" s="6" t="str">
        <f>IFERROR(INDEX(Players[New name],MATCH(GameLog[[#This Row],[Player]],Players[Name],0)),GameLog[[#This Row],[Player]])</f>
        <v>Devyn S</v>
      </c>
    </row>
    <row r="509" spans="1:15" x14ac:dyDescent="0.45">
      <c r="A509" s="6" t="s">
        <v>57</v>
      </c>
      <c r="B509" s="6" t="s">
        <v>53</v>
      </c>
      <c r="C509" s="6">
        <v>1</v>
      </c>
      <c r="D509" s="6">
        <v>5</v>
      </c>
      <c r="E509" s="6">
        <v>2</v>
      </c>
      <c r="F509" s="10">
        <v>45971</v>
      </c>
      <c r="G509" s="6" t="str">
        <f>_xlfn.TEXTJOIN("|",TRUE,GameLog[[#This Row],[Pod]],TEXT(INT(GameLog[[#This Row],[Round]]),"yyyymmdd"),GameLog[[#This Row],[Date]])</f>
        <v>5|19000102|45971</v>
      </c>
      <c r="H509" s="6">
        <f>COUNTIF(GameLog[Pod ID],GameLog[[#This Row],[Pod ID]])</f>
        <v>4</v>
      </c>
      <c r="I509" s="6">
        <f>YEAR(GameLog[[#This Row],[Date]])</f>
        <v>2025</v>
      </c>
      <c r="J509" s="6">
        <f>MONTH(GameLog[[#This Row],[Date]])</f>
        <v>11</v>
      </c>
      <c r="K509" s="6" t="str">
        <f>IF(GameLog[[#This Row],[Date]]=MAX(GameLog[Date]),"Current","Previous")</f>
        <v>Previous</v>
      </c>
      <c r="L509" s="6"/>
      <c r="M5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09" s="6" t="str">
        <f ca="1">IF(GameLog[[#This Row],[Check]]="","",COUNTIF(GameLog[[#Headers],[Check]]:GameLog[[#This Row],[Check]],"?*")-1)</f>
        <v/>
      </c>
      <c r="O509" s="6" t="str">
        <f>IFERROR(INDEX(Players[New name],MATCH(GameLog[[#This Row],[Player]],Players[Name],0)),GameLog[[#This Row],[Player]])</f>
        <v>AJ W</v>
      </c>
    </row>
    <row r="510" spans="1:15" x14ac:dyDescent="0.45">
      <c r="A510" s="6" t="s">
        <v>82</v>
      </c>
      <c r="B510" s="6" t="s">
        <v>53</v>
      </c>
      <c r="C510" s="6">
        <v>2</v>
      </c>
      <c r="D510" s="6">
        <v>5</v>
      </c>
      <c r="E510" s="6">
        <v>2</v>
      </c>
      <c r="F510" s="10">
        <v>45971</v>
      </c>
      <c r="G510" s="6" t="str">
        <f>_xlfn.TEXTJOIN("|",TRUE,GameLog[[#This Row],[Pod]],TEXT(INT(GameLog[[#This Row],[Round]]),"yyyymmdd"),GameLog[[#This Row],[Date]])</f>
        <v>5|19000102|45971</v>
      </c>
      <c r="H510" s="6">
        <f>COUNTIF(GameLog[Pod ID],GameLog[[#This Row],[Pod ID]])</f>
        <v>4</v>
      </c>
      <c r="I510" s="6">
        <f>YEAR(GameLog[[#This Row],[Date]])</f>
        <v>2025</v>
      </c>
      <c r="J510" s="6">
        <f>MONTH(GameLog[[#This Row],[Date]])</f>
        <v>11</v>
      </c>
      <c r="K510" s="6" t="str">
        <f>IF(GameLog[[#This Row],[Date]]=MAX(GameLog[Date]),"Current","Previous")</f>
        <v>Previous</v>
      </c>
      <c r="L510" s="6"/>
      <c r="M5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0" s="6" t="str">
        <f ca="1">IF(GameLog[[#This Row],[Check]]="","",COUNTIF(GameLog[[#Headers],[Check]]:GameLog[[#This Row],[Check]],"?*")-1)</f>
        <v/>
      </c>
      <c r="O510" s="6" t="str">
        <f>IFERROR(INDEX(Players[New name],MATCH(GameLog[[#This Row],[Player]],Players[Name],0)),GameLog[[#This Row],[Player]])</f>
        <v>Nick D</v>
      </c>
    </row>
    <row r="511" spans="1:15" x14ac:dyDescent="0.45">
      <c r="A511" s="6" t="s">
        <v>59</v>
      </c>
      <c r="B511" s="6" t="s">
        <v>50</v>
      </c>
      <c r="C511" s="6">
        <v>3</v>
      </c>
      <c r="D511" s="6">
        <v>5</v>
      </c>
      <c r="E511" s="6">
        <v>2</v>
      </c>
      <c r="F511" s="10">
        <v>45971</v>
      </c>
      <c r="G511" s="6" t="str">
        <f>_xlfn.TEXTJOIN("|",TRUE,GameLog[[#This Row],[Pod]],TEXT(INT(GameLog[[#This Row],[Round]]),"yyyymmdd"),GameLog[[#This Row],[Date]])</f>
        <v>5|19000102|45971</v>
      </c>
      <c r="H511" s="6">
        <f>COUNTIF(GameLog[Pod ID],GameLog[[#This Row],[Pod ID]])</f>
        <v>4</v>
      </c>
      <c r="I511" s="6">
        <f>YEAR(GameLog[[#This Row],[Date]])</f>
        <v>2025</v>
      </c>
      <c r="J511" s="6">
        <f>MONTH(GameLog[[#This Row],[Date]])</f>
        <v>11</v>
      </c>
      <c r="K511" s="6" t="str">
        <f>IF(GameLog[[#This Row],[Date]]=MAX(GameLog[Date]),"Current","Previous")</f>
        <v>Previous</v>
      </c>
      <c r="L511" s="6"/>
      <c r="M5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1" s="6" t="str">
        <f ca="1">IF(GameLog[[#This Row],[Check]]="","",COUNTIF(GameLog[[#Headers],[Check]]:GameLog[[#This Row],[Check]],"?*")-1)</f>
        <v/>
      </c>
      <c r="O511" s="6" t="str">
        <f>IFERROR(INDEX(Players[New name],MATCH(GameLog[[#This Row],[Player]],Players[Name],0)),GameLog[[#This Row],[Player]])</f>
        <v>Zack B</v>
      </c>
    </row>
    <row r="512" spans="1:15" x14ac:dyDescent="0.45">
      <c r="A512" s="6" t="s">
        <v>49</v>
      </c>
      <c r="B512" s="6" t="s">
        <v>53</v>
      </c>
      <c r="C512" s="6">
        <v>4</v>
      </c>
      <c r="D512" s="6">
        <v>5</v>
      </c>
      <c r="E512" s="6">
        <v>2</v>
      </c>
      <c r="F512" s="10">
        <v>45971</v>
      </c>
      <c r="G512" s="6" t="str">
        <f>_xlfn.TEXTJOIN("|",TRUE,GameLog[[#This Row],[Pod]],TEXT(INT(GameLog[[#This Row],[Round]]),"yyyymmdd"),GameLog[[#This Row],[Date]])</f>
        <v>5|19000102|45971</v>
      </c>
      <c r="H512" s="6">
        <f>COUNTIF(GameLog[Pod ID],GameLog[[#This Row],[Pod ID]])</f>
        <v>4</v>
      </c>
      <c r="I512" s="6">
        <f>YEAR(GameLog[[#This Row],[Date]])</f>
        <v>2025</v>
      </c>
      <c r="J512" s="6">
        <f>MONTH(GameLog[[#This Row],[Date]])</f>
        <v>11</v>
      </c>
      <c r="K512" s="6" t="str">
        <f>IF(GameLog[[#This Row],[Date]]=MAX(GameLog[Date]),"Current","Previous")</f>
        <v>Previous</v>
      </c>
      <c r="L512" s="6"/>
      <c r="M5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2" s="6" t="str">
        <f ca="1">IF(GameLog[[#This Row],[Check]]="","",COUNTIF(GameLog[[#Headers],[Check]]:GameLog[[#This Row],[Check]],"?*")-1)</f>
        <v/>
      </c>
      <c r="O512" s="6" t="str">
        <f>IFERROR(INDEX(Players[New name],MATCH(GameLog[[#This Row],[Player]],Players[Name],0)),GameLog[[#This Row],[Player]])</f>
        <v>Brett R</v>
      </c>
    </row>
    <row r="513" spans="1:15" x14ac:dyDescent="0.45">
      <c r="A513" s="6" t="s">
        <v>68</v>
      </c>
      <c r="B513" s="6" t="s">
        <v>50</v>
      </c>
      <c r="C513" s="6">
        <v>1</v>
      </c>
      <c r="D513" s="6">
        <v>1</v>
      </c>
      <c r="E513" s="6">
        <v>1</v>
      </c>
      <c r="F513" s="10">
        <v>45978</v>
      </c>
      <c r="G513" s="6" t="str">
        <f>_xlfn.TEXTJOIN("|",TRUE,GameLog[[#This Row],[Pod]],TEXT(INT(GameLog[[#This Row],[Round]]),"yyyymmdd"),GameLog[[#This Row],[Date]])</f>
        <v>1|19000101|45978</v>
      </c>
      <c r="H513" s="6">
        <f>COUNTIF(GameLog[Pod ID],GameLog[[#This Row],[Pod ID]])</f>
        <v>3</v>
      </c>
      <c r="I513" s="6">
        <f>YEAR(GameLog[[#This Row],[Date]])</f>
        <v>2025</v>
      </c>
      <c r="J513" s="6">
        <f>MONTH(GameLog[[#This Row],[Date]])</f>
        <v>11</v>
      </c>
      <c r="K513" s="6" t="str">
        <f>IF(GameLog[[#This Row],[Date]]=MAX(GameLog[Date]),"Current","Previous")</f>
        <v>Previous</v>
      </c>
      <c r="L513" s="6"/>
      <c r="M5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3" s="6" t="str">
        <f ca="1">IF(GameLog[[#This Row],[Check]]="","",COUNTIF(GameLog[[#Headers],[Check]]:GameLog[[#This Row],[Check]],"?*")-1)</f>
        <v/>
      </c>
      <c r="O513" s="6" t="str">
        <f>IFERROR(INDEX(Players[New name],MATCH(GameLog[[#This Row],[Player]],Players[Name],0)),GameLog[[#This Row],[Player]])</f>
        <v>Edwin M</v>
      </c>
    </row>
    <row r="514" spans="1:15" x14ac:dyDescent="0.45">
      <c r="A514" s="6" t="s">
        <v>52</v>
      </c>
      <c r="B514" s="6" t="s">
        <v>53</v>
      </c>
      <c r="C514" s="6">
        <v>2</v>
      </c>
      <c r="D514" s="6">
        <v>1</v>
      </c>
      <c r="E514" s="6">
        <v>1</v>
      </c>
      <c r="F514" s="10">
        <v>45978</v>
      </c>
      <c r="G514" s="6" t="str">
        <f>_xlfn.TEXTJOIN("|",TRUE,GameLog[[#This Row],[Pod]],TEXT(INT(GameLog[[#This Row],[Round]]),"yyyymmdd"),GameLog[[#This Row],[Date]])</f>
        <v>1|19000101|45978</v>
      </c>
      <c r="H514" s="6">
        <f>COUNTIF(GameLog[Pod ID],GameLog[[#This Row],[Pod ID]])</f>
        <v>3</v>
      </c>
      <c r="I514" s="6">
        <f>YEAR(GameLog[[#This Row],[Date]])</f>
        <v>2025</v>
      </c>
      <c r="J514" s="6">
        <f>MONTH(GameLog[[#This Row],[Date]])</f>
        <v>11</v>
      </c>
      <c r="K514" s="6" t="str">
        <f>IF(GameLog[[#This Row],[Date]]=MAX(GameLog[Date]),"Current","Previous")</f>
        <v>Previous</v>
      </c>
      <c r="L514" s="6"/>
      <c r="M5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4" s="6" t="str">
        <f ca="1">IF(GameLog[[#This Row],[Check]]="","",COUNTIF(GameLog[[#Headers],[Check]]:GameLog[[#This Row],[Check]],"?*")-1)</f>
        <v/>
      </c>
      <c r="O514" s="6" t="str">
        <f>IFERROR(INDEX(Players[New name],MATCH(GameLog[[#This Row],[Player]],Players[Name],0)),GameLog[[#This Row],[Player]])</f>
        <v>Unknown</v>
      </c>
    </row>
    <row r="515" spans="1:15" x14ac:dyDescent="0.45">
      <c r="A515" s="6" t="s">
        <v>60</v>
      </c>
      <c r="B515" s="6" t="s">
        <v>53</v>
      </c>
      <c r="C515" s="6">
        <v>3</v>
      </c>
      <c r="D515" s="6">
        <v>1</v>
      </c>
      <c r="E515" s="6">
        <v>1</v>
      </c>
      <c r="F515" s="10">
        <v>45978</v>
      </c>
      <c r="G515" s="6" t="str">
        <f>_xlfn.TEXTJOIN("|",TRUE,GameLog[[#This Row],[Pod]],TEXT(INT(GameLog[[#This Row],[Round]]),"yyyymmdd"),GameLog[[#This Row],[Date]])</f>
        <v>1|19000101|45978</v>
      </c>
      <c r="H515" s="6">
        <f>COUNTIF(GameLog[Pod ID],GameLog[[#This Row],[Pod ID]])</f>
        <v>3</v>
      </c>
      <c r="I515" s="6">
        <f>YEAR(GameLog[[#This Row],[Date]])</f>
        <v>2025</v>
      </c>
      <c r="J515" s="6">
        <f>MONTH(GameLog[[#This Row],[Date]])</f>
        <v>11</v>
      </c>
      <c r="K515" s="6" t="str">
        <f>IF(GameLog[[#This Row],[Date]]=MAX(GameLog[Date]),"Current","Previous")</f>
        <v>Previous</v>
      </c>
      <c r="L515" s="6"/>
      <c r="M5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5" s="6" t="str">
        <f ca="1">IF(GameLog[[#This Row],[Check]]="","",COUNTIF(GameLog[[#Headers],[Check]]:GameLog[[#This Row],[Check]],"?*")-1)</f>
        <v/>
      </c>
      <c r="O515" s="6" t="str">
        <f>IFERROR(INDEX(Players[New name],MATCH(GameLog[[#This Row],[Player]],Players[Name],0)),GameLog[[#This Row],[Player]])</f>
        <v>Brendan H</v>
      </c>
    </row>
    <row r="516" spans="1:15" x14ac:dyDescent="0.45">
      <c r="A516" s="6" t="s">
        <v>61</v>
      </c>
      <c r="B516" s="6" t="s">
        <v>53</v>
      </c>
      <c r="C516" s="6">
        <v>1</v>
      </c>
      <c r="D516" s="6">
        <v>2</v>
      </c>
      <c r="E516" s="6">
        <v>1</v>
      </c>
      <c r="F516" s="10">
        <v>45978</v>
      </c>
      <c r="G516" s="6" t="str">
        <f>_xlfn.TEXTJOIN("|",TRUE,GameLog[[#This Row],[Pod]],TEXT(INT(GameLog[[#This Row],[Round]]),"yyyymmdd"),GameLog[[#This Row],[Date]])</f>
        <v>2|19000101|45978</v>
      </c>
      <c r="H516" s="6">
        <f>COUNTIF(GameLog[Pod ID],GameLog[[#This Row],[Pod ID]])</f>
        <v>3</v>
      </c>
      <c r="I516" s="6">
        <f>YEAR(GameLog[[#This Row],[Date]])</f>
        <v>2025</v>
      </c>
      <c r="J516" s="6">
        <f>MONTH(GameLog[[#This Row],[Date]])</f>
        <v>11</v>
      </c>
      <c r="K516" s="6" t="str">
        <f>IF(GameLog[[#This Row],[Date]]=MAX(GameLog[Date]),"Current","Previous")</f>
        <v>Previous</v>
      </c>
      <c r="L516" s="6"/>
      <c r="M5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6" s="6" t="str">
        <f ca="1">IF(GameLog[[#This Row],[Check]]="","",COUNTIF(GameLog[[#Headers],[Check]]:GameLog[[#This Row],[Check]],"?*")-1)</f>
        <v/>
      </c>
      <c r="O516" s="6" t="str">
        <f>IFERROR(INDEX(Players[New name],MATCH(GameLog[[#This Row],[Player]],Players[Name],0)),GameLog[[#This Row],[Player]])</f>
        <v>Trevor</v>
      </c>
    </row>
    <row r="517" spans="1:15" x14ac:dyDescent="0.45">
      <c r="A517" s="6" t="s">
        <v>85</v>
      </c>
      <c r="B517" s="6" t="s">
        <v>53</v>
      </c>
      <c r="C517" s="6">
        <v>2</v>
      </c>
      <c r="D517" s="6">
        <v>2</v>
      </c>
      <c r="E517" s="6">
        <v>1</v>
      </c>
      <c r="F517" s="10">
        <v>45978</v>
      </c>
      <c r="G517" s="6" t="str">
        <f>_xlfn.TEXTJOIN("|",TRUE,GameLog[[#This Row],[Pod]],TEXT(INT(GameLog[[#This Row],[Round]]),"yyyymmdd"),GameLog[[#This Row],[Date]])</f>
        <v>2|19000101|45978</v>
      </c>
      <c r="H517" s="6">
        <f>COUNTIF(GameLog[Pod ID],GameLog[[#This Row],[Pod ID]])</f>
        <v>3</v>
      </c>
      <c r="I517" s="6">
        <f>YEAR(GameLog[[#This Row],[Date]])</f>
        <v>2025</v>
      </c>
      <c r="J517" s="6">
        <f>MONTH(GameLog[[#This Row],[Date]])</f>
        <v>11</v>
      </c>
      <c r="K517" s="6" t="str">
        <f>IF(GameLog[[#This Row],[Date]]=MAX(GameLog[Date]),"Current","Previous")</f>
        <v>Previous</v>
      </c>
      <c r="L517" s="6"/>
      <c r="M5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7" s="6" t="str">
        <f ca="1">IF(GameLog[[#This Row],[Check]]="","",COUNTIF(GameLog[[#Headers],[Check]]:GameLog[[#This Row],[Check]],"?*")-1)</f>
        <v/>
      </c>
      <c r="O517" s="6" t="str">
        <f>IFERROR(INDEX(Players[New name],MATCH(GameLog[[#This Row],[Player]],Players[Name],0)),GameLog[[#This Row],[Player]])</f>
        <v>Logan</v>
      </c>
    </row>
    <row r="518" spans="1:15" x14ac:dyDescent="0.45">
      <c r="A518" s="6" t="s">
        <v>56</v>
      </c>
      <c r="B518" s="6" t="s">
        <v>50</v>
      </c>
      <c r="C518" s="6">
        <v>3</v>
      </c>
      <c r="D518" s="6">
        <v>2</v>
      </c>
      <c r="E518" s="6">
        <v>1</v>
      </c>
      <c r="F518" s="10">
        <v>45978</v>
      </c>
      <c r="G518" s="6" t="str">
        <f>_xlfn.TEXTJOIN("|",TRUE,GameLog[[#This Row],[Pod]],TEXT(INT(GameLog[[#This Row],[Round]]),"yyyymmdd"),GameLog[[#This Row],[Date]])</f>
        <v>2|19000101|45978</v>
      </c>
      <c r="H518" s="6">
        <f>COUNTIF(GameLog[Pod ID],GameLog[[#This Row],[Pod ID]])</f>
        <v>3</v>
      </c>
      <c r="I518" s="6">
        <f>YEAR(GameLog[[#This Row],[Date]])</f>
        <v>2025</v>
      </c>
      <c r="J518" s="6">
        <f>MONTH(GameLog[[#This Row],[Date]])</f>
        <v>11</v>
      </c>
      <c r="K518" s="6" t="str">
        <f>IF(GameLog[[#This Row],[Date]]=MAX(GameLog[Date]),"Current","Previous")</f>
        <v>Previous</v>
      </c>
      <c r="L518" s="6"/>
      <c r="M5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8" s="6" t="str">
        <f ca="1">IF(GameLog[[#This Row],[Check]]="","",COUNTIF(GameLog[[#Headers],[Check]]:GameLog[[#This Row],[Check]],"?*")-1)</f>
        <v/>
      </c>
      <c r="O518" s="6" t="str">
        <f>IFERROR(INDEX(Players[New name],MATCH(GameLog[[#This Row],[Player]],Players[Name],0)),GameLog[[#This Row],[Player]])</f>
        <v>Mark D</v>
      </c>
    </row>
    <row r="519" spans="1:15" x14ac:dyDescent="0.45">
      <c r="A519" s="6" t="s">
        <v>83</v>
      </c>
      <c r="B519" s="6" t="s">
        <v>53</v>
      </c>
      <c r="C519" s="6">
        <v>1</v>
      </c>
      <c r="D519" s="6">
        <v>3</v>
      </c>
      <c r="E519" s="6">
        <v>1</v>
      </c>
      <c r="F519" s="10">
        <v>45978</v>
      </c>
      <c r="G519" s="6" t="str">
        <f>_xlfn.TEXTJOIN("|",TRUE,GameLog[[#This Row],[Pod]],TEXT(INT(GameLog[[#This Row],[Round]]),"yyyymmdd"),GameLog[[#This Row],[Date]])</f>
        <v>3|19000101|45978</v>
      </c>
      <c r="H519" s="6">
        <f>COUNTIF(GameLog[Pod ID],GameLog[[#This Row],[Pod ID]])</f>
        <v>3</v>
      </c>
      <c r="I519" s="6">
        <f>YEAR(GameLog[[#This Row],[Date]])</f>
        <v>2025</v>
      </c>
      <c r="J519" s="6">
        <f>MONTH(GameLog[[#This Row],[Date]])</f>
        <v>11</v>
      </c>
      <c r="K519" s="6" t="str">
        <f>IF(GameLog[[#This Row],[Date]]=MAX(GameLog[Date]),"Current","Previous")</f>
        <v>Previous</v>
      </c>
      <c r="L519" s="6"/>
      <c r="M5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19" s="6" t="str">
        <f ca="1">IF(GameLog[[#This Row],[Check]]="","",COUNTIF(GameLog[[#Headers],[Check]]:GameLog[[#This Row],[Check]],"?*")-1)</f>
        <v/>
      </c>
      <c r="O519" s="6" t="str">
        <f>IFERROR(INDEX(Players[New name],MATCH(GameLog[[#This Row],[Player]],Players[Name],0)),GameLog[[#This Row],[Player]])</f>
        <v>Devyn S</v>
      </c>
    </row>
    <row r="520" spans="1:15" x14ac:dyDescent="0.45">
      <c r="A520" s="6" t="s">
        <v>55</v>
      </c>
      <c r="B520" s="6" t="s">
        <v>53</v>
      </c>
      <c r="C520" s="6">
        <v>2</v>
      </c>
      <c r="D520" s="6">
        <v>3</v>
      </c>
      <c r="E520" s="6">
        <v>1</v>
      </c>
      <c r="F520" s="10">
        <v>45978</v>
      </c>
      <c r="G520" s="6" t="str">
        <f>_xlfn.TEXTJOIN("|",TRUE,GameLog[[#This Row],[Pod]],TEXT(INT(GameLog[[#This Row],[Round]]),"yyyymmdd"),GameLog[[#This Row],[Date]])</f>
        <v>3|19000101|45978</v>
      </c>
      <c r="H520" s="6">
        <f>COUNTIF(GameLog[Pod ID],GameLog[[#This Row],[Pod ID]])</f>
        <v>3</v>
      </c>
      <c r="I520" s="6">
        <f>YEAR(GameLog[[#This Row],[Date]])</f>
        <v>2025</v>
      </c>
      <c r="J520" s="6">
        <f>MONTH(GameLog[[#This Row],[Date]])</f>
        <v>11</v>
      </c>
      <c r="K520" s="6" t="str">
        <f>IF(GameLog[[#This Row],[Date]]=MAX(GameLog[Date]),"Current","Previous")</f>
        <v>Previous</v>
      </c>
      <c r="L520" s="6"/>
      <c r="M5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0" s="6" t="str">
        <f ca="1">IF(GameLog[[#This Row],[Check]]="","",COUNTIF(GameLog[[#Headers],[Check]]:GameLog[[#This Row],[Check]],"?*")-1)</f>
        <v/>
      </c>
      <c r="O520" s="6" t="str">
        <f>IFERROR(INDEX(Players[New name],MATCH(GameLog[[#This Row],[Player]],Players[Name],0)),GameLog[[#This Row],[Player]])</f>
        <v>Bryce C</v>
      </c>
    </row>
    <row r="521" spans="1:15" x14ac:dyDescent="0.45">
      <c r="A521" s="6" t="s">
        <v>57</v>
      </c>
      <c r="B521" s="6" t="s">
        <v>50</v>
      </c>
      <c r="C521" s="6">
        <v>3</v>
      </c>
      <c r="D521" s="6">
        <v>3</v>
      </c>
      <c r="E521" s="6">
        <v>1</v>
      </c>
      <c r="F521" s="10">
        <v>45978</v>
      </c>
      <c r="G521" s="6" t="str">
        <f>_xlfn.TEXTJOIN("|",TRUE,GameLog[[#This Row],[Pod]],TEXT(INT(GameLog[[#This Row],[Round]]),"yyyymmdd"),GameLog[[#This Row],[Date]])</f>
        <v>3|19000101|45978</v>
      </c>
      <c r="H521" s="6">
        <f>COUNTIF(GameLog[Pod ID],GameLog[[#This Row],[Pod ID]])</f>
        <v>3</v>
      </c>
      <c r="I521" s="6">
        <f>YEAR(GameLog[[#This Row],[Date]])</f>
        <v>2025</v>
      </c>
      <c r="J521" s="6">
        <f>MONTH(GameLog[[#This Row],[Date]])</f>
        <v>11</v>
      </c>
      <c r="K521" s="6" t="str">
        <f>IF(GameLog[[#This Row],[Date]]=MAX(GameLog[Date]),"Current","Previous")</f>
        <v>Previous</v>
      </c>
      <c r="L521" s="6"/>
      <c r="M5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1" s="6" t="str">
        <f ca="1">IF(GameLog[[#This Row],[Check]]="","",COUNTIF(GameLog[[#Headers],[Check]]:GameLog[[#This Row],[Check]],"?*")-1)</f>
        <v/>
      </c>
      <c r="O521" s="6" t="str">
        <f>IFERROR(INDEX(Players[New name],MATCH(GameLog[[#This Row],[Player]],Players[Name],0)),GameLog[[#This Row],[Player]])</f>
        <v>AJ W</v>
      </c>
    </row>
    <row r="522" spans="1:15" x14ac:dyDescent="0.45">
      <c r="A522" s="6" t="s">
        <v>59</v>
      </c>
      <c r="B522" s="6" t="s">
        <v>53</v>
      </c>
      <c r="C522" s="6">
        <v>1</v>
      </c>
      <c r="D522" s="6">
        <v>4</v>
      </c>
      <c r="E522" s="6">
        <v>1</v>
      </c>
      <c r="F522" s="10">
        <v>45978</v>
      </c>
      <c r="G522" s="6" t="str">
        <f>_xlfn.TEXTJOIN("|",TRUE,GameLog[[#This Row],[Pod]],TEXT(INT(GameLog[[#This Row],[Round]]),"yyyymmdd"),GameLog[[#This Row],[Date]])</f>
        <v>4|19000101|45978</v>
      </c>
      <c r="H522" s="6">
        <f>COUNTIF(GameLog[Pod ID],GameLog[[#This Row],[Pod ID]])</f>
        <v>3</v>
      </c>
      <c r="I522" s="6">
        <f>YEAR(GameLog[[#This Row],[Date]])</f>
        <v>2025</v>
      </c>
      <c r="J522" s="6">
        <f>MONTH(GameLog[[#This Row],[Date]])</f>
        <v>11</v>
      </c>
      <c r="K522" s="6" t="str">
        <f>IF(GameLog[[#This Row],[Date]]=MAX(GameLog[Date]),"Current","Previous")</f>
        <v>Previous</v>
      </c>
      <c r="L522" s="6"/>
      <c r="M5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2" s="6" t="str">
        <f ca="1">IF(GameLog[[#This Row],[Check]]="","",COUNTIF(GameLog[[#Headers],[Check]]:GameLog[[#This Row],[Check]],"?*")-1)</f>
        <v/>
      </c>
      <c r="O522" s="6" t="str">
        <f>IFERROR(INDEX(Players[New name],MATCH(GameLog[[#This Row],[Player]],Players[Name],0)),GameLog[[#This Row],[Player]])</f>
        <v>Zack B</v>
      </c>
    </row>
    <row r="523" spans="1:15" x14ac:dyDescent="0.45">
      <c r="A523" s="6" t="s">
        <v>71</v>
      </c>
      <c r="B523" s="6" t="s">
        <v>50</v>
      </c>
      <c r="C523" s="6">
        <v>2</v>
      </c>
      <c r="D523" s="6">
        <v>4</v>
      </c>
      <c r="E523" s="6">
        <v>1</v>
      </c>
      <c r="F523" s="10">
        <v>45978</v>
      </c>
      <c r="G523" s="6" t="str">
        <f>_xlfn.TEXTJOIN("|",TRUE,GameLog[[#This Row],[Pod]],TEXT(INT(GameLog[[#This Row],[Round]]),"yyyymmdd"),GameLog[[#This Row],[Date]])</f>
        <v>4|19000101|45978</v>
      </c>
      <c r="H523" s="6">
        <f>COUNTIF(GameLog[Pod ID],GameLog[[#This Row],[Pod ID]])</f>
        <v>3</v>
      </c>
      <c r="I523" s="6">
        <f>YEAR(GameLog[[#This Row],[Date]])</f>
        <v>2025</v>
      </c>
      <c r="J523" s="6">
        <f>MONTH(GameLog[[#This Row],[Date]])</f>
        <v>11</v>
      </c>
      <c r="K523" s="6" t="str">
        <f>IF(GameLog[[#This Row],[Date]]=MAX(GameLog[Date]),"Current","Previous")</f>
        <v>Previous</v>
      </c>
      <c r="L523" s="6"/>
      <c r="M5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3" s="6" t="str">
        <f ca="1">IF(GameLog[[#This Row],[Check]]="","",COUNTIF(GameLog[[#Headers],[Check]]:GameLog[[#This Row],[Check]],"?*")-1)</f>
        <v/>
      </c>
      <c r="O523" s="6" t="str">
        <f>IFERROR(INDEX(Players[New name],MATCH(GameLog[[#This Row],[Player]],Players[Name],0)),GameLog[[#This Row],[Player]])</f>
        <v>Rodney Y</v>
      </c>
    </row>
    <row r="524" spans="1:15" x14ac:dyDescent="0.45">
      <c r="A524" s="6" t="s">
        <v>73</v>
      </c>
      <c r="B524" s="6" t="s">
        <v>53</v>
      </c>
      <c r="C524" s="6">
        <v>3</v>
      </c>
      <c r="D524" s="6">
        <v>4</v>
      </c>
      <c r="E524" s="6">
        <v>1</v>
      </c>
      <c r="F524" s="10">
        <v>45978</v>
      </c>
      <c r="G524" s="6" t="str">
        <f>_xlfn.TEXTJOIN("|",TRUE,GameLog[[#This Row],[Pod]],TEXT(INT(GameLog[[#This Row],[Round]]),"yyyymmdd"),GameLog[[#This Row],[Date]])</f>
        <v>4|19000101|45978</v>
      </c>
      <c r="H524" s="6">
        <f>COUNTIF(GameLog[Pod ID],GameLog[[#This Row],[Pod ID]])</f>
        <v>3</v>
      </c>
      <c r="I524" s="6">
        <f>YEAR(GameLog[[#This Row],[Date]])</f>
        <v>2025</v>
      </c>
      <c r="J524" s="6">
        <f>MONTH(GameLog[[#This Row],[Date]])</f>
        <v>11</v>
      </c>
      <c r="K524" s="6" t="str">
        <f>IF(GameLog[[#This Row],[Date]]=MAX(GameLog[Date]),"Current","Previous")</f>
        <v>Previous</v>
      </c>
      <c r="L524" s="6"/>
      <c r="M5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4" s="6" t="str">
        <f ca="1">IF(GameLog[[#This Row],[Check]]="","",COUNTIF(GameLog[[#Headers],[Check]]:GameLog[[#This Row],[Check]],"?*")-1)</f>
        <v/>
      </c>
      <c r="O524" s="6" t="str">
        <f>IFERROR(INDEX(Players[New name],MATCH(GameLog[[#This Row],[Player]],Players[Name],0)),GameLog[[#This Row],[Player]])</f>
        <v>Brandon B</v>
      </c>
    </row>
    <row r="525" spans="1:15" x14ac:dyDescent="0.45">
      <c r="A525" s="6" t="s">
        <v>71</v>
      </c>
      <c r="B525" s="6" t="s">
        <v>53</v>
      </c>
      <c r="C525" s="6">
        <v>1</v>
      </c>
      <c r="D525" s="6">
        <v>1</v>
      </c>
      <c r="E525" s="6">
        <v>2</v>
      </c>
      <c r="F525" s="10">
        <v>45978</v>
      </c>
      <c r="G525" s="6" t="str">
        <f>_xlfn.TEXTJOIN("|",TRUE,GameLog[[#This Row],[Pod]],TEXT(INT(GameLog[[#This Row],[Round]]),"yyyymmdd"),GameLog[[#This Row],[Date]])</f>
        <v>1|19000102|45978</v>
      </c>
      <c r="H525" s="6">
        <f>COUNTIF(GameLog[Pod ID],GameLog[[#This Row],[Pod ID]])</f>
        <v>4</v>
      </c>
      <c r="I525" s="6">
        <f>YEAR(GameLog[[#This Row],[Date]])</f>
        <v>2025</v>
      </c>
      <c r="J525" s="6">
        <f>MONTH(GameLog[[#This Row],[Date]])</f>
        <v>11</v>
      </c>
      <c r="K525" s="6" t="str">
        <f>IF(GameLog[[#This Row],[Date]]=MAX(GameLog[Date]),"Current","Previous")</f>
        <v>Previous</v>
      </c>
      <c r="L525" s="6"/>
      <c r="M5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5" s="6" t="str">
        <f ca="1">IF(GameLog[[#This Row],[Check]]="","",COUNTIF(GameLog[[#Headers],[Check]]:GameLog[[#This Row],[Check]],"?*")-1)</f>
        <v/>
      </c>
      <c r="O525" s="6" t="str">
        <f>IFERROR(INDEX(Players[New name],MATCH(GameLog[[#This Row],[Player]],Players[Name],0)),GameLog[[#This Row],[Player]])</f>
        <v>Rodney Y</v>
      </c>
    </row>
    <row r="526" spans="1:15" x14ac:dyDescent="0.45">
      <c r="A526" s="6" t="s">
        <v>56</v>
      </c>
      <c r="B526" s="6" t="s">
        <v>53</v>
      </c>
      <c r="C526" s="6">
        <v>2</v>
      </c>
      <c r="D526" s="6">
        <v>1</v>
      </c>
      <c r="E526" s="6">
        <v>2</v>
      </c>
      <c r="F526" s="10">
        <v>45978</v>
      </c>
      <c r="G526" s="6" t="str">
        <f>_xlfn.TEXTJOIN("|",TRUE,GameLog[[#This Row],[Pod]],TEXT(INT(GameLog[[#This Row],[Round]]),"yyyymmdd"),GameLog[[#This Row],[Date]])</f>
        <v>1|19000102|45978</v>
      </c>
      <c r="H526" s="6">
        <f>COUNTIF(GameLog[Pod ID],GameLog[[#This Row],[Pod ID]])</f>
        <v>4</v>
      </c>
      <c r="I526" s="6">
        <f>YEAR(GameLog[[#This Row],[Date]])</f>
        <v>2025</v>
      </c>
      <c r="J526" s="6">
        <f>MONTH(GameLog[[#This Row],[Date]])</f>
        <v>11</v>
      </c>
      <c r="K526" s="6" t="str">
        <f>IF(GameLog[[#This Row],[Date]]=MAX(GameLog[Date]),"Current","Previous")</f>
        <v>Previous</v>
      </c>
      <c r="L526" s="6"/>
      <c r="M5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6" s="6" t="str">
        <f ca="1">IF(GameLog[[#This Row],[Check]]="","",COUNTIF(GameLog[[#Headers],[Check]]:GameLog[[#This Row],[Check]],"?*")-1)</f>
        <v/>
      </c>
      <c r="O526" s="6" t="str">
        <f>IFERROR(INDEX(Players[New name],MATCH(GameLog[[#This Row],[Player]],Players[Name],0)),GameLog[[#This Row],[Player]])</f>
        <v>Mark D</v>
      </c>
    </row>
    <row r="527" spans="1:15" x14ac:dyDescent="0.45">
      <c r="A527" s="6" t="s">
        <v>57</v>
      </c>
      <c r="B527" s="6" t="s">
        <v>53</v>
      </c>
      <c r="C527" s="6">
        <v>3</v>
      </c>
      <c r="D527" s="6">
        <v>1</v>
      </c>
      <c r="E527" s="6">
        <v>2</v>
      </c>
      <c r="F527" s="10">
        <v>45978</v>
      </c>
      <c r="G527" s="6" t="str">
        <f>_xlfn.TEXTJOIN("|",TRUE,GameLog[[#This Row],[Pod]],TEXT(INT(GameLog[[#This Row],[Round]]),"yyyymmdd"),GameLog[[#This Row],[Date]])</f>
        <v>1|19000102|45978</v>
      </c>
      <c r="H527" s="6">
        <f>COUNTIF(GameLog[Pod ID],GameLog[[#This Row],[Pod ID]])</f>
        <v>4</v>
      </c>
      <c r="I527" s="6">
        <f>YEAR(GameLog[[#This Row],[Date]])</f>
        <v>2025</v>
      </c>
      <c r="J527" s="6">
        <f>MONTH(GameLog[[#This Row],[Date]])</f>
        <v>11</v>
      </c>
      <c r="K527" s="6" t="str">
        <f>IF(GameLog[[#This Row],[Date]]=MAX(GameLog[Date]),"Current","Previous")</f>
        <v>Previous</v>
      </c>
      <c r="L527" s="6"/>
      <c r="M5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7" s="6" t="str">
        <f ca="1">IF(GameLog[[#This Row],[Check]]="","",COUNTIF(GameLog[[#Headers],[Check]]:GameLog[[#This Row],[Check]],"?*")-1)</f>
        <v/>
      </c>
      <c r="O527" s="6" t="str">
        <f>IFERROR(INDEX(Players[New name],MATCH(GameLog[[#This Row],[Player]],Players[Name],0)),GameLog[[#This Row],[Player]])</f>
        <v>AJ W</v>
      </c>
    </row>
    <row r="528" spans="1:15" x14ac:dyDescent="0.45">
      <c r="A528" s="6" t="s">
        <v>68</v>
      </c>
      <c r="B528" s="6" t="s">
        <v>50</v>
      </c>
      <c r="C528" s="6">
        <v>4</v>
      </c>
      <c r="D528" s="6">
        <v>1</v>
      </c>
      <c r="E528" s="6">
        <v>2</v>
      </c>
      <c r="F528" s="10">
        <v>45978</v>
      </c>
      <c r="G528" s="6" t="str">
        <f>_xlfn.TEXTJOIN("|",TRUE,GameLog[[#This Row],[Pod]],TEXT(INT(GameLog[[#This Row],[Round]]),"yyyymmdd"),GameLog[[#This Row],[Date]])</f>
        <v>1|19000102|45978</v>
      </c>
      <c r="H528" s="6">
        <f>COUNTIF(GameLog[Pod ID],GameLog[[#This Row],[Pod ID]])</f>
        <v>4</v>
      </c>
      <c r="I528" s="6">
        <f>YEAR(GameLog[[#This Row],[Date]])</f>
        <v>2025</v>
      </c>
      <c r="J528" s="6">
        <f>MONTH(GameLog[[#This Row],[Date]])</f>
        <v>11</v>
      </c>
      <c r="K528" s="6" t="str">
        <f>IF(GameLog[[#This Row],[Date]]=MAX(GameLog[Date]),"Current","Previous")</f>
        <v>Previous</v>
      </c>
      <c r="L528" s="6"/>
      <c r="M5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8" s="6" t="str">
        <f ca="1">IF(GameLog[[#This Row],[Check]]="","",COUNTIF(GameLog[[#Headers],[Check]]:GameLog[[#This Row],[Check]],"?*")-1)</f>
        <v/>
      </c>
      <c r="O528" s="6" t="str">
        <f>IFERROR(INDEX(Players[New name],MATCH(GameLog[[#This Row],[Player]],Players[Name],0)),GameLog[[#This Row],[Player]])</f>
        <v>Edwin M</v>
      </c>
    </row>
    <row r="529" spans="1:15" x14ac:dyDescent="0.45">
      <c r="A529" s="6" t="s">
        <v>73</v>
      </c>
      <c r="B529" s="6" t="s">
        <v>53</v>
      </c>
      <c r="C529" s="6">
        <v>1</v>
      </c>
      <c r="D529" s="6">
        <v>2</v>
      </c>
      <c r="E529" s="6">
        <v>2</v>
      </c>
      <c r="F529" s="10">
        <v>45978</v>
      </c>
      <c r="G529" s="6" t="str">
        <f>_xlfn.TEXTJOIN("|",TRUE,GameLog[[#This Row],[Pod]],TEXT(INT(GameLog[[#This Row],[Round]]),"yyyymmdd"),GameLog[[#This Row],[Date]])</f>
        <v>2|19000102|45978</v>
      </c>
      <c r="H529" s="6">
        <f>COUNTIF(GameLog[Pod ID],GameLog[[#This Row],[Pod ID]])</f>
        <v>4</v>
      </c>
      <c r="I529" s="6">
        <f>YEAR(GameLog[[#This Row],[Date]])</f>
        <v>2025</v>
      </c>
      <c r="J529" s="6">
        <f>MONTH(GameLog[[#This Row],[Date]])</f>
        <v>11</v>
      </c>
      <c r="K529" s="6" t="str">
        <f>IF(GameLog[[#This Row],[Date]]=MAX(GameLog[Date]),"Current","Previous")</f>
        <v>Previous</v>
      </c>
      <c r="L529" s="6"/>
      <c r="M5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29" s="6" t="str">
        <f ca="1">IF(GameLog[[#This Row],[Check]]="","",COUNTIF(GameLog[[#Headers],[Check]]:GameLog[[#This Row],[Check]],"?*")-1)</f>
        <v/>
      </c>
      <c r="O529" s="6" t="str">
        <f>IFERROR(INDEX(Players[New name],MATCH(GameLog[[#This Row],[Player]],Players[Name],0)),GameLog[[#This Row],[Player]])</f>
        <v>Brandon B</v>
      </c>
    </row>
    <row r="530" spans="1:15" x14ac:dyDescent="0.45">
      <c r="A530" s="6" t="s">
        <v>85</v>
      </c>
      <c r="B530" s="6" t="s">
        <v>53</v>
      </c>
      <c r="C530" s="6">
        <v>2</v>
      </c>
      <c r="D530" s="6">
        <v>2</v>
      </c>
      <c r="E530" s="6">
        <v>2</v>
      </c>
      <c r="F530" s="10">
        <v>45978</v>
      </c>
      <c r="G530" s="6" t="str">
        <f>_xlfn.TEXTJOIN("|",TRUE,GameLog[[#This Row],[Pod]],TEXT(INT(GameLog[[#This Row],[Round]]),"yyyymmdd"),GameLog[[#This Row],[Date]])</f>
        <v>2|19000102|45978</v>
      </c>
      <c r="H530" s="6">
        <f>COUNTIF(GameLog[Pod ID],GameLog[[#This Row],[Pod ID]])</f>
        <v>4</v>
      </c>
      <c r="I530" s="6">
        <f>YEAR(GameLog[[#This Row],[Date]])</f>
        <v>2025</v>
      </c>
      <c r="J530" s="6">
        <f>MONTH(GameLog[[#This Row],[Date]])</f>
        <v>11</v>
      </c>
      <c r="K530" s="6" t="str">
        <f>IF(GameLog[[#This Row],[Date]]=MAX(GameLog[Date]),"Current","Previous")</f>
        <v>Previous</v>
      </c>
      <c r="L530" s="6"/>
      <c r="M5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0" s="6" t="str">
        <f ca="1">IF(GameLog[[#This Row],[Check]]="","",COUNTIF(GameLog[[#Headers],[Check]]:GameLog[[#This Row],[Check]],"?*")-1)</f>
        <v/>
      </c>
      <c r="O530" s="6" t="str">
        <f>IFERROR(INDEX(Players[New name],MATCH(GameLog[[#This Row],[Player]],Players[Name],0)),GameLog[[#This Row],[Player]])</f>
        <v>Logan</v>
      </c>
    </row>
    <row r="531" spans="1:15" x14ac:dyDescent="0.45">
      <c r="A531" s="6" t="s">
        <v>55</v>
      </c>
      <c r="B531" s="6" t="s">
        <v>50</v>
      </c>
      <c r="C531" s="6">
        <v>3</v>
      </c>
      <c r="D531" s="6">
        <v>2</v>
      </c>
      <c r="E531" s="6">
        <v>2</v>
      </c>
      <c r="F531" s="10">
        <v>45978</v>
      </c>
      <c r="G531" s="6" t="str">
        <f>_xlfn.TEXTJOIN("|",TRUE,GameLog[[#This Row],[Pod]],TEXT(INT(GameLog[[#This Row],[Round]]),"yyyymmdd"),GameLog[[#This Row],[Date]])</f>
        <v>2|19000102|45978</v>
      </c>
      <c r="H531" s="6">
        <f>COUNTIF(GameLog[Pod ID],GameLog[[#This Row],[Pod ID]])</f>
        <v>4</v>
      </c>
      <c r="I531" s="6">
        <f>YEAR(GameLog[[#This Row],[Date]])</f>
        <v>2025</v>
      </c>
      <c r="J531" s="6">
        <f>MONTH(GameLog[[#This Row],[Date]])</f>
        <v>11</v>
      </c>
      <c r="K531" s="6" t="str">
        <f>IF(GameLog[[#This Row],[Date]]=MAX(GameLog[Date]),"Current","Previous")</f>
        <v>Previous</v>
      </c>
      <c r="L531" s="6"/>
      <c r="M5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1" s="6" t="str">
        <f ca="1">IF(GameLog[[#This Row],[Check]]="","",COUNTIF(GameLog[[#Headers],[Check]]:GameLog[[#This Row],[Check]],"?*")-1)</f>
        <v/>
      </c>
      <c r="O531" s="6" t="str">
        <f>IFERROR(INDEX(Players[New name],MATCH(GameLog[[#This Row],[Player]],Players[Name],0)),GameLog[[#This Row],[Player]])</f>
        <v>Bryce C</v>
      </c>
    </row>
    <row r="532" spans="1:15" x14ac:dyDescent="0.45">
      <c r="A532" s="6" t="s">
        <v>52</v>
      </c>
      <c r="B532" s="6" t="s">
        <v>53</v>
      </c>
      <c r="C532" s="6">
        <v>4</v>
      </c>
      <c r="D532" s="6">
        <v>2</v>
      </c>
      <c r="E532" s="6">
        <v>2</v>
      </c>
      <c r="F532" s="10">
        <v>45978</v>
      </c>
      <c r="G532" s="6" t="str">
        <f>_xlfn.TEXTJOIN("|",TRUE,GameLog[[#This Row],[Pod]],TEXT(INT(GameLog[[#This Row],[Round]]),"yyyymmdd"),GameLog[[#This Row],[Date]])</f>
        <v>2|19000102|45978</v>
      </c>
      <c r="H532" s="6">
        <f>COUNTIF(GameLog[Pod ID],GameLog[[#This Row],[Pod ID]])</f>
        <v>4</v>
      </c>
      <c r="I532" s="6">
        <f>YEAR(GameLog[[#This Row],[Date]])</f>
        <v>2025</v>
      </c>
      <c r="J532" s="6">
        <f>MONTH(GameLog[[#This Row],[Date]])</f>
        <v>11</v>
      </c>
      <c r="K532" s="6" t="str">
        <f>IF(GameLog[[#This Row],[Date]]=MAX(GameLog[Date]),"Current","Previous")</f>
        <v>Previous</v>
      </c>
      <c r="L532" s="6"/>
      <c r="M5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2" s="6" t="str">
        <f ca="1">IF(GameLog[[#This Row],[Check]]="","",COUNTIF(GameLog[[#Headers],[Check]]:GameLog[[#This Row],[Check]],"?*")-1)</f>
        <v/>
      </c>
      <c r="O532" s="6" t="str">
        <f>IFERROR(INDEX(Players[New name],MATCH(GameLog[[#This Row],[Player]],Players[Name],0)),GameLog[[#This Row],[Player]])</f>
        <v>Unknown</v>
      </c>
    </row>
    <row r="533" spans="1:15" x14ac:dyDescent="0.45">
      <c r="A533" s="6" t="s">
        <v>83</v>
      </c>
      <c r="B533" s="6" t="s">
        <v>53</v>
      </c>
      <c r="C533" s="6">
        <v>1</v>
      </c>
      <c r="D533" s="6">
        <v>3</v>
      </c>
      <c r="E533" s="6">
        <v>2</v>
      </c>
      <c r="F533" s="10">
        <v>45978</v>
      </c>
      <c r="G533" s="6" t="str">
        <f>_xlfn.TEXTJOIN("|",TRUE,GameLog[[#This Row],[Pod]],TEXT(INT(GameLog[[#This Row],[Round]]),"yyyymmdd"),GameLog[[#This Row],[Date]])</f>
        <v>3|19000102|45978</v>
      </c>
      <c r="H533" s="6">
        <f>COUNTIF(GameLog[Pod ID],GameLog[[#This Row],[Pod ID]])</f>
        <v>4</v>
      </c>
      <c r="I533" s="6">
        <f>YEAR(GameLog[[#This Row],[Date]])</f>
        <v>2025</v>
      </c>
      <c r="J533" s="6">
        <f>MONTH(GameLog[[#This Row],[Date]])</f>
        <v>11</v>
      </c>
      <c r="K533" s="6" t="str">
        <f>IF(GameLog[[#This Row],[Date]]=MAX(GameLog[Date]),"Current","Previous")</f>
        <v>Previous</v>
      </c>
      <c r="L533" s="6"/>
      <c r="M5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3" s="6" t="str">
        <f ca="1">IF(GameLog[[#This Row],[Check]]="","",COUNTIF(GameLog[[#Headers],[Check]]:GameLog[[#This Row],[Check]],"?*")-1)</f>
        <v/>
      </c>
      <c r="O533" s="6" t="str">
        <f>IFERROR(INDEX(Players[New name],MATCH(GameLog[[#This Row],[Player]],Players[Name],0)),GameLog[[#This Row],[Player]])</f>
        <v>Devyn S</v>
      </c>
    </row>
    <row r="534" spans="1:15" x14ac:dyDescent="0.45">
      <c r="A534" s="6" t="s">
        <v>60</v>
      </c>
      <c r="B534" s="6" t="s">
        <v>50</v>
      </c>
      <c r="C534" s="6">
        <v>2</v>
      </c>
      <c r="D534" s="6">
        <v>3</v>
      </c>
      <c r="E534" s="6">
        <v>2</v>
      </c>
      <c r="F534" s="10">
        <v>45978</v>
      </c>
      <c r="G534" s="6" t="str">
        <f>_xlfn.TEXTJOIN("|",TRUE,GameLog[[#This Row],[Pod]],TEXT(INT(GameLog[[#This Row],[Round]]),"yyyymmdd"),GameLog[[#This Row],[Date]])</f>
        <v>3|19000102|45978</v>
      </c>
      <c r="H534" s="6">
        <f>COUNTIF(GameLog[Pod ID],GameLog[[#This Row],[Pod ID]])</f>
        <v>4</v>
      </c>
      <c r="I534" s="6">
        <f>YEAR(GameLog[[#This Row],[Date]])</f>
        <v>2025</v>
      </c>
      <c r="J534" s="6">
        <f>MONTH(GameLog[[#This Row],[Date]])</f>
        <v>11</v>
      </c>
      <c r="K534" s="6" t="str">
        <f>IF(GameLog[[#This Row],[Date]]=MAX(GameLog[Date]),"Current","Previous")</f>
        <v>Previous</v>
      </c>
      <c r="L534" s="6"/>
      <c r="M5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4" s="6" t="str">
        <f ca="1">IF(GameLog[[#This Row],[Check]]="","",COUNTIF(GameLog[[#Headers],[Check]]:GameLog[[#This Row],[Check]],"?*")-1)</f>
        <v/>
      </c>
      <c r="O534" s="6" t="str">
        <f>IFERROR(INDEX(Players[New name],MATCH(GameLog[[#This Row],[Player]],Players[Name],0)),GameLog[[#This Row],[Player]])</f>
        <v>Brendan H</v>
      </c>
    </row>
    <row r="535" spans="1:15" x14ac:dyDescent="0.45">
      <c r="A535" s="6" t="s">
        <v>59</v>
      </c>
      <c r="B535" s="6" t="s">
        <v>53</v>
      </c>
      <c r="C535" s="6">
        <v>3</v>
      </c>
      <c r="D535" s="6">
        <v>3</v>
      </c>
      <c r="E535" s="6">
        <v>2</v>
      </c>
      <c r="F535" s="10">
        <v>45978</v>
      </c>
      <c r="G535" s="6" t="str">
        <f>_xlfn.TEXTJOIN("|",TRUE,GameLog[[#This Row],[Pod]],TEXT(INT(GameLog[[#This Row],[Round]]),"yyyymmdd"),GameLog[[#This Row],[Date]])</f>
        <v>3|19000102|45978</v>
      </c>
      <c r="H535" s="6">
        <f>COUNTIF(GameLog[Pod ID],GameLog[[#This Row],[Pod ID]])</f>
        <v>4</v>
      </c>
      <c r="I535" s="6">
        <f>YEAR(GameLog[[#This Row],[Date]])</f>
        <v>2025</v>
      </c>
      <c r="J535" s="6">
        <f>MONTH(GameLog[[#This Row],[Date]])</f>
        <v>11</v>
      </c>
      <c r="K535" s="6" t="str">
        <f>IF(GameLog[[#This Row],[Date]]=MAX(GameLog[Date]),"Current","Previous")</f>
        <v>Previous</v>
      </c>
      <c r="L535" s="6"/>
      <c r="M5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5" s="6" t="str">
        <f ca="1">IF(GameLog[[#This Row],[Check]]="","",COUNTIF(GameLog[[#Headers],[Check]]:GameLog[[#This Row],[Check]],"?*")-1)</f>
        <v/>
      </c>
      <c r="O535" s="6" t="str">
        <f>IFERROR(INDEX(Players[New name],MATCH(GameLog[[#This Row],[Player]],Players[Name],0)),GameLog[[#This Row],[Player]])</f>
        <v>Zack B</v>
      </c>
    </row>
    <row r="536" spans="1:15" x14ac:dyDescent="0.45">
      <c r="A536" s="6" t="s">
        <v>61</v>
      </c>
      <c r="B536" s="6" t="s">
        <v>53</v>
      </c>
      <c r="C536" s="6">
        <v>4</v>
      </c>
      <c r="D536" s="6">
        <v>3</v>
      </c>
      <c r="E536" s="6">
        <v>2</v>
      </c>
      <c r="F536" s="10">
        <v>45978</v>
      </c>
      <c r="G536" s="6" t="str">
        <f>_xlfn.TEXTJOIN("|",TRUE,GameLog[[#This Row],[Pod]],TEXT(INT(GameLog[[#This Row],[Round]]),"yyyymmdd"),GameLog[[#This Row],[Date]])</f>
        <v>3|19000102|45978</v>
      </c>
      <c r="H536" s="6">
        <f>COUNTIF(GameLog[Pod ID],GameLog[[#This Row],[Pod ID]])</f>
        <v>4</v>
      </c>
      <c r="I536" s="6">
        <f>YEAR(GameLog[[#This Row],[Date]])</f>
        <v>2025</v>
      </c>
      <c r="J536" s="6">
        <f>MONTH(GameLog[[#This Row],[Date]])</f>
        <v>11</v>
      </c>
      <c r="K536" s="6" t="str">
        <f>IF(GameLog[[#This Row],[Date]]=MAX(GameLog[Date]),"Current","Previous")</f>
        <v>Previous</v>
      </c>
      <c r="L536" s="6"/>
      <c r="M5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6" s="6" t="str">
        <f ca="1">IF(GameLog[[#This Row],[Check]]="","",COUNTIF(GameLog[[#Headers],[Check]]:GameLog[[#This Row],[Check]],"?*")-1)</f>
        <v/>
      </c>
      <c r="O536" s="6" t="str">
        <f>IFERROR(INDEX(Players[New name],MATCH(GameLog[[#This Row],[Player]],Players[Name],0)),GameLog[[#This Row],[Player]])</f>
        <v>Trevor</v>
      </c>
    </row>
    <row r="537" spans="1:15" x14ac:dyDescent="0.45">
      <c r="A537" s="6" t="s">
        <v>73</v>
      </c>
      <c r="B537" s="6" t="s">
        <v>53</v>
      </c>
      <c r="C537" s="6">
        <v>1</v>
      </c>
      <c r="D537" s="6">
        <v>1</v>
      </c>
      <c r="E537" s="6">
        <v>1</v>
      </c>
      <c r="F537" s="10">
        <v>45985</v>
      </c>
      <c r="G537" s="6" t="str">
        <f>_xlfn.TEXTJOIN("|",TRUE,GameLog[[#This Row],[Pod]],TEXT(INT(GameLog[[#This Row],[Round]]),"yyyymmdd"),GameLog[[#This Row],[Date]])</f>
        <v>1|19000101|45985</v>
      </c>
      <c r="H537" s="6">
        <f>COUNTIF(GameLog[Pod ID],GameLog[[#This Row],[Pod ID]])</f>
        <v>4</v>
      </c>
      <c r="I537" s="6">
        <f>YEAR(GameLog[[#This Row],[Date]])</f>
        <v>2025</v>
      </c>
      <c r="J537" s="6">
        <f>MONTH(GameLog[[#This Row],[Date]])</f>
        <v>11</v>
      </c>
      <c r="K537" s="6" t="str">
        <f>IF(GameLog[[#This Row],[Date]]=MAX(GameLog[Date]),"Current","Previous")</f>
        <v>Previous</v>
      </c>
      <c r="L537" s="6"/>
      <c r="M5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7" s="6" t="str">
        <f ca="1">IF(GameLog[[#This Row],[Check]]="","",COUNTIF(GameLog[[#Headers],[Check]]:GameLog[[#This Row],[Check]],"?*")-1)</f>
        <v/>
      </c>
      <c r="O537" s="6" t="str">
        <f>IFERROR(INDEX(Players[New name],MATCH(GameLog[[#This Row],[Player]],Players[Name],0)),GameLog[[#This Row],[Player]])</f>
        <v>Brandon B</v>
      </c>
    </row>
    <row r="538" spans="1:15" x14ac:dyDescent="0.45">
      <c r="A538" s="6" t="s">
        <v>61</v>
      </c>
      <c r="B538" s="6" t="s">
        <v>53</v>
      </c>
      <c r="C538" s="6">
        <v>2</v>
      </c>
      <c r="D538" s="6">
        <v>1</v>
      </c>
      <c r="E538" s="6">
        <v>1</v>
      </c>
      <c r="F538" s="10">
        <v>45985</v>
      </c>
      <c r="G538" s="6" t="str">
        <f>_xlfn.TEXTJOIN("|",TRUE,GameLog[[#This Row],[Pod]],TEXT(INT(GameLog[[#This Row],[Round]]),"yyyymmdd"),GameLog[[#This Row],[Date]])</f>
        <v>1|19000101|45985</v>
      </c>
      <c r="H538" s="6">
        <f>COUNTIF(GameLog[Pod ID],GameLog[[#This Row],[Pod ID]])</f>
        <v>4</v>
      </c>
      <c r="I538" s="6">
        <f>YEAR(GameLog[[#This Row],[Date]])</f>
        <v>2025</v>
      </c>
      <c r="J538" s="6">
        <f>MONTH(GameLog[[#This Row],[Date]])</f>
        <v>11</v>
      </c>
      <c r="K538" s="6" t="str">
        <f>IF(GameLog[[#This Row],[Date]]=MAX(GameLog[Date]),"Current","Previous")</f>
        <v>Previous</v>
      </c>
      <c r="L538" s="6"/>
      <c r="M5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8" s="6" t="str">
        <f ca="1">IF(GameLog[[#This Row],[Check]]="","",COUNTIF(GameLog[[#Headers],[Check]]:GameLog[[#This Row],[Check]],"?*")-1)</f>
        <v/>
      </c>
      <c r="O538" s="6" t="str">
        <f>IFERROR(INDEX(Players[New name],MATCH(GameLog[[#This Row],[Player]],Players[Name],0)),GameLog[[#This Row],[Player]])</f>
        <v>Trevor</v>
      </c>
    </row>
    <row r="539" spans="1:15" x14ac:dyDescent="0.45">
      <c r="A539" s="6" t="s">
        <v>71</v>
      </c>
      <c r="B539" s="6" t="s">
        <v>50</v>
      </c>
      <c r="C539" s="6">
        <v>3</v>
      </c>
      <c r="D539" s="6">
        <v>1</v>
      </c>
      <c r="E539" s="6">
        <v>1</v>
      </c>
      <c r="F539" s="10">
        <v>45985</v>
      </c>
      <c r="G539" s="6" t="str">
        <f>_xlfn.TEXTJOIN("|",TRUE,GameLog[[#This Row],[Pod]],TEXT(INT(GameLog[[#This Row],[Round]]),"yyyymmdd"),GameLog[[#This Row],[Date]])</f>
        <v>1|19000101|45985</v>
      </c>
      <c r="H539" s="6">
        <f>COUNTIF(GameLog[Pod ID],GameLog[[#This Row],[Pod ID]])</f>
        <v>4</v>
      </c>
      <c r="I539" s="6">
        <f>YEAR(GameLog[[#This Row],[Date]])</f>
        <v>2025</v>
      </c>
      <c r="J539" s="6">
        <f>MONTH(GameLog[[#This Row],[Date]])</f>
        <v>11</v>
      </c>
      <c r="K539" s="6" t="str">
        <f>IF(GameLog[[#This Row],[Date]]=MAX(GameLog[Date]),"Current","Previous")</f>
        <v>Previous</v>
      </c>
      <c r="L539" s="6"/>
      <c r="M5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39" s="6" t="str">
        <f ca="1">IF(GameLog[[#This Row],[Check]]="","",COUNTIF(GameLog[[#Headers],[Check]]:GameLog[[#This Row],[Check]],"?*")-1)</f>
        <v/>
      </c>
      <c r="O539" s="6" t="str">
        <f>IFERROR(INDEX(Players[New name],MATCH(GameLog[[#This Row],[Player]],Players[Name],0)),GameLog[[#This Row],[Player]])</f>
        <v>Rodney Y</v>
      </c>
    </row>
    <row r="540" spans="1:15" x14ac:dyDescent="0.45">
      <c r="A540" s="6" t="s">
        <v>76</v>
      </c>
      <c r="B540" s="6" t="s">
        <v>53</v>
      </c>
      <c r="C540" s="6">
        <v>4</v>
      </c>
      <c r="D540" s="6">
        <v>1</v>
      </c>
      <c r="E540" s="6">
        <v>1</v>
      </c>
      <c r="F540" s="10">
        <v>45985</v>
      </c>
      <c r="G540" s="6" t="str">
        <f>_xlfn.TEXTJOIN("|",TRUE,GameLog[[#This Row],[Pod]],TEXT(INT(GameLog[[#This Row],[Round]]),"yyyymmdd"),GameLog[[#This Row],[Date]])</f>
        <v>1|19000101|45985</v>
      </c>
      <c r="H540" s="6">
        <f>COUNTIF(GameLog[Pod ID],GameLog[[#This Row],[Pod ID]])</f>
        <v>4</v>
      </c>
      <c r="I540" s="6">
        <f>YEAR(GameLog[[#This Row],[Date]])</f>
        <v>2025</v>
      </c>
      <c r="J540" s="6">
        <f>MONTH(GameLog[[#This Row],[Date]])</f>
        <v>11</v>
      </c>
      <c r="K540" s="6" t="str">
        <f>IF(GameLog[[#This Row],[Date]]=MAX(GameLog[Date]),"Current","Previous")</f>
        <v>Previous</v>
      </c>
      <c r="L540" s="6"/>
      <c r="M5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0" s="6" t="str">
        <f ca="1">IF(GameLog[[#This Row],[Check]]="","",COUNTIF(GameLog[[#Headers],[Check]]:GameLog[[#This Row],[Check]],"?*")-1)</f>
        <v/>
      </c>
      <c r="O540" s="6" t="str">
        <f>IFERROR(INDEX(Players[New name],MATCH(GameLog[[#This Row],[Player]],Players[Name],0)),GameLog[[#This Row],[Player]])</f>
        <v>Jon M</v>
      </c>
    </row>
    <row r="541" spans="1:15" x14ac:dyDescent="0.45">
      <c r="A541" s="6" t="s">
        <v>66</v>
      </c>
      <c r="B541" s="6" t="s">
        <v>53</v>
      </c>
      <c r="C541" s="6">
        <v>1</v>
      </c>
      <c r="D541" s="6">
        <v>2</v>
      </c>
      <c r="E541" s="6">
        <v>1</v>
      </c>
      <c r="F541" s="10">
        <v>45985</v>
      </c>
      <c r="G541" s="6" t="str">
        <f>_xlfn.TEXTJOIN("|",TRUE,GameLog[[#This Row],[Pod]],TEXT(INT(GameLog[[#This Row],[Round]]),"yyyymmdd"),GameLog[[#This Row],[Date]])</f>
        <v>2|19000101|45985</v>
      </c>
      <c r="H541" s="6">
        <f>COUNTIF(GameLog[Pod ID],GameLog[[#This Row],[Pod ID]])</f>
        <v>4</v>
      </c>
      <c r="I541" s="6">
        <f>YEAR(GameLog[[#This Row],[Date]])</f>
        <v>2025</v>
      </c>
      <c r="J541" s="6">
        <f>MONTH(GameLog[[#This Row],[Date]])</f>
        <v>11</v>
      </c>
      <c r="K541" s="6" t="str">
        <f>IF(GameLog[[#This Row],[Date]]=MAX(GameLog[Date]),"Current","Previous")</f>
        <v>Previous</v>
      </c>
      <c r="L541" s="6"/>
      <c r="M5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1" s="6" t="str">
        <f ca="1">IF(GameLog[[#This Row],[Check]]="","",COUNTIF(GameLog[[#Headers],[Check]]:GameLog[[#This Row],[Check]],"?*")-1)</f>
        <v/>
      </c>
      <c r="O541" s="6" t="str">
        <f>IFERROR(INDEX(Players[New name],MATCH(GameLog[[#This Row],[Player]],Players[Name],0)),GameLog[[#This Row],[Player]])</f>
        <v>Jack</v>
      </c>
    </row>
    <row r="542" spans="1:15" x14ac:dyDescent="0.45">
      <c r="A542" s="6" t="s">
        <v>83</v>
      </c>
      <c r="B542" s="6" t="s">
        <v>53</v>
      </c>
      <c r="C542" s="6">
        <v>2</v>
      </c>
      <c r="D542" s="6">
        <v>2</v>
      </c>
      <c r="E542" s="6">
        <v>1</v>
      </c>
      <c r="F542" s="10">
        <v>45985</v>
      </c>
      <c r="G542" s="6" t="str">
        <f>_xlfn.TEXTJOIN("|",TRUE,GameLog[[#This Row],[Pod]],TEXT(INT(GameLog[[#This Row],[Round]]),"yyyymmdd"),GameLog[[#This Row],[Date]])</f>
        <v>2|19000101|45985</v>
      </c>
      <c r="H542" s="6">
        <f>COUNTIF(GameLog[Pod ID],GameLog[[#This Row],[Pod ID]])</f>
        <v>4</v>
      </c>
      <c r="I542" s="6">
        <f>YEAR(GameLog[[#This Row],[Date]])</f>
        <v>2025</v>
      </c>
      <c r="J542" s="6">
        <f>MONTH(GameLog[[#This Row],[Date]])</f>
        <v>11</v>
      </c>
      <c r="K542" s="6" t="str">
        <f>IF(GameLog[[#This Row],[Date]]=MAX(GameLog[Date]),"Current","Previous")</f>
        <v>Previous</v>
      </c>
      <c r="L542" s="6"/>
      <c r="M5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2" s="6" t="str">
        <f ca="1">IF(GameLog[[#This Row],[Check]]="","",COUNTIF(GameLog[[#Headers],[Check]]:GameLog[[#This Row],[Check]],"?*")-1)</f>
        <v/>
      </c>
      <c r="O542" s="6" t="str">
        <f>IFERROR(INDEX(Players[New name],MATCH(GameLog[[#This Row],[Player]],Players[Name],0)),GameLog[[#This Row],[Player]])</f>
        <v>Devyn S</v>
      </c>
    </row>
    <row r="543" spans="1:15" x14ac:dyDescent="0.45">
      <c r="A543" s="6" t="s">
        <v>56</v>
      </c>
      <c r="B543" s="6" t="s">
        <v>50</v>
      </c>
      <c r="C543" s="6">
        <v>3</v>
      </c>
      <c r="D543" s="6">
        <v>2</v>
      </c>
      <c r="E543" s="6">
        <v>1</v>
      </c>
      <c r="F543" s="10">
        <v>45985</v>
      </c>
      <c r="G543" s="6" t="str">
        <f>_xlfn.TEXTJOIN("|",TRUE,GameLog[[#This Row],[Pod]],TEXT(INT(GameLog[[#This Row],[Round]]),"yyyymmdd"),GameLog[[#This Row],[Date]])</f>
        <v>2|19000101|45985</v>
      </c>
      <c r="H543" s="6">
        <f>COUNTIF(GameLog[Pod ID],GameLog[[#This Row],[Pod ID]])</f>
        <v>4</v>
      </c>
      <c r="I543" s="6">
        <f>YEAR(GameLog[[#This Row],[Date]])</f>
        <v>2025</v>
      </c>
      <c r="J543" s="6">
        <f>MONTH(GameLog[[#This Row],[Date]])</f>
        <v>11</v>
      </c>
      <c r="K543" s="6" t="str">
        <f>IF(GameLog[[#This Row],[Date]]=MAX(GameLog[Date]),"Current","Previous")</f>
        <v>Previous</v>
      </c>
      <c r="L543" s="6"/>
      <c r="M5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3" s="6" t="str">
        <f ca="1">IF(GameLog[[#This Row],[Check]]="","",COUNTIF(GameLog[[#Headers],[Check]]:GameLog[[#This Row],[Check]],"?*")-1)</f>
        <v/>
      </c>
      <c r="O543" s="6" t="str">
        <f>IFERROR(INDEX(Players[New name],MATCH(GameLog[[#This Row],[Player]],Players[Name],0)),GameLog[[#This Row],[Player]])</f>
        <v>Mark D</v>
      </c>
    </row>
    <row r="544" spans="1:15" x14ac:dyDescent="0.45">
      <c r="A544" s="6" t="s">
        <v>57</v>
      </c>
      <c r="B544" s="6" t="s">
        <v>53</v>
      </c>
      <c r="C544" s="6">
        <v>4</v>
      </c>
      <c r="D544" s="6">
        <v>2</v>
      </c>
      <c r="E544" s="6">
        <v>1</v>
      </c>
      <c r="F544" s="10">
        <v>45985</v>
      </c>
      <c r="G544" s="6" t="str">
        <f>_xlfn.TEXTJOIN("|",TRUE,GameLog[[#This Row],[Pod]],TEXT(INT(GameLog[[#This Row],[Round]]),"yyyymmdd"),GameLog[[#This Row],[Date]])</f>
        <v>2|19000101|45985</v>
      </c>
      <c r="H544" s="6">
        <f>COUNTIF(GameLog[Pod ID],GameLog[[#This Row],[Pod ID]])</f>
        <v>4</v>
      </c>
      <c r="I544" s="6">
        <f>YEAR(GameLog[[#This Row],[Date]])</f>
        <v>2025</v>
      </c>
      <c r="J544" s="6">
        <f>MONTH(GameLog[[#This Row],[Date]])</f>
        <v>11</v>
      </c>
      <c r="K544" s="6" t="str">
        <f>IF(GameLog[[#This Row],[Date]]=MAX(GameLog[Date]),"Current","Previous")</f>
        <v>Previous</v>
      </c>
      <c r="L544" s="6"/>
      <c r="M5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4" s="6" t="str">
        <f ca="1">IF(GameLog[[#This Row],[Check]]="","",COUNTIF(GameLog[[#Headers],[Check]]:GameLog[[#This Row],[Check]],"?*")-1)</f>
        <v/>
      </c>
      <c r="O544" s="6" t="str">
        <f>IFERROR(INDEX(Players[New name],MATCH(GameLog[[#This Row],[Player]],Players[Name],0)),GameLog[[#This Row],[Player]])</f>
        <v>AJ W</v>
      </c>
    </row>
    <row r="545" spans="1:15" x14ac:dyDescent="0.45">
      <c r="A545" s="6" t="s">
        <v>59</v>
      </c>
      <c r="B545" s="6" t="s">
        <v>50</v>
      </c>
      <c r="C545" s="6">
        <v>1</v>
      </c>
      <c r="D545" s="6">
        <v>3</v>
      </c>
      <c r="E545" s="6">
        <v>1</v>
      </c>
      <c r="F545" s="10">
        <v>45985</v>
      </c>
      <c r="G545" s="6" t="str">
        <f>_xlfn.TEXTJOIN("|",TRUE,GameLog[[#This Row],[Pod]],TEXT(INT(GameLog[[#This Row],[Round]]),"yyyymmdd"),GameLog[[#This Row],[Date]])</f>
        <v>3|19000101|45985</v>
      </c>
      <c r="H545" s="6">
        <f>COUNTIF(GameLog[Pod ID],GameLog[[#This Row],[Pod ID]])</f>
        <v>3</v>
      </c>
      <c r="I545" s="6">
        <f>YEAR(GameLog[[#This Row],[Date]])</f>
        <v>2025</v>
      </c>
      <c r="J545" s="6">
        <f>MONTH(GameLog[[#This Row],[Date]])</f>
        <v>11</v>
      </c>
      <c r="K545" s="6" t="str">
        <f>IF(GameLog[[#This Row],[Date]]=MAX(GameLog[Date]),"Current","Previous")</f>
        <v>Previous</v>
      </c>
      <c r="L545" s="6"/>
      <c r="M5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5" s="6" t="str">
        <f ca="1">IF(GameLog[[#This Row],[Check]]="","",COUNTIF(GameLog[[#Headers],[Check]]:GameLog[[#This Row],[Check]],"?*")-1)</f>
        <v/>
      </c>
      <c r="O545" s="6" t="str">
        <f>IFERROR(INDEX(Players[New name],MATCH(GameLog[[#This Row],[Player]],Players[Name],0)),GameLog[[#This Row],[Player]])</f>
        <v>Zack B</v>
      </c>
    </row>
    <row r="546" spans="1:15" x14ac:dyDescent="0.45">
      <c r="A546" s="6" t="s">
        <v>49</v>
      </c>
      <c r="B546" s="6" t="s">
        <v>53</v>
      </c>
      <c r="C546" s="6">
        <v>2</v>
      </c>
      <c r="D546" s="6">
        <v>3</v>
      </c>
      <c r="E546" s="6">
        <v>1</v>
      </c>
      <c r="F546" s="10">
        <v>45985</v>
      </c>
      <c r="G546" s="6" t="str">
        <f>_xlfn.TEXTJOIN("|",TRUE,GameLog[[#This Row],[Pod]],TEXT(INT(GameLog[[#This Row],[Round]]),"yyyymmdd"),GameLog[[#This Row],[Date]])</f>
        <v>3|19000101|45985</v>
      </c>
      <c r="H546" s="6">
        <f>COUNTIF(GameLog[Pod ID],GameLog[[#This Row],[Pod ID]])</f>
        <v>3</v>
      </c>
      <c r="I546" s="6">
        <f>YEAR(GameLog[[#This Row],[Date]])</f>
        <v>2025</v>
      </c>
      <c r="J546" s="6">
        <f>MONTH(GameLog[[#This Row],[Date]])</f>
        <v>11</v>
      </c>
      <c r="K546" s="6" t="str">
        <f>IF(GameLog[[#This Row],[Date]]=MAX(GameLog[Date]),"Current","Previous")</f>
        <v>Previous</v>
      </c>
      <c r="L546" s="6"/>
      <c r="M5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6" s="6" t="str">
        <f ca="1">IF(GameLog[[#This Row],[Check]]="","",COUNTIF(GameLog[[#Headers],[Check]]:GameLog[[#This Row],[Check]],"?*")-1)</f>
        <v/>
      </c>
      <c r="O546" s="6" t="str">
        <f>IFERROR(INDEX(Players[New name],MATCH(GameLog[[#This Row],[Player]],Players[Name],0)),GameLog[[#This Row],[Player]])</f>
        <v>Brett R</v>
      </c>
    </row>
    <row r="547" spans="1:15" x14ac:dyDescent="0.45">
      <c r="A547" s="6" t="s">
        <v>68</v>
      </c>
      <c r="B547" s="6" t="s">
        <v>53</v>
      </c>
      <c r="C547" s="6">
        <v>3</v>
      </c>
      <c r="D547" s="6">
        <v>3</v>
      </c>
      <c r="E547" s="6">
        <v>1</v>
      </c>
      <c r="F547" s="10">
        <v>45985</v>
      </c>
      <c r="G547" s="6" t="str">
        <f>_xlfn.TEXTJOIN("|",TRUE,GameLog[[#This Row],[Pod]],TEXT(INT(GameLog[[#This Row],[Round]]),"yyyymmdd"),GameLog[[#This Row],[Date]])</f>
        <v>3|19000101|45985</v>
      </c>
      <c r="H547" s="6">
        <f>COUNTIF(GameLog[Pod ID],GameLog[[#This Row],[Pod ID]])</f>
        <v>3</v>
      </c>
      <c r="I547" s="6">
        <f>YEAR(GameLog[[#This Row],[Date]])</f>
        <v>2025</v>
      </c>
      <c r="J547" s="6">
        <f>MONTH(GameLog[[#This Row],[Date]])</f>
        <v>11</v>
      </c>
      <c r="K547" s="6" t="str">
        <f>IF(GameLog[[#This Row],[Date]]=MAX(GameLog[Date]),"Current","Previous")</f>
        <v>Previous</v>
      </c>
      <c r="L547" s="6"/>
      <c r="M5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7" s="6" t="str">
        <f ca="1">IF(GameLog[[#This Row],[Check]]="","",COUNTIF(GameLog[[#Headers],[Check]]:GameLog[[#This Row],[Check]],"?*")-1)</f>
        <v/>
      </c>
      <c r="O547" s="6" t="str">
        <f>IFERROR(INDEX(Players[New name],MATCH(GameLog[[#This Row],[Player]],Players[Name],0)),GameLog[[#This Row],[Player]])</f>
        <v>Edwin M</v>
      </c>
    </row>
    <row r="548" spans="1:15" x14ac:dyDescent="0.45">
      <c r="A548" s="6" t="s">
        <v>70</v>
      </c>
      <c r="B548" s="6" t="s">
        <v>53</v>
      </c>
      <c r="C548" s="6">
        <v>1</v>
      </c>
      <c r="D548" s="6">
        <v>4</v>
      </c>
      <c r="E548" s="6">
        <v>1</v>
      </c>
      <c r="F548" s="10">
        <v>45985</v>
      </c>
      <c r="G548" s="6" t="str">
        <f>_xlfn.TEXTJOIN("|",TRUE,GameLog[[#This Row],[Pod]],TEXT(INT(GameLog[[#This Row],[Round]]),"yyyymmdd"),GameLog[[#This Row],[Date]])</f>
        <v>4|19000101|45985</v>
      </c>
      <c r="H548" s="6">
        <f>COUNTIF(GameLog[Pod ID],GameLog[[#This Row],[Pod ID]])</f>
        <v>3</v>
      </c>
      <c r="I548" s="6">
        <f>YEAR(GameLog[[#This Row],[Date]])</f>
        <v>2025</v>
      </c>
      <c r="J548" s="6">
        <f>MONTH(GameLog[[#This Row],[Date]])</f>
        <v>11</v>
      </c>
      <c r="K548" s="6" t="str">
        <f>IF(GameLog[[#This Row],[Date]]=MAX(GameLog[Date]),"Current","Previous")</f>
        <v>Previous</v>
      </c>
      <c r="L548" s="6"/>
      <c r="M5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8" s="6" t="str">
        <f ca="1">IF(GameLog[[#This Row],[Check]]="","",COUNTIF(GameLog[[#Headers],[Check]]:GameLog[[#This Row],[Check]],"?*")-1)</f>
        <v/>
      </c>
      <c r="O548" s="6" t="str">
        <f>IFERROR(INDEX(Players[New name],MATCH(GameLog[[#This Row],[Player]],Players[Name],0)),GameLog[[#This Row],[Player]])</f>
        <v>Brad F</v>
      </c>
    </row>
    <row r="549" spans="1:15" x14ac:dyDescent="0.45">
      <c r="A549" s="6" t="s">
        <v>86</v>
      </c>
      <c r="B549" s="6" t="s">
        <v>53</v>
      </c>
      <c r="C549" s="6">
        <v>2</v>
      </c>
      <c r="D549" s="6">
        <v>4</v>
      </c>
      <c r="E549" s="6">
        <v>1</v>
      </c>
      <c r="F549" s="10">
        <v>45985</v>
      </c>
      <c r="G549" s="6" t="str">
        <f>_xlfn.TEXTJOIN("|",TRUE,GameLog[[#This Row],[Pod]],TEXT(INT(GameLog[[#This Row],[Round]]),"yyyymmdd"),GameLog[[#This Row],[Date]])</f>
        <v>4|19000101|45985</v>
      </c>
      <c r="H549" s="6">
        <f>COUNTIF(GameLog[Pod ID],GameLog[[#This Row],[Pod ID]])</f>
        <v>3</v>
      </c>
      <c r="I549" s="6">
        <f>YEAR(GameLog[[#This Row],[Date]])</f>
        <v>2025</v>
      </c>
      <c r="J549" s="6">
        <f>MONTH(GameLog[[#This Row],[Date]])</f>
        <v>11</v>
      </c>
      <c r="K549" s="6" t="str">
        <f>IF(GameLog[[#This Row],[Date]]=MAX(GameLog[Date]),"Current","Previous")</f>
        <v>Previous</v>
      </c>
      <c r="L549" s="6"/>
      <c r="M5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49" s="6" t="str">
        <f ca="1">IF(GameLog[[#This Row],[Check]]="","",COUNTIF(GameLog[[#Headers],[Check]]:GameLog[[#This Row],[Check]],"?*")-1)</f>
        <v/>
      </c>
      <c r="O549" s="6" t="str">
        <f>IFERROR(INDEX(Players[New name],MATCH(GameLog[[#This Row],[Player]],Players[Name],0)),GameLog[[#This Row],[Player]])</f>
        <v>Steve C</v>
      </c>
    </row>
    <row r="550" spans="1:15" x14ac:dyDescent="0.45">
      <c r="A550" s="6" t="s">
        <v>60</v>
      </c>
      <c r="B550" s="6" t="s">
        <v>50</v>
      </c>
      <c r="C550" s="6">
        <v>3</v>
      </c>
      <c r="D550" s="6">
        <v>4</v>
      </c>
      <c r="E550" s="6">
        <v>1</v>
      </c>
      <c r="F550" s="10">
        <v>45985</v>
      </c>
      <c r="G550" s="6" t="str">
        <f>_xlfn.TEXTJOIN("|",TRUE,GameLog[[#This Row],[Pod]],TEXT(INT(GameLog[[#This Row],[Round]]),"yyyymmdd"),GameLog[[#This Row],[Date]])</f>
        <v>4|19000101|45985</v>
      </c>
      <c r="H550" s="6">
        <f>COUNTIF(GameLog[Pod ID],GameLog[[#This Row],[Pod ID]])</f>
        <v>3</v>
      </c>
      <c r="I550" s="6">
        <f>YEAR(GameLog[[#This Row],[Date]])</f>
        <v>2025</v>
      </c>
      <c r="J550" s="6">
        <f>MONTH(GameLog[[#This Row],[Date]])</f>
        <v>11</v>
      </c>
      <c r="K550" s="6" t="str">
        <f>IF(GameLog[[#This Row],[Date]]=MAX(GameLog[Date]),"Current","Previous")</f>
        <v>Previous</v>
      </c>
      <c r="L550" s="6"/>
      <c r="M5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0" s="6" t="str">
        <f ca="1">IF(GameLog[[#This Row],[Check]]="","",COUNTIF(GameLog[[#Headers],[Check]]:GameLog[[#This Row],[Check]],"?*")-1)</f>
        <v/>
      </c>
      <c r="O550" s="6" t="str">
        <f>IFERROR(INDEX(Players[New name],MATCH(GameLog[[#This Row],[Player]],Players[Name],0)),GameLog[[#This Row],[Player]])</f>
        <v>Brendan H</v>
      </c>
    </row>
    <row r="551" spans="1:15" x14ac:dyDescent="0.45">
      <c r="A551" s="6" t="s">
        <v>60</v>
      </c>
      <c r="B551" s="6" t="s">
        <v>53</v>
      </c>
      <c r="C551" s="6">
        <v>1</v>
      </c>
      <c r="D551" s="6">
        <v>1</v>
      </c>
      <c r="E551" s="6">
        <v>2</v>
      </c>
      <c r="F551" s="10">
        <v>45985</v>
      </c>
      <c r="G551" s="6" t="str">
        <f>_xlfn.TEXTJOIN("|",TRUE,GameLog[[#This Row],[Pod]],TEXT(INT(GameLog[[#This Row],[Round]]),"yyyymmdd"),GameLog[[#This Row],[Date]])</f>
        <v>1|19000102|45985</v>
      </c>
      <c r="H551" s="6">
        <f>COUNTIF(GameLog[Pod ID],GameLog[[#This Row],[Pod ID]])</f>
        <v>4</v>
      </c>
      <c r="I551" s="6">
        <f>YEAR(GameLog[[#This Row],[Date]])</f>
        <v>2025</v>
      </c>
      <c r="J551" s="6">
        <f>MONTH(GameLog[[#This Row],[Date]])</f>
        <v>11</v>
      </c>
      <c r="K551" s="6" t="str">
        <f>IF(GameLog[[#This Row],[Date]]=MAX(GameLog[Date]),"Current","Previous")</f>
        <v>Previous</v>
      </c>
      <c r="L551" s="6"/>
      <c r="M5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1" s="6" t="str">
        <f ca="1">IF(GameLog[[#This Row],[Check]]="","",COUNTIF(GameLog[[#Headers],[Check]]:GameLog[[#This Row],[Check]],"?*")-1)</f>
        <v/>
      </c>
      <c r="O551" s="6" t="str">
        <f>IFERROR(INDEX(Players[New name],MATCH(GameLog[[#This Row],[Player]],Players[Name],0)),GameLog[[#This Row],[Player]])</f>
        <v>Brendan H</v>
      </c>
    </row>
    <row r="552" spans="1:15" x14ac:dyDescent="0.45">
      <c r="A552" s="6" t="s">
        <v>56</v>
      </c>
      <c r="B552" s="6" t="s">
        <v>50</v>
      </c>
      <c r="C552" s="6">
        <v>2</v>
      </c>
      <c r="D552" s="6">
        <v>1</v>
      </c>
      <c r="E552" s="6">
        <v>2</v>
      </c>
      <c r="F552" s="10">
        <v>45985</v>
      </c>
      <c r="G552" s="6" t="str">
        <f>_xlfn.TEXTJOIN("|",TRUE,GameLog[[#This Row],[Pod]],TEXT(INT(GameLog[[#This Row],[Round]]),"yyyymmdd"),GameLog[[#This Row],[Date]])</f>
        <v>1|19000102|45985</v>
      </c>
      <c r="H552" s="6">
        <f>COUNTIF(GameLog[Pod ID],GameLog[[#This Row],[Pod ID]])</f>
        <v>4</v>
      </c>
      <c r="I552" s="6">
        <f>YEAR(GameLog[[#This Row],[Date]])</f>
        <v>2025</v>
      </c>
      <c r="J552" s="6">
        <f>MONTH(GameLog[[#This Row],[Date]])</f>
        <v>11</v>
      </c>
      <c r="K552" s="6" t="str">
        <f>IF(GameLog[[#This Row],[Date]]=MAX(GameLog[Date]),"Current","Previous")</f>
        <v>Previous</v>
      </c>
      <c r="L552" s="6"/>
      <c r="M5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2" s="6" t="str">
        <f ca="1">IF(GameLog[[#This Row],[Check]]="","",COUNTIF(GameLog[[#Headers],[Check]]:GameLog[[#This Row],[Check]],"?*")-1)</f>
        <v/>
      </c>
      <c r="O552" s="6" t="str">
        <f>IFERROR(INDEX(Players[New name],MATCH(GameLog[[#This Row],[Player]],Players[Name],0)),GameLog[[#This Row],[Player]])</f>
        <v>Mark D</v>
      </c>
    </row>
    <row r="553" spans="1:15" x14ac:dyDescent="0.45">
      <c r="A553" s="6" t="s">
        <v>59</v>
      </c>
      <c r="B553" s="6" t="s">
        <v>53</v>
      </c>
      <c r="C553" s="6">
        <v>3</v>
      </c>
      <c r="D553" s="6">
        <v>1</v>
      </c>
      <c r="E553" s="6">
        <v>2</v>
      </c>
      <c r="F553" s="10">
        <v>45985</v>
      </c>
      <c r="G553" s="6" t="str">
        <f>_xlfn.TEXTJOIN("|",TRUE,GameLog[[#This Row],[Pod]],TEXT(INT(GameLog[[#This Row],[Round]]),"yyyymmdd"),GameLog[[#This Row],[Date]])</f>
        <v>1|19000102|45985</v>
      </c>
      <c r="H553" s="6">
        <f>COUNTIF(GameLog[Pod ID],GameLog[[#This Row],[Pod ID]])</f>
        <v>4</v>
      </c>
      <c r="I553" s="6">
        <f>YEAR(GameLog[[#This Row],[Date]])</f>
        <v>2025</v>
      </c>
      <c r="J553" s="6">
        <f>MONTH(GameLog[[#This Row],[Date]])</f>
        <v>11</v>
      </c>
      <c r="K553" s="6" t="str">
        <f>IF(GameLog[[#This Row],[Date]]=MAX(GameLog[Date]),"Current","Previous")</f>
        <v>Previous</v>
      </c>
      <c r="L553" s="6"/>
      <c r="M5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3" s="6" t="str">
        <f ca="1">IF(GameLog[[#This Row],[Check]]="","",COUNTIF(GameLog[[#Headers],[Check]]:GameLog[[#This Row],[Check]],"?*")-1)</f>
        <v/>
      </c>
      <c r="O553" s="6" t="str">
        <f>IFERROR(INDEX(Players[New name],MATCH(GameLog[[#This Row],[Player]],Players[Name],0)),GameLog[[#This Row],[Player]])</f>
        <v>Zack B</v>
      </c>
    </row>
    <row r="554" spans="1:15" x14ac:dyDescent="0.45">
      <c r="A554" s="6" t="s">
        <v>71</v>
      </c>
      <c r="B554" s="6" t="s">
        <v>53</v>
      </c>
      <c r="C554" s="6">
        <v>4</v>
      </c>
      <c r="D554" s="6">
        <v>1</v>
      </c>
      <c r="E554" s="6">
        <v>2</v>
      </c>
      <c r="F554" s="10">
        <v>45985</v>
      </c>
      <c r="G554" s="6" t="str">
        <f>_xlfn.TEXTJOIN("|",TRUE,GameLog[[#This Row],[Pod]],TEXT(INT(GameLog[[#This Row],[Round]]),"yyyymmdd"),GameLog[[#This Row],[Date]])</f>
        <v>1|19000102|45985</v>
      </c>
      <c r="H554" s="6">
        <f>COUNTIF(GameLog[Pod ID],GameLog[[#This Row],[Pod ID]])</f>
        <v>4</v>
      </c>
      <c r="I554" s="6">
        <f>YEAR(GameLog[[#This Row],[Date]])</f>
        <v>2025</v>
      </c>
      <c r="J554" s="6">
        <f>MONTH(GameLog[[#This Row],[Date]])</f>
        <v>11</v>
      </c>
      <c r="K554" s="6" t="str">
        <f>IF(GameLog[[#This Row],[Date]]=MAX(GameLog[Date]),"Current","Previous")</f>
        <v>Previous</v>
      </c>
      <c r="L554" s="6"/>
      <c r="M5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4" s="6" t="str">
        <f ca="1">IF(GameLog[[#This Row],[Check]]="","",COUNTIF(GameLog[[#Headers],[Check]]:GameLog[[#This Row],[Check]],"?*")-1)</f>
        <v/>
      </c>
      <c r="O554" s="6" t="str">
        <f>IFERROR(INDEX(Players[New name],MATCH(GameLog[[#This Row],[Player]],Players[Name],0)),GameLog[[#This Row],[Player]])</f>
        <v>Rodney Y</v>
      </c>
    </row>
    <row r="555" spans="1:15" x14ac:dyDescent="0.45">
      <c r="A555" s="6" t="s">
        <v>86</v>
      </c>
      <c r="B555" s="6" t="s">
        <v>53</v>
      </c>
      <c r="C555" s="6">
        <v>1</v>
      </c>
      <c r="D555" s="6">
        <v>2</v>
      </c>
      <c r="E555" s="6">
        <v>2</v>
      </c>
      <c r="F555" s="10">
        <v>45985</v>
      </c>
      <c r="G555" s="6" t="str">
        <f>_xlfn.TEXTJOIN("|",TRUE,GameLog[[#This Row],[Pod]],TEXT(INT(GameLog[[#This Row],[Round]]),"yyyymmdd"),GameLog[[#This Row],[Date]])</f>
        <v>2|19000102|45985</v>
      </c>
      <c r="H555" s="6">
        <f>COUNTIF(GameLog[Pod ID],GameLog[[#This Row],[Pod ID]])</f>
        <v>4</v>
      </c>
      <c r="I555" s="6">
        <f>YEAR(GameLog[[#This Row],[Date]])</f>
        <v>2025</v>
      </c>
      <c r="J555" s="6">
        <f>MONTH(GameLog[[#This Row],[Date]])</f>
        <v>11</v>
      </c>
      <c r="K555" s="6" t="str">
        <f>IF(GameLog[[#This Row],[Date]]=MAX(GameLog[Date]),"Current","Previous")</f>
        <v>Previous</v>
      </c>
      <c r="L555" s="6"/>
      <c r="M5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5" s="6" t="str">
        <f ca="1">IF(GameLog[[#This Row],[Check]]="","",COUNTIF(GameLog[[#Headers],[Check]]:GameLog[[#This Row],[Check]],"?*")-1)</f>
        <v/>
      </c>
      <c r="O555" s="6" t="str">
        <f>IFERROR(INDEX(Players[New name],MATCH(GameLog[[#This Row],[Player]],Players[Name],0)),GameLog[[#This Row],[Player]])</f>
        <v>Steve C</v>
      </c>
    </row>
    <row r="556" spans="1:15" x14ac:dyDescent="0.45">
      <c r="A556" s="6" t="s">
        <v>57</v>
      </c>
      <c r="B556" s="6" t="s">
        <v>53</v>
      </c>
      <c r="C556" s="6">
        <v>2</v>
      </c>
      <c r="D556" s="6">
        <v>2</v>
      </c>
      <c r="E556" s="6">
        <v>2</v>
      </c>
      <c r="F556" s="10">
        <v>45985</v>
      </c>
      <c r="G556" s="6" t="str">
        <f>_xlfn.TEXTJOIN("|",TRUE,GameLog[[#This Row],[Pod]],TEXT(INT(GameLog[[#This Row],[Round]]),"yyyymmdd"),GameLog[[#This Row],[Date]])</f>
        <v>2|19000102|45985</v>
      </c>
      <c r="H556" s="6">
        <f>COUNTIF(GameLog[Pod ID],GameLog[[#This Row],[Pod ID]])</f>
        <v>4</v>
      </c>
      <c r="I556" s="6">
        <f>YEAR(GameLog[[#This Row],[Date]])</f>
        <v>2025</v>
      </c>
      <c r="J556" s="6">
        <f>MONTH(GameLog[[#This Row],[Date]])</f>
        <v>11</v>
      </c>
      <c r="K556" s="6" t="str">
        <f>IF(GameLog[[#This Row],[Date]]=MAX(GameLog[Date]),"Current","Previous")</f>
        <v>Previous</v>
      </c>
      <c r="L556" s="6"/>
      <c r="M5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6" s="6" t="str">
        <f ca="1">IF(GameLog[[#This Row],[Check]]="","",COUNTIF(GameLog[[#Headers],[Check]]:GameLog[[#This Row],[Check]],"?*")-1)</f>
        <v/>
      </c>
      <c r="O556" s="6" t="str">
        <f>IFERROR(INDEX(Players[New name],MATCH(GameLog[[#This Row],[Player]],Players[Name],0)),GameLog[[#This Row],[Player]])</f>
        <v>AJ W</v>
      </c>
    </row>
    <row r="557" spans="1:15" x14ac:dyDescent="0.45">
      <c r="A557" s="6" t="s">
        <v>49</v>
      </c>
      <c r="B557" s="6" t="s">
        <v>50</v>
      </c>
      <c r="C557" s="6">
        <v>3</v>
      </c>
      <c r="D557" s="6">
        <v>2</v>
      </c>
      <c r="E557" s="6">
        <v>2</v>
      </c>
      <c r="F557" s="10">
        <v>45985</v>
      </c>
      <c r="G557" s="6" t="str">
        <f>_xlfn.TEXTJOIN("|",TRUE,GameLog[[#This Row],[Pod]],TEXT(INT(GameLog[[#This Row],[Round]]),"yyyymmdd"),GameLog[[#This Row],[Date]])</f>
        <v>2|19000102|45985</v>
      </c>
      <c r="H557" s="6">
        <f>COUNTIF(GameLog[Pod ID],GameLog[[#This Row],[Pod ID]])</f>
        <v>4</v>
      </c>
      <c r="I557" s="6">
        <f>YEAR(GameLog[[#This Row],[Date]])</f>
        <v>2025</v>
      </c>
      <c r="J557" s="6">
        <f>MONTH(GameLog[[#This Row],[Date]])</f>
        <v>11</v>
      </c>
      <c r="K557" s="6" t="str">
        <f>IF(GameLog[[#This Row],[Date]]=MAX(GameLog[Date]),"Current","Previous")</f>
        <v>Previous</v>
      </c>
      <c r="L557" s="6"/>
      <c r="M5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7" s="6" t="str">
        <f ca="1">IF(GameLog[[#This Row],[Check]]="","",COUNTIF(GameLog[[#Headers],[Check]]:GameLog[[#This Row],[Check]],"?*")-1)</f>
        <v/>
      </c>
      <c r="O557" s="6" t="str">
        <f>IFERROR(INDEX(Players[New name],MATCH(GameLog[[#This Row],[Player]],Players[Name],0)),GameLog[[#This Row],[Player]])</f>
        <v>Brett R</v>
      </c>
    </row>
    <row r="558" spans="1:15" x14ac:dyDescent="0.45">
      <c r="A558" s="6" t="s">
        <v>73</v>
      </c>
      <c r="B558" s="6" t="s">
        <v>53</v>
      </c>
      <c r="C558" s="6">
        <v>4</v>
      </c>
      <c r="D558" s="6">
        <v>2</v>
      </c>
      <c r="E558" s="6">
        <v>2</v>
      </c>
      <c r="F558" s="10">
        <v>45985</v>
      </c>
      <c r="G558" s="6" t="str">
        <f>_xlfn.TEXTJOIN("|",TRUE,GameLog[[#This Row],[Pod]],TEXT(INT(GameLog[[#This Row],[Round]]),"yyyymmdd"),GameLog[[#This Row],[Date]])</f>
        <v>2|19000102|45985</v>
      </c>
      <c r="H558" s="6">
        <f>COUNTIF(GameLog[Pod ID],GameLog[[#This Row],[Pod ID]])</f>
        <v>4</v>
      </c>
      <c r="I558" s="6">
        <f>YEAR(GameLog[[#This Row],[Date]])</f>
        <v>2025</v>
      </c>
      <c r="J558" s="6">
        <f>MONTH(GameLog[[#This Row],[Date]])</f>
        <v>11</v>
      </c>
      <c r="K558" s="6" t="str">
        <f>IF(GameLog[[#This Row],[Date]]=MAX(GameLog[Date]),"Current","Previous")</f>
        <v>Previous</v>
      </c>
      <c r="L558" s="6"/>
      <c r="M5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8" s="6" t="str">
        <f ca="1">IF(GameLog[[#This Row],[Check]]="","",COUNTIF(GameLog[[#Headers],[Check]]:GameLog[[#This Row],[Check]],"?*")-1)</f>
        <v/>
      </c>
      <c r="O558" s="6" t="str">
        <f>IFERROR(INDEX(Players[New name],MATCH(GameLog[[#This Row],[Player]],Players[Name],0)),GameLog[[#This Row],[Player]])</f>
        <v>Brandon B</v>
      </c>
    </row>
    <row r="559" spans="1:15" x14ac:dyDescent="0.45">
      <c r="A559" s="6" t="s">
        <v>83</v>
      </c>
      <c r="B559" s="6" t="s">
        <v>53</v>
      </c>
      <c r="C559" s="6">
        <v>1</v>
      </c>
      <c r="D559" s="6">
        <v>3</v>
      </c>
      <c r="E559" s="6">
        <v>2</v>
      </c>
      <c r="F559" s="10">
        <v>45985</v>
      </c>
      <c r="G559" s="6" t="str">
        <f>_xlfn.TEXTJOIN("|",TRUE,GameLog[[#This Row],[Pod]],TEXT(INT(GameLog[[#This Row],[Round]]),"yyyymmdd"),GameLog[[#This Row],[Date]])</f>
        <v>3|19000102|45985</v>
      </c>
      <c r="H559" s="6">
        <f>COUNTIF(GameLog[Pod ID],GameLog[[#This Row],[Pod ID]])</f>
        <v>3</v>
      </c>
      <c r="I559" s="6">
        <f>YEAR(GameLog[[#This Row],[Date]])</f>
        <v>2025</v>
      </c>
      <c r="J559" s="6">
        <f>MONTH(GameLog[[#This Row],[Date]])</f>
        <v>11</v>
      </c>
      <c r="K559" s="6" t="str">
        <f>IF(GameLog[[#This Row],[Date]]=MAX(GameLog[Date]),"Current","Previous")</f>
        <v>Previous</v>
      </c>
      <c r="L559" s="6"/>
      <c r="M5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59" s="6" t="str">
        <f ca="1">IF(GameLog[[#This Row],[Check]]="","",COUNTIF(GameLog[[#Headers],[Check]]:GameLog[[#This Row],[Check]],"?*")-1)</f>
        <v/>
      </c>
      <c r="O559" s="6" t="str">
        <f>IFERROR(INDEX(Players[New name],MATCH(GameLog[[#This Row],[Player]],Players[Name],0)),GameLog[[#This Row],[Player]])</f>
        <v>Devyn S</v>
      </c>
    </row>
    <row r="560" spans="1:15" x14ac:dyDescent="0.45">
      <c r="A560" s="6" t="s">
        <v>61</v>
      </c>
      <c r="B560" s="6" t="s">
        <v>53</v>
      </c>
      <c r="C560" s="6">
        <v>2</v>
      </c>
      <c r="D560" s="6">
        <v>3</v>
      </c>
      <c r="E560" s="6">
        <v>2</v>
      </c>
      <c r="F560" s="10">
        <v>45985</v>
      </c>
      <c r="G560" s="6" t="str">
        <f>_xlfn.TEXTJOIN("|",TRUE,GameLog[[#This Row],[Pod]],TEXT(INT(GameLog[[#This Row],[Round]]),"yyyymmdd"),GameLog[[#This Row],[Date]])</f>
        <v>3|19000102|45985</v>
      </c>
      <c r="H560" s="6">
        <f>COUNTIF(GameLog[Pod ID],GameLog[[#This Row],[Pod ID]])</f>
        <v>3</v>
      </c>
      <c r="I560" s="6">
        <f>YEAR(GameLog[[#This Row],[Date]])</f>
        <v>2025</v>
      </c>
      <c r="J560" s="6">
        <f>MONTH(GameLog[[#This Row],[Date]])</f>
        <v>11</v>
      </c>
      <c r="K560" s="6" t="str">
        <f>IF(GameLog[[#This Row],[Date]]=MAX(GameLog[Date]),"Current","Previous")</f>
        <v>Previous</v>
      </c>
      <c r="L560" s="6"/>
      <c r="M5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0" s="6" t="str">
        <f ca="1">IF(GameLog[[#This Row],[Check]]="","",COUNTIF(GameLog[[#Headers],[Check]]:GameLog[[#This Row],[Check]],"?*")-1)</f>
        <v/>
      </c>
      <c r="O560" s="6" t="str">
        <f>IFERROR(INDEX(Players[New name],MATCH(GameLog[[#This Row],[Player]],Players[Name],0)),GameLog[[#This Row],[Player]])</f>
        <v>Trevor</v>
      </c>
    </row>
    <row r="561" spans="1:15" x14ac:dyDescent="0.45">
      <c r="A561" s="6" t="s">
        <v>70</v>
      </c>
      <c r="B561" s="6" t="s">
        <v>50</v>
      </c>
      <c r="C561" s="6">
        <v>3</v>
      </c>
      <c r="D561" s="6">
        <v>3</v>
      </c>
      <c r="E561" s="6">
        <v>2</v>
      </c>
      <c r="F561" s="10">
        <v>45985</v>
      </c>
      <c r="G561" s="6" t="str">
        <f>_xlfn.TEXTJOIN("|",TRUE,GameLog[[#This Row],[Pod]],TEXT(INT(GameLog[[#This Row],[Round]]),"yyyymmdd"),GameLog[[#This Row],[Date]])</f>
        <v>3|19000102|45985</v>
      </c>
      <c r="H561" s="6">
        <f>COUNTIF(GameLog[Pod ID],GameLog[[#This Row],[Pod ID]])</f>
        <v>3</v>
      </c>
      <c r="I561" s="6">
        <f>YEAR(GameLog[[#This Row],[Date]])</f>
        <v>2025</v>
      </c>
      <c r="J561" s="6">
        <f>MONTH(GameLog[[#This Row],[Date]])</f>
        <v>11</v>
      </c>
      <c r="K561" s="6" t="str">
        <f>IF(GameLog[[#This Row],[Date]]=MAX(GameLog[Date]),"Current","Previous")</f>
        <v>Previous</v>
      </c>
      <c r="L561" s="6"/>
      <c r="M5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1" s="6" t="str">
        <f ca="1">IF(GameLog[[#This Row],[Check]]="","",COUNTIF(GameLog[[#Headers],[Check]]:GameLog[[#This Row],[Check]],"?*")-1)</f>
        <v/>
      </c>
      <c r="O561" s="6" t="str">
        <f>IFERROR(INDEX(Players[New name],MATCH(GameLog[[#This Row],[Player]],Players[Name],0)),GameLog[[#This Row],[Player]])</f>
        <v>Brad F</v>
      </c>
    </row>
    <row r="562" spans="1:15" x14ac:dyDescent="0.45">
      <c r="A562" s="6" t="s">
        <v>68</v>
      </c>
      <c r="B562" s="6" t="s">
        <v>50</v>
      </c>
      <c r="C562" s="6">
        <v>1</v>
      </c>
      <c r="D562" s="6">
        <v>4</v>
      </c>
      <c r="E562" s="6">
        <v>2</v>
      </c>
      <c r="F562" s="10">
        <v>45985</v>
      </c>
      <c r="G562" s="6" t="str">
        <f>_xlfn.TEXTJOIN("|",TRUE,GameLog[[#This Row],[Pod]],TEXT(INT(GameLog[[#This Row],[Round]]),"yyyymmdd"),GameLog[[#This Row],[Date]])</f>
        <v>4|19000102|45985</v>
      </c>
      <c r="H562" s="6">
        <f>COUNTIF(GameLog[Pod ID],GameLog[[#This Row],[Pod ID]])</f>
        <v>3</v>
      </c>
      <c r="I562" s="6">
        <f>YEAR(GameLog[[#This Row],[Date]])</f>
        <v>2025</v>
      </c>
      <c r="J562" s="6">
        <f>MONTH(GameLog[[#This Row],[Date]])</f>
        <v>11</v>
      </c>
      <c r="K562" s="6" t="str">
        <f>IF(GameLog[[#This Row],[Date]]=MAX(GameLog[Date]),"Current","Previous")</f>
        <v>Previous</v>
      </c>
      <c r="L562" s="6"/>
      <c r="M5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2" s="6" t="str">
        <f ca="1">IF(GameLog[[#This Row],[Check]]="","",COUNTIF(GameLog[[#Headers],[Check]]:GameLog[[#This Row],[Check]],"?*")-1)</f>
        <v/>
      </c>
      <c r="O562" s="6" t="str">
        <f>IFERROR(INDEX(Players[New name],MATCH(GameLog[[#This Row],[Player]],Players[Name],0)),GameLog[[#This Row],[Player]])</f>
        <v>Edwin M</v>
      </c>
    </row>
    <row r="563" spans="1:15" x14ac:dyDescent="0.45">
      <c r="A563" s="6" t="s">
        <v>76</v>
      </c>
      <c r="B563" s="6" t="s">
        <v>53</v>
      </c>
      <c r="C563" s="6">
        <v>2</v>
      </c>
      <c r="D563" s="6">
        <v>4</v>
      </c>
      <c r="E563" s="6">
        <v>2</v>
      </c>
      <c r="F563" s="10">
        <v>45985</v>
      </c>
      <c r="G563" s="6" t="str">
        <f>_xlfn.TEXTJOIN("|",TRUE,GameLog[[#This Row],[Pod]],TEXT(INT(GameLog[[#This Row],[Round]]),"yyyymmdd"),GameLog[[#This Row],[Date]])</f>
        <v>4|19000102|45985</v>
      </c>
      <c r="H563" s="6">
        <f>COUNTIF(GameLog[Pod ID],GameLog[[#This Row],[Pod ID]])</f>
        <v>3</v>
      </c>
      <c r="I563" s="6">
        <f>YEAR(GameLog[[#This Row],[Date]])</f>
        <v>2025</v>
      </c>
      <c r="J563" s="6">
        <f>MONTH(GameLog[[#This Row],[Date]])</f>
        <v>11</v>
      </c>
      <c r="K563" s="6" t="str">
        <f>IF(GameLog[[#This Row],[Date]]=MAX(GameLog[Date]),"Current","Previous")</f>
        <v>Previous</v>
      </c>
      <c r="L563" s="6"/>
      <c r="M5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3" s="6" t="str">
        <f ca="1">IF(GameLog[[#This Row],[Check]]="","",COUNTIF(GameLog[[#Headers],[Check]]:GameLog[[#This Row],[Check]],"?*")-1)</f>
        <v/>
      </c>
      <c r="O563" s="6" t="str">
        <f>IFERROR(INDEX(Players[New name],MATCH(GameLog[[#This Row],[Player]],Players[Name],0)),GameLog[[#This Row],[Player]])</f>
        <v>Jon M</v>
      </c>
    </row>
    <row r="564" spans="1:15" x14ac:dyDescent="0.45">
      <c r="A564" s="6" t="s">
        <v>66</v>
      </c>
      <c r="B564" s="6" t="s">
        <v>53</v>
      </c>
      <c r="C564" s="6">
        <v>3</v>
      </c>
      <c r="D564" s="6">
        <v>4</v>
      </c>
      <c r="E564" s="6">
        <v>2</v>
      </c>
      <c r="F564" s="10">
        <v>45985</v>
      </c>
      <c r="G564" s="6" t="str">
        <f>_xlfn.TEXTJOIN("|",TRUE,GameLog[[#This Row],[Pod]],TEXT(INT(GameLog[[#This Row],[Round]]),"yyyymmdd"),GameLog[[#This Row],[Date]])</f>
        <v>4|19000102|45985</v>
      </c>
      <c r="H564" s="6">
        <f>COUNTIF(GameLog[Pod ID],GameLog[[#This Row],[Pod ID]])</f>
        <v>3</v>
      </c>
      <c r="I564" s="6">
        <f>YEAR(GameLog[[#This Row],[Date]])</f>
        <v>2025</v>
      </c>
      <c r="J564" s="6">
        <f>MONTH(GameLog[[#This Row],[Date]])</f>
        <v>11</v>
      </c>
      <c r="K564" s="6" t="str">
        <f>IF(GameLog[[#This Row],[Date]]=MAX(GameLog[Date]),"Current","Previous")</f>
        <v>Previous</v>
      </c>
      <c r="L564" s="6"/>
      <c r="M5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4" s="6" t="str">
        <f ca="1">IF(GameLog[[#This Row],[Check]]="","",COUNTIF(GameLog[[#Headers],[Check]]:GameLog[[#This Row],[Check]],"?*")-1)</f>
        <v/>
      </c>
      <c r="O564" s="6" t="str">
        <f>IFERROR(INDEX(Players[New name],MATCH(GameLog[[#This Row],[Player]],Players[Name],0)),GameLog[[#This Row],[Player]])</f>
        <v>Jack</v>
      </c>
    </row>
    <row r="565" spans="1:15" x14ac:dyDescent="0.45">
      <c r="A565" s="6" t="s">
        <v>71</v>
      </c>
      <c r="B565" s="6" t="s">
        <v>53</v>
      </c>
      <c r="C565" s="6">
        <v>1</v>
      </c>
      <c r="D565" s="6">
        <v>1</v>
      </c>
      <c r="E565" s="6">
        <v>1</v>
      </c>
      <c r="F565" s="10">
        <v>45992</v>
      </c>
      <c r="G565" s="6" t="str">
        <f>_xlfn.TEXTJOIN("|",TRUE,GameLog[[#This Row],[Pod]],TEXT(INT(GameLog[[#This Row],[Round]]),"yyyymmdd"),GameLog[[#This Row],[Date]])</f>
        <v>1|19000101|45992</v>
      </c>
      <c r="H565" s="6">
        <f>COUNTIF(GameLog[Pod ID],GameLog[[#This Row],[Pod ID]])</f>
        <v>4</v>
      </c>
      <c r="I565" s="6">
        <f>YEAR(GameLog[[#This Row],[Date]])</f>
        <v>2025</v>
      </c>
      <c r="J565" s="6">
        <f>MONTH(GameLog[[#This Row],[Date]])</f>
        <v>12</v>
      </c>
      <c r="K565" s="6" t="str">
        <f>IF(GameLog[[#This Row],[Date]]=MAX(GameLog[Date]),"Current","Previous")</f>
        <v>Previous</v>
      </c>
      <c r="L565" s="6"/>
      <c r="M5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5" s="6" t="str">
        <f ca="1">IF(GameLog[[#This Row],[Check]]="","",COUNTIF(GameLog[[#Headers],[Check]]:GameLog[[#This Row],[Check]],"?*")-1)</f>
        <v/>
      </c>
      <c r="O565" s="6" t="str">
        <f>IFERROR(INDEX(Players[New name],MATCH(GameLog[[#This Row],[Player]],Players[Name],0)),GameLog[[#This Row],[Player]])</f>
        <v>Rodney Y</v>
      </c>
    </row>
    <row r="566" spans="1:15" x14ac:dyDescent="0.45">
      <c r="A566" s="6" t="s">
        <v>58</v>
      </c>
      <c r="B566" s="6" t="s">
        <v>53</v>
      </c>
      <c r="C566" s="6">
        <v>2</v>
      </c>
      <c r="D566" s="6">
        <v>1</v>
      </c>
      <c r="E566" s="6">
        <v>1</v>
      </c>
      <c r="F566" s="10">
        <v>45992</v>
      </c>
      <c r="G566" s="6" t="str">
        <f>_xlfn.TEXTJOIN("|",TRUE,GameLog[[#This Row],[Pod]],TEXT(INT(GameLog[[#This Row],[Round]]),"yyyymmdd"),GameLog[[#This Row],[Date]])</f>
        <v>1|19000101|45992</v>
      </c>
      <c r="H566" s="6">
        <f>COUNTIF(GameLog[Pod ID],GameLog[[#This Row],[Pod ID]])</f>
        <v>4</v>
      </c>
      <c r="I566" s="6">
        <f>YEAR(GameLog[[#This Row],[Date]])</f>
        <v>2025</v>
      </c>
      <c r="J566" s="6">
        <f>MONTH(GameLog[[#This Row],[Date]])</f>
        <v>12</v>
      </c>
      <c r="K566" s="6" t="str">
        <f>IF(GameLog[[#This Row],[Date]]=MAX(GameLog[Date]),"Current","Previous")</f>
        <v>Previous</v>
      </c>
      <c r="L566" s="6"/>
      <c r="M5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6" s="6" t="str">
        <f ca="1">IF(GameLog[[#This Row],[Check]]="","",COUNTIF(GameLog[[#Headers],[Check]]:GameLog[[#This Row],[Check]],"?*")-1)</f>
        <v/>
      </c>
      <c r="O566" s="6" t="str">
        <f>IFERROR(INDEX(Players[New name],MATCH(GameLog[[#This Row],[Player]],Players[Name],0)),GameLog[[#This Row],[Player]])</f>
        <v>Dakota P</v>
      </c>
    </row>
    <row r="567" spans="1:15" x14ac:dyDescent="0.45">
      <c r="A567" s="6" t="s">
        <v>61</v>
      </c>
      <c r="B567" s="6" t="s">
        <v>50</v>
      </c>
      <c r="C567" s="6">
        <v>3</v>
      </c>
      <c r="D567" s="6">
        <v>1</v>
      </c>
      <c r="E567" s="6">
        <v>1</v>
      </c>
      <c r="F567" s="10">
        <v>45992</v>
      </c>
      <c r="G567" s="6" t="str">
        <f>_xlfn.TEXTJOIN("|",TRUE,GameLog[[#This Row],[Pod]],TEXT(INT(GameLog[[#This Row],[Round]]),"yyyymmdd"),GameLog[[#This Row],[Date]])</f>
        <v>1|19000101|45992</v>
      </c>
      <c r="H567" s="6">
        <f>COUNTIF(GameLog[Pod ID],GameLog[[#This Row],[Pod ID]])</f>
        <v>4</v>
      </c>
      <c r="I567" s="6">
        <f>YEAR(GameLog[[#This Row],[Date]])</f>
        <v>2025</v>
      </c>
      <c r="J567" s="6">
        <f>MONTH(GameLog[[#This Row],[Date]])</f>
        <v>12</v>
      </c>
      <c r="K567" s="6" t="str">
        <f>IF(GameLog[[#This Row],[Date]]=MAX(GameLog[Date]),"Current","Previous")</f>
        <v>Previous</v>
      </c>
      <c r="L567" s="6"/>
      <c r="M5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7" s="6" t="str">
        <f ca="1">IF(GameLog[[#This Row],[Check]]="","",COUNTIF(GameLog[[#Headers],[Check]]:GameLog[[#This Row],[Check]],"?*")-1)</f>
        <v/>
      </c>
      <c r="O567" s="6" t="str">
        <f>IFERROR(INDEX(Players[New name],MATCH(GameLog[[#This Row],[Player]],Players[Name],0)),GameLog[[#This Row],[Player]])</f>
        <v>Trevor</v>
      </c>
    </row>
    <row r="568" spans="1:15" x14ac:dyDescent="0.45">
      <c r="A568" s="6" t="s">
        <v>83</v>
      </c>
      <c r="B568" s="6" t="s">
        <v>53</v>
      </c>
      <c r="C568" s="6">
        <v>4</v>
      </c>
      <c r="D568" s="6">
        <v>1</v>
      </c>
      <c r="E568" s="6">
        <v>1</v>
      </c>
      <c r="F568" s="10">
        <v>45992</v>
      </c>
      <c r="G568" s="6" t="str">
        <f>_xlfn.TEXTJOIN("|",TRUE,GameLog[[#This Row],[Pod]],TEXT(INT(GameLog[[#This Row],[Round]]),"yyyymmdd"),GameLog[[#This Row],[Date]])</f>
        <v>1|19000101|45992</v>
      </c>
      <c r="H568" s="6">
        <f>COUNTIF(GameLog[Pod ID],GameLog[[#This Row],[Pod ID]])</f>
        <v>4</v>
      </c>
      <c r="I568" s="6">
        <f>YEAR(GameLog[[#This Row],[Date]])</f>
        <v>2025</v>
      </c>
      <c r="J568" s="6">
        <f>MONTH(GameLog[[#This Row],[Date]])</f>
        <v>12</v>
      </c>
      <c r="K568" s="6" t="str">
        <f>IF(GameLog[[#This Row],[Date]]=MAX(GameLog[Date]),"Current","Previous")</f>
        <v>Previous</v>
      </c>
      <c r="L568" s="6"/>
      <c r="M5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8" s="6" t="str">
        <f ca="1">IF(GameLog[[#This Row],[Check]]="","",COUNTIF(GameLog[[#Headers],[Check]]:GameLog[[#This Row],[Check]],"?*")-1)</f>
        <v/>
      </c>
      <c r="O568" s="6" t="str">
        <f>IFERROR(INDEX(Players[New name],MATCH(GameLog[[#This Row],[Player]],Players[Name],0)),GameLog[[#This Row],[Player]])</f>
        <v>Devyn S</v>
      </c>
    </row>
    <row r="569" spans="1:15" x14ac:dyDescent="0.45">
      <c r="A569" s="6" t="s">
        <v>68</v>
      </c>
      <c r="B569" s="6" t="s">
        <v>50</v>
      </c>
      <c r="C569" s="6">
        <v>1</v>
      </c>
      <c r="D569" s="6">
        <v>2</v>
      </c>
      <c r="E569" s="6">
        <v>1</v>
      </c>
      <c r="F569" s="10">
        <v>45992</v>
      </c>
      <c r="G569" s="6" t="str">
        <f>_xlfn.TEXTJOIN("|",TRUE,GameLog[[#This Row],[Pod]],TEXT(INT(GameLog[[#This Row],[Round]]),"yyyymmdd"),GameLog[[#This Row],[Date]])</f>
        <v>2|19000101|45992</v>
      </c>
      <c r="H569" s="6">
        <f>COUNTIF(GameLog[Pod ID],GameLog[[#This Row],[Pod ID]])</f>
        <v>3</v>
      </c>
      <c r="I569" s="6">
        <f>YEAR(GameLog[[#This Row],[Date]])</f>
        <v>2025</v>
      </c>
      <c r="J569" s="6">
        <f>MONTH(GameLog[[#This Row],[Date]])</f>
        <v>12</v>
      </c>
      <c r="K569" s="6" t="str">
        <f>IF(GameLog[[#This Row],[Date]]=MAX(GameLog[Date]),"Current","Previous")</f>
        <v>Previous</v>
      </c>
      <c r="L569" s="6"/>
      <c r="M5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69" s="6" t="str">
        <f ca="1">IF(GameLog[[#This Row],[Check]]="","",COUNTIF(GameLog[[#Headers],[Check]]:GameLog[[#This Row],[Check]],"?*")-1)</f>
        <v/>
      </c>
      <c r="O569" s="6" t="str">
        <f>IFERROR(INDEX(Players[New name],MATCH(GameLog[[#This Row],[Player]],Players[Name],0)),GameLog[[#This Row],[Player]])</f>
        <v>Edwin M</v>
      </c>
    </row>
    <row r="570" spans="1:15" x14ac:dyDescent="0.45">
      <c r="A570" s="6" t="s">
        <v>73</v>
      </c>
      <c r="B570" s="6" t="s">
        <v>53</v>
      </c>
      <c r="C570" s="6">
        <v>2</v>
      </c>
      <c r="D570" s="6">
        <v>2</v>
      </c>
      <c r="E570" s="6">
        <v>1</v>
      </c>
      <c r="F570" s="10">
        <v>45992</v>
      </c>
      <c r="G570" s="6" t="str">
        <f>_xlfn.TEXTJOIN("|",TRUE,GameLog[[#This Row],[Pod]],TEXT(INT(GameLog[[#This Row],[Round]]),"yyyymmdd"),GameLog[[#This Row],[Date]])</f>
        <v>2|19000101|45992</v>
      </c>
      <c r="H570" s="6">
        <f>COUNTIF(GameLog[Pod ID],GameLog[[#This Row],[Pod ID]])</f>
        <v>3</v>
      </c>
      <c r="I570" s="6">
        <f>YEAR(GameLog[[#This Row],[Date]])</f>
        <v>2025</v>
      </c>
      <c r="J570" s="6">
        <f>MONTH(GameLog[[#This Row],[Date]])</f>
        <v>12</v>
      </c>
      <c r="K570" s="6" t="str">
        <f>IF(GameLog[[#This Row],[Date]]=MAX(GameLog[Date]),"Current","Previous")</f>
        <v>Previous</v>
      </c>
      <c r="L570" s="6"/>
      <c r="M5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0" s="6" t="str">
        <f ca="1">IF(GameLog[[#This Row],[Check]]="","",COUNTIF(GameLog[[#Headers],[Check]]:GameLog[[#This Row],[Check]],"?*")-1)</f>
        <v/>
      </c>
      <c r="O570" s="6" t="str">
        <f>IFERROR(INDEX(Players[New name],MATCH(GameLog[[#This Row],[Player]],Players[Name],0)),GameLog[[#This Row],[Player]])</f>
        <v>Brandon B</v>
      </c>
    </row>
    <row r="571" spans="1:15" x14ac:dyDescent="0.45">
      <c r="A571" s="6" t="s">
        <v>70</v>
      </c>
      <c r="B571" s="6" t="s">
        <v>53</v>
      </c>
      <c r="C571" s="6">
        <v>3</v>
      </c>
      <c r="D571" s="6">
        <v>2</v>
      </c>
      <c r="E571" s="6">
        <v>1</v>
      </c>
      <c r="F571" s="10">
        <v>45992</v>
      </c>
      <c r="G571" s="6" t="str">
        <f>_xlfn.TEXTJOIN("|",TRUE,GameLog[[#This Row],[Pod]],TEXT(INT(GameLog[[#This Row],[Round]]),"yyyymmdd"),GameLog[[#This Row],[Date]])</f>
        <v>2|19000101|45992</v>
      </c>
      <c r="H571" s="6">
        <f>COUNTIF(GameLog[Pod ID],GameLog[[#This Row],[Pod ID]])</f>
        <v>3</v>
      </c>
      <c r="I571" s="6">
        <f>YEAR(GameLog[[#This Row],[Date]])</f>
        <v>2025</v>
      </c>
      <c r="J571" s="6">
        <f>MONTH(GameLog[[#This Row],[Date]])</f>
        <v>12</v>
      </c>
      <c r="K571" s="6" t="str">
        <f>IF(GameLog[[#This Row],[Date]]=MAX(GameLog[Date]),"Current","Previous")</f>
        <v>Previous</v>
      </c>
      <c r="L571" s="6"/>
      <c r="M5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1" s="6" t="str">
        <f ca="1">IF(GameLog[[#This Row],[Check]]="","",COUNTIF(GameLog[[#Headers],[Check]]:GameLog[[#This Row],[Check]],"?*")-1)</f>
        <v/>
      </c>
      <c r="O571" s="6" t="str">
        <f>IFERROR(INDEX(Players[New name],MATCH(GameLog[[#This Row],[Player]],Players[Name],0)),GameLog[[#This Row],[Player]])</f>
        <v>Brad F</v>
      </c>
    </row>
    <row r="572" spans="1:15" x14ac:dyDescent="0.45">
      <c r="A572" s="6" t="s">
        <v>57</v>
      </c>
      <c r="B572" s="6" t="s">
        <v>50</v>
      </c>
      <c r="C572" s="6">
        <v>1</v>
      </c>
      <c r="D572" s="6">
        <v>3</v>
      </c>
      <c r="E572" s="6">
        <v>1</v>
      </c>
      <c r="F572" s="10">
        <v>45992</v>
      </c>
      <c r="G572" s="6" t="str">
        <f>_xlfn.TEXTJOIN("|",TRUE,GameLog[[#This Row],[Pod]],TEXT(INT(GameLog[[#This Row],[Round]]),"yyyymmdd"),GameLog[[#This Row],[Date]])</f>
        <v>3|19000101|45992</v>
      </c>
      <c r="H572" s="6">
        <f>COUNTIF(GameLog[Pod ID],GameLog[[#This Row],[Pod ID]])</f>
        <v>3</v>
      </c>
      <c r="I572" s="6">
        <f>YEAR(GameLog[[#This Row],[Date]])</f>
        <v>2025</v>
      </c>
      <c r="J572" s="6">
        <f>MONTH(GameLog[[#This Row],[Date]])</f>
        <v>12</v>
      </c>
      <c r="K572" s="6" t="str">
        <f>IF(GameLog[[#This Row],[Date]]=MAX(GameLog[Date]),"Current","Previous")</f>
        <v>Previous</v>
      </c>
      <c r="L572" s="6"/>
      <c r="M5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2" s="6" t="str">
        <f ca="1">IF(GameLog[[#This Row],[Check]]="","",COUNTIF(GameLog[[#Headers],[Check]]:GameLog[[#This Row],[Check]],"?*")-1)</f>
        <v/>
      </c>
      <c r="O572" s="6" t="str">
        <f>IFERROR(INDEX(Players[New name],MATCH(GameLog[[#This Row],[Player]],Players[Name],0)),GameLog[[#This Row],[Player]])</f>
        <v>AJ W</v>
      </c>
    </row>
    <row r="573" spans="1:15" x14ac:dyDescent="0.45">
      <c r="A573" s="6" t="s">
        <v>56</v>
      </c>
      <c r="B573" s="6" t="s">
        <v>53</v>
      </c>
      <c r="C573" s="6">
        <v>2</v>
      </c>
      <c r="D573" s="6">
        <v>3</v>
      </c>
      <c r="E573" s="6">
        <v>1</v>
      </c>
      <c r="F573" s="10">
        <v>45992</v>
      </c>
      <c r="G573" s="6" t="str">
        <f>_xlfn.TEXTJOIN("|",TRUE,GameLog[[#This Row],[Pod]],TEXT(INT(GameLog[[#This Row],[Round]]),"yyyymmdd"),GameLog[[#This Row],[Date]])</f>
        <v>3|19000101|45992</v>
      </c>
      <c r="H573" s="6">
        <f>COUNTIF(GameLog[Pod ID],GameLog[[#This Row],[Pod ID]])</f>
        <v>3</v>
      </c>
      <c r="I573" s="6">
        <f>YEAR(GameLog[[#This Row],[Date]])</f>
        <v>2025</v>
      </c>
      <c r="J573" s="6">
        <f>MONTH(GameLog[[#This Row],[Date]])</f>
        <v>12</v>
      </c>
      <c r="K573" s="6" t="str">
        <f>IF(GameLog[[#This Row],[Date]]=MAX(GameLog[Date]),"Current","Previous")</f>
        <v>Previous</v>
      </c>
      <c r="L573" s="6"/>
      <c r="M5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3" s="6" t="str">
        <f ca="1">IF(GameLog[[#This Row],[Check]]="","",COUNTIF(GameLog[[#Headers],[Check]]:GameLog[[#This Row],[Check]],"?*")-1)</f>
        <v/>
      </c>
      <c r="O573" s="6" t="str">
        <f>IFERROR(INDEX(Players[New name],MATCH(GameLog[[#This Row],[Player]],Players[Name],0)),GameLog[[#This Row],[Player]])</f>
        <v>Mark D</v>
      </c>
    </row>
    <row r="574" spans="1:15" x14ac:dyDescent="0.45">
      <c r="A574" s="6" t="s">
        <v>64</v>
      </c>
      <c r="B574" s="6" t="s">
        <v>53</v>
      </c>
      <c r="C574" s="6">
        <v>3</v>
      </c>
      <c r="D574" s="6">
        <v>3</v>
      </c>
      <c r="E574" s="6">
        <v>1</v>
      </c>
      <c r="F574" s="10">
        <v>45992</v>
      </c>
      <c r="G574" s="6" t="str">
        <f>_xlfn.TEXTJOIN("|",TRUE,GameLog[[#This Row],[Pod]],TEXT(INT(GameLog[[#This Row],[Round]]),"yyyymmdd"),GameLog[[#This Row],[Date]])</f>
        <v>3|19000101|45992</v>
      </c>
      <c r="H574" s="6">
        <f>COUNTIF(GameLog[Pod ID],GameLog[[#This Row],[Pod ID]])</f>
        <v>3</v>
      </c>
      <c r="I574" s="6">
        <f>YEAR(GameLog[[#This Row],[Date]])</f>
        <v>2025</v>
      </c>
      <c r="J574" s="6">
        <f>MONTH(GameLog[[#This Row],[Date]])</f>
        <v>12</v>
      </c>
      <c r="K574" s="6" t="str">
        <f>IF(GameLog[[#This Row],[Date]]=MAX(GameLog[Date]),"Current","Previous")</f>
        <v>Previous</v>
      </c>
      <c r="L574" s="6"/>
      <c r="M5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4" s="6" t="str">
        <f ca="1">IF(GameLog[[#This Row],[Check]]="","",COUNTIF(GameLog[[#Headers],[Check]]:GameLog[[#This Row],[Check]],"?*")-1)</f>
        <v/>
      </c>
      <c r="O574" s="6" t="str">
        <f>IFERROR(INDEX(Players[New name],MATCH(GameLog[[#This Row],[Player]],Players[Name],0)),GameLog[[#This Row],[Player]])</f>
        <v>Tyler B</v>
      </c>
    </row>
    <row r="575" spans="1:15" x14ac:dyDescent="0.45">
      <c r="A575" s="6" t="s">
        <v>63</v>
      </c>
      <c r="B575" s="6" t="s">
        <v>53</v>
      </c>
      <c r="C575" s="6">
        <v>1</v>
      </c>
      <c r="D575" s="6">
        <v>4</v>
      </c>
      <c r="E575" s="6">
        <v>1</v>
      </c>
      <c r="F575" s="10">
        <v>45992</v>
      </c>
      <c r="G575" s="6" t="str">
        <f>_xlfn.TEXTJOIN("|",TRUE,GameLog[[#This Row],[Pod]],TEXT(INT(GameLog[[#This Row],[Round]]),"yyyymmdd"),GameLog[[#This Row],[Date]])</f>
        <v>4|19000101|45992</v>
      </c>
      <c r="H575" s="6">
        <f>COUNTIF(GameLog[Pod ID],GameLog[[#This Row],[Pod ID]])</f>
        <v>3</v>
      </c>
      <c r="I575" s="6">
        <f>YEAR(GameLog[[#This Row],[Date]])</f>
        <v>2025</v>
      </c>
      <c r="J575" s="6">
        <f>MONTH(GameLog[[#This Row],[Date]])</f>
        <v>12</v>
      </c>
      <c r="K575" s="6" t="str">
        <f>IF(GameLog[[#This Row],[Date]]=MAX(GameLog[Date]),"Current","Previous")</f>
        <v>Previous</v>
      </c>
      <c r="L575" s="6"/>
      <c r="M5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5" s="6" t="str">
        <f ca="1">IF(GameLog[[#This Row],[Check]]="","",COUNTIF(GameLog[[#Headers],[Check]]:GameLog[[#This Row],[Check]],"?*")-1)</f>
        <v/>
      </c>
      <c r="O575" s="6" t="str">
        <f>IFERROR(INDEX(Players[New name],MATCH(GameLog[[#This Row],[Player]],Players[Name],0)),GameLog[[#This Row],[Player]])</f>
        <v>Jake D</v>
      </c>
    </row>
    <row r="576" spans="1:15" x14ac:dyDescent="0.45">
      <c r="A576" s="6" t="s">
        <v>49</v>
      </c>
      <c r="B576" s="6" t="s">
        <v>53</v>
      </c>
      <c r="C576" s="6">
        <v>2</v>
      </c>
      <c r="D576" s="6">
        <v>4</v>
      </c>
      <c r="E576" s="6">
        <v>1</v>
      </c>
      <c r="F576" s="10">
        <v>45992</v>
      </c>
      <c r="G576" s="6" t="str">
        <f>_xlfn.TEXTJOIN("|",TRUE,GameLog[[#This Row],[Pod]],TEXT(INT(GameLog[[#This Row],[Round]]),"yyyymmdd"),GameLog[[#This Row],[Date]])</f>
        <v>4|19000101|45992</v>
      </c>
      <c r="H576" s="6">
        <f>COUNTIF(GameLog[Pod ID],GameLog[[#This Row],[Pod ID]])</f>
        <v>3</v>
      </c>
      <c r="I576" s="6">
        <f>YEAR(GameLog[[#This Row],[Date]])</f>
        <v>2025</v>
      </c>
      <c r="J576" s="6">
        <f>MONTH(GameLog[[#This Row],[Date]])</f>
        <v>12</v>
      </c>
      <c r="K576" s="6" t="str">
        <f>IF(GameLog[[#This Row],[Date]]=MAX(GameLog[Date]),"Current","Previous")</f>
        <v>Previous</v>
      </c>
      <c r="L576" s="6"/>
      <c r="M5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6" s="6" t="str">
        <f ca="1">IF(GameLog[[#This Row],[Check]]="","",COUNTIF(GameLog[[#Headers],[Check]]:GameLog[[#This Row],[Check]],"?*")-1)</f>
        <v/>
      </c>
      <c r="O576" s="6" t="str">
        <f>IFERROR(INDEX(Players[New name],MATCH(GameLog[[#This Row],[Player]],Players[Name],0)),GameLog[[#This Row],[Player]])</f>
        <v>Brett R</v>
      </c>
    </row>
    <row r="577" spans="1:15" x14ac:dyDescent="0.45">
      <c r="A577" s="6" t="s">
        <v>86</v>
      </c>
      <c r="B577" s="6" t="s">
        <v>50</v>
      </c>
      <c r="C577" s="6">
        <v>3</v>
      </c>
      <c r="D577" s="6">
        <v>4</v>
      </c>
      <c r="E577" s="6">
        <v>1</v>
      </c>
      <c r="F577" s="10">
        <v>45992</v>
      </c>
      <c r="G577" s="6" t="str">
        <f>_xlfn.TEXTJOIN("|",TRUE,GameLog[[#This Row],[Pod]],TEXT(INT(GameLog[[#This Row],[Round]]),"yyyymmdd"),GameLog[[#This Row],[Date]])</f>
        <v>4|19000101|45992</v>
      </c>
      <c r="H577" s="6">
        <f>COUNTIF(GameLog[Pod ID],GameLog[[#This Row],[Pod ID]])</f>
        <v>3</v>
      </c>
      <c r="I577" s="6">
        <f>YEAR(GameLog[[#This Row],[Date]])</f>
        <v>2025</v>
      </c>
      <c r="J577" s="6">
        <f>MONTH(GameLog[[#This Row],[Date]])</f>
        <v>12</v>
      </c>
      <c r="K577" s="6" t="str">
        <f>IF(GameLog[[#This Row],[Date]]=MAX(GameLog[Date]),"Current","Previous")</f>
        <v>Previous</v>
      </c>
      <c r="L577" s="6"/>
      <c r="M5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7" s="6" t="str">
        <f ca="1">IF(GameLog[[#This Row],[Check]]="","",COUNTIF(GameLog[[#Headers],[Check]]:GameLog[[#This Row],[Check]],"?*")-1)</f>
        <v/>
      </c>
      <c r="O577" s="6" t="str">
        <f>IFERROR(INDEX(Players[New name],MATCH(GameLog[[#This Row],[Player]],Players[Name],0)),GameLog[[#This Row],[Player]])</f>
        <v>Steve C</v>
      </c>
    </row>
    <row r="578" spans="1:15" x14ac:dyDescent="0.45">
      <c r="A578" s="6" t="s">
        <v>86</v>
      </c>
      <c r="B578" s="6" t="s">
        <v>53</v>
      </c>
      <c r="C578" s="6">
        <v>1</v>
      </c>
      <c r="D578" s="6">
        <v>1</v>
      </c>
      <c r="E578" s="6">
        <v>2</v>
      </c>
      <c r="F578" s="10">
        <v>45992</v>
      </c>
      <c r="G578" s="6" t="str">
        <f>_xlfn.TEXTJOIN("|",TRUE,GameLog[[#This Row],[Pod]],TEXT(INT(GameLog[[#This Row],[Round]]),"yyyymmdd"),GameLog[[#This Row],[Date]])</f>
        <v>1|19000102|45992</v>
      </c>
      <c r="H578" s="6">
        <f>COUNTIF(GameLog[Pod ID],GameLog[[#This Row],[Pod ID]])</f>
        <v>4</v>
      </c>
      <c r="I578" s="6">
        <f>YEAR(GameLog[[#This Row],[Date]])</f>
        <v>2025</v>
      </c>
      <c r="J578" s="6">
        <f>MONTH(GameLog[[#This Row],[Date]])</f>
        <v>12</v>
      </c>
      <c r="K578" s="6" t="str">
        <f>IF(GameLog[[#This Row],[Date]]=MAX(GameLog[Date]),"Current","Previous")</f>
        <v>Previous</v>
      </c>
      <c r="L578" s="6"/>
      <c r="M5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8" s="6" t="str">
        <f ca="1">IF(GameLog[[#This Row],[Check]]="","",COUNTIF(GameLog[[#Headers],[Check]]:GameLog[[#This Row],[Check]],"?*")-1)</f>
        <v/>
      </c>
      <c r="O578" s="6" t="str">
        <f>IFERROR(INDEX(Players[New name],MATCH(GameLog[[#This Row],[Player]],Players[Name],0)),GameLog[[#This Row],[Player]])</f>
        <v>Steve C</v>
      </c>
    </row>
    <row r="579" spans="1:15" x14ac:dyDescent="0.45">
      <c r="A579" s="6" t="s">
        <v>68</v>
      </c>
      <c r="B579" s="6" t="s">
        <v>53</v>
      </c>
      <c r="C579" s="6">
        <v>2</v>
      </c>
      <c r="D579" s="6">
        <v>1</v>
      </c>
      <c r="E579" s="6">
        <v>2</v>
      </c>
      <c r="F579" s="10">
        <v>45992</v>
      </c>
      <c r="G579" s="6" t="str">
        <f>_xlfn.TEXTJOIN("|",TRUE,GameLog[[#This Row],[Pod]],TEXT(INT(GameLog[[#This Row],[Round]]),"yyyymmdd"),GameLog[[#This Row],[Date]])</f>
        <v>1|19000102|45992</v>
      </c>
      <c r="H579" s="6">
        <f>COUNTIF(GameLog[Pod ID],GameLog[[#This Row],[Pod ID]])</f>
        <v>4</v>
      </c>
      <c r="I579" s="6">
        <f>YEAR(GameLog[[#This Row],[Date]])</f>
        <v>2025</v>
      </c>
      <c r="J579" s="6">
        <f>MONTH(GameLog[[#This Row],[Date]])</f>
        <v>12</v>
      </c>
      <c r="K579" s="6" t="str">
        <f>IF(GameLog[[#This Row],[Date]]=MAX(GameLog[Date]),"Current","Previous")</f>
        <v>Previous</v>
      </c>
      <c r="L579" s="6"/>
      <c r="M5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79" s="6" t="str">
        <f ca="1">IF(GameLog[[#This Row],[Check]]="","",COUNTIF(GameLog[[#Headers],[Check]]:GameLog[[#This Row],[Check]],"?*")-1)</f>
        <v/>
      </c>
      <c r="O579" s="6" t="str">
        <f>IFERROR(INDEX(Players[New name],MATCH(GameLog[[#This Row],[Player]],Players[Name],0)),GameLog[[#This Row],[Player]])</f>
        <v>Edwin M</v>
      </c>
    </row>
    <row r="580" spans="1:15" x14ac:dyDescent="0.45">
      <c r="A580" s="6" t="s">
        <v>57</v>
      </c>
      <c r="B580" s="6" t="s">
        <v>53</v>
      </c>
      <c r="C580" s="6">
        <v>3</v>
      </c>
      <c r="D580" s="6">
        <v>1</v>
      </c>
      <c r="E580" s="6">
        <v>2</v>
      </c>
      <c r="F580" s="10">
        <v>45992</v>
      </c>
      <c r="G580" s="6" t="str">
        <f>_xlfn.TEXTJOIN("|",TRUE,GameLog[[#This Row],[Pod]],TEXT(INT(GameLog[[#This Row],[Round]]),"yyyymmdd"),GameLog[[#This Row],[Date]])</f>
        <v>1|19000102|45992</v>
      </c>
      <c r="H580" s="6">
        <f>COUNTIF(GameLog[Pod ID],GameLog[[#This Row],[Pod ID]])</f>
        <v>4</v>
      </c>
      <c r="I580" s="6">
        <f>YEAR(GameLog[[#This Row],[Date]])</f>
        <v>2025</v>
      </c>
      <c r="J580" s="6">
        <f>MONTH(GameLog[[#This Row],[Date]])</f>
        <v>12</v>
      </c>
      <c r="K580" s="6" t="str">
        <f>IF(GameLog[[#This Row],[Date]]=MAX(GameLog[Date]),"Current","Previous")</f>
        <v>Previous</v>
      </c>
      <c r="L580" s="6"/>
      <c r="M5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0" s="6" t="str">
        <f ca="1">IF(GameLog[[#This Row],[Check]]="","",COUNTIF(GameLog[[#Headers],[Check]]:GameLog[[#This Row],[Check]],"?*")-1)</f>
        <v/>
      </c>
      <c r="O580" s="6" t="str">
        <f>IFERROR(INDEX(Players[New name],MATCH(GameLog[[#This Row],[Player]],Players[Name],0)),GameLog[[#This Row],[Player]])</f>
        <v>AJ W</v>
      </c>
    </row>
    <row r="581" spans="1:15" x14ac:dyDescent="0.45">
      <c r="A581" s="6" t="s">
        <v>61</v>
      </c>
      <c r="B581" s="6" t="s">
        <v>50</v>
      </c>
      <c r="C581" s="6">
        <v>4</v>
      </c>
      <c r="D581" s="6">
        <v>1</v>
      </c>
      <c r="E581" s="6">
        <v>2</v>
      </c>
      <c r="F581" s="10">
        <v>45992</v>
      </c>
      <c r="G581" s="6" t="str">
        <f>_xlfn.TEXTJOIN("|",TRUE,GameLog[[#This Row],[Pod]],TEXT(INT(GameLog[[#This Row],[Round]]),"yyyymmdd"),GameLog[[#This Row],[Date]])</f>
        <v>1|19000102|45992</v>
      </c>
      <c r="H581" s="6">
        <f>COUNTIF(GameLog[Pod ID],GameLog[[#This Row],[Pod ID]])</f>
        <v>4</v>
      </c>
      <c r="I581" s="6">
        <f>YEAR(GameLog[[#This Row],[Date]])</f>
        <v>2025</v>
      </c>
      <c r="J581" s="6">
        <f>MONTH(GameLog[[#This Row],[Date]])</f>
        <v>12</v>
      </c>
      <c r="K581" s="6" t="str">
        <f>IF(GameLog[[#This Row],[Date]]=MAX(GameLog[Date]),"Current","Previous")</f>
        <v>Previous</v>
      </c>
      <c r="L581" s="6"/>
      <c r="M5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1" s="6" t="str">
        <f ca="1">IF(GameLog[[#This Row],[Check]]="","",COUNTIF(GameLog[[#Headers],[Check]]:GameLog[[#This Row],[Check]],"?*")-1)</f>
        <v/>
      </c>
      <c r="O581" s="6" t="str">
        <f>IFERROR(INDEX(Players[New name],MATCH(GameLog[[#This Row],[Player]],Players[Name],0)),GameLog[[#This Row],[Player]])</f>
        <v>Trevor</v>
      </c>
    </row>
    <row r="582" spans="1:15" x14ac:dyDescent="0.45">
      <c r="A582" s="6" t="s">
        <v>70</v>
      </c>
      <c r="B582" s="6" t="s">
        <v>53</v>
      </c>
      <c r="C582" s="6">
        <v>1</v>
      </c>
      <c r="D582" s="6">
        <v>2</v>
      </c>
      <c r="E582" s="6">
        <v>2</v>
      </c>
      <c r="F582" s="10">
        <v>45992</v>
      </c>
      <c r="G582" s="6" t="str">
        <f>_xlfn.TEXTJOIN("|",TRUE,GameLog[[#This Row],[Pod]],TEXT(INT(GameLog[[#This Row],[Round]]),"yyyymmdd"),GameLog[[#This Row],[Date]])</f>
        <v>2|19000102|45992</v>
      </c>
      <c r="H582" s="6">
        <f>COUNTIF(GameLog[Pod ID],GameLog[[#This Row],[Pod ID]])</f>
        <v>3</v>
      </c>
      <c r="I582" s="6">
        <f>YEAR(GameLog[[#This Row],[Date]])</f>
        <v>2025</v>
      </c>
      <c r="J582" s="6">
        <f>MONTH(GameLog[[#This Row],[Date]])</f>
        <v>12</v>
      </c>
      <c r="K582" s="6" t="str">
        <f>IF(GameLog[[#This Row],[Date]]=MAX(GameLog[Date]),"Current","Previous")</f>
        <v>Previous</v>
      </c>
      <c r="L582" s="6"/>
      <c r="M5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2" s="6" t="str">
        <f ca="1">IF(GameLog[[#This Row],[Check]]="","",COUNTIF(GameLog[[#Headers],[Check]]:GameLog[[#This Row],[Check]],"?*")-1)</f>
        <v/>
      </c>
      <c r="O582" s="6" t="str">
        <f>IFERROR(INDEX(Players[New name],MATCH(GameLog[[#This Row],[Player]],Players[Name],0)),GameLog[[#This Row],[Player]])</f>
        <v>Brad F</v>
      </c>
    </row>
    <row r="583" spans="1:15" x14ac:dyDescent="0.45">
      <c r="A583" s="6" t="s">
        <v>71</v>
      </c>
      <c r="B583" s="6" t="s">
        <v>50</v>
      </c>
      <c r="C583" s="6">
        <v>2</v>
      </c>
      <c r="D583" s="6">
        <v>2</v>
      </c>
      <c r="E583" s="6">
        <v>2</v>
      </c>
      <c r="F583" s="10">
        <v>45992</v>
      </c>
      <c r="G583" s="6" t="str">
        <f>_xlfn.TEXTJOIN("|",TRUE,GameLog[[#This Row],[Pod]],TEXT(INT(GameLog[[#This Row],[Round]]),"yyyymmdd"),GameLog[[#This Row],[Date]])</f>
        <v>2|19000102|45992</v>
      </c>
      <c r="H583" s="6">
        <f>COUNTIF(GameLog[Pod ID],GameLog[[#This Row],[Pod ID]])</f>
        <v>3</v>
      </c>
      <c r="I583" s="6">
        <f>YEAR(GameLog[[#This Row],[Date]])</f>
        <v>2025</v>
      </c>
      <c r="J583" s="6">
        <f>MONTH(GameLog[[#This Row],[Date]])</f>
        <v>12</v>
      </c>
      <c r="K583" s="6" t="str">
        <f>IF(GameLog[[#This Row],[Date]]=MAX(GameLog[Date]),"Current","Previous")</f>
        <v>Previous</v>
      </c>
      <c r="L583" s="6"/>
      <c r="M5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3" s="6" t="str">
        <f ca="1">IF(GameLog[[#This Row],[Check]]="","",COUNTIF(GameLog[[#Headers],[Check]]:GameLog[[#This Row],[Check]],"?*")-1)</f>
        <v/>
      </c>
      <c r="O583" s="6" t="str">
        <f>IFERROR(INDEX(Players[New name],MATCH(GameLog[[#This Row],[Player]],Players[Name],0)),GameLog[[#This Row],[Player]])</f>
        <v>Rodney Y</v>
      </c>
    </row>
    <row r="584" spans="1:15" x14ac:dyDescent="0.45">
      <c r="A584" s="6" t="s">
        <v>63</v>
      </c>
      <c r="B584" s="6" t="s">
        <v>53</v>
      </c>
      <c r="C584" s="6">
        <v>3</v>
      </c>
      <c r="D584" s="6">
        <v>2</v>
      </c>
      <c r="E584" s="6">
        <v>2</v>
      </c>
      <c r="F584" s="10">
        <v>45992</v>
      </c>
      <c r="G584" s="6" t="str">
        <f>_xlfn.TEXTJOIN("|",TRUE,GameLog[[#This Row],[Pod]],TEXT(INT(GameLog[[#This Row],[Round]]),"yyyymmdd"),GameLog[[#This Row],[Date]])</f>
        <v>2|19000102|45992</v>
      </c>
      <c r="H584" s="6">
        <f>COUNTIF(GameLog[Pod ID],GameLog[[#This Row],[Pod ID]])</f>
        <v>3</v>
      </c>
      <c r="I584" s="6">
        <f>YEAR(GameLog[[#This Row],[Date]])</f>
        <v>2025</v>
      </c>
      <c r="J584" s="6">
        <f>MONTH(GameLog[[#This Row],[Date]])</f>
        <v>12</v>
      </c>
      <c r="K584" s="6" t="str">
        <f>IF(GameLog[[#This Row],[Date]]=MAX(GameLog[Date]),"Current","Previous")</f>
        <v>Previous</v>
      </c>
      <c r="L584" s="6"/>
      <c r="M5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4" s="6" t="str">
        <f ca="1">IF(GameLog[[#This Row],[Check]]="","",COUNTIF(GameLog[[#Headers],[Check]]:GameLog[[#This Row],[Check]],"?*")-1)</f>
        <v/>
      </c>
      <c r="O584" s="6" t="str">
        <f>IFERROR(INDEX(Players[New name],MATCH(GameLog[[#This Row],[Player]],Players[Name],0)),GameLog[[#This Row],[Player]])</f>
        <v>Jake D</v>
      </c>
    </row>
    <row r="585" spans="1:15" x14ac:dyDescent="0.45">
      <c r="A585" s="6" t="s">
        <v>83</v>
      </c>
      <c r="B585" s="6" t="s">
        <v>53</v>
      </c>
      <c r="C585" s="6">
        <v>1</v>
      </c>
      <c r="D585" s="6">
        <v>3</v>
      </c>
      <c r="E585" s="6">
        <v>2</v>
      </c>
      <c r="F585" s="10">
        <v>45992</v>
      </c>
      <c r="G585" s="6" t="str">
        <f>_xlfn.TEXTJOIN("|",TRUE,GameLog[[#This Row],[Pod]],TEXT(INT(GameLog[[#This Row],[Round]]),"yyyymmdd"),GameLog[[#This Row],[Date]])</f>
        <v>3|19000102|45992</v>
      </c>
      <c r="H585" s="6">
        <f>COUNTIF(GameLog[Pod ID],GameLog[[#This Row],[Pod ID]])</f>
        <v>3</v>
      </c>
      <c r="I585" s="6">
        <f>YEAR(GameLog[[#This Row],[Date]])</f>
        <v>2025</v>
      </c>
      <c r="J585" s="6">
        <f>MONTH(GameLog[[#This Row],[Date]])</f>
        <v>12</v>
      </c>
      <c r="K585" s="6" t="str">
        <f>IF(GameLog[[#This Row],[Date]]=MAX(GameLog[Date]),"Current","Previous")</f>
        <v>Previous</v>
      </c>
      <c r="L585" s="6"/>
      <c r="M5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5" s="6" t="str">
        <f ca="1">IF(GameLog[[#This Row],[Check]]="","",COUNTIF(GameLog[[#Headers],[Check]]:GameLog[[#This Row],[Check]],"?*")-1)</f>
        <v/>
      </c>
      <c r="O585" s="6" t="str">
        <f>IFERROR(INDEX(Players[New name],MATCH(GameLog[[#This Row],[Player]],Players[Name],0)),GameLog[[#This Row],[Player]])</f>
        <v>Devyn S</v>
      </c>
    </row>
    <row r="586" spans="1:15" x14ac:dyDescent="0.45">
      <c r="A586" s="6" t="s">
        <v>56</v>
      </c>
      <c r="B586" s="6" t="s">
        <v>50</v>
      </c>
      <c r="C586" s="6">
        <v>2</v>
      </c>
      <c r="D586" s="6">
        <v>3</v>
      </c>
      <c r="E586" s="6">
        <v>2</v>
      </c>
      <c r="F586" s="10">
        <v>45992</v>
      </c>
      <c r="G586" s="6" t="str">
        <f>_xlfn.TEXTJOIN("|",TRUE,GameLog[[#This Row],[Pod]],TEXT(INT(GameLog[[#This Row],[Round]]),"yyyymmdd"),GameLog[[#This Row],[Date]])</f>
        <v>3|19000102|45992</v>
      </c>
      <c r="H586" s="6">
        <f>COUNTIF(GameLog[Pod ID],GameLog[[#This Row],[Pod ID]])</f>
        <v>3</v>
      </c>
      <c r="I586" s="6">
        <f>YEAR(GameLog[[#This Row],[Date]])</f>
        <v>2025</v>
      </c>
      <c r="J586" s="6">
        <f>MONTH(GameLog[[#This Row],[Date]])</f>
        <v>12</v>
      </c>
      <c r="K586" s="6" t="str">
        <f>IF(GameLog[[#This Row],[Date]]=MAX(GameLog[Date]),"Current","Previous")</f>
        <v>Previous</v>
      </c>
      <c r="L586" s="6"/>
      <c r="M5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6" s="6" t="str">
        <f ca="1">IF(GameLog[[#This Row],[Check]]="","",COUNTIF(GameLog[[#Headers],[Check]]:GameLog[[#This Row],[Check]],"?*")-1)</f>
        <v/>
      </c>
      <c r="O586" s="6" t="str">
        <f>IFERROR(INDEX(Players[New name],MATCH(GameLog[[#This Row],[Player]],Players[Name],0)),GameLog[[#This Row],[Player]])</f>
        <v>Mark D</v>
      </c>
    </row>
    <row r="587" spans="1:15" x14ac:dyDescent="0.45">
      <c r="A587" s="6" t="s">
        <v>73</v>
      </c>
      <c r="B587" s="6" t="s">
        <v>53</v>
      </c>
      <c r="C587" s="6">
        <v>3</v>
      </c>
      <c r="D587" s="6">
        <v>3</v>
      </c>
      <c r="E587" s="6">
        <v>2</v>
      </c>
      <c r="F587" s="10">
        <v>45992</v>
      </c>
      <c r="G587" s="6" t="str">
        <f>_xlfn.TEXTJOIN("|",TRUE,GameLog[[#This Row],[Pod]],TEXT(INT(GameLog[[#This Row],[Round]]),"yyyymmdd"),GameLog[[#This Row],[Date]])</f>
        <v>3|19000102|45992</v>
      </c>
      <c r="H587" s="6">
        <f>COUNTIF(GameLog[Pod ID],GameLog[[#This Row],[Pod ID]])</f>
        <v>3</v>
      </c>
      <c r="I587" s="6">
        <f>YEAR(GameLog[[#This Row],[Date]])</f>
        <v>2025</v>
      </c>
      <c r="J587" s="6">
        <f>MONTH(GameLog[[#This Row],[Date]])</f>
        <v>12</v>
      </c>
      <c r="K587" s="6" t="str">
        <f>IF(GameLog[[#This Row],[Date]]=MAX(GameLog[Date]),"Current","Previous")</f>
        <v>Previous</v>
      </c>
      <c r="L587" s="6"/>
      <c r="M5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7" s="6" t="str">
        <f ca="1">IF(GameLog[[#This Row],[Check]]="","",COUNTIF(GameLog[[#Headers],[Check]]:GameLog[[#This Row],[Check]],"?*")-1)</f>
        <v/>
      </c>
      <c r="O587" s="6" t="str">
        <f>IFERROR(INDEX(Players[New name],MATCH(GameLog[[#This Row],[Player]],Players[Name],0)),GameLog[[#This Row],[Player]])</f>
        <v>Brandon B</v>
      </c>
    </row>
    <row r="588" spans="1:15" x14ac:dyDescent="0.45">
      <c r="A588" s="6" t="s">
        <v>64</v>
      </c>
      <c r="B588" s="6" t="s">
        <v>50</v>
      </c>
      <c r="C588" s="6">
        <v>1</v>
      </c>
      <c r="D588" s="6">
        <v>4</v>
      </c>
      <c r="E588" s="6">
        <v>2</v>
      </c>
      <c r="F588" s="10">
        <v>45992</v>
      </c>
      <c r="G588" s="6" t="str">
        <f>_xlfn.TEXTJOIN("|",TRUE,GameLog[[#This Row],[Pod]],TEXT(INT(GameLog[[#This Row],[Round]]),"yyyymmdd"),GameLog[[#This Row],[Date]])</f>
        <v>4|19000102|45992</v>
      </c>
      <c r="H588" s="6">
        <f>COUNTIF(GameLog[Pod ID],GameLog[[#This Row],[Pod ID]])</f>
        <v>3</v>
      </c>
      <c r="I588" s="6">
        <f>YEAR(GameLog[[#This Row],[Date]])</f>
        <v>2025</v>
      </c>
      <c r="J588" s="6">
        <f>MONTH(GameLog[[#This Row],[Date]])</f>
        <v>12</v>
      </c>
      <c r="K588" s="6" t="str">
        <f>IF(GameLog[[#This Row],[Date]]=MAX(GameLog[Date]),"Current","Previous")</f>
        <v>Previous</v>
      </c>
      <c r="L588" s="6"/>
      <c r="M5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8" s="6" t="str">
        <f ca="1">IF(GameLog[[#This Row],[Check]]="","",COUNTIF(GameLog[[#Headers],[Check]]:GameLog[[#This Row],[Check]],"?*")-1)</f>
        <v/>
      </c>
      <c r="O588" s="6" t="str">
        <f>IFERROR(INDEX(Players[New name],MATCH(GameLog[[#This Row],[Player]],Players[Name],0)),GameLog[[#This Row],[Player]])</f>
        <v>Tyler B</v>
      </c>
    </row>
    <row r="589" spans="1:15" x14ac:dyDescent="0.45">
      <c r="A589" s="6" t="s">
        <v>49</v>
      </c>
      <c r="B589" s="6" t="s">
        <v>53</v>
      </c>
      <c r="C589" s="6">
        <v>2</v>
      </c>
      <c r="D589" s="6">
        <v>4</v>
      </c>
      <c r="E589" s="6">
        <v>2</v>
      </c>
      <c r="F589" s="10">
        <v>45992</v>
      </c>
      <c r="G589" s="6" t="str">
        <f>_xlfn.TEXTJOIN("|",TRUE,GameLog[[#This Row],[Pod]],TEXT(INT(GameLog[[#This Row],[Round]]),"yyyymmdd"),GameLog[[#This Row],[Date]])</f>
        <v>4|19000102|45992</v>
      </c>
      <c r="H589" s="6">
        <f>COUNTIF(GameLog[Pod ID],GameLog[[#This Row],[Pod ID]])</f>
        <v>3</v>
      </c>
      <c r="I589" s="6">
        <f>YEAR(GameLog[[#This Row],[Date]])</f>
        <v>2025</v>
      </c>
      <c r="J589" s="6">
        <f>MONTH(GameLog[[#This Row],[Date]])</f>
        <v>12</v>
      </c>
      <c r="K589" s="6" t="str">
        <f>IF(GameLog[[#This Row],[Date]]=MAX(GameLog[Date]),"Current","Previous")</f>
        <v>Previous</v>
      </c>
      <c r="L589" s="6"/>
      <c r="M5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89" s="6" t="str">
        <f ca="1">IF(GameLog[[#This Row],[Check]]="","",COUNTIF(GameLog[[#Headers],[Check]]:GameLog[[#This Row],[Check]],"?*")-1)</f>
        <v/>
      </c>
      <c r="O589" s="6" t="str">
        <f>IFERROR(INDEX(Players[New name],MATCH(GameLog[[#This Row],[Player]],Players[Name],0)),GameLog[[#This Row],[Player]])</f>
        <v>Brett R</v>
      </c>
    </row>
    <row r="590" spans="1:15" x14ac:dyDescent="0.45">
      <c r="A590" s="6" t="s">
        <v>58</v>
      </c>
      <c r="B590" s="6" t="s">
        <v>53</v>
      </c>
      <c r="C590" s="6">
        <v>3</v>
      </c>
      <c r="D590" s="6">
        <v>4</v>
      </c>
      <c r="E590" s="6">
        <v>2</v>
      </c>
      <c r="F590" s="10">
        <v>45992</v>
      </c>
      <c r="G590" s="6" t="str">
        <f>_xlfn.TEXTJOIN("|",TRUE,GameLog[[#This Row],[Pod]],TEXT(INT(GameLog[[#This Row],[Round]]),"yyyymmdd"),GameLog[[#This Row],[Date]])</f>
        <v>4|19000102|45992</v>
      </c>
      <c r="H590" s="6">
        <f>COUNTIF(GameLog[Pod ID],GameLog[[#This Row],[Pod ID]])</f>
        <v>3</v>
      </c>
      <c r="I590" s="6">
        <f>YEAR(GameLog[[#This Row],[Date]])</f>
        <v>2025</v>
      </c>
      <c r="J590" s="6">
        <f>MONTH(GameLog[[#This Row],[Date]])</f>
        <v>12</v>
      </c>
      <c r="K590" s="6" t="str">
        <f>IF(GameLog[[#This Row],[Date]]=MAX(GameLog[Date]),"Current","Previous")</f>
        <v>Previous</v>
      </c>
      <c r="L590" s="6"/>
      <c r="M5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0" s="6" t="str">
        <f ca="1">IF(GameLog[[#This Row],[Check]]="","",COUNTIF(GameLog[[#Headers],[Check]]:GameLog[[#This Row],[Check]],"?*")-1)</f>
        <v/>
      </c>
      <c r="O590" s="6" t="str">
        <f>IFERROR(INDEX(Players[New name],MATCH(GameLog[[#This Row],[Player]],Players[Name],0)),GameLog[[#This Row],[Player]])</f>
        <v>Dakota P</v>
      </c>
    </row>
    <row r="591" spans="1:15" x14ac:dyDescent="0.45">
      <c r="A591" s="6" t="s">
        <v>56</v>
      </c>
      <c r="B591" s="6" t="s">
        <v>50</v>
      </c>
      <c r="C591" s="6">
        <v>1</v>
      </c>
      <c r="D591" s="6">
        <v>1</v>
      </c>
      <c r="E591" s="6">
        <v>1</v>
      </c>
      <c r="F591" s="10">
        <v>45999</v>
      </c>
      <c r="G591" s="6" t="str">
        <f>_xlfn.TEXTJOIN("|",TRUE,GameLog[[#This Row],[Pod]],TEXT(INT(GameLog[[#This Row],[Round]]),"yyyymmdd"),GameLog[[#This Row],[Date]])</f>
        <v>1|19000101|45999</v>
      </c>
      <c r="H591" s="6">
        <f>COUNTIF(GameLog[Pod ID],GameLog[[#This Row],[Pod ID]])</f>
        <v>4</v>
      </c>
      <c r="I591" s="6">
        <f>YEAR(GameLog[[#This Row],[Date]])</f>
        <v>2025</v>
      </c>
      <c r="J591" s="6">
        <f>MONTH(GameLog[[#This Row],[Date]])</f>
        <v>12</v>
      </c>
      <c r="K591" s="6" t="str">
        <f>IF(GameLog[[#This Row],[Date]]=MAX(GameLog[Date]),"Current","Previous")</f>
        <v>Previous</v>
      </c>
      <c r="L591" s="6"/>
      <c r="M5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1" s="6" t="str">
        <f ca="1">IF(GameLog[[#This Row],[Check]]="","",COUNTIF(GameLog[[#Headers],[Check]]:GameLog[[#This Row],[Check]],"?*")-1)</f>
        <v/>
      </c>
      <c r="O591" s="6" t="str">
        <f>IFERROR(INDEX(Players[New name],MATCH(GameLog[[#This Row],[Player]],Players[Name],0)),GameLog[[#This Row],[Player]])</f>
        <v>Mark D</v>
      </c>
    </row>
    <row r="592" spans="1:15" x14ac:dyDescent="0.45">
      <c r="A592" s="6" t="s">
        <v>60</v>
      </c>
      <c r="B592" s="6" t="s">
        <v>53</v>
      </c>
      <c r="C592" s="6">
        <v>2</v>
      </c>
      <c r="D592" s="6">
        <v>1</v>
      </c>
      <c r="E592" s="6">
        <v>1</v>
      </c>
      <c r="F592" s="10">
        <v>45999</v>
      </c>
      <c r="G592" s="6" t="str">
        <f>_xlfn.TEXTJOIN("|",TRUE,GameLog[[#This Row],[Pod]],TEXT(INT(GameLog[[#This Row],[Round]]),"yyyymmdd"),GameLog[[#This Row],[Date]])</f>
        <v>1|19000101|45999</v>
      </c>
      <c r="H592" s="6">
        <f>COUNTIF(GameLog[Pod ID],GameLog[[#This Row],[Pod ID]])</f>
        <v>4</v>
      </c>
      <c r="I592" s="6">
        <f>YEAR(GameLog[[#This Row],[Date]])</f>
        <v>2025</v>
      </c>
      <c r="J592" s="6">
        <f>MONTH(GameLog[[#This Row],[Date]])</f>
        <v>12</v>
      </c>
      <c r="K592" s="6" t="str">
        <f>IF(GameLog[[#This Row],[Date]]=MAX(GameLog[Date]),"Current","Previous")</f>
        <v>Previous</v>
      </c>
      <c r="L592" s="6"/>
      <c r="M5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2" s="6" t="str">
        <f ca="1">IF(GameLog[[#This Row],[Check]]="","",COUNTIF(GameLog[[#Headers],[Check]]:GameLog[[#This Row],[Check]],"?*")-1)</f>
        <v/>
      </c>
      <c r="O592" s="6" t="str">
        <f>IFERROR(INDEX(Players[New name],MATCH(GameLog[[#This Row],[Player]],Players[Name],0)),GameLog[[#This Row],[Player]])</f>
        <v>Brendan H</v>
      </c>
    </row>
    <row r="593" spans="1:15" x14ac:dyDescent="0.45">
      <c r="A593" s="6" t="s">
        <v>83</v>
      </c>
      <c r="B593" s="6" t="s">
        <v>53</v>
      </c>
      <c r="C593" s="6">
        <v>3</v>
      </c>
      <c r="D593" s="6">
        <v>1</v>
      </c>
      <c r="E593" s="6">
        <v>1</v>
      </c>
      <c r="F593" s="10">
        <v>45999</v>
      </c>
      <c r="G593" s="6" t="str">
        <f>_xlfn.TEXTJOIN("|",TRUE,GameLog[[#This Row],[Pod]],TEXT(INT(GameLog[[#This Row],[Round]]),"yyyymmdd"),GameLog[[#This Row],[Date]])</f>
        <v>1|19000101|45999</v>
      </c>
      <c r="H593" s="6">
        <f>COUNTIF(GameLog[Pod ID],GameLog[[#This Row],[Pod ID]])</f>
        <v>4</v>
      </c>
      <c r="I593" s="6">
        <f>YEAR(GameLog[[#This Row],[Date]])</f>
        <v>2025</v>
      </c>
      <c r="J593" s="6">
        <f>MONTH(GameLog[[#This Row],[Date]])</f>
        <v>12</v>
      </c>
      <c r="K593" s="6" t="str">
        <f>IF(GameLog[[#This Row],[Date]]=MAX(GameLog[Date]),"Current","Previous")</f>
        <v>Previous</v>
      </c>
      <c r="L593" s="6"/>
      <c r="M5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3" s="6" t="str">
        <f ca="1">IF(GameLog[[#This Row],[Check]]="","",COUNTIF(GameLog[[#Headers],[Check]]:GameLog[[#This Row],[Check]],"?*")-1)</f>
        <v/>
      </c>
      <c r="O593" s="6" t="str">
        <f>IFERROR(INDEX(Players[New name],MATCH(GameLog[[#This Row],[Player]],Players[Name],0)),GameLog[[#This Row],[Player]])</f>
        <v>Devyn S</v>
      </c>
    </row>
    <row r="594" spans="1:15" x14ac:dyDescent="0.45">
      <c r="A594" s="6" t="s">
        <v>76</v>
      </c>
      <c r="B594" s="6" t="s">
        <v>53</v>
      </c>
      <c r="C594" s="6">
        <v>4</v>
      </c>
      <c r="D594" s="6">
        <v>1</v>
      </c>
      <c r="E594" s="6">
        <v>1</v>
      </c>
      <c r="F594" s="10">
        <v>45999</v>
      </c>
      <c r="G594" s="6" t="str">
        <f>_xlfn.TEXTJOIN("|",TRUE,GameLog[[#This Row],[Pod]],TEXT(INT(GameLog[[#This Row],[Round]]),"yyyymmdd"),GameLog[[#This Row],[Date]])</f>
        <v>1|19000101|45999</v>
      </c>
      <c r="H594" s="6">
        <f>COUNTIF(GameLog[Pod ID],GameLog[[#This Row],[Pod ID]])</f>
        <v>4</v>
      </c>
      <c r="I594" s="6">
        <f>YEAR(GameLog[[#This Row],[Date]])</f>
        <v>2025</v>
      </c>
      <c r="J594" s="6">
        <f>MONTH(GameLog[[#This Row],[Date]])</f>
        <v>12</v>
      </c>
      <c r="K594" s="6" t="str">
        <f>IF(GameLog[[#This Row],[Date]]=MAX(GameLog[Date]),"Current","Previous")</f>
        <v>Previous</v>
      </c>
      <c r="L594" s="6"/>
      <c r="M5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4" s="6" t="str">
        <f ca="1">IF(GameLog[[#This Row],[Check]]="","",COUNTIF(GameLog[[#Headers],[Check]]:GameLog[[#This Row],[Check]],"?*")-1)</f>
        <v/>
      </c>
      <c r="O594" s="6" t="str">
        <f>IFERROR(INDEX(Players[New name],MATCH(GameLog[[#This Row],[Player]],Players[Name],0)),GameLog[[#This Row],[Player]])</f>
        <v>Jon M</v>
      </c>
    </row>
    <row r="595" spans="1:15" x14ac:dyDescent="0.45">
      <c r="A595" s="6" t="s">
        <v>55</v>
      </c>
      <c r="B595" s="6" t="s">
        <v>50</v>
      </c>
      <c r="C595" s="6">
        <v>1</v>
      </c>
      <c r="D595" s="6">
        <v>2</v>
      </c>
      <c r="E595" s="6">
        <v>1</v>
      </c>
      <c r="F595" s="10">
        <v>45999</v>
      </c>
      <c r="G595" s="6" t="str">
        <f>_xlfn.TEXTJOIN("|",TRUE,GameLog[[#This Row],[Pod]],TEXT(INT(GameLog[[#This Row],[Round]]),"yyyymmdd"),GameLog[[#This Row],[Date]])</f>
        <v>2|19000101|45999</v>
      </c>
      <c r="H595" s="6">
        <f>COUNTIF(GameLog[Pod ID],GameLog[[#This Row],[Pod ID]])</f>
        <v>4</v>
      </c>
      <c r="I595" s="6">
        <f>YEAR(GameLog[[#This Row],[Date]])</f>
        <v>2025</v>
      </c>
      <c r="J595" s="6">
        <f>MONTH(GameLog[[#This Row],[Date]])</f>
        <v>12</v>
      </c>
      <c r="K595" s="6" t="str">
        <f>IF(GameLog[[#This Row],[Date]]=MAX(GameLog[Date]),"Current","Previous")</f>
        <v>Previous</v>
      </c>
      <c r="L595" s="6"/>
      <c r="M5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5" s="6" t="str">
        <f ca="1">IF(GameLog[[#This Row],[Check]]="","",COUNTIF(GameLog[[#Headers],[Check]]:GameLog[[#This Row],[Check]],"?*")-1)</f>
        <v/>
      </c>
      <c r="O595" s="6" t="str">
        <f>IFERROR(INDEX(Players[New name],MATCH(GameLog[[#This Row],[Player]],Players[Name],0)),GameLog[[#This Row],[Player]])</f>
        <v>Bryce C</v>
      </c>
    </row>
    <row r="596" spans="1:15" x14ac:dyDescent="0.45">
      <c r="A596" s="6" t="s">
        <v>49</v>
      </c>
      <c r="B596" s="6" t="s">
        <v>53</v>
      </c>
      <c r="C596" s="6">
        <v>2</v>
      </c>
      <c r="D596" s="6">
        <v>2</v>
      </c>
      <c r="E596" s="6">
        <v>1</v>
      </c>
      <c r="F596" s="10">
        <v>45999</v>
      </c>
      <c r="G596" s="6" t="str">
        <f>_xlfn.TEXTJOIN("|",TRUE,GameLog[[#This Row],[Pod]],TEXT(INT(GameLog[[#This Row],[Round]]),"yyyymmdd"),GameLog[[#This Row],[Date]])</f>
        <v>2|19000101|45999</v>
      </c>
      <c r="H596" s="6">
        <f>COUNTIF(GameLog[Pod ID],GameLog[[#This Row],[Pod ID]])</f>
        <v>4</v>
      </c>
      <c r="I596" s="6">
        <f>YEAR(GameLog[[#This Row],[Date]])</f>
        <v>2025</v>
      </c>
      <c r="J596" s="6">
        <f>MONTH(GameLog[[#This Row],[Date]])</f>
        <v>12</v>
      </c>
      <c r="K596" s="6" t="str">
        <f>IF(GameLog[[#This Row],[Date]]=MAX(GameLog[Date]),"Current","Previous")</f>
        <v>Previous</v>
      </c>
      <c r="L596" s="6"/>
      <c r="M5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6" s="6" t="str">
        <f ca="1">IF(GameLog[[#This Row],[Check]]="","",COUNTIF(GameLog[[#Headers],[Check]]:GameLog[[#This Row],[Check]],"?*")-1)</f>
        <v/>
      </c>
      <c r="O596" s="6" t="str">
        <f>IFERROR(INDEX(Players[New name],MATCH(GameLog[[#This Row],[Player]],Players[Name],0)),GameLog[[#This Row],[Player]])</f>
        <v>Brett R</v>
      </c>
    </row>
    <row r="597" spans="1:15" x14ac:dyDescent="0.45">
      <c r="A597" s="6" t="s">
        <v>70</v>
      </c>
      <c r="B597" s="6" t="s">
        <v>53</v>
      </c>
      <c r="C597" s="6">
        <v>3</v>
      </c>
      <c r="D597" s="6">
        <v>2</v>
      </c>
      <c r="E597" s="6">
        <v>1</v>
      </c>
      <c r="F597" s="10">
        <v>45999</v>
      </c>
      <c r="G597" s="6" t="str">
        <f>_xlfn.TEXTJOIN("|",TRUE,GameLog[[#This Row],[Pod]],TEXT(INT(GameLog[[#This Row],[Round]]),"yyyymmdd"),GameLog[[#This Row],[Date]])</f>
        <v>2|19000101|45999</v>
      </c>
      <c r="H597" s="6">
        <f>COUNTIF(GameLog[Pod ID],GameLog[[#This Row],[Pod ID]])</f>
        <v>4</v>
      </c>
      <c r="I597" s="6">
        <f>YEAR(GameLog[[#This Row],[Date]])</f>
        <v>2025</v>
      </c>
      <c r="J597" s="6">
        <f>MONTH(GameLog[[#This Row],[Date]])</f>
        <v>12</v>
      </c>
      <c r="K597" s="6" t="str">
        <f>IF(GameLog[[#This Row],[Date]]=MAX(GameLog[Date]),"Current","Previous")</f>
        <v>Previous</v>
      </c>
      <c r="L597" s="6"/>
      <c r="M5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7" s="6" t="str">
        <f ca="1">IF(GameLog[[#This Row],[Check]]="","",COUNTIF(GameLog[[#Headers],[Check]]:GameLog[[#This Row],[Check]],"?*")-1)</f>
        <v/>
      </c>
      <c r="O597" s="6" t="str">
        <f>IFERROR(INDEX(Players[New name],MATCH(GameLog[[#This Row],[Player]],Players[Name],0)),GameLog[[#This Row],[Player]])</f>
        <v>Brad F</v>
      </c>
    </row>
    <row r="598" spans="1:15" x14ac:dyDescent="0.45">
      <c r="A598" s="6" t="s">
        <v>57</v>
      </c>
      <c r="B598" s="6" t="s">
        <v>53</v>
      </c>
      <c r="C598" s="6">
        <v>4</v>
      </c>
      <c r="D598" s="6">
        <v>2</v>
      </c>
      <c r="E598" s="6">
        <v>1</v>
      </c>
      <c r="F598" s="10">
        <v>45999</v>
      </c>
      <c r="G598" s="6" t="str">
        <f>_xlfn.TEXTJOIN("|",TRUE,GameLog[[#This Row],[Pod]],TEXT(INT(GameLog[[#This Row],[Round]]),"yyyymmdd"),GameLog[[#This Row],[Date]])</f>
        <v>2|19000101|45999</v>
      </c>
      <c r="H598" s="6">
        <f>COUNTIF(GameLog[Pod ID],GameLog[[#This Row],[Pod ID]])</f>
        <v>4</v>
      </c>
      <c r="I598" s="6">
        <f>YEAR(GameLog[[#This Row],[Date]])</f>
        <v>2025</v>
      </c>
      <c r="J598" s="6">
        <f>MONTH(GameLog[[#This Row],[Date]])</f>
        <v>12</v>
      </c>
      <c r="K598" s="6" t="str">
        <f>IF(GameLog[[#This Row],[Date]]=MAX(GameLog[Date]),"Current","Previous")</f>
        <v>Previous</v>
      </c>
      <c r="L598" s="6"/>
      <c r="M5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8" s="6" t="str">
        <f ca="1">IF(GameLog[[#This Row],[Check]]="","",COUNTIF(GameLog[[#Headers],[Check]]:GameLog[[#This Row],[Check]],"?*")-1)</f>
        <v/>
      </c>
      <c r="O598" s="6" t="str">
        <f>IFERROR(INDEX(Players[New name],MATCH(GameLog[[#This Row],[Player]],Players[Name],0)),GameLog[[#This Row],[Player]])</f>
        <v>AJ W</v>
      </c>
    </row>
    <row r="599" spans="1:15" x14ac:dyDescent="0.45">
      <c r="A599" s="6" t="s">
        <v>68</v>
      </c>
      <c r="B599" s="6" t="s">
        <v>50</v>
      </c>
      <c r="C599" s="6">
        <v>1</v>
      </c>
      <c r="D599" s="6">
        <v>3</v>
      </c>
      <c r="E599" s="6">
        <v>1</v>
      </c>
      <c r="F599" s="10">
        <v>45999</v>
      </c>
      <c r="G599" s="6" t="str">
        <f>_xlfn.TEXTJOIN("|",TRUE,GameLog[[#This Row],[Pod]],TEXT(INT(GameLog[[#This Row],[Round]]),"yyyymmdd"),GameLog[[#This Row],[Date]])</f>
        <v>3|19000101|45999</v>
      </c>
      <c r="H599" s="6">
        <f>COUNTIF(GameLog[Pod ID],GameLog[[#This Row],[Pod ID]])</f>
        <v>4</v>
      </c>
      <c r="I599" s="6">
        <f>YEAR(GameLog[[#This Row],[Date]])</f>
        <v>2025</v>
      </c>
      <c r="J599" s="6">
        <f>MONTH(GameLog[[#This Row],[Date]])</f>
        <v>12</v>
      </c>
      <c r="K599" s="6" t="str">
        <f>IF(GameLog[[#This Row],[Date]]=MAX(GameLog[Date]),"Current","Previous")</f>
        <v>Previous</v>
      </c>
      <c r="L599" s="6"/>
      <c r="M5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599" s="6" t="str">
        <f ca="1">IF(GameLog[[#This Row],[Check]]="","",COUNTIF(GameLog[[#Headers],[Check]]:GameLog[[#This Row],[Check]],"?*")-1)</f>
        <v/>
      </c>
      <c r="O599" s="6" t="str">
        <f>IFERROR(INDEX(Players[New name],MATCH(GameLog[[#This Row],[Player]],Players[Name],0)),GameLog[[#This Row],[Player]])</f>
        <v>Edwin M</v>
      </c>
    </row>
    <row r="600" spans="1:15" x14ac:dyDescent="0.45">
      <c r="A600" s="6" t="s">
        <v>64</v>
      </c>
      <c r="B600" s="6" t="s">
        <v>53</v>
      </c>
      <c r="C600" s="6">
        <v>2</v>
      </c>
      <c r="D600" s="6">
        <v>3</v>
      </c>
      <c r="E600" s="6">
        <v>1</v>
      </c>
      <c r="F600" s="10">
        <v>45999</v>
      </c>
      <c r="G600" s="6" t="str">
        <f>_xlfn.TEXTJOIN("|",TRUE,GameLog[[#This Row],[Pod]],TEXT(INT(GameLog[[#This Row],[Round]]),"yyyymmdd"),GameLog[[#This Row],[Date]])</f>
        <v>3|19000101|45999</v>
      </c>
      <c r="H600" s="6">
        <f>COUNTIF(GameLog[Pod ID],GameLog[[#This Row],[Pod ID]])</f>
        <v>4</v>
      </c>
      <c r="I600" s="6">
        <f>YEAR(GameLog[[#This Row],[Date]])</f>
        <v>2025</v>
      </c>
      <c r="J600" s="6">
        <f>MONTH(GameLog[[#This Row],[Date]])</f>
        <v>12</v>
      </c>
      <c r="K600" s="6" t="str">
        <f>IF(GameLog[[#This Row],[Date]]=MAX(GameLog[Date]),"Current","Previous")</f>
        <v>Previous</v>
      </c>
      <c r="L600" s="6"/>
      <c r="M6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0" s="6" t="str">
        <f ca="1">IF(GameLog[[#This Row],[Check]]="","",COUNTIF(GameLog[[#Headers],[Check]]:GameLog[[#This Row],[Check]],"?*")-1)</f>
        <v/>
      </c>
      <c r="O600" s="6" t="str">
        <f>IFERROR(INDEX(Players[New name],MATCH(GameLog[[#This Row],[Player]],Players[Name],0)),GameLog[[#This Row],[Player]])</f>
        <v>Tyler B</v>
      </c>
    </row>
    <row r="601" spans="1:15" x14ac:dyDescent="0.45">
      <c r="A601" s="6" t="s">
        <v>52</v>
      </c>
      <c r="B601" s="6" t="s">
        <v>53</v>
      </c>
      <c r="C601" s="6">
        <v>3</v>
      </c>
      <c r="D601" s="6">
        <v>3</v>
      </c>
      <c r="E601" s="6">
        <v>1</v>
      </c>
      <c r="F601" s="10">
        <v>45999</v>
      </c>
      <c r="G601" s="6" t="str">
        <f>_xlfn.TEXTJOIN("|",TRUE,GameLog[[#This Row],[Pod]],TEXT(INT(GameLog[[#This Row],[Round]]),"yyyymmdd"),GameLog[[#This Row],[Date]])</f>
        <v>3|19000101|45999</v>
      </c>
      <c r="H601" s="6">
        <f>COUNTIF(GameLog[Pod ID],GameLog[[#This Row],[Pod ID]])</f>
        <v>4</v>
      </c>
      <c r="I601" s="6">
        <f>YEAR(GameLog[[#This Row],[Date]])</f>
        <v>2025</v>
      </c>
      <c r="J601" s="6">
        <f>MONTH(GameLog[[#This Row],[Date]])</f>
        <v>12</v>
      </c>
      <c r="K601" s="6" t="str">
        <f>IF(GameLog[[#This Row],[Date]]=MAX(GameLog[Date]),"Current","Previous")</f>
        <v>Previous</v>
      </c>
      <c r="L601" s="6"/>
      <c r="M6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1" s="6" t="str">
        <f ca="1">IF(GameLog[[#This Row],[Check]]="","",COUNTIF(GameLog[[#Headers],[Check]]:GameLog[[#This Row],[Check]],"?*")-1)</f>
        <v/>
      </c>
      <c r="O601" s="6" t="str">
        <f>IFERROR(INDEX(Players[New name],MATCH(GameLog[[#This Row],[Player]],Players[Name],0)),GameLog[[#This Row],[Player]])</f>
        <v>Unknown</v>
      </c>
    </row>
    <row r="602" spans="1:15" x14ac:dyDescent="0.45">
      <c r="A602" s="6" t="s">
        <v>71</v>
      </c>
      <c r="B602" s="6" t="s">
        <v>53</v>
      </c>
      <c r="C602" s="6">
        <v>4</v>
      </c>
      <c r="D602" s="6">
        <v>3</v>
      </c>
      <c r="E602" s="6">
        <v>1</v>
      </c>
      <c r="F602" s="10">
        <v>45999</v>
      </c>
      <c r="G602" s="6" t="str">
        <f>_xlfn.TEXTJOIN("|",TRUE,GameLog[[#This Row],[Pod]],TEXT(INT(GameLog[[#This Row],[Round]]),"yyyymmdd"),GameLog[[#This Row],[Date]])</f>
        <v>3|19000101|45999</v>
      </c>
      <c r="H602" s="6">
        <f>COUNTIF(GameLog[Pod ID],GameLog[[#This Row],[Pod ID]])</f>
        <v>4</v>
      </c>
      <c r="I602" s="6">
        <f>YEAR(GameLog[[#This Row],[Date]])</f>
        <v>2025</v>
      </c>
      <c r="J602" s="6">
        <f>MONTH(GameLog[[#This Row],[Date]])</f>
        <v>12</v>
      </c>
      <c r="K602" s="6" t="str">
        <f>IF(GameLog[[#This Row],[Date]]=MAX(GameLog[Date]),"Current","Previous")</f>
        <v>Previous</v>
      </c>
      <c r="L602" s="6"/>
      <c r="M6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2" s="6" t="str">
        <f ca="1">IF(GameLog[[#This Row],[Check]]="","",COUNTIF(GameLog[[#Headers],[Check]]:GameLog[[#This Row],[Check]],"?*")-1)</f>
        <v/>
      </c>
      <c r="O602" s="6" t="str">
        <f>IFERROR(INDEX(Players[New name],MATCH(GameLog[[#This Row],[Player]],Players[Name],0)),GameLog[[#This Row],[Player]])</f>
        <v>Rodney Y</v>
      </c>
    </row>
    <row r="603" spans="1:15" x14ac:dyDescent="0.45">
      <c r="A603" s="6" t="s">
        <v>58</v>
      </c>
      <c r="B603" s="6" t="s">
        <v>53</v>
      </c>
      <c r="C603" s="6">
        <v>1</v>
      </c>
      <c r="D603" s="6">
        <v>4</v>
      </c>
      <c r="E603" s="6">
        <v>1</v>
      </c>
      <c r="F603" s="10">
        <v>45999</v>
      </c>
      <c r="G603" s="6" t="str">
        <f>_xlfn.TEXTJOIN("|",TRUE,GameLog[[#This Row],[Pod]],TEXT(INT(GameLog[[#This Row],[Round]]),"yyyymmdd"),GameLog[[#This Row],[Date]])</f>
        <v>4|19000101|45999</v>
      </c>
      <c r="H603" s="6">
        <f>COUNTIF(GameLog[Pod ID],GameLog[[#This Row],[Pod ID]])</f>
        <v>3</v>
      </c>
      <c r="I603" s="6">
        <f>YEAR(GameLog[[#This Row],[Date]])</f>
        <v>2025</v>
      </c>
      <c r="J603" s="6">
        <f>MONTH(GameLog[[#This Row],[Date]])</f>
        <v>12</v>
      </c>
      <c r="K603" s="6" t="str">
        <f>IF(GameLog[[#This Row],[Date]]=MAX(GameLog[Date]),"Current","Previous")</f>
        <v>Previous</v>
      </c>
      <c r="L603" s="6"/>
      <c r="M6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3" s="6" t="str">
        <f ca="1">IF(GameLog[[#This Row],[Check]]="","",COUNTIF(GameLog[[#Headers],[Check]]:GameLog[[#This Row],[Check]],"?*")-1)</f>
        <v/>
      </c>
      <c r="O603" s="6" t="str">
        <f>IFERROR(INDEX(Players[New name],MATCH(GameLog[[#This Row],[Player]],Players[Name],0)),GameLog[[#This Row],[Player]])</f>
        <v>Dakota P</v>
      </c>
    </row>
    <row r="604" spans="1:15" x14ac:dyDescent="0.45">
      <c r="A604" s="6" t="s">
        <v>73</v>
      </c>
      <c r="B604" s="6" t="s">
        <v>53</v>
      </c>
      <c r="C604" s="6">
        <v>2</v>
      </c>
      <c r="D604" s="6">
        <v>4</v>
      </c>
      <c r="E604" s="6">
        <v>1</v>
      </c>
      <c r="F604" s="10">
        <v>45999</v>
      </c>
      <c r="G604" s="6" t="str">
        <f>_xlfn.TEXTJOIN("|",TRUE,GameLog[[#This Row],[Pod]],TEXT(INT(GameLog[[#This Row],[Round]]),"yyyymmdd"),GameLog[[#This Row],[Date]])</f>
        <v>4|19000101|45999</v>
      </c>
      <c r="H604" s="6">
        <f>COUNTIF(GameLog[Pod ID],GameLog[[#This Row],[Pod ID]])</f>
        <v>3</v>
      </c>
      <c r="I604" s="6">
        <f>YEAR(GameLog[[#This Row],[Date]])</f>
        <v>2025</v>
      </c>
      <c r="J604" s="6">
        <f>MONTH(GameLog[[#This Row],[Date]])</f>
        <v>12</v>
      </c>
      <c r="K604" s="6" t="str">
        <f>IF(GameLog[[#This Row],[Date]]=MAX(GameLog[Date]),"Current","Previous")</f>
        <v>Previous</v>
      </c>
      <c r="L604" s="6"/>
      <c r="M6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4" s="6" t="str">
        <f ca="1">IF(GameLog[[#This Row],[Check]]="","",COUNTIF(GameLog[[#Headers],[Check]]:GameLog[[#This Row],[Check]],"?*")-1)</f>
        <v/>
      </c>
      <c r="O604" s="6" t="str">
        <f>IFERROR(INDEX(Players[New name],MATCH(GameLog[[#This Row],[Player]],Players[Name],0)),GameLog[[#This Row],[Player]])</f>
        <v>Brandon B</v>
      </c>
    </row>
    <row r="605" spans="1:15" x14ac:dyDescent="0.45">
      <c r="A605" s="6" t="s">
        <v>52</v>
      </c>
      <c r="B605" s="6" t="s">
        <v>50</v>
      </c>
      <c r="C605" s="6">
        <v>3</v>
      </c>
      <c r="D605" s="6">
        <v>4</v>
      </c>
      <c r="E605" s="6">
        <v>1</v>
      </c>
      <c r="F605" s="10">
        <v>45999</v>
      </c>
      <c r="G605" s="6" t="str">
        <f>_xlfn.TEXTJOIN("|",TRUE,GameLog[[#This Row],[Pod]],TEXT(INT(GameLog[[#This Row],[Round]]),"yyyymmdd"),GameLog[[#This Row],[Date]])</f>
        <v>4|19000101|45999</v>
      </c>
      <c r="H605" s="6">
        <f>COUNTIF(GameLog[Pod ID],GameLog[[#This Row],[Pod ID]])</f>
        <v>3</v>
      </c>
      <c r="I605" s="6">
        <f>YEAR(GameLog[[#This Row],[Date]])</f>
        <v>2025</v>
      </c>
      <c r="J605" s="6">
        <f>MONTH(GameLog[[#This Row],[Date]])</f>
        <v>12</v>
      </c>
      <c r="K605" s="6" t="str">
        <f>IF(GameLog[[#This Row],[Date]]=MAX(GameLog[Date]),"Current","Previous")</f>
        <v>Previous</v>
      </c>
      <c r="L605" s="6"/>
      <c r="M6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5" s="6" t="str">
        <f ca="1">IF(GameLog[[#This Row],[Check]]="","",COUNTIF(GameLog[[#Headers],[Check]]:GameLog[[#This Row],[Check]],"?*")-1)</f>
        <v/>
      </c>
      <c r="O605" s="6" t="str">
        <f>IFERROR(INDEX(Players[New name],MATCH(GameLog[[#This Row],[Player]],Players[Name],0)),GameLog[[#This Row],[Player]])</f>
        <v>Unknown</v>
      </c>
    </row>
    <row r="606" spans="1:15" x14ac:dyDescent="0.45">
      <c r="A606" s="6" t="s">
        <v>68</v>
      </c>
      <c r="B606" s="6" t="s">
        <v>53</v>
      </c>
      <c r="C606" s="6">
        <v>1</v>
      </c>
      <c r="D606" s="6">
        <v>1</v>
      </c>
      <c r="E606" s="6">
        <v>2</v>
      </c>
      <c r="F606" s="10">
        <v>45999</v>
      </c>
      <c r="G606" s="6" t="str">
        <f>_xlfn.TEXTJOIN("|",TRUE,GameLog[[#This Row],[Pod]],TEXT(INT(GameLog[[#This Row],[Round]]),"yyyymmdd"),GameLog[[#This Row],[Date]])</f>
        <v>1|19000102|45999</v>
      </c>
      <c r="H606" s="6">
        <f>COUNTIF(GameLog[Pod ID],GameLog[[#This Row],[Pod ID]])</f>
        <v>4</v>
      </c>
      <c r="I606" s="6">
        <f>YEAR(GameLog[[#This Row],[Date]])</f>
        <v>2025</v>
      </c>
      <c r="J606" s="6">
        <f>MONTH(GameLog[[#This Row],[Date]])</f>
        <v>12</v>
      </c>
      <c r="K606" s="6" t="str">
        <f>IF(GameLog[[#This Row],[Date]]=MAX(GameLog[Date]),"Current","Previous")</f>
        <v>Previous</v>
      </c>
      <c r="L606" s="6"/>
      <c r="M6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6" s="6" t="str">
        <f ca="1">IF(GameLog[[#This Row],[Check]]="","",COUNTIF(GameLog[[#Headers],[Check]]:GameLog[[#This Row],[Check]],"?*")-1)</f>
        <v/>
      </c>
      <c r="O606" s="6" t="str">
        <f>IFERROR(INDEX(Players[New name],MATCH(GameLog[[#This Row],[Player]],Players[Name],0)),GameLog[[#This Row],[Player]])</f>
        <v>Edwin M</v>
      </c>
    </row>
    <row r="607" spans="1:15" x14ac:dyDescent="0.45">
      <c r="A607" s="6" t="s">
        <v>52</v>
      </c>
      <c r="B607" s="6" t="s">
        <v>50</v>
      </c>
      <c r="C607" s="6">
        <v>2</v>
      </c>
      <c r="D607" s="6">
        <v>1</v>
      </c>
      <c r="E607" s="6">
        <v>2</v>
      </c>
      <c r="F607" s="10">
        <v>45999</v>
      </c>
      <c r="G607" s="6" t="str">
        <f>_xlfn.TEXTJOIN("|",TRUE,GameLog[[#This Row],[Pod]],TEXT(INT(GameLog[[#This Row],[Round]]),"yyyymmdd"),GameLog[[#This Row],[Date]])</f>
        <v>1|19000102|45999</v>
      </c>
      <c r="H607" s="6">
        <f>COUNTIF(GameLog[Pod ID],GameLog[[#This Row],[Pod ID]])</f>
        <v>4</v>
      </c>
      <c r="I607" s="6">
        <f>YEAR(GameLog[[#This Row],[Date]])</f>
        <v>2025</v>
      </c>
      <c r="J607" s="6">
        <f>MONTH(GameLog[[#This Row],[Date]])</f>
        <v>12</v>
      </c>
      <c r="K607" s="6" t="str">
        <f>IF(GameLog[[#This Row],[Date]]=MAX(GameLog[Date]),"Current","Previous")</f>
        <v>Previous</v>
      </c>
      <c r="L607" s="6"/>
      <c r="M6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7" s="6" t="str">
        <f ca="1">IF(GameLog[[#This Row],[Check]]="","",COUNTIF(GameLog[[#Headers],[Check]]:GameLog[[#This Row],[Check]],"?*")-1)</f>
        <v/>
      </c>
      <c r="O607" s="6" t="str">
        <f>IFERROR(INDEX(Players[New name],MATCH(GameLog[[#This Row],[Player]],Players[Name],0)),GameLog[[#This Row],[Player]])</f>
        <v>Unknown</v>
      </c>
    </row>
    <row r="608" spans="1:15" x14ac:dyDescent="0.45">
      <c r="A608" s="6" t="s">
        <v>55</v>
      </c>
      <c r="B608" s="6" t="s">
        <v>53</v>
      </c>
      <c r="C608" s="6">
        <v>3</v>
      </c>
      <c r="D608" s="6">
        <v>1</v>
      </c>
      <c r="E608" s="6">
        <v>2</v>
      </c>
      <c r="F608" s="10">
        <v>45999</v>
      </c>
      <c r="G608" s="6" t="str">
        <f>_xlfn.TEXTJOIN("|",TRUE,GameLog[[#This Row],[Pod]],TEXT(INT(GameLog[[#This Row],[Round]]),"yyyymmdd"),GameLog[[#This Row],[Date]])</f>
        <v>1|19000102|45999</v>
      </c>
      <c r="H608" s="6">
        <f>COUNTIF(GameLog[Pod ID],GameLog[[#This Row],[Pod ID]])</f>
        <v>4</v>
      </c>
      <c r="I608" s="6">
        <f>YEAR(GameLog[[#This Row],[Date]])</f>
        <v>2025</v>
      </c>
      <c r="J608" s="6">
        <f>MONTH(GameLog[[#This Row],[Date]])</f>
        <v>12</v>
      </c>
      <c r="K608" s="6" t="str">
        <f>IF(GameLog[[#This Row],[Date]]=MAX(GameLog[Date]),"Current","Previous")</f>
        <v>Previous</v>
      </c>
      <c r="L608" s="6"/>
      <c r="M6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8" s="6" t="str">
        <f ca="1">IF(GameLog[[#This Row],[Check]]="","",COUNTIF(GameLog[[#Headers],[Check]]:GameLog[[#This Row],[Check]],"?*")-1)</f>
        <v/>
      </c>
      <c r="O608" s="6" t="str">
        <f>IFERROR(INDEX(Players[New name],MATCH(GameLog[[#This Row],[Player]],Players[Name],0)),GameLog[[#This Row],[Player]])</f>
        <v>Bryce C</v>
      </c>
    </row>
    <row r="609" spans="1:15" x14ac:dyDescent="0.45">
      <c r="A609" s="6" t="s">
        <v>56</v>
      </c>
      <c r="B609" s="6" t="s">
        <v>53</v>
      </c>
      <c r="C609" s="6">
        <v>4</v>
      </c>
      <c r="D609" s="6">
        <v>1</v>
      </c>
      <c r="E609" s="6">
        <v>2</v>
      </c>
      <c r="F609" s="10">
        <v>45999</v>
      </c>
      <c r="G609" s="6" t="str">
        <f>_xlfn.TEXTJOIN("|",TRUE,GameLog[[#This Row],[Pod]],TEXT(INT(GameLog[[#This Row],[Round]]),"yyyymmdd"),GameLog[[#This Row],[Date]])</f>
        <v>1|19000102|45999</v>
      </c>
      <c r="H609" s="6">
        <f>COUNTIF(GameLog[Pod ID],GameLog[[#This Row],[Pod ID]])</f>
        <v>4</v>
      </c>
      <c r="I609" s="6">
        <f>YEAR(GameLog[[#This Row],[Date]])</f>
        <v>2025</v>
      </c>
      <c r="J609" s="6">
        <f>MONTH(GameLog[[#This Row],[Date]])</f>
        <v>12</v>
      </c>
      <c r="K609" s="6" t="str">
        <f>IF(GameLog[[#This Row],[Date]]=MAX(GameLog[Date]),"Current","Previous")</f>
        <v>Previous</v>
      </c>
      <c r="L609" s="6"/>
      <c r="M6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09" s="6" t="str">
        <f ca="1">IF(GameLog[[#This Row],[Check]]="","",COUNTIF(GameLog[[#Headers],[Check]]:GameLog[[#This Row],[Check]],"?*")-1)</f>
        <v/>
      </c>
      <c r="O609" s="6" t="str">
        <f>IFERROR(INDEX(Players[New name],MATCH(GameLog[[#This Row],[Player]],Players[Name],0)),GameLog[[#This Row],[Player]])</f>
        <v>Mark D</v>
      </c>
    </row>
    <row r="610" spans="1:15" x14ac:dyDescent="0.45">
      <c r="A610" s="6" t="s">
        <v>58</v>
      </c>
      <c r="B610" s="6" t="s">
        <v>50</v>
      </c>
      <c r="C610" s="6">
        <v>1</v>
      </c>
      <c r="D610" s="6">
        <v>2</v>
      </c>
      <c r="E610" s="6">
        <v>2</v>
      </c>
      <c r="F610" s="10">
        <v>45999</v>
      </c>
      <c r="G610" s="6" t="str">
        <f>_xlfn.TEXTJOIN("|",TRUE,GameLog[[#This Row],[Pod]],TEXT(INT(GameLog[[#This Row],[Round]]),"yyyymmdd"),GameLog[[#This Row],[Date]])</f>
        <v>2|19000102|45999</v>
      </c>
      <c r="H610" s="6">
        <f>COUNTIF(GameLog[Pod ID],GameLog[[#This Row],[Pod ID]])</f>
        <v>4</v>
      </c>
      <c r="I610" s="6">
        <f>YEAR(GameLog[[#This Row],[Date]])</f>
        <v>2025</v>
      </c>
      <c r="J610" s="6">
        <f>MONTH(GameLog[[#This Row],[Date]])</f>
        <v>12</v>
      </c>
      <c r="K610" s="6" t="str">
        <f>IF(GameLog[[#This Row],[Date]]=MAX(GameLog[Date]),"Current","Previous")</f>
        <v>Previous</v>
      </c>
      <c r="L610" s="6"/>
      <c r="M6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0" s="6" t="str">
        <f ca="1">IF(GameLog[[#This Row],[Check]]="","",COUNTIF(GameLog[[#Headers],[Check]]:GameLog[[#This Row],[Check]],"?*")-1)</f>
        <v/>
      </c>
      <c r="O610" s="6" t="str">
        <f>IFERROR(INDEX(Players[New name],MATCH(GameLog[[#This Row],[Player]],Players[Name],0)),GameLog[[#This Row],[Player]])</f>
        <v>Dakota P</v>
      </c>
    </row>
    <row r="611" spans="1:15" x14ac:dyDescent="0.45">
      <c r="A611" s="6" t="s">
        <v>60</v>
      </c>
      <c r="B611" s="6" t="s">
        <v>53</v>
      </c>
      <c r="C611" s="6">
        <v>2</v>
      </c>
      <c r="D611" s="6">
        <v>2</v>
      </c>
      <c r="E611" s="6">
        <v>2</v>
      </c>
      <c r="F611" s="10">
        <v>45999</v>
      </c>
      <c r="G611" s="6" t="str">
        <f>_xlfn.TEXTJOIN("|",TRUE,GameLog[[#This Row],[Pod]],TEXT(INT(GameLog[[#This Row],[Round]]),"yyyymmdd"),GameLog[[#This Row],[Date]])</f>
        <v>2|19000102|45999</v>
      </c>
      <c r="H611" s="6">
        <f>COUNTIF(GameLog[Pod ID],GameLog[[#This Row],[Pod ID]])</f>
        <v>4</v>
      </c>
      <c r="I611" s="6">
        <f>YEAR(GameLog[[#This Row],[Date]])</f>
        <v>2025</v>
      </c>
      <c r="J611" s="6">
        <f>MONTH(GameLog[[#This Row],[Date]])</f>
        <v>12</v>
      </c>
      <c r="K611" s="6" t="str">
        <f>IF(GameLog[[#This Row],[Date]]=MAX(GameLog[Date]),"Current","Previous")</f>
        <v>Previous</v>
      </c>
      <c r="L611" s="6"/>
      <c r="M6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1" s="6" t="str">
        <f ca="1">IF(GameLog[[#This Row],[Check]]="","",COUNTIF(GameLog[[#Headers],[Check]]:GameLog[[#This Row],[Check]],"?*")-1)</f>
        <v/>
      </c>
      <c r="O611" s="6" t="str">
        <f>IFERROR(INDEX(Players[New name],MATCH(GameLog[[#This Row],[Player]],Players[Name],0)),GameLog[[#This Row],[Player]])</f>
        <v>Brendan H</v>
      </c>
    </row>
    <row r="612" spans="1:15" x14ac:dyDescent="0.45">
      <c r="A612" s="6" t="s">
        <v>57</v>
      </c>
      <c r="B612" s="6" t="s">
        <v>53</v>
      </c>
      <c r="C612" s="6">
        <v>3</v>
      </c>
      <c r="D612" s="6">
        <v>2</v>
      </c>
      <c r="E612" s="6">
        <v>2</v>
      </c>
      <c r="F612" s="10">
        <v>45999</v>
      </c>
      <c r="G612" s="6" t="str">
        <f>_xlfn.TEXTJOIN("|",TRUE,GameLog[[#This Row],[Pod]],TEXT(INT(GameLog[[#This Row],[Round]]),"yyyymmdd"),GameLog[[#This Row],[Date]])</f>
        <v>2|19000102|45999</v>
      </c>
      <c r="H612" s="6">
        <f>COUNTIF(GameLog[Pod ID],GameLog[[#This Row],[Pod ID]])</f>
        <v>4</v>
      </c>
      <c r="I612" s="6">
        <f>YEAR(GameLog[[#This Row],[Date]])</f>
        <v>2025</v>
      </c>
      <c r="J612" s="6">
        <f>MONTH(GameLog[[#This Row],[Date]])</f>
        <v>12</v>
      </c>
      <c r="K612" s="6" t="str">
        <f>IF(GameLog[[#This Row],[Date]]=MAX(GameLog[Date]),"Current","Previous")</f>
        <v>Previous</v>
      </c>
      <c r="L612" s="6"/>
      <c r="M6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2" s="6" t="str">
        <f ca="1">IF(GameLog[[#This Row],[Check]]="","",COUNTIF(GameLog[[#Headers],[Check]]:GameLog[[#This Row],[Check]],"?*")-1)</f>
        <v/>
      </c>
      <c r="O612" s="6" t="str">
        <f>IFERROR(INDEX(Players[New name],MATCH(GameLog[[#This Row],[Player]],Players[Name],0)),GameLog[[#This Row],[Player]])</f>
        <v>AJ W</v>
      </c>
    </row>
    <row r="613" spans="1:15" x14ac:dyDescent="0.45">
      <c r="A613" s="6" t="s">
        <v>52</v>
      </c>
      <c r="B613" s="6" t="s">
        <v>53</v>
      </c>
      <c r="C613" s="6">
        <v>4</v>
      </c>
      <c r="D613" s="6">
        <v>2</v>
      </c>
      <c r="E613" s="6">
        <v>2</v>
      </c>
      <c r="F613" s="10">
        <v>45999</v>
      </c>
      <c r="G613" s="6" t="str">
        <f>_xlfn.TEXTJOIN("|",TRUE,GameLog[[#This Row],[Pod]],TEXT(INT(GameLog[[#This Row],[Round]]),"yyyymmdd"),GameLog[[#This Row],[Date]])</f>
        <v>2|19000102|45999</v>
      </c>
      <c r="H613" s="6">
        <f>COUNTIF(GameLog[Pod ID],GameLog[[#This Row],[Pod ID]])</f>
        <v>4</v>
      </c>
      <c r="I613" s="6">
        <f>YEAR(GameLog[[#This Row],[Date]])</f>
        <v>2025</v>
      </c>
      <c r="J613" s="6">
        <f>MONTH(GameLog[[#This Row],[Date]])</f>
        <v>12</v>
      </c>
      <c r="K613" s="6" t="str">
        <f>IF(GameLog[[#This Row],[Date]]=MAX(GameLog[Date]),"Current","Previous")</f>
        <v>Previous</v>
      </c>
      <c r="L613" s="6"/>
      <c r="M6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3" s="6" t="str">
        <f ca="1">IF(GameLog[[#This Row],[Check]]="","",COUNTIF(GameLog[[#Headers],[Check]]:GameLog[[#This Row],[Check]],"?*")-1)</f>
        <v/>
      </c>
      <c r="O613" s="6" t="str">
        <f>IFERROR(INDEX(Players[New name],MATCH(GameLog[[#This Row],[Player]],Players[Name],0)),GameLog[[#This Row],[Player]])</f>
        <v>Unknown</v>
      </c>
    </row>
    <row r="614" spans="1:15" x14ac:dyDescent="0.45">
      <c r="A614" s="6" t="s">
        <v>71</v>
      </c>
      <c r="B614" s="6" t="s">
        <v>53</v>
      </c>
      <c r="C614" s="6">
        <v>1</v>
      </c>
      <c r="D614" s="6">
        <v>3</v>
      </c>
      <c r="E614" s="6">
        <v>2</v>
      </c>
      <c r="F614" s="10">
        <v>45999</v>
      </c>
      <c r="G614" s="6" t="str">
        <f>_xlfn.TEXTJOIN("|",TRUE,GameLog[[#This Row],[Pod]],TEXT(INT(GameLog[[#This Row],[Round]]),"yyyymmdd"),GameLog[[#This Row],[Date]])</f>
        <v>3|19000102|45999</v>
      </c>
      <c r="H614" s="6">
        <f>COUNTIF(GameLog[Pod ID],GameLog[[#This Row],[Pod ID]])</f>
        <v>4</v>
      </c>
      <c r="I614" s="6">
        <f>YEAR(GameLog[[#This Row],[Date]])</f>
        <v>2025</v>
      </c>
      <c r="J614" s="6">
        <f>MONTH(GameLog[[#This Row],[Date]])</f>
        <v>12</v>
      </c>
      <c r="K614" s="6" t="str">
        <f>IF(GameLog[[#This Row],[Date]]=MAX(GameLog[Date]),"Current","Previous")</f>
        <v>Previous</v>
      </c>
      <c r="L614" s="6"/>
      <c r="M6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4" s="6" t="str">
        <f ca="1">IF(GameLog[[#This Row],[Check]]="","",COUNTIF(GameLog[[#Headers],[Check]]:GameLog[[#This Row],[Check]],"?*")-1)</f>
        <v/>
      </c>
      <c r="O614" s="6" t="str">
        <f>IFERROR(INDEX(Players[New name],MATCH(GameLog[[#This Row],[Player]],Players[Name],0)),GameLog[[#This Row],[Player]])</f>
        <v>Rodney Y</v>
      </c>
    </row>
    <row r="615" spans="1:15" x14ac:dyDescent="0.45">
      <c r="A615" s="6" t="s">
        <v>70</v>
      </c>
      <c r="B615" s="6" t="s">
        <v>53</v>
      </c>
      <c r="C615" s="6">
        <v>2</v>
      </c>
      <c r="D615" s="6">
        <v>3</v>
      </c>
      <c r="E615" s="6">
        <v>2</v>
      </c>
      <c r="F615" s="10">
        <v>45999</v>
      </c>
      <c r="G615" s="6" t="str">
        <f>_xlfn.TEXTJOIN("|",TRUE,GameLog[[#This Row],[Pod]],TEXT(INT(GameLog[[#This Row],[Round]]),"yyyymmdd"),GameLog[[#This Row],[Date]])</f>
        <v>3|19000102|45999</v>
      </c>
      <c r="H615" s="6">
        <f>COUNTIF(GameLog[Pod ID],GameLog[[#This Row],[Pod ID]])</f>
        <v>4</v>
      </c>
      <c r="I615" s="6">
        <f>YEAR(GameLog[[#This Row],[Date]])</f>
        <v>2025</v>
      </c>
      <c r="J615" s="6">
        <f>MONTH(GameLog[[#This Row],[Date]])</f>
        <v>12</v>
      </c>
      <c r="K615" s="6" t="str">
        <f>IF(GameLog[[#This Row],[Date]]=MAX(GameLog[Date]),"Current","Previous")</f>
        <v>Previous</v>
      </c>
      <c r="L615" s="6"/>
      <c r="M6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5" s="6" t="str">
        <f ca="1">IF(GameLog[[#This Row],[Check]]="","",COUNTIF(GameLog[[#Headers],[Check]]:GameLog[[#This Row],[Check]],"?*")-1)</f>
        <v/>
      </c>
      <c r="O615" s="6" t="str">
        <f>IFERROR(INDEX(Players[New name],MATCH(GameLog[[#This Row],[Player]],Players[Name],0)),GameLog[[#This Row],[Player]])</f>
        <v>Brad F</v>
      </c>
    </row>
    <row r="616" spans="1:15" x14ac:dyDescent="0.45">
      <c r="A616" s="6" t="s">
        <v>73</v>
      </c>
      <c r="B616" s="6" t="s">
        <v>50</v>
      </c>
      <c r="C616" s="6">
        <v>3</v>
      </c>
      <c r="D616" s="6">
        <v>3</v>
      </c>
      <c r="E616" s="6">
        <v>2</v>
      </c>
      <c r="F616" s="10">
        <v>45999</v>
      </c>
      <c r="G616" s="6" t="str">
        <f>_xlfn.TEXTJOIN("|",TRUE,GameLog[[#This Row],[Pod]],TEXT(INT(GameLog[[#This Row],[Round]]),"yyyymmdd"),GameLog[[#This Row],[Date]])</f>
        <v>3|19000102|45999</v>
      </c>
      <c r="H616" s="6">
        <f>COUNTIF(GameLog[Pod ID],GameLog[[#This Row],[Pod ID]])</f>
        <v>4</v>
      </c>
      <c r="I616" s="6">
        <f>YEAR(GameLog[[#This Row],[Date]])</f>
        <v>2025</v>
      </c>
      <c r="J616" s="6">
        <f>MONTH(GameLog[[#This Row],[Date]])</f>
        <v>12</v>
      </c>
      <c r="K616" s="6" t="str">
        <f>IF(GameLog[[#This Row],[Date]]=MAX(GameLog[Date]),"Current","Previous")</f>
        <v>Previous</v>
      </c>
      <c r="L616" s="6"/>
      <c r="M6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6" s="6" t="str">
        <f ca="1">IF(GameLog[[#This Row],[Check]]="","",COUNTIF(GameLog[[#Headers],[Check]]:GameLog[[#This Row],[Check]],"?*")-1)</f>
        <v/>
      </c>
      <c r="O616" s="6" t="str">
        <f>IFERROR(INDEX(Players[New name],MATCH(GameLog[[#This Row],[Player]],Players[Name],0)),GameLog[[#This Row],[Player]])</f>
        <v>Brandon B</v>
      </c>
    </row>
    <row r="617" spans="1:15" x14ac:dyDescent="0.45">
      <c r="A617" s="6" t="s">
        <v>76</v>
      </c>
      <c r="B617" s="6" t="s">
        <v>53</v>
      </c>
      <c r="C617" s="6">
        <v>4</v>
      </c>
      <c r="D617" s="6">
        <v>3</v>
      </c>
      <c r="E617" s="6">
        <v>2</v>
      </c>
      <c r="F617" s="10">
        <v>45999</v>
      </c>
      <c r="G617" s="6" t="str">
        <f>_xlfn.TEXTJOIN("|",TRUE,GameLog[[#This Row],[Pod]],TEXT(INT(GameLog[[#This Row],[Round]]),"yyyymmdd"),GameLog[[#This Row],[Date]])</f>
        <v>3|19000102|45999</v>
      </c>
      <c r="H617" s="6">
        <f>COUNTIF(GameLog[Pod ID],GameLog[[#This Row],[Pod ID]])</f>
        <v>4</v>
      </c>
      <c r="I617" s="6">
        <f>YEAR(GameLog[[#This Row],[Date]])</f>
        <v>2025</v>
      </c>
      <c r="J617" s="6">
        <f>MONTH(GameLog[[#This Row],[Date]])</f>
        <v>12</v>
      </c>
      <c r="K617" s="6" t="str">
        <f>IF(GameLog[[#This Row],[Date]]=MAX(GameLog[Date]),"Current","Previous")</f>
        <v>Previous</v>
      </c>
      <c r="L617" s="6"/>
      <c r="M6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7" s="6" t="str">
        <f ca="1">IF(GameLog[[#This Row],[Check]]="","",COUNTIF(GameLog[[#Headers],[Check]]:GameLog[[#This Row],[Check]],"?*")-1)</f>
        <v/>
      </c>
      <c r="O617" s="6" t="str">
        <f>IFERROR(INDEX(Players[New name],MATCH(GameLog[[#This Row],[Player]],Players[Name],0)),GameLog[[#This Row],[Player]])</f>
        <v>Jon M</v>
      </c>
    </row>
    <row r="618" spans="1:15" x14ac:dyDescent="0.45">
      <c r="A618" s="6" t="s">
        <v>83</v>
      </c>
      <c r="B618" s="6" t="s">
        <v>53</v>
      </c>
      <c r="C618" s="6">
        <v>1</v>
      </c>
      <c r="D618" s="6">
        <v>4</v>
      </c>
      <c r="E618" s="6">
        <v>2</v>
      </c>
      <c r="F618" s="10">
        <v>45999</v>
      </c>
      <c r="G618" s="6" t="str">
        <f>_xlfn.TEXTJOIN("|",TRUE,GameLog[[#This Row],[Pod]],TEXT(INT(GameLog[[#This Row],[Round]]),"yyyymmdd"),GameLog[[#This Row],[Date]])</f>
        <v>4|19000102|45999</v>
      </c>
      <c r="H618" s="6">
        <f>COUNTIF(GameLog[Pod ID],GameLog[[#This Row],[Pod ID]])</f>
        <v>3</v>
      </c>
      <c r="I618" s="6">
        <f>YEAR(GameLog[[#This Row],[Date]])</f>
        <v>2025</v>
      </c>
      <c r="J618" s="6">
        <f>MONTH(GameLog[[#This Row],[Date]])</f>
        <v>12</v>
      </c>
      <c r="K618" s="6" t="str">
        <f>IF(GameLog[[#This Row],[Date]]=MAX(GameLog[Date]),"Current","Previous")</f>
        <v>Previous</v>
      </c>
      <c r="L618" s="6"/>
      <c r="M6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8" s="6" t="str">
        <f ca="1">IF(GameLog[[#This Row],[Check]]="","",COUNTIF(GameLog[[#Headers],[Check]]:GameLog[[#This Row],[Check]],"?*")-1)</f>
        <v/>
      </c>
      <c r="O618" s="6" t="str">
        <f>IFERROR(INDEX(Players[New name],MATCH(GameLog[[#This Row],[Player]],Players[Name],0)),GameLog[[#This Row],[Player]])</f>
        <v>Devyn S</v>
      </c>
    </row>
    <row r="619" spans="1:15" x14ac:dyDescent="0.45">
      <c r="A619" s="6" t="s">
        <v>49</v>
      </c>
      <c r="B619" s="6" t="s">
        <v>53</v>
      </c>
      <c r="C619" s="6">
        <v>2</v>
      </c>
      <c r="D619" s="6">
        <v>4</v>
      </c>
      <c r="E619" s="6">
        <v>2</v>
      </c>
      <c r="F619" s="10">
        <v>45999</v>
      </c>
      <c r="G619" s="6" t="str">
        <f>_xlfn.TEXTJOIN("|",TRUE,GameLog[[#This Row],[Pod]],TEXT(INT(GameLog[[#This Row],[Round]]),"yyyymmdd"),GameLog[[#This Row],[Date]])</f>
        <v>4|19000102|45999</v>
      </c>
      <c r="H619" s="6">
        <f>COUNTIF(GameLog[Pod ID],GameLog[[#This Row],[Pod ID]])</f>
        <v>3</v>
      </c>
      <c r="I619" s="6">
        <f>YEAR(GameLog[[#This Row],[Date]])</f>
        <v>2025</v>
      </c>
      <c r="J619" s="6">
        <f>MONTH(GameLog[[#This Row],[Date]])</f>
        <v>12</v>
      </c>
      <c r="K619" s="6" t="str">
        <f>IF(GameLog[[#This Row],[Date]]=MAX(GameLog[Date]),"Current","Previous")</f>
        <v>Previous</v>
      </c>
      <c r="L619" s="6"/>
      <c r="M6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19" s="6" t="str">
        <f ca="1">IF(GameLog[[#This Row],[Check]]="","",COUNTIF(GameLog[[#Headers],[Check]]:GameLog[[#This Row],[Check]],"?*")-1)</f>
        <v/>
      </c>
      <c r="O619" s="6" t="str">
        <f>IFERROR(INDEX(Players[New name],MATCH(GameLog[[#This Row],[Player]],Players[Name],0)),GameLog[[#This Row],[Player]])</f>
        <v>Brett R</v>
      </c>
    </row>
    <row r="620" spans="1:15" x14ac:dyDescent="0.45">
      <c r="A620" s="6" t="s">
        <v>64</v>
      </c>
      <c r="B620" s="6" t="s">
        <v>50</v>
      </c>
      <c r="C620" s="6">
        <v>3</v>
      </c>
      <c r="D620" s="6">
        <v>4</v>
      </c>
      <c r="E620" s="6">
        <v>2</v>
      </c>
      <c r="F620" s="10">
        <v>45999</v>
      </c>
      <c r="G620" s="6" t="str">
        <f>_xlfn.TEXTJOIN("|",TRUE,GameLog[[#This Row],[Pod]],TEXT(INT(GameLog[[#This Row],[Round]]),"yyyymmdd"),GameLog[[#This Row],[Date]])</f>
        <v>4|19000102|45999</v>
      </c>
      <c r="H620" s="6">
        <f>COUNTIF(GameLog[Pod ID],GameLog[[#This Row],[Pod ID]])</f>
        <v>3</v>
      </c>
      <c r="I620" s="6">
        <f>YEAR(GameLog[[#This Row],[Date]])</f>
        <v>2025</v>
      </c>
      <c r="J620" s="6">
        <f>MONTH(GameLog[[#This Row],[Date]])</f>
        <v>12</v>
      </c>
      <c r="K620" s="6" t="str">
        <f>IF(GameLog[[#This Row],[Date]]=MAX(GameLog[Date]),"Current","Previous")</f>
        <v>Previous</v>
      </c>
      <c r="L620" s="6"/>
      <c r="M6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0" s="6" t="str">
        <f ca="1">IF(GameLog[[#This Row],[Check]]="","",COUNTIF(GameLog[[#Headers],[Check]]:GameLog[[#This Row],[Check]],"?*")-1)</f>
        <v/>
      </c>
      <c r="O620" s="6" t="str">
        <f>IFERROR(INDEX(Players[New name],MATCH(GameLog[[#This Row],[Player]],Players[Name],0)),GameLog[[#This Row],[Player]])</f>
        <v>Tyler B</v>
      </c>
    </row>
    <row r="621" spans="1:15" x14ac:dyDescent="0.45">
      <c r="A621" s="6" t="s">
        <v>61</v>
      </c>
      <c r="B621" s="6" t="s">
        <v>53</v>
      </c>
      <c r="C621" s="6">
        <v>1</v>
      </c>
      <c r="D621" s="6">
        <v>1</v>
      </c>
      <c r="E621" s="6">
        <v>1</v>
      </c>
      <c r="F621" s="10">
        <v>46006</v>
      </c>
      <c r="G621" s="6" t="str">
        <f>_xlfn.TEXTJOIN("|",TRUE,GameLog[[#This Row],[Pod]],TEXT(INT(GameLog[[#This Row],[Round]]),"yyyymmdd"),GameLog[[#This Row],[Date]])</f>
        <v>1|19000101|46006</v>
      </c>
      <c r="H621" s="6">
        <f>COUNTIF(GameLog[Pod ID],GameLog[[#This Row],[Pod ID]])</f>
        <v>4</v>
      </c>
      <c r="I621" s="6">
        <f>YEAR(GameLog[[#This Row],[Date]])</f>
        <v>2025</v>
      </c>
      <c r="J621" s="6">
        <f>MONTH(GameLog[[#This Row],[Date]])</f>
        <v>12</v>
      </c>
      <c r="K621" s="6" t="str">
        <f>IF(GameLog[[#This Row],[Date]]=MAX(GameLog[Date]),"Current","Previous")</f>
        <v>Previous</v>
      </c>
      <c r="L621" s="6"/>
      <c r="M6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1" s="6" t="str">
        <f ca="1">IF(GameLog[[#This Row],[Check]]="","",COUNTIF(GameLog[[#Headers],[Check]]:GameLog[[#This Row],[Check]],"?*")-1)</f>
        <v/>
      </c>
      <c r="O621" s="6" t="str">
        <f>IFERROR(INDEX(Players[New name],MATCH(GameLog[[#This Row],[Player]],Players[Name],0)),GameLog[[#This Row],[Player]])</f>
        <v>Trevor</v>
      </c>
    </row>
    <row r="622" spans="1:15" x14ac:dyDescent="0.45">
      <c r="A622" s="6" t="s">
        <v>49</v>
      </c>
      <c r="B622" s="6" t="s">
        <v>53</v>
      </c>
      <c r="C622" s="6">
        <v>2</v>
      </c>
      <c r="D622" s="6">
        <v>1</v>
      </c>
      <c r="E622" s="6">
        <v>1</v>
      </c>
      <c r="F622" s="10">
        <v>46006</v>
      </c>
      <c r="G622" s="6" t="str">
        <f>_xlfn.TEXTJOIN("|",TRUE,GameLog[[#This Row],[Pod]],TEXT(INT(GameLog[[#This Row],[Round]]),"yyyymmdd"),GameLog[[#This Row],[Date]])</f>
        <v>1|19000101|46006</v>
      </c>
      <c r="H622" s="6">
        <f>COUNTIF(GameLog[Pod ID],GameLog[[#This Row],[Pod ID]])</f>
        <v>4</v>
      </c>
      <c r="I622" s="6">
        <f>YEAR(GameLog[[#This Row],[Date]])</f>
        <v>2025</v>
      </c>
      <c r="J622" s="6">
        <f>MONTH(GameLog[[#This Row],[Date]])</f>
        <v>12</v>
      </c>
      <c r="K622" s="6" t="str">
        <f>IF(GameLog[[#This Row],[Date]]=MAX(GameLog[Date]),"Current","Previous")</f>
        <v>Previous</v>
      </c>
      <c r="L622" s="6"/>
      <c r="M6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2" s="6" t="str">
        <f ca="1">IF(GameLog[[#This Row],[Check]]="","",COUNTIF(GameLog[[#Headers],[Check]]:GameLog[[#This Row],[Check]],"?*")-1)</f>
        <v/>
      </c>
      <c r="O622" s="6" t="str">
        <f>IFERROR(INDEX(Players[New name],MATCH(GameLog[[#This Row],[Player]],Players[Name],0)),GameLog[[#This Row],[Player]])</f>
        <v>Brett R</v>
      </c>
    </row>
    <row r="623" spans="1:15" x14ac:dyDescent="0.45">
      <c r="A623" s="6" t="s">
        <v>55</v>
      </c>
      <c r="B623" s="6" t="s">
        <v>50</v>
      </c>
      <c r="C623" s="6">
        <v>3</v>
      </c>
      <c r="D623" s="6">
        <v>1</v>
      </c>
      <c r="E623" s="6">
        <v>1</v>
      </c>
      <c r="F623" s="10">
        <v>46006</v>
      </c>
      <c r="G623" s="6" t="str">
        <f>_xlfn.TEXTJOIN("|",TRUE,GameLog[[#This Row],[Pod]],TEXT(INT(GameLog[[#This Row],[Round]]),"yyyymmdd"),GameLog[[#This Row],[Date]])</f>
        <v>1|19000101|46006</v>
      </c>
      <c r="H623" s="6">
        <f>COUNTIF(GameLog[Pod ID],GameLog[[#This Row],[Pod ID]])</f>
        <v>4</v>
      </c>
      <c r="I623" s="6">
        <f>YEAR(GameLog[[#This Row],[Date]])</f>
        <v>2025</v>
      </c>
      <c r="J623" s="6">
        <f>MONTH(GameLog[[#This Row],[Date]])</f>
        <v>12</v>
      </c>
      <c r="K623" s="6" t="str">
        <f>IF(GameLog[[#This Row],[Date]]=MAX(GameLog[Date]),"Current","Previous")</f>
        <v>Previous</v>
      </c>
      <c r="L623" s="6"/>
      <c r="M6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3" s="6" t="str">
        <f ca="1">IF(GameLog[[#This Row],[Check]]="","",COUNTIF(GameLog[[#Headers],[Check]]:GameLog[[#This Row],[Check]],"?*")-1)</f>
        <v/>
      </c>
      <c r="O623" s="6" t="str">
        <f>IFERROR(INDEX(Players[New name],MATCH(GameLog[[#This Row],[Player]],Players[Name],0)),GameLog[[#This Row],[Player]])</f>
        <v>Bryce C</v>
      </c>
    </row>
    <row r="624" spans="1:15" x14ac:dyDescent="0.45">
      <c r="A624" s="6" t="s">
        <v>81</v>
      </c>
      <c r="B624" s="6" t="s">
        <v>53</v>
      </c>
      <c r="C624" s="6">
        <v>4</v>
      </c>
      <c r="D624" s="6">
        <v>1</v>
      </c>
      <c r="E624" s="6">
        <v>1</v>
      </c>
      <c r="F624" s="10">
        <v>46006</v>
      </c>
      <c r="G624" s="6" t="str">
        <f>_xlfn.TEXTJOIN("|",TRUE,GameLog[[#This Row],[Pod]],TEXT(INT(GameLog[[#This Row],[Round]]),"yyyymmdd"),GameLog[[#This Row],[Date]])</f>
        <v>1|19000101|46006</v>
      </c>
      <c r="H624" s="6">
        <f>COUNTIF(GameLog[Pod ID],GameLog[[#This Row],[Pod ID]])</f>
        <v>4</v>
      </c>
      <c r="I624" s="6">
        <f>YEAR(GameLog[[#This Row],[Date]])</f>
        <v>2025</v>
      </c>
      <c r="J624" s="6">
        <f>MONTH(GameLog[[#This Row],[Date]])</f>
        <v>12</v>
      </c>
      <c r="K624" s="6" t="str">
        <f>IF(GameLog[[#This Row],[Date]]=MAX(GameLog[Date]),"Current","Previous")</f>
        <v>Previous</v>
      </c>
      <c r="L624" s="6"/>
      <c r="M6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4" s="6" t="str">
        <f ca="1">IF(GameLog[[#This Row],[Check]]="","",COUNTIF(GameLog[[#Headers],[Check]]:GameLog[[#This Row],[Check]],"?*")-1)</f>
        <v/>
      </c>
      <c r="O624" s="6" t="str">
        <f>IFERROR(INDEX(Players[New name],MATCH(GameLog[[#This Row],[Player]],Players[Name],0)),GameLog[[#This Row],[Player]])</f>
        <v>Forrest</v>
      </c>
    </row>
    <row r="625" spans="1:15" x14ac:dyDescent="0.45">
      <c r="A625" s="6" t="s">
        <v>71</v>
      </c>
      <c r="B625" s="6" t="s">
        <v>50</v>
      </c>
      <c r="C625" s="6">
        <v>1</v>
      </c>
      <c r="D625" s="6">
        <v>2</v>
      </c>
      <c r="E625" s="6">
        <v>1</v>
      </c>
      <c r="F625" s="10">
        <v>46006</v>
      </c>
      <c r="G625" s="6" t="str">
        <f>_xlfn.TEXTJOIN("|",TRUE,GameLog[[#This Row],[Pod]],TEXT(INT(GameLog[[#This Row],[Round]]),"yyyymmdd"),GameLog[[#This Row],[Date]])</f>
        <v>2|19000101|46006</v>
      </c>
      <c r="H625" s="6">
        <f>COUNTIF(GameLog[Pod ID],GameLog[[#This Row],[Pod ID]])</f>
        <v>4</v>
      </c>
      <c r="I625" s="6">
        <f>YEAR(GameLog[[#This Row],[Date]])</f>
        <v>2025</v>
      </c>
      <c r="J625" s="6">
        <f>MONTH(GameLog[[#This Row],[Date]])</f>
        <v>12</v>
      </c>
      <c r="K625" s="6" t="str">
        <f>IF(GameLog[[#This Row],[Date]]=MAX(GameLog[Date]),"Current","Previous")</f>
        <v>Previous</v>
      </c>
      <c r="L625" s="6"/>
      <c r="M6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5" s="6" t="str">
        <f ca="1">IF(GameLog[[#This Row],[Check]]="","",COUNTIF(GameLog[[#Headers],[Check]]:GameLog[[#This Row],[Check]],"?*")-1)</f>
        <v/>
      </c>
      <c r="O625" s="6" t="str">
        <f>IFERROR(INDEX(Players[New name],MATCH(GameLog[[#This Row],[Player]],Players[Name],0)),GameLog[[#This Row],[Player]])</f>
        <v>Rodney Y</v>
      </c>
    </row>
    <row r="626" spans="1:15" x14ac:dyDescent="0.45">
      <c r="A626" s="6" t="s">
        <v>69</v>
      </c>
      <c r="B626" s="6" t="s">
        <v>53</v>
      </c>
      <c r="C626" s="6">
        <v>2</v>
      </c>
      <c r="D626" s="6">
        <v>2</v>
      </c>
      <c r="E626" s="6">
        <v>1</v>
      </c>
      <c r="F626" s="10">
        <v>46006</v>
      </c>
      <c r="G626" s="6" t="str">
        <f>_xlfn.TEXTJOIN("|",TRUE,GameLog[[#This Row],[Pod]],TEXT(INT(GameLog[[#This Row],[Round]]),"yyyymmdd"),GameLog[[#This Row],[Date]])</f>
        <v>2|19000101|46006</v>
      </c>
      <c r="H626" s="6">
        <f>COUNTIF(GameLog[Pod ID],GameLog[[#This Row],[Pod ID]])</f>
        <v>4</v>
      </c>
      <c r="I626" s="6">
        <f>YEAR(GameLog[[#This Row],[Date]])</f>
        <v>2025</v>
      </c>
      <c r="J626" s="6">
        <f>MONTH(GameLog[[#This Row],[Date]])</f>
        <v>12</v>
      </c>
      <c r="K626" s="6" t="str">
        <f>IF(GameLog[[#This Row],[Date]]=MAX(GameLog[Date]),"Current","Previous")</f>
        <v>Previous</v>
      </c>
      <c r="L626" s="6"/>
      <c r="M6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6" s="6" t="str">
        <f ca="1">IF(GameLog[[#This Row],[Check]]="","",COUNTIF(GameLog[[#Headers],[Check]]:GameLog[[#This Row],[Check]],"?*")-1)</f>
        <v/>
      </c>
      <c r="O626" s="6" t="str">
        <f>IFERROR(INDEX(Players[New name],MATCH(GameLog[[#This Row],[Player]],Players[Name],0)),GameLog[[#This Row],[Player]])</f>
        <v>Ryan T</v>
      </c>
    </row>
    <row r="627" spans="1:15" x14ac:dyDescent="0.45">
      <c r="A627" s="6" t="s">
        <v>73</v>
      </c>
      <c r="B627" s="6" t="s">
        <v>53</v>
      </c>
      <c r="C627" s="6">
        <v>3</v>
      </c>
      <c r="D627" s="6">
        <v>2</v>
      </c>
      <c r="E627" s="6">
        <v>1</v>
      </c>
      <c r="F627" s="10">
        <v>46006</v>
      </c>
      <c r="G627" s="6" t="str">
        <f>_xlfn.TEXTJOIN("|",TRUE,GameLog[[#This Row],[Pod]],TEXT(INT(GameLog[[#This Row],[Round]]),"yyyymmdd"),GameLog[[#This Row],[Date]])</f>
        <v>2|19000101|46006</v>
      </c>
      <c r="H627" s="6">
        <f>COUNTIF(GameLog[Pod ID],GameLog[[#This Row],[Pod ID]])</f>
        <v>4</v>
      </c>
      <c r="I627" s="6">
        <f>YEAR(GameLog[[#This Row],[Date]])</f>
        <v>2025</v>
      </c>
      <c r="J627" s="6">
        <f>MONTH(GameLog[[#This Row],[Date]])</f>
        <v>12</v>
      </c>
      <c r="K627" s="6" t="str">
        <f>IF(GameLog[[#This Row],[Date]]=MAX(GameLog[Date]),"Current","Previous")</f>
        <v>Previous</v>
      </c>
      <c r="L627" s="6"/>
      <c r="M6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7" s="6" t="str">
        <f ca="1">IF(GameLog[[#This Row],[Check]]="","",COUNTIF(GameLog[[#Headers],[Check]]:GameLog[[#This Row],[Check]],"?*")-1)</f>
        <v/>
      </c>
      <c r="O627" s="6" t="str">
        <f>IFERROR(INDEX(Players[New name],MATCH(GameLog[[#This Row],[Player]],Players[Name],0)),GameLog[[#This Row],[Player]])</f>
        <v>Brandon B</v>
      </c>
    </row>
    <row r="628" spans="1:15" x14ac:dyDescent="0.45">
      <c r="A628" s="6" t="s">
        <v>52</v>
      </c>
      <c r="B628" s="6" t="s">
        <v>53</v>
      </c>
      <c r="C628" s="6">
        <v>4</v>
      </c>
      <c r="D628" s="6">
        <v>2</v>
      </c>
      <c r="E628" s="6">
        <v>1</v>
      </c>
      <c r="F628" s="10">
        <v>46006</v>
      </c>
      <c r="G628" s="6" t="str">
        <f>_xlfn.TEXTJOIN("|",TRUE,GameLog[[#This Row],[Pod]],TEXT(INT(GameLog[[#This Row],[Round]]),"yyyymmdd"),GameLog[[#This Row],[Date]])</f>
        <v>2|19000101|46006</v>
      </c>
      <c r="H628" s="6">
        <f>COUNTIF(GameLog[Pod ID],GameLog[[#This Row],[Pod ID]])</f>
        <v>4</v>
      </c>
      <c r="I628" s="6">
        <f>YEAR(GameLog[[#This Row],[Date]])</f>
        <v>2025</v>
      </c>
      <c r="J628" s="6">
        <f>MONTH(GameLog[[#This Row],[Date]])</f>
        <v>12</v>
      </c>
      <c r="K628" s="6" t="str">
        <f>IF(GameLog[[#This Row],[Date]]=MAX(GameLog[Date]),"Current","Previous")</f>
        <v>Previous</v>
      </c>
      <c r="L628" s="6"/>
      <c r="M6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8" s="6" t="str">
        <f ca="1">IF(GameLog[[#This Row],[Check]]="","",COUNTIF(GameLog[[#Headers],[Check]]:GameLog[[#This Row],[Check]],"?*")-1)</f>
        <v/>
      </c>
      <c r="O628" s="6" t="str">
        <f>IFERROR(INDEX(Players[New name],MATCH(GameLog[[#This Row],[Player]],Players[Name],0)),GameLog[[#This Row],[Player]])</f>
        <v>Unknown</v>
      </c>
    </row>
    <row r="629" spans="1:15" x14ac:dyDescent="0.45">
      <c r="A629" s="6" t="s">
        <v>57</v>
      </c>
      <c r="B629" s="6" t="s">
        <v>53</v>
      </c>
      <c r="C629" s="6">
        <v>1</v>
      </c>
      <c r="D629" s="6">
        <v>3</v>
      </c>
      <c r="E629" s="6">
        <v>1</v>
      </c>
      <c r="F629" s="10">
        <v>46006</v>
      </c>
      <c r="G629" s="6" t="str">
        <f>_xlfn.TEXTJOIN("|",TRUE,GameLog[[#This Row],[Pod]],TEXT(INT(GameLog[[#This Row],[Round]]),"yyyymmdd"),GameLog[[#This Row],[Date]])</f>
        <v>3|19000101|46006</v>
      </c>
      <c r="H629" s="6">
        <f>COUNTIF(GameLog[Pod ID],GameLog[[#This Row],[Pod ID]])</f>
        <v>4</v>
      </c>
      <c r="I629" s="6">
        <f>YEAR(GameLog[[#This Row],[Date]])</f>
        <v>2025</v>
      </c>
      <c r="J629" s="6">
        <f>MONTH(GameLog[[#This Row],[Date]])</f>
        <v>12</v>
      </c>
      <c r="K629" s="6" t="str">
        <f>IF(GameLog[[#This Row],[Date]]=MAX(GameLog[Date]),"Current","Previous")</f>
        <v>Previous</v>
      </c>
      <c r="L629" s="6"/>
      <c r="M6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29" s="6" t="str">
        <f ca="1">IF(GameLog[[#This Row],[Check]]="","",COUNTIF(GameLog[[#Headers],[Check]]:GameLog[[#This Row],[Check]],"?*")-1)</f>
        <v/>
      </c>
      <c r="O629" s="6" t="str">
        <f>IFERROR(INDEX(Players[New name],MATCH(GameLog[[#This Row],[Player]],Players[Name],0)),GameLog[[#This Row],[Player]])</f>
        <v>AJ W</v>
      </c>
    </row>
    <row r="630" spans="1:15" x14ac:dyDescent="0.45">
      <c r="A630" s="6" t="s">
        <v>56</v>
      </c>
      <c r="B630" s="6" t="s">
        <v>50</v>
      </c>
      <c r="C630" s="6">
        <v>2</v>
      </c>
      <c r="D630" s="6">
        <v>3</v>
      </c>
      <c r="E630" s="6">
        <v>1</v>
      </c>
      <c r="F630" s="10">
        <v>46006</v>
      </c>
      <c r="G630" s="6" t="str">
        <f>_xlfn.TEXTJOIN("|",TRUE,GameLog[[#This Row],[Pod]],TEXT(INT(GameLog[[#This Row],[Round]]),"yyyymmdd"),GameLog[[#This Row],[Date]])</f>
        <v>3|19000101|46006</v>
      </c>
      <c r="H630" s="6">
        <f>COUNTIF(GameLog[Pod ID],GameLog[[#This Row],[Pod ID]])</f>
        <v>4</v>
      </c>
      <c r="I630" s="6">
        <f>YEAR(GameLog[[#This Row],[Date]])</f>
        <v>2025</v>
      </c>
      <c r="J630" s="6">
        <f>MONTH(GameLog[[#This Row],[Date]])</f>
        <v>12</v>
      </c>
      <c r="K630" s="6" t="str">
        <f>IF(GameLog[[#This Row],[Date]]=MAX(GameLog[Date]),"Current","Previous")</f>
        <v>Previous</v>
      </c>
      <c r="L630" s="6"/>
      <c r="M6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0" s="6" t="str">
        <f ca="1">IF(GameLog[[#This Row],[Check]]="","",COUNTIF(GameLog[[#Headers],[Check]]:GameLog[[#This Row],[Check]],"?*")-1)</f>
        <v/>
      </c>
      <c r="O630" s="6" t="str">
        <f>IFERROR(INDEX(Players[New name],MATCH(GameLog[[#This Row],[Player]],Players[Name],0)),GameLog[[#This Row],[Player]])</f>
        <v>Mark D</v>
      </c>
    </row>
    <row r="631" spans="1:15" x14ac:dyDescent="0.45">
      <c r="A631" s="6" t="s">
        <v>82</v>
      </c>
      <c r="B631" s="6" t="s">
        <v>53</v>
      </c>
      <c r="C631" s="6">
        <v>3</v>
      </c>
      <c r="D631" s="6">
        <v>3</v>
      </c>
      <c r="E631" s="6">
        <v>1</v>
      </c>
      <c r="F631" s="10">
        <v>46006</v>
      </c>
      <c r="G631" s="6" t="str">
        <f>_xlfn.TEXTJOIN("|",TRUE,GameLog[[#This Row],[Pod]],TEXT(INT(GameLog[[#This Row],[Round]]),"yyyymmdd"),GameLog[[#This Row],[Date]])</f>
        <v>3|19000101|46006</v>
      </c>
      <c r="H631" s="6">
        <f>COUNTIF(GameLog[Pod ID],GameLog[[#This Row],[Pod ID]])</f>
        <v>4</v>
      </c>
      <c r="I631" s="6">
        <f>YEAR(GameLog[[#This Row],[Date]])</f>
        <v>2025</v>
      </c>
      <c r="J631" s="6">
        <f>MONTH(GameLog[[#This Row],[Date]])</f>
        <v>12</v>
      </c>
      <c r="K631" s="6" t="str">
        <f>IF(GameLog[[#This Row],[Date]]=MAX(GameLog[Date]),"Current","Previous")</f>
        <v>Previous</v>
      </c>
      <c r="L631" s="6"/>
      <c r="M6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1" s="6" t="str">
        <f ca="1">IF(GameLog[[#This Row],[Check]]="","",COUNTIF(GameLog[[#Headers],[Check]]:GameLog[[#This Row],[Check]],"?*")-1)</f>
        <v/>
      </c>
      <c r="O631" s="6" t="str">
        <f>IFERROR(INDEX(Players[New name],MATCH(GameLog[[#This Row],[Player]],Players[Name],0)),GameLog[[#This Row],[Player]])</f>
        <v>Nick D</v>
      </c>
    </row>
    <row r="632" spans="1:15" x14ac:dyDescent="0.45">
      <c r="A632" s="6" t="s">
        <v>64</v>
      </c>
      <c r="B632" s="6" t="s">
        <v>53</v>
      </c>
      <c r="C632" s="6">
        <v>4</v>
      </c>
      <c r="D632" s="6">
        <v>3</v>
      </c>
      <c r="E632" s="6">
        <v>1</v>
      </c>
      <c r="F632" s="10">
        <v>46006</v>
      </c>
      <c r="G632" s="6" t="str">
        <f>_xlfn.TEXTJOIN("|",TRUE,GameLog[[#This Row],[Pod]],TEXT(INT(GameLog[[#This Row],[Round]]),"yyyymmdd"),GameLog[[#This Row],[Date]])</f>
        <v>3|19000101|46006</v>
      </c>
      <c r="H632" s="6">
        <f>COUNTIF(GameLog[Pod ID],GameLog[[#This Row],[Pod ID]])</f>
        <v>4</v>
      </c>
      <c r="I632" s="6">
        <f>YEAR(GameLog[[#This Row],[Date]])</f>
        <v>2025</v>
      </c>
      <c r="J632" s="6">
        <f>MONTH(GameLog[[#This Row],[Date]])</f>
        <v>12</v>
      </c>
      <c r="K632" s="6" t="str">
        <f>IF(GameLog[[#This Row],[Date]]=MAX(GameLog[Date]),"Current","Previous")</f>
        <v>Previous</v>
      </c>
      <c r="L632" s="6"/>
      <c r="M6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2" s="6" t="str">
        <f ca="1">IF(GameLog[[#This Row],[Check]]="","",COUNTIF(GameLog[[#Headers],[Check]]:GameLog[[#This Row],[Check]],"?*")-1)</f>
        <v/>
      </c>
      <c r="O632" s="6" t="str">
        <f>IFERROR(INDEX(Players[New name],MATCH(GameLog[[#This Row],[Player]],Players[Name],0)),GameLog[[#This Row],[Player]])</f>
        <v>Tyler B</v>
      </c>
    </row>
    <row r="633" spans="1:15" x14ac:dyDescent="0.45">
      <c r="A633" s="6" t="s">
        <v>84</v>
      </c>
      <c r="B633" s="6" t="s">
        <v>53</v>
      </c>
      <c r="C633" s="6">
        <v>1</v>
      </c>
      <c r="D633" s="6">
        <v>4</v>
      </c>
      <c r="E633" s="6">
        <v>1</v>
      </c>
      <c r="F633" s="10">
        <v>46006</v>
      </c>
      <c r="G633" s="6" t="str">
        <f>_xlfn.TEXTJOIN("|",TRUE,GameLog[[#This Row],[Pod]],TEXT(INT(GameLog[[#This Row],[Round]]),"yyyymmdd"),GameLog[[#This Row],[Date]])</f>
        <v>4|19000101|46006</v>
      </c>
      <c r="H633" s="6">
        <f>COUNTIF(GameLog[Pod ID],GameLog[[#This Row],[Pod ID]])</f>
        <v>4</v>
      </c>
      <c r="I633" s="6">
        <f>YEAR(GameLog[[#This Row],[Date]])</f>
        <v>2025</v>
      </c>
      <c r="J633" s="6">
        <f>MONTH(GameLog[[#This Row],[Date]])</f>
        <v>12</v>
      </c>
      <c r="K633" s="6" t="str">
        <f>IF(GameLog[[#This Row],[Date]]=MAX(GameLog[Date]),"Current","Previous")</f>
        <v>Previous</v>
      </c>
      <c r="L633" s="6"/>
      <c r="M6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3" s="6" t="str">
        <f ca="1">IF(GameLog[[#This Row],[Check]]="","",COUNTIF(GameLog[[#Headers],[Check]]:GameLog[[#This Row],[Check]],"?*")-1)</f>
        <v/>
      </c>
      <c r="O633" s="6" t="str">
        <f>IFERROR(INDEX(Players[New name],MATCH(GameLog[[#This Row],[Player]],Players[Name],0)),GameLog[[#This Row],[Player]])</f>
        <v>Zach D</v>
      </c>
    </row>
    <row r="634" spans="1:15" x14ac:dyDescent="0.45">
      <c r="A634" s="6" t="s">
        <v>70</v>
      </c>
      <c r="B634" s="6" t="s">
        <v>53</v>
      </c>
      <c r="C634" s="6">
        <v>2</v>
      </c>
      <c r="D634" s="6">
        <v>4</v>
      </c>
      <c r="E634" s="6">
        <v>1</v>
      </c>
      <c r="F634" s="10">
        <v>46006</v>
      </c>
      <c r="G634" s="6" t="str">
        <f>_xlfn.TEXTJOIN("|",TRUE,GameLog[[#This Row],[Pod]],TEXT(INT(GameLog[[#This Row],[Round]]),"yyyymmdd"),GameLog[[#This Row],[Date]])</f>
        <v>4|19000101|46006</v>
      </c>
      <c r="H634" s="6">
        <f>COUNTIF(GameLog[Pod ID],GameLog[[#This Row],[Pod ID]])</f>
        <v>4</v>
      </c>
      <c r="I634" s="6">
        <f>YEAR(GameLog[[#This Row],[Date]])</f>
        <v>2025</v>
      </c>
      <c r="J634" s="6">
        <f>MONTH(GameLog[[#This Row],[Date]])</f>
        <v>12</v>
      </c>
      <c r="K634" s="6" t="str">
        <f>IF(GameLog[[#This Row],[Date]]=MAX(GameLog[Date]),"Current","Previous")</f>
        <v>Previous</v>
      </c>
      <c r="L634" s="6"/>
      <c r="M6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4" s="6" t="str">
        <f ca="1">IF(GameLog[[#This Row],[Check]]="","",COUNTIF(GameLog[[#Headers],[Check]]:GameLog[[#This Row],[Check]],"?*")-1)</f>
        <v/>
      </c>
      <c r="O634" s="6" t="str">
        <f>IFERROR(INDEX(Players[New name],MATCH(GameLog[[#This Row],[Player]],Players[Name],0)),GameLog[[#This Row],[Player]])</f>
        <v>Brad F</v>
      </c>
    </row>
    <row r="635" spans="1:15" x14ac:dyDescent="0.45">
      <c r="A635" s="6" t="s">
        <v>58</v>
      </c>
      <c r="B635" s="6" t="s">
        <v>50</v>
      </c>
      <c r="C635" s="6">
        <v>3</v>
      </c>
      <c r="D635" s="6">
        <v>4</v>
      </c>
      <c r="E635" s="6">
        <v>1</v>
      </c>
      <c r="F635" s="10">
        <v>46006</v>
      </c>
      <c r="G635" s="6" t="str">
        <f>_xlfn.TEXTJOIN("|",TRUE,GameLog[[#This Row],[Pod]],TEXT(INT(GameLog[[#This Row],[Round]]),"yyyymmdd"),GameLog[[#This Row],[Date]])</f>
        <v>4|19000101|46006</v>
      </c>
      <c r="H635" s="6">
        <f>COUNTIF(GameLog[Pod ID],GameLog[[#This Row],[Pod ID]])</f>
        <v>4</v>
      </c>
      <c r="I635" s="6">
        <f>YEAR(GameLog[[#This Row],[Date]])</f>
        <v>2025</v>
      </c>
      <c r="J635" s="6">
        <f>MONTH(GameLog[[#This Row],[Date]])</f>
        <v>12</v>
      </c>
      <c r="K635" s="6" t="str">
        <f>IF(GameLog[[#This Row],[Date]]=MAX(GameLog[Date]),"Current","Previous")</f>
        <v>Previous</v>
      </c>
      <c r="L635" s="6"/>
      <c r="M6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5" s="6" t="str">
        <f ca="1">IF(GameLog[[#This Row],[Check]]="","",COUNTIF(GameLog[[#Headers],[Check]]:GameLog[[#This Row],[Check]],"?*")-1)</f>
        <v/>
      </c>
      <c r="O635" s="6" t="str">
        <f>IFERROR(INDEX(Players[New name],MATCH(GameLog[[#This Row],[Player]],Players[Name],0)),GameLog[[#This Row],[Player]])</f>
        <v>Dakota P</v>
      </c>
    </row>
    <row r="636" spans="1:15" x14ac:dyDescent="0.45">
      <c r="A636" s="6" t="s">
        <v>52</v>
      </c>
      <c r="B636" s="6" t="s">
        <v>53</v>
      </c>
      <c r="C636" s="6">
        <v>4</v>
      </c>
      <c r="D636" s="6">
        <v>4</v>
      </c>
      <c r="E636" s="6">
        <v>1</v>
      </c>
      <c r="F636" s="10">
        <v>46006</v>
      </c>
      <c r="G636" s="6" t="str">
        <f>_xlfn.TEXTJOIN("|",TRUE,GameLog[[#This Row],[Pod]],TEXT(INT(GameLog[[#This Row],[Round]]),"yyyymmdd"),GameLog[[#This Row],[Date]])</f>
        <v>4|19000101|46006</v>
      </c>
      <c r="H636" s="6">
        <f>COUNTIF(GameLog[Pod ID],GameLog[[#This Row],[Pod ID]])</f>
        <v>4</v>
      </c>
      <c r="I636" s="6">
        <f>YEAR(GameLog[[#This Row],[Date]])</f>
        <v>2025</v>
      </c>
      <c r="J636" s="6">
        <f>MONTH(GameLog[[#This Row],[Date]])</f>
        <v>12</v>
      </c>
      <c r="K636" s="6" t="str">
        <f>IF(GameLog[[#This Row],[Date]]=MAX(GameLog[Date]),"Current","Previous")</f>
        <v>Previous</v>
      </c>
      <c r="L636" s="6"/>
      <c r="M6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6" s="6" t="str">
        <f ca="1">IF(GameLog[[#This Row],[Check]]="","",COUNTIF(GameLog[[#Headers],[Check]]:GameLog[[#This Row],[Check]],"?*")-1)</f>
        <v/>
      </c>
      <c r="O636" s="6" t="str">
        <f>IFERROR(INDEX(Players[New name],MATCH(GameLog[[#This Row],[Player]],Players[Name],0)),GameLog[[#This Row],[Player]])</f>
        <v>Unknown</v>
      </c>
    </row>
    <row r="637" spans="1:15" x14ac:dyDescent="0.45">
      <c r="A637" s="6" t="s">
        <v>58</v>
      </c>
      <c r="B637" s="6" t="s">
        <v>53</v>
      </c>
      <c r="C637" s="6">
        <v>1</v>
      </c>
      <c r="D637" s="6">
        <v>1</v>
      </c>
      <c r="E637" s="6">
        <v>2</v>
      </c>
      <c r="F637" s="10">
        <v>46006</v>
      </c>
      <c r="G637" s="6" t="str">
        <f>_xlfn.TEXTJOIN("|",TRUE,GameLog[[#This Row],[Pod]],TEXT(INT(GameLog[[#This Row],[Round]]),"yyyymmdd"),GameLog[[#This Row],[Date]])</f>
        <v>1|19000102|46006</v>
      </c>
      <c r="H637" s="6">
        <f>COUNTIF(GameLog[Pod ID],GameLog[[#This Row],[Pod ID]])</f>
        <v>4</v>
      </c>
      <c r="I637" s="6">
        <f>YEAR(GameLog[[#This Row],[Date]])</f>
        <v>2025</v>
      </c>
      <c r="J637" s="6">
        <f>MONTH(GameLog[[#This Row],[Date]])</f>
        <v>12</v>
      </c>
      <c r="K637" s="6" t="str">
        <f>IF(GameLog[[#This Row],[Date]]=MAX(GameLog[Date]),"Current","Previous")</f>
        <v>Previous</v>
      </c>
      <c r="L637" s="6"/>
      <c r="M6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7" s="6" t="str">
        <f ca="1">IF(GameLog[[#This Row],[Check]]="","",COUNTIF(GameLog[[#Headers],[Check]]:GameLog[[#This Row],[Check]],"?*")-1)</f>
        <v/>
      </c>
      <c r="O637" s="6" t="str">
        <f>IFERROR(INDEX(Players[New name],MATCH(GameLog[[#This Row],[Player]],Players[Name],0)),GameLog[[#This Row],[Player]])</f>
        <v>Dakota P</v>
      </c>
    </row>
    <row r="638" spans="1:15" x14ac:dyDescent="0.45">
      <c r="A638" s="6" t="s">
        <v>56</v>
      </c>
      <c r="B638" s="6" t="s">
        <v>50</v>
      </c>
      <c r="C638" s="6">
        <v>2</v>
      </c>
      <c r="D638" s="6">
        <v>1</v>
      </c>
      <c r="E638" s="6">
        <v>2</v>
      </c>
      <c r="F638" s="10">
        <v>46006</v>
      </c>
      <c r="G638" s="6" t="str">
        <f>_xlfn.TEXTJOIN("|",TRUE,GameLog[[#This Row],[Pod]],TEXT(INT(GameLog[[#This Row],[Round]]),"yyyymmdd"),GameLog[[#This Row],[Date]])</f>
        <v>1|19000102|46006</v>
      </c>
      <c r="H638" s="6">
        <f>COUNTIF(GameLog[Pod ID],GameLog[[#This Row],[Pod ID]])</f>
        <v>4</v>
      </c>
      <c r="I638" s="6">
        <f>YEAR(GameLog[[#This Row],[Date]])</f>
        <v>2025</v>
      </c>
      <c r="J638" s="6">
        <f>MONTH(GameLog[[#This Row],[Date]])</f>
        <v>12</v>
      </c>
      <c r="K638" s="6" t="str">
        <f>IF(GameLog[[#This Row],[Date]]=MAX(GameLog[Date]),"Current","Previous")</f>
        <v>Previous</v>
      </c>
      <c r="L638" s="6"/>
      <c r="M6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8" s="6" t="str">
        <f ca="1">IF(GameLog[[#This Row],[Check]]="","",COUNTIF(GameLog[[#Headers],[Check]]:GameLog[[#This Row],[Check]],"?*")-1)</f>
        <v/>
      </c>
      <c r="O638" s="6" t="str">
        <f>IFERROR(INDEX(Players[New name],MATCH(GameLog[[#This Row],[Player]],Players[Name],0)),GameLog[[#This Row],[Player]])</f>
        <v>Mark D</v>
      </c>
    </row>
    <row r="639" spans="1:15" x14ac:dyDescent="0.45">
      <c r="A639" s="6" t="s">
        <v>55</v>
      </c>
      <c r="B639" s="6" t="s">
        <v>53</v>
      </c>
      <c r="C639" s="6">
        <v>3</v>
      </c>
      <c r="D639" s="6">
        <v>1</v>
      </c>
      <c r="E639" s="6">
        <v>2</v>
      </c>
      <c r="F639" s="10">
        <v>46006</v>
      </c>
      <c r="G639" s="6" t="str">
        <f>_xlfn.TEXTJOIN("|",TRUE,GameLog[[#This Row],[Pod]],TEXT(INT(GameLog[[#This Row],[Round]]),"yyyymmdd"),GameLog[[#This Row],[Date]])</f>
        <v>1|19000102|46006</v>
      </c>
      <c r="H639" s="6">
        <f>COUNTIF(GameLog[Pod ID],GameLog[[#This Row],[Pod ID]])</f>
        <v>4</v>
      </c>
      <c r="I639" s="6">
        <f>YEAR(GameLog[[#This Row],[Date]])</f>
        <v>2025</v>
      </c>
      <c r="J639" s="6">
        <f>MONTH(GameLog[[#This Row],[Date]])</f>
        <v>12</v>
      </c>
      <c r="K639" s="6" t="str">
        <f>IF(GameLog[[#This Row],[Date]]=MAX(GameLog[Date]),"Current","Previous")</f>
        <v>Previous</v>
      </c>
      <c r="L639" s="6"/>
      <c r="M6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39" s="6" t="str">
        <f ca="1">IF(GameLog[[#This Row],[Check]]="","",COUNTIF(GameLog[[#Headers],[Check]]:GameLog[[#This Row],[Check]],"?*")-1)</f>
        <v/>
      </c>
      <c r="O639" s="6" t="str">
        <f>IFERROR(INDEX(Players[New name],MATCH(GameLog[[#This Row],[Player]],Players[Name],0)),GameLog[[#This Row],[Player]])</f>
        <v>Bryce C</v>
      </c>
    </row>
    <row r="640" spans="1:15" x14ac:dyDescent="0.45">
      <c r="A640" s="6" t="s">
        <v>71</v>
      </c>
      <c r="B640" s="6" t="s">
        <v>53</v>
      </c>
      <c r="C640" s="6">
        <v>4</v>
      </c>
      <c r="D640" s="6">
        <v>1</v>
      </c>
      <c r="E640" s="6">
        <v>2</v>
      </c>
      <c r="F640" s="10">
        <v>46006</v>
      </c>
      <c r="G640" s="6" t="str">
        <f>_xlfn.TEXTJOIN("|",TRUE,GameLog[[#This Row],[Pod]],TEXT(INT(GameLog[[#This Row],[Round]]),"yyyymmdd"),GameLog[[#This Row],[Date]])</f>
        <v>1|19000102|46006</v>
      </c>
      <c r="H640" s="6">
        <f>COUNTIF(GameLog[Pod ID],GameLog[[#This Row],[Pod ID]])</f>
        <v>4</v>
      </c>
      <c r="I640" s="6">
        <f>YEAR(GameLog[[#This Row],[Date]])</f>
        <v>2025</v>
      </c>
      <c r="J640" s="6">
        <f>MONTH(GameLog[[#This Row],[Date]])</f>
        <v>12</v>
      </c>
      <c r="K640" s="6" t="str">
        <f>IF(GameLog[[#This Row],[Date]]=MAX(GameLog[Date]),"Current","Previous")</f>
        <v>Previous</v>
      </c>
      <c r="L640" s="6"/>
      <c r="M6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0" s="6" t="str">
        <f ca="1">IF(GameLog[[#This Row],[Check]]="","",COUNTIF(GameLog[[#Headers],[Check]]:GameLog[[#This Row],[Check]],"?*")-1)</f>
        <v/>
      </c>
      <c r="O640" s="6" t="str">
        <f>IFERROR(INDEX(Players[New name],MATCH(GameLog[[#This Row],[Player]],Players[Name],0)),GameLog[[#This Row],[Player]])</f>
        <v>Rodney Y</v>
      </c>
    </row>
    <row r="641" spans="1:15" x14ac:dyDescent="0.45">
      <c r="A641" s="6" t="s">
        <v>64</v>
      </c>
      <c r="B641" s="6" t="s">
        <v>53</v>
      </c>
      <c r="C641" s="6">
        <v>1</v>
      </c>
      <c r="D641" s="6">
        <v>2</v>
      </c>
      <c r="E641" s="6">
        <v>2</v>
      </c>
      <c r="F641" s="10">
        <v>46006</v>
      </c>
      <c r="G641" s="6" t="str">
        <f>_xlfn.TEXTJOIN("|",TRUE,GameLog[[#This Row],[Pod]],TEXT(INT(GameLog[[#This Row],[Round]]),"yyyymmdd"),GameLog[[#This Row],[Date]])</f>
        <v>2|19000102|46006</v>
      </c>
      <c r="H641" s="6">
        <f>COUNTIF(GameLog[Pod ID],GameLog[[#This Row],[Pod ID]])</f>
        <v>4</v>
      </c>
      <c r="I641" s="6">
        <f>YEAR(GameLog[[#This Row],[Date]])</f>
        <v>2025</v>
      </c>
      <c r="J641" s="6">
        <f>MONTH(GameLog[[#This Row],[Date]])</f>
        <v>12</v>
      </c>
      <c r="K641" s="6" t="str">
        <f>IF(GameLog[[#This Row],[Date]]=MAX(GameLog[Date]),"Current","Previous")</f>
        <v>Previous</v>
      </c>
      <c r="L641" s="6"/>
      <c r="M6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1" s="6" t="str">
        <f ca="1">IF(GameLog[[#This Row],[Check]]="","",COUNTIF(GameLog[[#Headers],[Check]]:GameLog[[#This Row],[Check]],"?*")-1)</f>
        <v/>
      </c>
      <c r="O641" s="6" t="str">
        <f>IFERROR(INDEX(Players[New name],MATCH(GameLog[[#This Row],[Player]],Players[Name],0)),GameLog[[#This Row],[Player]])</f>
        <v>Tyler B</v>
      </c>
    </row>
    <row r="642" spans="1:15" x14ac:dyDescent="0.45">
      <c r="A642" s="6" t="s">
        <v>86</v>
      </c>
      <c r="B642" s="6" t="s">
        <v>50</v>
      </c>
      <c r="C642" s="6">
        <v>2</v>
      </c>
      <c r="D642" s="6">
        <v>2</v>
      </c>
      <c r="E642" s="6">
        <v>2</v>
      </c>
      <c r="F642" s="10">
        <v>46006</v>
      </c>
      <c r="G642" s="6" t="str">
        <f>_xlfn.TEXTJOIN("|",TRUE,GameLog[[#This Row],[Pod]],TEXT(INT(GameLog[[#This Row],[Round]]),"yyyymmdd"),GameLog[[#This Row],[Date]])</f>
        <v>2|19000102|46006</v>
      </c>
      <c r="H642" s="6">
        <f>COUNTIF(GameLog[Pod ID],GameLog[[#This Row],[Pod ID]])</f>
        <v>4</v>
      </c>
      <c r="I642" s="6">
        <f>YEAR(GameLog[[#This Row],[Date]])</f>
        <v>2025</v>
      </c>
      <c r="J642" s="6">
        <f>MONTH(GameLog[[#This Row],[Date]])</f>
        <v>12</v>
      </c>
      <c r="K642" s="6" t="str">
        <f>IF(GameLog[[#This Row],[Date]]=MAX(GameLog[Date]),"Current","Previous")</f>
        <v>Previous</v>
      </c>
      <c r="L642" s="6"/>
      <c r="M6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2" s="6" t="str">
        <f ca="1">IF(GameLog[[#This Row],[Check]]="","",COUNTIF(GameLog[[#Headers],[Check]]:GameLog[[#This Row],[Check]],"?*")-1)</f>
        <v/>
      </c>
      <c r="O642" s="6" t="str">
        <f>IFERROR(INDEX(Players[New name],MATCH(GameLog[[#This Row],[Player]],Players[Name],0)),GameLog[[#This Row],[Player]])</f>
        <v>Steve C</v>
      </c>
    </row>
    <row r="643" spans="1:15" x14ac:dyDescent="0.45">
      <c r="A643" s="6" t="s">
        <v>70</v>
      </c>
      <c r="B643" s="6" t="s">
        <v>53</v>
      </c>
      <c r="C643" s="6">
        <v>3</v>
      </c>
      <c r="D643" s="6">
        <v>2</v>
      </c>
      <c r="E643" s="6">
        <v>2</v>
      </c>
      <c r="F643" s="10">
        <v>46006</v>
      </c>
      <c r="G643" s="6" t="str">
        <f>_xlfn.TEXTJOIN("|",TRUE,GameLog[[#This Row],[Pod]],TEXT(INT(GameLog[[#This Row],[Round]]),"yyyymmdd"),GameLog[[#This Row],[Date]])</f>
        <v>2|19000102|46006</v>
      </c>
      <c r="H643" s="6">
        <f>COUNTIF(GameLog[Pod ID],GameLog[[#This Row],[Pod ID]])</f>
        <v>4</v>
      </c>
      <c r="I643" s="6">
        <f>YEAR(GameLog[[#This Row],[Date]])</f>
        <v>2025</v>
      </c>
      <c r="J643" s="6">
        <f>MONTH(GameLog[[#This Row],[Date]])</f>
        <v>12</v>
      </c>
      <c r="K643" s="6" t="str">
        <f>IF(GameLog[[#This Row],[Date]]=MAX(GameLog[Date]),"Current","Previous")</f>
        <v>Previous</v>
      </c>
      <c r="L643" s="6"/>
      <c r="M6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3" s="6" t="str">
        <f ca="1">IF(GameLog[[#This Row],[Check]]="","",COUNTIF(GameLog[[#Headers],[Check]]:GameLog[[#This Row],[Check]],"?*")-1)</f>
        <v/>
      </c>
      <c r="O643" s="6" t="str">
        <f>IFERROR(INDEX(Players[New name],MATCH(GameLog[[#This Row],[Player]],Players[Name],0)),GameLog[[#This Row],[Player]])</f>
        <v>Brad F</v>
      </c>
    </row>
    <row r="644" spans="1:15" x14ac:dyDescent="0.45">
      <c r="A644" s="6" t="s">
        <v>49</v>
      </c>
      <c r="B644" s="6" t="s">
        <v>53</v>
      </c>
      <c r="C644" s="6">
        <v>4</v>
      </c>
      <c r="D644" s="6">
        <v>2</v>
      </c>
      <c r="E644" s="6">
        <v>2</v>
      </c>
      <c r="F644" s="10">
        <v>46006</v>
      </c>
      <c r="G644" s="6" t="str">
        <f>_xlfn.TEXTJOIN("|",TRUE,GameLog[[#This Row],[Pod]],TEXT(INT(GameLog[[#This Row],[Round]]),"yyyymmdd"),GameLog[[#This Row],[Date]])</f>
        <v>2|19000102|46006</v>
      </c>
      <c r="H644" s="6">
        <f>COUNTIF(GameLog[Pod ID],GameLog[[#This Row],[Pod ID]])</f>
        <v>4</v>
      </c>
      <c r="I644" s="6">
        <f>YEAR(GameLog[[#This Row],[Date]])</f>
        <v>2025</v>
      </c>
      <c r="J644" s="6">
        <f>MONTH(GameLog[[#This Row],[Date]])</f>
        <v>12</v>
      </c>
      <c r="K644" s="6" t="str">
        <f>IF(GameLog[[#This Row],[Date]]=MAX(GameLog[Date]),"Current","Previous")</f>
        <v>Previous</v>
      </c>
      <c r="L644" s="6"/>
      <c r="M6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4" s="6" t="str">
        <f ca="1">IF(GameLog[[#This Row],[Check]]="","",COUNTIF(GameLog[[#Headers],[Check]]:GameLog[[#This Row],[Check]],"?*")-1)</f>
        <v/>
      </c>
      <c r="O644" s="6" t="str">
        <f>IFERROR(INDEX(Players[New name],MATCH(GameLog[[#This Row],[Player]],Players[Name],0)),GameLog[[#This Row],[Player]])</f>
        <v>Brett R</v>
      </c>
    </row>
    <row r="645" spans="1:15" x14ac:dyDescent="0.45">
      <c r="A645" s="6" t="s">
        <v>81</v>
      </c>
      <c r="B645" s="6" t="s">
        <v>53</v>
      </c>
      <c r="C645" s="6">
        <v>1</v>
      </c>
      <c r="D645" s="6">
        <v>3</v>
      </c>
      <c r="E645" s="6">
        <v>2</v>
      </c>
      <c r="F645" s="10">
        <v>46006</v>
      </c>
      <c r="G645" s="6" t="str">
        <f>_xlfn.TEXTJOIN("|",TRUE,GameLog[[#This Row],[Pod]],TEXT(INT(GameLog[[#This Row],[Round]]),"yyyymmdd"),GameLog[[#This Row],[Date]])</f>
        <v>3|19000102|46006</v>
      </c>
      <c r="H645" s="6">
        <f>COUNTIF(GameLog[Pod ID],GameLog[[#This Row],[Pod ID]])</f>
        <v>4</v>
      </c>
      <c r="I645" s="6">
        <f>YEAR(GameLog[[#This Row],[Date]])</f>
        <v>2025</v>
      </c>
      <c r="J645" s="6">
        <f>MONTH(GameLog[[#This Row],[Date]])</f>
        <v>12</v>
      </c>
      <c r="K645" s="6" t="str">
        <f>IF(GameLog[[#This Row],[Date]]=MAX(GameLog[Date]),"Current","Previous")</f>
        <v>Previous</v>
      </c>
      <c r="L645" s="6"/>
      <c r="M6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5" s="6" t="str">
        <f ca="1">IF(GameLog[[#This Row],[Check]]="","",COUNTIF(GameLog[[#Headers],[Check]]:GameLog[[#This Row],[Check]],"?*")-1)</f>
        <v/>
      </c>
      <c r="O645" s="6" t="str">
        <f>IFERROR(INDEX(Players[New name],MATCH(GameLog[[#This Row],[Player]],Players[Name],0)),GameLog[[#This Row],[Player]])</f>
        <v>Forrest</v>
      </c>
    </row>
    <row r="646" spans="1:15" x14ac:dyDescent="0.45">
      <c r="A646" s="6" t="s">
        <v>84</v>
      </c>
      <c r="B646" s="6" t="s">
        <v>53</v>
      </c>
      <c r="C646" s="6">
        <v>2</v>
      </c>
      <c r="D646" s="6">
        <v>3</v>
      </c>
      <c r="E646" s="6">
        <v>2</v>
      </c>
      <c r="F646" s="10">
        <v>46006</v>
      </c>
      <c r="G646" s="6" t="str">
        <f>_xlfn.TEXTJOIN("|",TRUE,GameLog[[#This Row],[Pod]],TEXT(INT(GameLog[[#This Row],[Round]]),"yyyymmdd"),GameLog[[#This Row],[Date]])</f>
        <v>3|19000102|46006</v>
      </c>
      <c r="H646" s="6">
        <f>COUNTIF(GameLog[Pod ID],GameLog[[#This Row],[Pod ID]])</f>
        <v>4</v>
      </c>
      <c r="I646" s="6">
        <f>YEAR(GameLog[[#This Row],[Date]])</f>
        <v>2025</v>
      </c>
      <c r="J646" s="6">
        <f>MONTH(GameLog[[#This Row],[Date]])</f>
        <v>12</v>
      </c>
      <c r="K646" s="6" t="str">
        <f>IF(GameLog[[#This Row],[Date]]=MAX(GameLog[Date]),"Current","Previous")</f>
        <v>Previous</v>
      </c>
      <c r="L646" s="6"/>
      <c r="M6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6" s="6" t="str">
        <f ca="1">IF(GameLog[[#This Row],[Check]]="","",COUNTIF(GameLog[[#Headers],[Check]]:GameLog[[#This Row],[Check]],"?*")-1)</f>
        <v/>
      </c>
      <c r="O646" s="6" t="str">
        <f>IFERROR(INDEX(Players[New name],MATCH(GameLog[[#This Row],[Player]],Players[Name],0)),GameLog[[#This Row],[Player]])</f>
        <v>Zach D</v>
      </c>
    </row>
    <row r="647" spans="1:15" x14ac:dyDescent="0.45">
      <c r="A647" s="6" t="s">
        <v>69</v>
      </c>
      <c r="B647" s="6" t="s">
        <v>50</v>
      </c>
      <c r="C647" s="6">
        <v>3</v>
      </c>
      <c r="D647" s="6">
        <v>3</v>
      </c>
      <c r="E647" s="6">
        <v>2</v>
      </c>
      <c r="F647" s="10">
        <v>46006</v>
      </c>
      <c r="G647" s="6" t="str">
        <f>_xlfn.TEXTJOIN("|",TRUE,GameLog[[#This Row],[Pod]],TEXT(INT(GameLog[[#This Row],[Round]]),"yyyymmdd"),GameLog[[#This Row],[Date]])</f>
        <v>3|19000102|46006</v>
      </c>
      <c r="H647" s="6">
        <f>COUNTIF(GameLog[Pod ID],GameLog[[#This Row],[Pod ID]])</f>
        <v>4</v>
      </c>
      <c r="I647" s="6">
        <f>YEAR(GameLog[[#This Row],[Date]])</f>
        <v>2025</v>
      </c>
      <c r="J647" s="6">
        <f>MONTH(GameLog[[#This Row],[Date]])</f>
        <v>12</v>
      </c>
      <c r="K647" s="6" t="str">
        <f>IF(GameLog[[#This Row],[Date]]=MAX(GameLog[Date]),"Current","Previous")</f>
        <v>Previous</v>
      </c>
      <c r="L647" s="6"/>
      <c r="M6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7" s="6" t="str">
        <f ca="1">IF(GameLog[[#This Row],[Check]]="","",COUNTIF(GameLog[[#Headers],[Check]]:GameLog[[#This Row],[Check]],"?*")-1)</f>
        <v/>
      </c>
      <c r="O647" s="6" t="str">
        <f>IFERROR(INDEX(Players[New name],MATCH(GameLog[[#This Row],[Player]],Players[Name],0)),GameLog[[#This Row],[Player]])</f>
        <v>Ryan T</v>
      </c>
    </row>
    <row r="648" spans="1:15" x14ac:dyDescent="0.45">
      <c r="A648" s="6" t="s">
        <v>57</v>
      </c>
      <c r="B648" s="6" t="s">
        <v>53</v>
      </c>
      <c r="C648" s="6">
        <v>4</v>
      </c>
      <c r="D648" s="6">
        <v>3</v>
      </c>
      <c r="E648" s="6">
        <v>2</v>
      </c>
      <c r="F648" s="10">
        <v>46006</v>
      </c>
      <c r="G648" s="6" t="str">
        <f>_xlfn.TEXTJOIN("|",TRUE,GameLog[[#This Row],[Pod]],TEXT(INT(GameLog[[#This Row],[Round]]),"yyyymmdd"),GameLog[[#This Row],[Date]])</f>
        <v>3|19000102|46006</v>
      </c>
      <c r="H648" s="6">
        <f>COUNTIF(GameLog[Pod ID],GameLog[[#This Row],[Pod ID]])</f>
        <v>4</v>
      </c>
      <c r="I648" s="6">
        <f>YEAR(GameLog[[#This Row],[Date]])</f>
        <v>2025</v>
      </c>
      <c r="J648" s="6">
        <f>MONTH(GameLog[[#This Row],[Date]])</f>
        <v>12</v>
      </c>
      <c r="K648" s="6" t="str">
        <f>IF(GameLog[[#This Row],[Date]]=MAX(GameLog[Date]),"Current","Previous")</f>
        <v>Previous</v>
      </c>
      <c r="L648" s="6"/>
      <c r="M6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8" s="6" t="str">
        <f ca="1">IF(GameLog[[#This Row],[Check]]="","",COUNTIF(GameLog[[#Headers],[Check]]:GameLog[[#This Row],[Check]],"?*")-1)</f>
        <v/>
      </c>
      <c r="O648" s="6" t="str">
        <f>IFERROR(INDEX(Players[New name],MATCH(GameLog[[#This Row],[Player]],Players[Name],0)),GameLog[[#This Row],[Player]])</f>
        <v>AJ W</v>
      </c>
    </row>
    <row r="649" spans="1:15" x14ac:dyDescent="0.45">
      <c r="A649" s="6" t="s">
        <v>52</v>
      </c>
      <c r="B649" s="6" t="s">
        <v>53</v>
      </c>
      <c r="C649" s="6">
        <v>1</v>
      </c>
      <c r="D649" s="6">
        <v>4</v>
      </c>
      <c r="E649" s="6">
        <v>2</v>
      </c>
      <c r="F649" s="10">
        <v>46006</v>
      </c>
      <c r="G649" s="6" t="str">
        <f>_xlfn.TEXTJOIN("|",TRUE,GameLog[[#This Row],[Pod]],TEXT(INT(GameLog[[#This Row],[Round]]),"yyyymmdd"),GameLog[[#This Row],[Date]])</f>
        <v>4|19000102|46006</v>
      </c>
      <c r="H649" s="6">
        <f>COUNTIF(GameLog[Pod ID],GameLog[[#This Row],[Pod ID]])</f>
        <v>4</v>
      </c>
      <c r="I649" s="6">
        <f>YEAR(GameLog[[#This Row],[Date]])</f>
        <v>2025</v>
      </c>
      <c r="J649" s="6">
        <f>MONTH(GameLog[[#This Row],[Date]])</f>
        <v>12</v>
      </c>
      <c r="K649" s="6" t="str">
        <f>IF(GameLog[[#This Row],[Date]]=MAX(GameLog[Date]),"Current","Previous")</f>
        <v>Previous</v>
      </c>
      <c r="L649" s="6"/>
      <c r="M6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49" s="6" t="str">
        <f ca="1">IF(GameLog[[#This Row],[Check]]="","",COUNTIF(GameLog[[#Headers],[Check]]:GameLog[[#This Row],[Check]],"?*")-1)</f>
        <v/>
      </c>
      <c r="O649" s="6" t="str">
        <f>IFERROR(INDEX(Players[New name],MATCH(GameLog[[#This Row],[Player]],Players[Name],0)),GameLog[[#This Row],[Player]])</f>
        <v>Unknown</v>
      </c>
    </row>
    <row r="650" spans="1:15" x14ac:dyDescent="0.45">
      <c r="A650" s="6" t="s">
        <v>73</v>
      </c>
      <c r="B650" s="6" t="s">
        <v>50</v>
      </c>
      <c r="C650" s="6">
        <v>2</v>
      </c>
      <c r="D650" s="6">
        <v>4</v>
      </c>
      <c r="E650" s="6">
        <v>2</v>
      </c>
      <c r="F650" s="10">
        <v>46006</v>
      </c>
      <c r="G650" s="6" t="str">
        <f>_xlfn.TEXTJOIN("|",TRUE,GameLog[[#This Row],[Pod]],TEXT(INT(GameLog[[#This Row],[Round]]),"yyyymmdd"),GameLog[[#This Row],[Date]])</f>
        <v>4|19000102|46006</v>
      </c>
      <c r="H650" s="6">
        <f>COUNTIF(GameLog[Pod ID],GameLog[[#This Row],[Pod ID]])</f>
        <v>4</v>
      </c>
      <c r="I650" s="6">
        <f>YEAR(GameLog[[#This Row],[Date]])</f>
        <v>2025</v>
      </c>
      <c r="J650" s="6">
        <f>MONTH(GameLog[[#This Row],[Date]])</f>
        <v>12</v>
      </c>
      <c r="K650" s="6" t="str">
        <f>IF(GameLog[[#This Row],[Date]]=MAX(GameLog[Date]),"Current","Previous")</f>
        <v>Previous</v>
      </c>
      <c r="L650" s="6"/>
      <c r="M6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0" s="6" t="str">
        <f ca="1">IF(GameLog[[#This Row],[Check]]="","",COUNTIF(GameLog[[#Headers],[Check]]:GameLog[[#This Row],[Check]],"?*")-1)</f>
        <v/>
      </c>
      <c r="O650" s="6" t="str">
        <f>IFERROR(INDEX(Players[New name],MATCH(GameLog[[#This Row],[Player]],Players[Name],0)),GameLog[[#This Row],[Player]])</f>
        <v>Brandon B</v>
      </c>
    </row>
    <row r="651" spans="1:15" x14ac:dyDescent="0.45">
      <c r="A651" s="6" t="s">
        <v>61</v>
      </c>
      <c r="B651" s="6" t="s">
        <v>53</v>
      </c>
      <c r="C651" s="6">
        <v>3</v>
      </c>
      <c r="D651" s="6">
        <v>4</v>
      </c>
      <c r="E651" s="6">
        <v>2</v>
      </c>
      <c r="F651" s="10">
        <v>46006</v>
      </c>
      <c r="G651" s="6" t="str">
        <f>_xlfn.TEXTJOIN("|",TRUE,GameLog[[#This Row],[Pod]],TEXT(INT(GameLog[[#This Row],[Round]]),"yyyymmdd"),GameLog[[#This Row],[Date]])</f>
        <v>4|19000102|46006</v>
      </c>
      <c r="H651" s="6">
        <f>COUNTIF(GameLog[Pod ID],GameLog[[#This Row],[Pod ID]])</f>
        <v>4</v>
      </c>
      <c r="I651" s="6">
        <f>YEAR(GameLog[[#This Row],[Date]])</f>
        <v>2025</v>
      </c>
      <c r="J651" s="6">
        <f>MONTH(GameLog[[#This Row],[Date]])</f>
        <v>12</v>
      </c>
      <c r="K651" s="6" t="str">
        <f>IF(GameLog[[#This Row],[Date]]=MAX(GameLog[Date]),"Current","Previous")</f>
        <v>Previous</v>
      </c>
      <c r="L651" s="6"/>
      <c r="M6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1" s="6" t="str">
        <f ca="1">IF(GameLog[[#This Row],[Check]]="","",COUNTIF(GameLog[[#Headers],[Check]]:GameLog[[#This Row],[Check]],"?*")-1)</f>
        <v/>
      </c>
      <c r="O651" s="6" t="str">
        <f>IFERROR(INDEX(Players[New name],MATCH(GameLog[[#This Row],[Player]],Players[Name],0)),GameLog[[#This Row],[Player]])</f>
        <v>Trevor</v>
      </c>
    </row>
    <row r="652" spans="1:15" x14ac:dyDescent="0.45">
      <c r="A652" s="6" t="s">
        <v>82</v>
      </c>
      <c r="B652" s="6" t="s">
        <v>53</v>
      </c>
      <c r="C652" s="6">
        <v>4</v>
      </c>
      <c r="D652" s="6">
        <v>4</v>
      </c>
      <c r="E652" s="6">
        <v>2</v>
      </c>
      <c r="F652" s="10">
        <v>46006</v>
      </c>
      <c r="G652" s="6" t="str">
        <f>_xlfn.TEXTJOIN("|",TRUE,GameLog[[#This Row],[Pod]],TEXT(INT(GameLog[[#This Row],[Round]]),"yyyymmdd"),GameLog[[#This Row],[Date]])</f>
        <v>4|19000102|46006</v>
      </c>
      <c r="H652" s="6">
        <f>COUNTIF(GameLog[Pod ID],GameLog[[#This Row],[Pod ID]])</f>
        <v>4</v>
      </c>
      <c r="I652" s="6">
        <f>YEAR(GameLog[[#This Row],[Date]])</f>
        <v>2025</v>
      </c>
      <c r="J652" s="6">
        <f>MONTH(GameLog[[#This Row],[Date]])</f>
        <v>12</v>
      </c>
      <c r="K652" s="6" t="str">
        <f>IF(GameLog[[#This Row],[Date]]=MAX(GameLog[Date]),"Current","Previous")</f>
        <v>Previous</v>
      </c>
      <c r="L652" s="6"/>
      <c r="M6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2" s="6" t="str">
        <f ca="1">IF(GameLog[[#This Row],[Check]]="","",COUNTIF(GameLog[[#Headers],[Check]]:GameLog[[#This Row],[Check]],"?*")-1)</f>
        <v/>
      </c>
      <c r="O652" s="6" t="str">
        <f>IFERROR(INDEX(Players[New name],MATCH(GameLog[[#This Row],[Player]],Players[Name],0)),GameLog[[#This Row],[Player]])</f>
        <v>Nick D</v>
      </c>
    </row>
    <row r="653" spans="1:15" x14ac:dyDescent="0.45">
      <c r="A653" s="6" t="s">
        <v>56</v>
      </c>
      <c r="B653" s="6" t="s">
        <v>53</v>
      </c>
      <c r="C653" s="6">
        <v>1</v>
      </c>
      <c r="D653" s="6">
        <v>1</v>
      </c>
      <c r="E653" s="6">
        <v>1</v>
      </c>
      <c r="F653" s="10">
        <v>46013</v>
      </c>
      <c r="G653" s="6" t="str">
        <f>_xlfn.TEXTJOIN("|",TRUE,GameLog[[#This Row],[Pod]],TEXT(INT(GameLog[[#This Row],[Round]]),"yyyymmdd"),GameLog[[#This Row],[Date]])</f>
        <v>1|19000101|46013</v>
      </c>
      <c r="H653" s="6">
        <f>COUNTIF(GameLog[Pod ID],GameLog[[#This Row],[Pod ID]])</f>
        <v>4</v>
      </c>
      <c r="I653" s="6">
        <f>YEAR(GameLog[[#This Row],[Date]])</f>
        <v>2025</v>
      </c>
      <c r="J653" s="6">
        <f>MONTH(GameLog[[#This Row],[Date]])</f>
        <v>12</v>
      </c>
      <c r="K653" s="6" t="str">
        <f>IF(GameLog[[#This Row],[Date]]=MAX(GameLog[Date]),"Current","Previous")</f>
        <v>Previous</v>
      </c>
      <c r="L653" s="6"/>
      <c r="M6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3" s="6" t="str">
        <f ca="1">IF(GameLog[[#This Row],[Check]]="","",COUNTIF(GameLog[[#Headers],[Check]]:GameLog[[#This Row],[Check]],"?*")-1)</f>
        <v/>
      </c>
      <c r="O653" s="6" t="str">
        <f>IFERROR(INDEX(Players[New name],MATCH(GameLog[[#This Row],[Player]],Players[Name],0)),GameLog[[#This Row],[Player]])</f>
        <v>Mark D</v>
      </c>
    </row>
    <row r="654" spans="1:15" x14ac:dyDescent="0.45">
      <c r="A654" s="6" t="s">
        <v>64</v>
      </c>
      <c r="B654" s="6" t="s">
        <v>53</v>
      </c>
      <c r="C654" s="6">
        <v>2</v>
      </c>
      <c r="D654" s="6">
        <v>1</v>
      </c>
      <c r="E654" s="6">
        <v>1</v>
      </c>
      <c r="F654" s="10">
        <v>46013</v>
      </c>
      <c r="G654" s="6" t="str">
        <f>_xlfn.TEXTJOIN("|",TRUE,GameLog[[#This Row],[Pod]],TEXT(INT(GameLog[[#This Row],[Round]]),"yyyymmdd"),GameLog[[#This Row],[Date]])</f>
        <v>1|19000101|46013</v>
      </c>
      <c r="H654" s="6">
        <f>COUNTIF(GameLog[Pod ID],GameLog[[#This Row],[Pod ID]])</f>
        <v>4</v>
      </c>
      <c r="I654" s="6">
        <f>YEAR(GameLog[[#This Row],[Date]])</f>
        <v>2025</v>
      </c>
      <c r="J654" s="6">
        <f>MONTH(GameLog[[#This Row],[Date]])</f>
        <v>12</v>
      </c>
      <c r="K654" s="6" t="str">
        <f>IF(GameLog[[#This Row],[Date]]=MAX(GameLog[Date]),"Current","Previous")</f>
        <v>Previous</v>
      </c>
      <c r="L654" s="6"/>
      <c r="M6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4" s="6" t="str">
        <f ca="1">IF(GameLog[[#This Row],[Check]]="","",COUNTIF(GameLog[[#Headers],[Check]]:GameLog[[#This Row],[Check]],"?*")-1)</f>
        <v/>
      </c>
      <c r="O654" s="6" t="str">
        <f>IFERROR(INDEX(Players[New name],MATCH(GameLog[[#This Row],[Player]],Players[Name],0)),GameLog[[#This Row],[Player]])</f>
        <v>Tyler B</v>
      </c>
    </row>
    <row r="655" spans="1:15" x14ac:dyDescent="0.45">
      <c r="A655" s="6" t="s">
        <v>73</v>
      </c>
      <c r="B655" s="6" t="s">
        <v>53</v>
      </c>
      <c r="C655" s="6">
        <v>3</v>
      </c>
      <c r="D655" s="6">
        <v>1</v>
      </c>
      <c r="E655" s="6">
        <v>1</v>
      </c>
      <c r="F655" s="10">
        <v>46013</v>
      </c>
      <c r="G655" s="6" t="str">
        <f>_xlfn.TEXTJOIN("|",TRUE,GameLog[[#This Row],[Pod]],TEXT(INT(GameLog[[#This Row],[Round]]),"yyyymmdd"),GameLog[[#This Row],[Date]])</f>
        <v>1|19000101|46013</v>
      </c>
      <c r="H655" s="6">
        <f>COUNTIF(GameLog[Pod ID],GameLog[[#This Row],[Pod ID]])</f>
        <v>4</v>
      </c>
      <c r="I655" s="6">
        <f>YEAR(GameLog[[#This Row],[Date]])</f>
        <v>2025</v>
      </c>
      <c r="J655" s="6">
        <f>MONTH(GameLog[[#This Row],[Date]])</f>
        <v>12</v>
      </c>
      <c r="K655" s="6" t="str">
        <f>IF(GameLog[[#This Row],[Date]]=MAX(GameLog[Date]),"Current","Previous")</f>
        <v>Previous</v>
      </c>
      <c r="L655" s="6"/>
      <c r="M6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5" s="6" t="str">
        <f ca="1">IF(GameLog[[#This Row],[Check]]="","",COUNTIF(GameLog[[#Headers],[Check]]:GameLog[[#This Row],[Check]],"?*")-1)</f>
        <v/>
      </c>
      <c r="O655" s="6" t="str">
        <f>IFERROR(INDEX(Players[New name],MATCH(GameLog[[#This Row],[Player]],Players[Name],0)),GameLog[[#This Row],[Player]])</f>
        <v>Brandon B</v>
      </c>
    </row>
    <row r="656" spans="1:15" x14ac:dyDescent="0.45">
      <c r="A656" s="6" t="s">
        <v>60</v>
      </c>
      <c r="B656" s="6" t="s">
        <v>50</v>
      </c>
      <c r="C656" s="6">
        <v>4</v>
      </c>
      <c r="D656" s="6">
        <v>1</v>
      </c>
      <c r="E656" s="6">
        <v>1</v>
      </c>
      <c r="F656" s="10">
        <v>46013</v>
      </c>
      <c r="G656" s="6" t="str">
        <f>_xlfn.TEXTJOIN("|",TRUE,GameLog[[#This Row],[Pod]],TEXT(INT(GameLog[[#This Row],[Round]]),"yyyymmdd"),GameLog[[#This Row],[Date]])</f>
        <v>1|19000101|46013</v>
      </c>
      <c r="H656" s="6">
        <f>COUNTIF(GameLog[Pod ID],GameLog[[#This Row],[Pod ID]])</f>
        <v>4</v>
      </c>
      <c r="I656" s="6">
        <f>YEAR(GameLog[[#This Row],[Date]])</f>
        <v>2025</v>
      </c>
      <c r="J656" s="6">
        <f>MONTH(GameLog[[#This Row],[Date]])</f>
        <v>12</v>
      </c>
      <c r="K656" s="6" t="str">
        <f>IF(GameLog[[#This Row],[Date]]=MAX(GameLog[Date]),"Current","Previous")</f>
        <v>Previous</v>
      </c>
      <c r="L656" s="6"/>
      <c r="M6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6" s="6" t="str">
        <f ca="1">IF(GameLog[[#This Row],[Check]]="","",COUNTIF(GameLog[[#Headers],[Check]]:GameLog[[#This Row],[Check]],"?*")-1)</f>
        <v/>
      </c>
      <c r="O656" s="6" t="str">
        <f>IFERROR(INDEX(Players[New name],MATCH(GameLog[[#This Row],[Player]],Players[Name],0)),GameLog[[#This Row],[Player]])</f>
        <v>Brendan H</v>
      </c>
    </row>
    <row r="657" spans="1:15" x14ac:dyDescent="0.45">
      <c r="A657" s="6" t="s">
        <v>71</v>
      </c>
      <c r="B657" s="6" t="s">
        <v>90</v>
      </c>
      <c r="C657" s="6">
        <v>1</v>
      </c>
      <c r="D657" s="6">
        <v>2</v>
      </c>
      <c r="E657" s="6">
        <v>1</v>
      </c>
      <c r="F657" s="10">
        <v>46013</v>
      </c>
      <c r="G657" s="6" t="str">
        <f>_xlfn.TEXTJOIN("|",TRUE,GameLog[[#This Row],[Pod]],TEXT(INT(GameLog[[#This Row],[Round]]),"yyyymmdd"),GameLog[[#This Row],[Date]])</f>
        <v>2|19000101|46013</v>
      </c>
      <c r="H657" s="6">
        <f>COUNTIF(GameLog[Pod ID],GameLog[[#This Row],[Pod ID]])</f>
        <v>4</v>
      </c>
      <c r="I657" s="6">
        <f>YEAR(GameLog[[#This Row],[Date]])</f>
        <v>2025</v>
      </c>
      <c r="J657" s="6">
        <f>MONTH(GameLog[[#This Row],[Date]])</f>
        <v>12</v>
      </c>
      <c r="K657" s="6" t="str">
        <f>IF(GameLog[[#This Row],[Date]]=MAX(GameLog[Date]),"Current","Previous")</f>
        <v>Previous</v>
      </c>
      <c r="L657" s="6"/>
      <c r="M6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7" s="6" t="str">
        <f ca="1">IF(GameLog[[#This Row],[Check]]="","",COUNTIF(GameLog[[#Headers],[Check]]:GameLog[[#This Row],[Check]],"?*")-1)</f>
        <v/>
      </c>
      <c r="O657" s="6" t="str">
        <f>IFERROR(INDEX(Players[New name],MATCH(GameLog[[#This Row],[Player]],Players[Name],0)),GameLog[[#This Row],[Player]])</f>
        <v>Rodney Y</v>
      </c>
    </row>
    <row r="658" spans="1:15" x14ac:dyDescent="0.45">
      <c r="A658" s="6" t="s">
        <v>49</v>
      </c>
      <c r="B658" s="6" t="s">
        <v>90</v>
      </c>
      <c r="C658" s="6">
        <v>2</v>
      </c>
      <c r="D658" s="6">
        <v>2</v>
      </c>
      <c r="E658" s="6">
        <v>1</v>
      </c>
      <c r="F658" s="10">
        <v>46013</v>
      </c>
      <c r="G658" s="6" t="str">
        <f>_xlfn.TEXTJOIN("|",TRUE,GameLog[[#This Row],[Pod]],TEXT(INT(GameLog[[#This Row],[Round]]),"yyyymmdd"),GameLog[[#This Row],[Date]])</f>
        <v>2|19000101|46013</v>
      </c>
      <c r="H658" s="6">
        <f>COUNTIF(GameLog[Pod ID],GameLog[[#This Row],[Pod ID]])</f>
        <v>4</v>
      </c>
      <c r="I658" s="6">
        <f>YEAR(GameLog[[#This Row],[Date]])</f>
        <v>2025</v>
      </c>
      <c r="J658" s="6">
        <f>MONTH(GameLog[[#This Row],[Date]])</f>
        <v>12</v>
      </c>
      <c r="K658" s="6" t="str">
        <f>IF(GameLog[[#This Row],[Date]]=MAX(GameLog[Date]),"Current","Previous")</f>
        <v>Previous</v>
      </c>
      <c r="L658" s="6"/>
      <c r="M6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8" s="6" t="str">
        <f ca="1">IF(GameLog[[#This Row],[Check]]="","",COUNTIF(GameLog[[#Headers],[Check]]:GameLog[[#This Row],[Check]],"?*")-1)</f>
        <v/>
      </c>
      <c r="O658" s="6" t="str">
        <f>IFERROR(INDEX(Players[New name],MATCH(GameLog[[#This Row],[Player]],Players[Name],0)),GameLog[[#This Row],[Player]])</f>
        <v>Brett R</v>
      </c>
    </row>
    <row r="659" spans="1:15" x14ac:dyDescent="0.45">
      <c r="A659" s="6" t="s">
        <v>57</v>
      </c>
      <c r="B659" s="6" t="s">
        <v>90</v>
      </c>
      <c r="C659" s="6">
        <v>3</v>
      </c>
      <c r="D659" s="6">
        <v>2</v>
      </c>
      <c r="E659" s="6">
        <v>1</v>
      </c>
      <c r="F659" s="10">
        <v>46013</v>
      </c>
      <c r="G659" s="6" t="str">
        <f>_xlfn.TEXTJOIN("|",TRUE,GameLog[[#This Row],[Pod]],TEXT(INT(GameLog[[#This Row],[Round]]),"yyyymmdd"),GameLog[[#This Row],[Date]])</f>
        <v>2|19000101|46013</v>
      </c>
      <c r="H659" s="6">
        <f>COUNTIF(GameLog[Pod ID],GameLog[[#This Row],[Pod ID]])</f>
        <v>4</v>
      </c>
      <c r="I659" s="6">
        <f>YEAR(GameLog[[#This Row],[Date]])</f>
        <v>2025</v>
      </c>
      <c r="J659" s="6">
        <f>MONTH(GameLog[[#This Row],[Date]])</f>
        <v>12</v>
      </c>
      <c r="K659" s="6" t="str">
        <f>IF(GameLog[[#This Row],[Date]]=MAX(GameLog[Date]),"Current","Previous")</f>
        <v>Previous</v>
      </c>
      <c r="L659" s="6"/>
      <c r="M6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59" s="6" t="str">
        <f ca="1">IF(GameLog[[#This Row],[Check]]="","",COUNTIF(GameLog[[#Headers],[Check]]:GameLog[[#This Row],[Check]],"?*")-1)</f>
        <v/>
      </c>
      <c r="O659" s="6" t="str">
        <f>IFERROR(INDEX(Players[New name],MATCH(GameLog[[#This Row],[Player]],Players[Name],0)),GameLog[[#This Row],[Player]])</f>
        <v>AJ W</v>
      </c>
    </row>
    <row r="660" spans="1:15" x14ac:dyDescent="0.45">
      <c r="A660" s="6" t="s">
        <v>68</v>
      </c>
      <c r="B660" s="6" t="s">
        <v>90</v>
      </c>
      <c r="C660" s="6">
        <v>4</v>
      </c>
      <c r="D660" s="6">
        <v>2</v>
      </c>
      <c r="E660" s="6">
        <v>1</v>
      </c>
      <c r="F660" s="10">
        <v>46013</v>
      </c>
      <c r="G660" s="6" t="str">
        <f>_xlfn.TEXTJOIN("|",TRUE,GameLog[[#This Row],[Pod]],TEXT(INT(GameLog[[#This Row],[Round]]),"yyyymmdd"),GameLog[[#This Row],[Date]])</f>
        <v>2|19000101|46013</v>
      </c>
      <c r="H660" s="6">
        <f>COUNTIF(GameLog[Pod ID],GameLog[[#This Row],[Pod ID]])</f>
        <v>4</v>
      </c>
      <c r="I660" s="6">
        <f>YEAR(GameLog[[#This Row],[Date]])</f>
        <v>2025</v>
      </c>
      <c r="J660" s="6">
        <f>MONTH(GameLog[[#This Row],[Date]])</f>
        <v>12</v>
      </c>
      <c r="K660" s="6" t="str">
        <f>IF(GameLog[[#This Row],[Date]]=MAX(GameLog[Date]),"Current","Previous")</f>
        <v>Previous</v>
      </c>
      <c r="L660" s="6"/>
      <c r="M6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0" s="6" t="str">
        <f ca="1">IF(GameLog[[#This Row],[Check]]="","",COUNTIF(GameLog[[#Headers],[Check]]:GameLog[[#This Row],[Check]],"?*")-1)</f>
        <v/>
      </c>
      <c r="O660" s="6" t="str">
        <f>IFERROR(INDEX(Players[New name],MATCH(GameLog[[#This Row],[Player]],Players[Name],0)),GameLog[[#This Row],[Player]])</f>
        <v>Edwin M</v>
      </c>
    </row>
    <row r="661" spans="1:15" x14ac:dyDescent="0.45">
      <c r="A661" s="6" t="s">
        <v>86</v>
      </c>
      <c r="B661" s="6" t="s">
        <v>53</v>
      </c>
      <c r="C661" s="6">
        <v>1</v>
      </c>
      <c r="D661" s="6">
        <v>3</v>
      </c>
      <c r="E661" s="6">
        <v>1</v>
      </c>
      <c r="F661" s="10">
        <v>46013</v>
      </c>
      <c r="G661" s="6" t="str">
        <f>_xlfn.TEXTJOIN("|",TRUE,GameLog[[#This Row],[Pod]],TEXT(INT(GameLog[[#This Row],[Round]]),"yyyymmdd"),GameLog[[#This Row],[Date]])</f>
        <v>3|19000101|46013</v>
      </c>
      <c r="H661" s="6">
        <f>COUNTIF(GameLog[Pod ID],GameLog[[#This Row],[Pod ID]])</f>
        <v>3</v>
      </c>
      <c r="I661" s="6">
        <f>YEAR(GameLog[[#This Row],[Date]])</f>
        <v>2025</v>
      </c>
      <c r="J661" s="6">
        <f>MONTH(GameLog[[#This Row],[Date]])</f>
        <v>12</v>
      </c>
      <c r="K661" s="6" t="str">
        <f>IF(GameLog[[#This Row],[Date]]=MAX(GameLog[Date]),"Current","Previous")</f>
        <v>Previous</v>
      </c>
      <c r="L661" s="6"/>
      <c r="M6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1" s="6" t="str">
        <f ca="1">IF(GameLog[[#This Row],[Check]]="","",COUNTIF(GameLog[[#Headers],[Check]]:GameLog[[#This Row],[Check]],"?*")-1)</f>
        <v/>
      </c>
      <c r="O661" s="6" t="str">
        <f>IFERROR(INDEX(Players[New name],MATCH(GameLog[[#This Row],[Player]],Players[Name],0)),GameLog[[#This Row],[Player]])</f>
        <v>Steve C</v>
      </c>
    </row>
    <row r="662" spans="1:15" x14ac:dyDescent="0.45">
      <c r="A662" s="6" t="s">
        <v>55</v>
      </c>
      <c r="B662" s="6" t="s">
        <v>53</v>
      </c>
      <c r="C662" s="6">
        <v>2</v>
      </c>
      <c r="D662" s="6">
        <v>3</v>
      </c>
      <c r="E662" s="6">
        <v>1</v>
      </c>
      <c r="F662" s="10">
        <v>46013</v>
      </c>
      <c r="G662" s="6" t="str">
        <f>_xlfn.TEXTJOIN("|",TRUE,GameLog[[#This Row],[Pod]],TEXT(INT(GameLog[[#This Row],[Round]]),"yyyymmdd"),GameLog[[#This Row],[Date]])</f>
        <v>3|19000101|46013</v>
      </c>
      <c r="H662" s="6">
        <f>COUNTIF(GameLog[Pod ID],GameLog[[#This Row],[Pod ID]])</f>
        <v>3</v>
      </c>
      <c r="I662" s="6">
        <f>YEAR(GameLog[[#This Row],[Date]])</f>
        <v>2025</v>
      </c>
      <c r="J662" s="6">
        <f>MONTH(GameLog[[#This Row],[Date]])</f>
        <v>12</v>
      </c>
      <c r="K662" s="6" t="str">
        <f>IF(GameLog[[#This Row],[Date]]=MAX(GameLog[Date]),"Current","Previous")</f>
        <v>Previous</v>
      </c>
      <c r="L662" s="6"/>
      <c r="M6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2" s="6" t="str">
        <f ca="1">IF(GameLog[[#This Row],[Check]]="","",COUNTIF(GameLog[[#Headers],[Check]]:GameLog[[#This Row],[Check]],"?*")-1)</f>
        <v/>
      </c>
      <c r="O662" s="6" t="str">
        <f>IFERROR(INDEX(Players[New name],MATCH(GameLog[[#This Row],[Player]],Players[Name],0)),GameLog[[#This Row],[Player]])</f>
        <v>Bryce C</v>
      </c>
    </row>
    <row r="663" spans="1:15" x14ac:dyDescent="0.45">
      <c r="A663" s="6" t="s">
        <v>70</v>
      </c>
      <c r="B663" s="6" t="s">
        <v>50</v>
      </c>
      <c r="C663" s="6">
        <v>3</v>
      </c>
      <c r="D663" s="6">
        <v>3</v>
      </c>
      <c r="E663" s="6">
        <v>1</v>
      </c>
      <c r="F663" s="10">
        <v>46013</v>
      </c>
      <c r="G663" s="6" t="str">
        <f>_xlfn.TEXTJOIN("|",TRUE,GameLog[[#This Row],[Pod]],TEXT(INT(GameLog[[#This Row],[Round]]),"yyyymmdd"),GameLog[[#This Row],[Date]])</f>
        <v>3|19000101|46013</v>
      </c>
      <c r="H663" s="6">
        <f>COUNTIF(GameLog[Pod ID],GameLog[[#This Row],[Pod ID]])</f>
        <v>3</v>
      </c>
      <c r="I663" s="6">
        <f>YEAR(GameLog[[#This Row],[Date]])</f>
        <v>2025</v>
      </c>
      <c r="J663" s="6">
        <f>MONTH(GameLog[[#This Row],[Date]])</f>
        <v>12</v>
      </c>
      <c r="K663" s="6" t="str">
        <f>IF(GameLog[[#This Row],[Date]]=MAX(GameLog[Date]),"Current","Previous")</f>
        <v>Previous</v>
      </c>
      <c r="L663" s="6"/>
      <c r="M6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3" s="6" t="str">
        <f ca="1">IF(GameLog[[#This Row],[Check]]="","",COUNTIF(GameLog[[#Headers],[Check]]:GameLog[[#This Row],[Check]],"?*")-1)</f>
        <v/>
      </c>
      <c r="O663" s="6" t="str">
        <f>IFERROR(INDEX(Players[New name],MATCH(GameLog[[#This Row],[Player]],Players[Name],0)),GameLog[[#This Row],[Player]])</f>
        <v>Brad F</v>
      </c>
    </row>
    <row r="664" spans="1:15" x14ac:dyDescent="0.45">
      <c r="A664" s="6" t="s">
        <v>60</v>
      </c>
      <c r="B664" s="6" t="s">
        <v>50</v>
      </c>
      <c r="C664" s="6">
        <v>1</v>
      </c>
      <c r="D664" s="6">
        <v>1</v>
      </c>
      <c r="E664" s="6">
        <v>2</v>
      </c>
      <c r="F664" s="10">
        <v>46013</v>
      </c>
      <c r="G664" s="6" t="str">
        <f>_xlfn.TEXTJOIN("|",TRUE,GameLog[[#This Row],[Pod]],TEXT(INT(GameLog[[#This Row],[Round]]),"yyyymmdd"),GameLog[[#This Row],[Date]])</f>
        <v>1|19000102|46013</v>
      </c>
      <c r="H664" s="6">
        <f>COUNTIF(GameLog[Pod ID],GameLog[[#This Row],[Pod ID]])</f>
        <v>4</v>
      </c>
      <c r="I664" s="6">
        <f>YEAR(GameLog[[#This Row],[Date]])</f>
        <v>2025</v>
      </c>
      <c r="J664" s="6">
        <f>MONTH(GameLog[[#This Row],[Date]])</f>
        <v>12</v>
      </c>
      <c r="K664" s="6" t="str">
        <f>IF(GameLog[[#This Row],[Date]]=MAX(GameLog[Date]),"Current","Previous")</f>
        <v>Previous</v>
      </c>
      <c r="L664" s="6"/>
      <c r="M6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4" s="6" t="str">
        <f ca="1">IF(GameLog[[#This Row],[Check]]="","",COUNTIF(GameLog[[#Headers],[Check]]:GameLog[[#This Row],[Check]],"?*")-1)</f>
        <v/>
      </c>
      <c r="O664" s="6" t="str">
        <f>IFERROR(INDEX(Players[New name],MATCH(GameLog[[#This Row],[Player]],Players[Name],0)),GameLog[[#This Row],[Player]])</f>
        <v>Brendan H</v>
      </c>
    </row>
    <row r="665" spans="1:15" x14ac:dyDescent="0.45">
      <c r="A665" s="6" t="s">
        <v>70</v>
      </c>
      <c r="B665" s="6" t="s">
        <v>53</v>
      </c>
      <c r="C665" s="6">
        <v>2</v>
      </c>
      <c r="D665" s="6">
        <v>1</v>
      </c>
      <c r="E665" s="6">
        <v>2</v>
      </c>
      <c r="F665" s="10">
        <v>46013</v>
      </c>
      <c r="G665" s="6" t="str">
        <f>_xlfn.TEXTJOIN("|",TRUE,GameLog[[#This Row],[Pod]],TEXT(INT(GameLog[[#This Row],[Round]]),"yyyymmdd"),GameLog[[#This Row],[Date]])</f>
        <v>1|19000102|46013</v>
      </c>
      <c r="H665" s="6">
        <f>COUNTIF(GameLog[Pod ID],GameLog[[#This Row],[Pod ID]])</f>
        <v>4</v>
      </c>
      <c r="I665" s="6">
        <f>YEAR(GameLog[[#This Row],[Date]])</f>
        <v>2025</v>
      </c>
      <c r="J665" s="6">
        <f>MONTH(GameLog[[#This Row],[Date]])</f>
        <v>12</v>
      </c>
      <c r="K665" s="6" t="str">
        <f>IF(GameLog[[#This Row],[Date]]=MAX(GameLog[Date]),"Current","Previous")</f>
        <v>Previous</v>
      </c>
      <c r="L665" s="6"/>
      <c r="M6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5" s="6" t="str">
        <f ca="1">IF(GameLog[[#This Row],[Check]]="","",COUNTIF(GameLog[[#Headers],[Check]]:GameLog[[#This Row],[Check]],"?*")-1)</f>
        <v/>
      </c>
      <c r="O665" s="6" t="str">
        <f>IFERROR(INDEX(Players[New name],MATCH(GameLog[[#This Row],[Player]],Players[Name],0)),GameLog[[#This Row],[Player]])</f>
        <v>Brad F</v>
      </c>
    </row>
    <row r="666" spans="1:15" x14ac:dyDescent="0.45">
      <c r="A666" s="6" t="s">
        <v>49</v>
      </c>
      <c r="B666" s="6" t="s">
        <v>53</v>
      </c>
      <c r="C666" s="6">
        <v>3</v>
      </c>
      <c r="D666" s="6">
        <v>1</v>
      </c>
      <c r="E666" s="6">
        <v>2</v>
      </c>
      <c r="F666" s="10">
        <v>46013</v>
      </c>
      <c r="G666" s="6" t="str">
        <f>_xlfn.TEXTJOIN("|",TRUE,GameLog[[#This Row],[Pod]],TEXT(INT(GameLog[[#This Row],[Round]]),"yyyymmdd"),GameLog[[#This Row],[Date]])</f>
        <v>1|19000102|46013</v>
      </c>
      <c r="H666" s="6">
        <f>COUNTIF(GameLog[Pod ID],GameLog[[#This Row],[Pod ID]])</f>
        <v>4</v>
      </c>
      <c r="I666" s="6">
        <f>YEAR(GameLog[[#This Row],[Date]])</f>
        <v>2025</v>
      </c>
      <c r="J666" s="6">
        <f>MONTH(GameLog[[#This Row],[Date]])</f>
        <v>12</v>
      </c>
      <c r="K666" s="6" t="str">
        <f>IF(GameLog[[#This Row],[Date]]=MAX(GameLog[Date]),"Current","Previous")</f>
        <v>Previous</v>
      </c>
      <c r="L666" s="6"/>
      <c r="M6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6" s="6" t="str">
        <f ca="1">IF(GameLog[[#This Row],[Check]]="","",COUNTIF(GameLog[[#Headers],[Check]]:GameLog[[#This Row],[Check]],"?*")-1)</f>
        <v/>
      </c>
      <c r="O666" s="6" t="str">
        <f>IFERROR(INDEX(Players[New name],MATCH(GameLog[[#This Row],[Player]],Players[Name],0)),GameLog[[#This Row],[Player]])</f>
        <v>Brett R</v>
      </c>
    </row>
    <row r="667" spans="1:15" x14ac:dyDescent="0.45">
      <c r="A667" s="6" t="s">
        <v>71</v>
      </c>
      <c r="B667" s="6" t="s">
        <v>53</v>
      </c>
      <c r="C667" s="6">
        <v>4</v>
      </c>
      <c r="D667" s="6">
        <v>1</v>
      </c>
      <c r="E667" s="6">
        <v>2</v>
      </c>
      <c r="F667" s="10">
        <v>46013</v>
      </c>
      <c r="G667" s="6" t="str">
        <f>_xlfn.TEXTJOIN("|",TRUE,GameLog[[#This Row],[Pod]],TEXT(INT(GameLog[[#This Row],[Round]]),"yyyymmdd"),GameLog[[#This Row],[Date]])</f>
        <v>1|19000102|46013</v>
      </c>
      <c r="H667" s="6">
        <f>COUNTIF(GameLog[Pod ID],GameLog[[#This Row],[Pod ID]])</f>
        <v>4</v>
      </c>
      <c r="I667" s="6">
        <f>YEAR(GameLog[[#This Row],[Date]])</f>
        <v>2025</v>
      </c>
      <c r="J667" s="6">
        <f>MONTH(GameLog[[#This Row],[Date]])</f>
        <v>12</v>
      </c>
      <c r="K667" s="6" t="str">
        <f>IF(GameLog[[#This Row],[Date]]=MAX(GameLog[Date]),"Current","Previous")</f>
        <v>Previous</v>
      </c>
      <c r="L667" s="6"/>
      <c r="M6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7" s="6" t="str">
        <f ca="1">IF(GameLog[[#This Row],[Check]]="","",COUNTIF(GameLog[[#Headers],[Check]]:GameLog[[#This Row],[Check]],"?*")-1)</f>
        <v/>
      </c>
      <c r="O667" s="6" t="str">
        <f>IFERROR(INDEX(Players[New name],MATCH(GameLog[[#This Row],[Player]],Players[Name],0)),GameLog[[#This Row],[Player]])</f>
        <v>Rodney Y</v>
      </c>
    </row>
    <row r="668" spans="1:15" x14ac:dyDescent="0.45">
      <c r="A668" s="6" t="s">
        <v>68</v>
      </c>
      <c r="B668" s="6" t="s">
        <v>50</v>
      </c>
      <c r="C668" s="6">
        <v>1</v>
      </c>
      <c r="D668" s="6">
        <v>2</v>
      </c>
      <c r="E668" s="6">
        <v>2</v>
      </c>
      <c r="F668" s="10">
        <v>46013</v>
      </c>
      <c r="G668" s="6" t="str">
        <f>_xlfn.TEXTJOIN("|",TRUE,GameLog[[#This Row],[Pod]],TEXT(INT(GameLog[[#This Row],[Round]]),"yyyymmdd"),GameLog[[#This Row],[Date]])</f>
        <v>2|19000102|46013</v>
      </c>
      <c r="H668" s="6">
        <f>COUNTIF(GameLog[Pod ID],GameLog[[#This Row],[Pod ID]])</f>
        <v>4</v>
      </c>
      <c r="I668" s="6">
        <f>YEAR(GameLog[[#This Row],[Date]])</f>
        <v>2025</v>
      </c>
      <c r="J668" s="6">
        <f>MONTH(GameLog[[#This Row],[Date]])</f>
        <v>12</v>
      </c>
      <c r="K668" s="6" t="str">
        <f>IF(GameLog[[#This Row],[Date]]=MAX(GameLog[Date]),"Current","Previous")</f>
        <v>Previous</v>
      </c>
      <c r="L668" s="6"/>
      <c r="M6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8" s="6" t="str">
        <f ca="1">IF(GameLog[[#This Row],[Check]]="","",COUNTIF(GameLog[[#Headers],[Check]]:GameLog[[#This Row],[Check]],"?*")-1)</f>
        <v/>
      </c>
      <c r="O668" s="6" t="str">
        <f>IFERROR(INDEX(Players[New name],MATCH(GameLog[[#This Row],[Player]],Players[Name],0)),GameLog[[#This Row],[Player]])</f>
        <v>Edwin M</v>
      </c>
    </row>
    <row r="669" spans="1:15" x14ac:dyDescent="0.45">
      <c r="A669" s="6" t="s">
        <v>73</v>
      </c>
      <c r="B669" s="6" t="s">
        <v>53</v>
      </c>
      <c r="C669" s="6">
        <v>2</v>
      </c>
      <c r="D669" s="6">
        <v>2</v>
      </c>
      <c r="E669" s="6">
        <v>2</v>
      </c>
      <c r="F669" s="10">
        <v>46013</v>
      </c>
      <c r="G669" s="6" t="str">
        <f>_xlfn.TEXTJOIN("|",TRUE,GameLog[[#This Row],[Pod]],TEXT(INT(GameLog[[#This Row],[Round]]),"yyyymmdd"),GameLog[[#This Row],[Date]])</f>
        <v>2|19000102|46013</v>
      </c>
      <c r="H669" s="6">
        <f>COUNTIF(GameLog[Pod ID],GameLog[[#This Row],[Pod ID]])</f>
        <v>4</v>
      </c>
      <c r="I669" s="6">
        <f>YEAR(GameLog[[#This Row],[Date]])</f>
        <v>2025</v>
      </c>
      <c r="J669" s="6">
        <f>MONTH(GameLog[[#This Row],[Date]])</f>
        <v>12</v>
      </c>
      <c r="K669" s="6" t="str">
        <f>IF(GameLog[[#This Row],[Date]]=MAX(GameLog[Date]),"Current","Previous")</f>
        <v>Previous</v>
      </c>
      <c r="L669" s="6"/>
      <c r="M6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69" s="6" t="str">
        <f ca="1">IF(GameLog[[#This Row],[Check]]="","",COUNTIF(GameLog[[#Headers],[Check]]:GameLog[[#This Row],[Check]],"?*")-1)</f>
        <v/>
      </c>
      <c r="O669" s="6" t="str">
        <f>IFERROR(INDEX(Players[New name],MATCH(GameLog[[#This Row],[Player]],Players[Name],0)),GameLog[[#This Row],[Player]])</f>
        <v>Brandon B</v>
      </c>
    </row>
    <row r="670" spans="1:15" x14ac:dyDescent="0.45">
      <c r="A670" s="6" t="s">
        <v>86</v>
      </c>
      <c r="B670" s="6" t="s">
        <v>53</v>
      </c>
      <c r="C670" s="6">
        <v>3</v>
      </c>
      <c r="D670" s="6">
        <v>2</v>
      </c>
      <c r="E670" s="6">
        <v>2</v>
      </c>
      <c r="F670" s="10">
        <v>46013</v>
      </c>
      <c r="G670" s="6" t="str">
        <f>_xlfn.TEXTJOIN("|",TRUE,GameLog[[#This Row],[Pod]],TEXT(INT(GameLog[[#This Row],[Round]]),"yyyymmdd"),GameLog[[#This Row],[Date]])</f>
        <v>2|19000102|46013</v>
      </c>
      <c r="H670" s="6">
        <f>COUNTIF(GameLog[Pod ID],GameLog[[#This Row],[Pod ID]])</f>
        <v>4</v>
      </c>
      <c r="I670" s="6">
        <f>YEAR(GameLog[[#This Row],[Date]])</f>
        <v>2025</v>
      </c>
      <c r="J670" s="6">
        <f>MONTH(GameLog[[#This Row],[Date]])</f>
        <v>12</v>
      </c>
      <c r="K670" s="6" t="str">
        <f>IF(GameLog[[#This Row],[Date]]=MAX(GameLog[Date]),"Current","Previous")</f>
        <v>Previous</v>
      </c>
      <c r="L670" s="6"/>
      <c r="M6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0" s="6" t="str">
        <f ca="1">IF(GameLog[[#This Row],[Check]]="","",COUNTIF(GameLog[[#Headers],[Check]]:GameLog[[#This Row],[Check]],"?*")-1)</f>
        <v/>
      </c>
      <c r="O670" s="6" t="str">
        <f>IFERROR(INDEX(Players[New name],MATCH(GameLog[[#This Row],[Player]],Players[Name],0)),GameLog[[#This Row],[Player]])</f>
        <v>Steve C</v>
      </c>
    </row>
    <row r="671" spans="1:15" x14ac:dyDescent="0.45">
      <c r="A671" s="6" t="s">
        <v>64</v>
      </c>
      <c r="B671" s="6" t="s">
        <v>53</v>
      </c>
      <c r="C671" s="6">
        <v>4</v>
      </c>
      <c r="D671" s="6">
        <v>2</v>
      </c>
      <c r="E671" s="6">
        <v>2</v>
      </c>
      <c r="F671" s="10">
        <v>46013</v>
      </c>
      <c r="G671" s="6" t="str">
        <f>_xlfn.TEXTJOIN("|",TRUE,GameLog[[#This Row],[Pod]],TEXT(INT(GameLog[[#This Row],[Round]]),"yyyymmdd"),GameLog[[#This Row],[Date]])</f>
        <v>2|19000102|46013</v>
      </c>
      <c r="H671" s="6">
        <f>COUNTIF(GameLog[Pod ID],GameLog[[#This Row],[Pod ID]])</f>
        <v>4</v>
      </c>
      <c r="I671" s="6">
        <f>YEAR(GameLog[[#This Row],[Date]])</f>
        <v>2025</v>
      </c>
      <c r="J671" s="6">
        <f>MONTH(GameLog[[#This Row],[Date]])</f>
        <v>12</v>
      </c>
      <c r="K671" s="6" t="str">
        <f>IF(GameLog[[#This Row],[Date]]=MAX(GameLog[Date]),"Current","Previous")</f>
        <v>Previous</v>
      </c>
      <c r="L671" s="6"/>
      <c r="M6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1" s="6" t="str">
        <f ca="1">IF(GameLog[[#This Row],[Check]]="","",COUNTIF(GameLog[[#Headers],[Check]]:GameLog[[#This Row],[Check]],"?*")-1)</f>
        <v/>
      </c>
      <c r="O671" s="6" t="str">
        <f>IFERROR(INDEX(Players[New name],MATCH(GameLog[[#This Row],[Player]],Players[Name],0)),GameLog[[#This Row],[Player]])</f>
        <v>Tyler B</v>
      </c>
    </row>
    <row r="672" spans="1:15" x14ac:dyDescent="0.45">
      <c r="A672" s="6" t="s">
        <v>55</v>
      </c>
      <c r="B672" s="6" t="s">
        <v>50</v>
      </c>
      <c r="C672" s="6">
        <v>1</v>
      </c>
      <c r="D672" s="6">
        <v>3</v>
      </c>
      <c r="E672" s="6">
        <v>2</v>
      </c>
      <c r="F672" s="10">
        <v>46013</v>
      </c>
      <c r="G672" s="6" t="str">
        <f>_xlfn.TEXTJOIN("|",TRUE,GameLog[[#This Row],[Pod]],TEXT(INT(GameLog[[#This Row],[Round]]),"yyyymmdd"),GameLog[[#This Row],[Date]])</f>
        <v>3|19000102|46013</v>
      </c>
      <c r="H672" s="6">
        <f>COUNTIF(GameLog[Pod ID],GameLog[[#This Row],[Pod ID]])</f>
        <v>3</v>
      </c>
      <c r="I672" s="6">
        <f>YEAR(GameLog[[#This Row],[Date]])</f>
        <v>2025</v>
      </c>
      <c r="J672" s="6">
        <f>MONTH(GameLog[[#This Row],[Date]])</f>
        <v>12</v>
      </c>
      <c r="K672" s="6" t="str">
        <f>IF(GameLog[[#This Row],[Date]]=MAX(GameLog[Date]),"Current","Previous")</f>
        <v>Previous</v>
      </c>
      <c r="L672" s="6"/>
      <c r="M6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2" s="6" t="str">
        <f ca="1">IF(GameLog[[#This Row],[Check]]="","",COUNTIF(GameLog[[#Headers],[Check]]:GameLog[[#This Row],[Check]],"?*")-1)</f>
        <v/>
      </c>
      <c r="O672" s="6" t="str">
        <f>IFERROR(INDEX(Players[New name],MATCH(GameLog[[#This Row],[Player]],Players[Name],0)),GameLog[[#This Row],[Player]])</f>
        <v>Bryce C</v>
      </c>
    </row>
    <row r="673" spans="1:15" x14ac:dyDescent="0.45">
      <c r="A673" s="6" t="s">
        <v>57</v>
      </c>
      <c r="B673" s="6" t="s">
        <v>53</v>
      </c>
      <c r="C673" s="6">
        <v>2</v>
      </c>
      <c r="D673" s="6">
        <v>3</v>
      </c>
      <c r="E673" s="6">
        <v>2</v>
      </c>
      <c r="F673" s="10">
        <v>46013</v>
      </c>
      <c r="G673" s="6" t="str">
        <f>_xlfn.TEXTJOIN("|",TRUE,GameLog[[#This Row],[Pod]],TEXT(INT(GameLog[[#This Row],[Round]]),"yyyymmdd"),GameLog[[#This Row],[Date]])</f>
        <v>3|19000102|46013</v>
      </c>
      <c r="H673" s="6">
        <f>COUNTIF(GameLog[Pod ID],GameLog[[#This Row],[Pod ID]])</f>
        <v>3</v>
      </c>
      <c r="I673" s="6">
        <f>YEAR(GameLog[[#This Row],[Date]])</f>
        <v>2025</v>
      </c>
      <c r="J673" s="6">
        <f>MONTH(GameLog[[#This Row],[Date]])</f>
        <v>12</v>
      </c>
      <c r="K673" s="6" t="str">
        <f>IF(GameLog[[#This Row],[Date]]=MAX(GameLog[Date]),"Current","Previous")</f>
        <v>Previous</v>
      </c>
      <c r="L673" s="6"/>
      <c r="M6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3" s="6" t="str">
        <f ca="1">IF(GameLog[[#This Row],[Check]]="","",COUNTIF(GameLog[[#Headers],[Check]]:GameLog[[#This Row],[Check]],"?*")-1)</f>
        <v/>
      </c>
      <c r="O673" s="6" t="str">
        <f>IFERROR(INDEX(Players[New name],MATCH(GameLog[[#This Row],[Player]],Players[Name],0)),GameLog[[#This Row],[Player]])</f>
        <v>AJ W</v>
      </c>
    </row>
    <row r="674" spans="1:15" x14ac:dyDescent="0.45">
      <c r="A674" s="6" t="s">
        <v>56</v>
      </c>
      <c r="B674" s="6" t="s">
        <v>53</v>
      </c>
      <c r="C674" s="6">
        <v>3</v>
      </c>
      <c r="D674" s="6">
        <v>3</v>
      </c>
      <c r="E674" s="6">
        <v>2</v>
      </c>
      <c r="F674" s="10">
        <v>46013</v>
      </c>
      <c r="G674" s="6" t="str">
        <f>_xlfn.TEXTJOIN("|",TRUE,GameLog[[#This Row],[Pod]],TEXT(INT(GameLog[[#This Row],[Round]]),"yyyymmdd"),GameLog[[#This Row],[Date]])</f>
        <v>3|19000102|46013</v>
      </c>
      <c r="H674" s="6">
        <f>COUNTIF(GameLog[Pod ID],GameLog[[#This Row],[Pod ID]])</f>
        <v>3</v>
      </c>
      <c r="I674" s="6">
        <f>YEAR(GameLog[[#This Row],[Date]])</f>
        <v>2025</v>
      </c>
      <c r="J674" s="6">
        <f>MONTH(GameLog[[#This Row],[Date]])</f>
        <v>12</v>
      </c>
      <c r="K674" s="6" t="str">
        <f>IF(GameLog[[#This Row],[Date]]=MAX(GameLog[Date]),"Current","Previous")</f>
        <v>Previous</v>
      </c>
      <c r="L674" s="6"/>
      <c r="M6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4" s="6" t="str">
        <f ca="1">IF(GameLog[[#This Row],[Check]]="","",COUNTIF(GameLog[[#Headers],[Check]]:GameLog[[#This Row],[Check]],"?*")-1)</f>
        <v/>
      </c>
      <c r="O674" s="6" t="str">
        <f>IFERROR(INDEX(Players[New name],MATCH(GameLog[[#This Row],[Player]],Players[Name],0)),GameLog[[#This Row],[Player]])</f>
        <v>Mark D</v>
      </c>
    </row>
    <row r="675" spans="1:15" x14ac:dyDescent="0.45">
      <c r="A675" s="6" t="s">
        <v>70</v>
      </c>
      <c r="B675" s="6" t="s">
        <v>50</v>
      </c>
      <c r="C675" s="6">
        <v>1</v>
      </c>
      <c r="D675" s="6">
        <v>1</v>
      </c>
      <c r="E675" s="6">
        <v>1</v>
      </c>
      <c r="F675" s="10">
        <v>46020</v>
      </c>
      <c r="G675" s="6" t="str">
        <f>_xlfn.TEXTJOIN("|",TRUE,GameLog[[#This Row],[Pod]],TEXT(INT(GameLog[[#This Row],[Round]]),"yyyymmdd"),GameLog[[#This Row],[Date]])</f>
        <v>1|19000101|46020</v>
      </c>
      <c r="H675" s="6">
        <f>COUNTIF(GameLog[Pod ID],GameLog[[#This Row],[Pod ID]])</f>
        <v>4</v>
      </c>
      <c r="I675" s="6">
        <f>YEAR(GameLog[[#This Row],[Date]])</f>
        <v>2025</v>
      </c>
      <c r="J675" s="6">
        <f>MONTH(GameLog[[#This Row],[Date]])</f>
        <v>12</v>
      </c>
      <c r="K675" s="6" t="str">
        <f>IF(GameLog[[#This Row],[Date]]=MAX(GameLog[Date]),"Current","Previous")</f>
        <v>Previous</v>
      </c>
      <c r="L675" s="6"/>
      <c r="M6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5" s="6" t="str">
        <f ca="1">IF(GameLog[[#This Row],[Check]]="","",COUNTIF(GameLog[[#Headers],[Check]]:GameLog[[#This Row],[Check]],"?*")-1)</f>
        <v/>
      </c>
      <c r="O675" s="6" t="str">
        <f>IFERROR(INDEX(Players[New name],MATCH(GameLog[[#This Row],[Player]],Players[Name],0)),GameLog[[#This Row],[Player]])</f>
        <v>Brad F</v>
      </c>
    </row>
    <row r="676" spans="1:15" x14ac:dyDescent="0.45">
      <c r="A676" s="6" t="s">
        <v>73</v>
      </c>
      <c r="B676" s="6" t="s">
        <v>53</v>
      </c>
      <c r="C676" s="6">
        <v>2</v>
      </c>
      <c r="D676" s="6">
        <v>1</v>
      </c>
      <c r="E676" s="6">
        <v>1</v>
      </c>
      <c r="F676" s="10">
        <v>46020</v>
      </c>
      <c r="G676" s="6" t="str">
        <f>_xlfn.TEXTJOIN("|",TRUE,GameLog[[#This Row],[Pod]],TEXT(INT(GameLog[[#This Row],[Round]]),"yyyymmdd"),GameLog[[#This Row],[Date]])</f>
        <v>1|19000101|46020</v>
      </c>
      <c r="H676" s="6">
        <f>COUNTIF(GameLog[Pod ID],GameLog[[#This Row],[Pod ID]])</f>
        <v>4</v>
      </c>
      <c r="I676" s="6">
        <f>YEAR(GameLog[[#This Row],[Date]])</f>
        <v>2025</v>
      </c>
      <c r="J676" s="6">
        <f>MONTH(GameLog[[#This Row],[Date]])</f>
        <v>12</v>
      </c>
      <c r="K676" s="6" t="str">
        <f>IF(GameLog[[#This Row],[Date]]=MAX(GameLog[Date]),"Current","Previous")</f>
        <v>Previous</v>
      </c>
      <c r="L676" s="6"/>
      <c r="M6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6" s="6" t="str">
        <f ca="1">IF(GameLog[[#This Row],[Check]]="","",COUNTIF(GameLog[[#Headers],[Check]]:GameLog[[#This Row],[Check]],"?*")-1)</f>
        <v/>
      </c>
      <c r="O676" s="6" t="str">
        <f>IFERROR(INDEX(Players[New name],MATCH(GameLog[[#This Row],[Player]],Players[Name],0)),GameLog[[#This Row],[Player]])</f>
        <v>Brandon B</v>
      </c>
    </row>
    <row r="677" spans="1:15" x14ac:dyDescent="0.45">
      <c r="A677" s="6" t="s">
        <v>56</v>
      </c>
      <c r="B677" s="6" t="s">
        <v>53</v>
      </c>
      <c r="C677" s="6">
        <v>3</v>
      </c>
      <c r="D677" s="6">
        <v>1</v>
      </c>
      <c r="E677" s="6">
        <v>1</v>
      </c>
      <c r="F677" s="10">
        <v>46020</v>
      </c>
      <c r="G677" s="6" t="str">
        <f>_xlfn.TEXTJOIN("|",TRUE,GameLog[[#This Row],[Pod]],TEXT(INT(GameLog[[#This Row],[Round]]),"yyyymmdd"),GameLog[[#This Row],[Date]])</f>
        <v>1|19000101|46020</v>
      </c>
      <c r="H677" s="6">
        <f>COUNTIF(GameLog[Pod ID],GameLog[[#This Row],[Pod ID]])</f>
        <v>4</v>
      </c>
      <c r="I677" s="6">
        <f>YEAR(GameLog[[#This Row],[Date]])</f>
        <v>2025</v>
      </c>
      <c r="J677" s="6">
        <f>MONTH(GameLog[[#This Row],[Date]])</f>
        <v>12</v>
      </c>
      <c r="K677" s="6" t="str">
        <f>IF(GameLog[[#This Row],[Date]]=MAX(GameLog[Date]),"Current","Previous")</f>
        <v>Previous</v>
      </c>
      <c r="L677" s="6"/>
      <c r="M6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7" s="6" t="str">
        <f ca="1">IF(GameLog[[#This Row],[Check]]="","",COUNTIF(GameLog[[#Headers],[Check]]:GameLog[[#This Row],[Check]],"?*")-1)</f>
        <v/>
      </c>
      <c r="O677" s="6" t="str">
        <f>IFERROR(INDEX(Players[New name],MATCH(GameLog[[#This Row],[Player]],Players[Name],0)),GameLog[[#This Row],[Player]])</f>
        <v>Mark D</v>
      </c>
    </row>
    <row r="678" spans="1:15" x14ac:dyDescent="0.45">
      <c r="A678" s="6" t="s">
        <v>60</v>
      </c>
      <c r="B678" s="6" t="s">
        <v>53</v>
      </c>
      <c r="C678" s="6">
        <v>4</v>
      </c>
      <c r="D678" s="6">
        <v>1</v>
      </c>
      <c r="E678" s="6">
        <v>1</v>
      </c>
      <c r="F678" s="10">
        <v>46020</v>
      </c>
      <c r="G678" s="6" t="str">
        <f>_xlfn.TEXTJOIN("|",TRUE,GameLog[[#This Row],[Pod]],TEXT(INT(GameLog[[#This Row],[Round]]),"yyyymmdd"),GameLog[[#This Row],[Date]])</f>
        <v>1|19000101|46020</v>
      </c>
      <c r="H678" s="6">
        <f>COUNTIF(GameLog[Pod ID],GameLog[[#This Row],[Pod ID]])</f>
        <v>4</v>
      </c>
      <c r="I678" s="6">
        <f>YEAR(GameLog[[#This Row],[Date]])</f>
        <v>2025</v>
      </c>
      <c r="J678" s="6">
        <f>MONTH(GameLog[[#This Row],[Date]])</f>
        <v>12</v>
      </c>
      <c r="K678" s="6" t="str">
        <f>IF(GameLog[[#This Row],[Date]]=MAX(GameLog[Date]),"Current","Previous")</f>
        <v>Previous</v>
      </c>
      <c r="L678" s="6"/>
      <c r="M6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8" s="6" t="str">
        <f ca="1">IF(GameLog[[#This Row],[Check]]="","",COUNTIF(GameLog[[#Headers],[Check]]:GameLog[[#This Row],[Check]],"?*")-1)</f>
        <v/>
      </c>
      <c r="O678" s="6" t="str">
        <f>IFERROR(INDEX(Players[New name],MATCH(GameLog[[#This Row],[Player]],Players[Name],0)),GameLog[[#This Row],[Player]])</f>
        <v>Brendan H</v>
      </c>
    </row>
    <row r="679" spans="1:15" x14ac:dyDescent="0.45">
      <c r="A679" s="6" t="s">
        <v>59</v>
      </c>
      <c r="B679" s="6" t="s">
        <v>50</v>
      </c>
      <c r="C679" s="6">
        <v>1</v>
      </c>
      <c r="D679" s="6">
        <v>2</v>
      </c>
      <c r="E679" s="6">
        <v>1</v>
      </c>
      <c r="F679" s="10">
        <v>46020</v>
      </c>
      <c r="G679" s="6" t="str">
        <f>_xlfn.TEXTJOIN("|",TRUE,GameLog[[#This Row],[Pod]],TEXT(INT(GameLog[[#This Row],[Round]]),"yyyymmdd"),GameLog[[#This Row],[Date]])</f>
        <v>2|19000101|46020</v>
      </c>
      <c r="H679" s="6">
        <f>COUNTIF(GameLog[Pod ID],GameLog[[#This Row],[Pod ID]])</f>
        <v>4</v>
      </c>
      <c r="I679" s="6">
        <f>YEAR(GameLog[[#This Row],[Date]])</f>
        <v>2025</v>
      </c>
      <c r="J679" s="6">
        <f>MONTH(GameLog[[#This Row],[Date]])</f>
        <v>12</v>
      </c>
      <c r="K679" s="6" t="str">
        <f>IF(GameLog[[#This Row],[Date]]=MAX(GameLog[Date]),"Current","Previous")</f>
        <v>Previous</v>
      </c>
      <c r="L679" s="6"/>
      <c r="M6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79" s="6" t="str">
        <f ca="1">IF(GameLog[[#This Row],[Check]]="","",COUNTIF(GameLog[[#Headers],[Check]]:GameLog[[#This Row],[Check]],"?*")-1)</f>
        <v/>
      </c>
      <c r="O679" s="6" t="str">
        <f>IFERROR(INDEX(Players[New name],MATCH(GameLog[[#This Row],[Player]],Players[Name],0)),GameLog[[#This Row],[Player]])</f>
        <v>Zack B</v>
      </c>
    </row>
    <row r="680" spans="1:15" x14ac:dyDescent="0.45">
      <c r="A680" s="6" t="s">
        <v>64</v>
      </c>
      <c r="B680" s="6" t="s">
        <v>53</v>
      </c>
      <c r="C680" s="6">
        <v>2</v>
      </c>
      <c r="D680" s="6">
        <v>2</v>
      </c>
      <c r="E680" s="6">
        <v>1</v>
      </c>
      <c r="F680" s="10">
        <v>46020</v>
      </c>
      <c r="G680" s="6" t="str">
        <f>_xlfn.TEXTJOIN("|",TRUE,GameLog[[#This Row],[Pod]],TEXT(INT(GameLog[[#This Row],[Round]]),"yyyymmdd"),GameLog[[#This Row],[Date]])</f>
        <v>2|19000101|46020</v>
      </c>
      <c r="H680" s="6">
        <f>COUNTIF(GameLog[Pod ID],GameLog[[#This Row],[Pod ID]])</f>
        <v>4</v>
      </c>
      <c r="I680" s="6">
        <f>YEAR(GameLog[[#This Row],[Date]])</f>
        <v>2025</v>
      </c>
      <c r="J680" s="6">
        <f>MONTH(GameLog[[#This Row],[Date]])</f>
        <v>12</v>
      </c>
      <c r="K680" s="6" t="str">
        <f>IF(GameLog[[#This Row],[Date]]=MAX(GameLog[Date]),"Current","Previous")</f>
        <v>Previous</v>
      </c>
      <c r="L680" s="6"/>
      <c r="M6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0" s="6" t="str">
        <f ca="1">IF(GameLog[[#This Row],[Check]]="","",COUNTIF(GameLog[[#Headers],[Check]]:GameLog[[#This Row],[Check]],"?*")-1)</f>
        <v/>
      </c>
      <c r="O680" s="6" t="str">
        <f>IFERROR(INDEX(Players[New name],MATCH(GameLog[[#This Row],[Player]],Players[Name],0)),GameLog[[#This Row],[Player]])</f>
        <v>Tyler B</v>
      </c>
    </row>
    <row r="681" spans="1:15" x14ac:dyDescent="0.45">
      <c r="A681" s="6" t="s">
        <v>55</v>
      </c>
      <c r="B681" s="6" t="s">
        <v>53</v>
      </c>
      <c r="C681" s="6">
        <v>3</v>
      </c>
      <c r="D681" s="6">
        <v>2</v>
      </c>
      <c r="E681" s="6">
        <v>1</v>
      </c>
      <c r="F681" s="10">
        <v>46020</v>
      </c>
      <c r="G681" s="6" t="str">
        <f>_xlfn.TEXTJOIN("|",TRUE,GameLog[[#This Row],[Pod]],TEXT(INT(GameLog[[#This Row],[Round]]),"yyyymmdd"),GameLog[[#This Row],[Date]])</f>
        <v>2|19000101|46020</v>
      </c>
      <c r="H681" s="6">
        <f>COUNTIF(GameLog[Pod ID],GameLog[[#This Row],[Pod ID]])</f>
        <v>4</v>
      </c>
      <c r="I681" s="6">
        <f>YEAR(GameLog[[#This Row],[Date]])</f>
        <v>2025</v>
      </c>
      <c r="J681" s="6">
        <f>MONTH(GameLog[[#This Row],[Date]])</f>
        <v>12</v>
      </c>
      <c r="K681" s="6" t="str">
        <f>IF(GameLog[[#This Row],[Date]]=MAX(GameLog[Date]),"Current","Previous")</f>
        <v>Previous</v>
      </c>
      <c r="L681" s="6"/>
      <c r="M6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1" s="6" t="str">
        <f ca="1">IF(GameLog[[#This Row],[Check]]="","",COUNTIF(GameLog[[#Headers],[Check]]:GameLog[[#This Row],[Check]],"?*")-1)</f>
        <v/>
      </c>
      <c r="O681" s="6" t="str">
        <f>IFERROR(INDEX(Players[New name],MATCH(GameLog[[#This Row],[Player]],Players[Name],0)),GameLog[[#This Row],[Player]])</f>
        <v>Bryce C</v>
      </c>
    </row>
    <row r="682" spans="1:15" x14ac:dyDescent="0.45">
      <c r="A682" s="6" t="s">
        <v>68</v>
      </c>
      <c r="B682" s="6" t="s">
        <v>53</v>
      </c>
      <c r="C682" s="6">
        <v>4</v>
      </c>
      <c r="D682" s="6">
        <v>2</v>
      </c>
      <c r="E682" s="6">
        <v>1</v>
      </c>
      <c r="F682" s="10">
        <v>46020</v>
      </c>
      <c r="G682" s="6" t="str">
        <f>_xlfn.TEXTJOIN("|",TRUE,GameLog[[#This Row],[Pod]],TEXT(INT(GameLog[[#This Row],[Round]]),"yyyymmdd"),GameLog[[#This Row],[Date]])</f>
        <v>2|19000101|46020</v>
      </c>
      <c r="H682" s="6">
        <f>COUNTIF(GameLog[Pod ID],GameLog[[#This Row],[Pod ID]])</f>
        <v>4</v>
      </c>
      <c r="I682" s="6">
        <f>YEAR(GameLog[[#This Row],[Date]])</f>
        <v>2025</v>
      </c>
      <c r="J682" s="6">
        <f>MONTH(GameLog[[#This Row],[Date]])</f>
        <v>12</v>
      </c>
      <c r="K682" s="6" t="str">
        <f>IF(GameLog[[#This Row],[Date]]=MAX(GameLog[Date]),"Current","Previous")</f>
        <v>Previous</v>
      </c>
      <c r="L682" s="6"/>
      <c r="M6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2" s="6" t="str">
        <f ca="1">IF(GameLog[[#This Row],[Check]]="","",COUNTIF(GameLog[[#Headers],[Check]]:GameLog[[#This Row],[Check]],"?*")-1)</f>
        <v/>
      </c>
      <c r="O682" s="6" t="str">
        <f>IFERROR(INDEX(Players[New name],MATCH(GameLog[[#This Row],[Player]],Players[Name],0)),GameLog[[#This Row],[Player]])</f>
        <v>Edwin M</v>
      </c>
    </row>
    <row r="683" spans="1:15" x14ac:dyDescent="0.45">
      <c r="A683" s="6" t="s">
        <v>52</v>
      </c>
      <c r="B683" s="6" t="s">
        <v>53</v>
      </c>
      <c r="C683" s="6">
        <v>1</v>
      </c>
      <c r="D683" s="6">
        <v>3</v>
      </c>
      <c r="E683" s="6">
        <v>1</v>
      </c>
      <c r="F683" s="10">
        <v>46020</v>
      </c>
      <c r="G683" s="6" t="str">
        <f>_xlfn.TEXTJOIN("|",TRUE,GameLog[[#This Row],[Pod]],TEXT(INT(GameLog[[#This Row],[Round]]),"yyyymmdd"),GameLog[[#This Row],[Date]])</f>
        <v>3|19000101|46020</v>
      </c>
      <c r="H683" s="6">
        <f>COUNTIF(GameLog[Pod ID],GameLog[[#This Row],[Pod ID]])</f>
        <v>4</v>
      </c>
      <c r="I683" s="6">
        <f>YEAR(GameLog[[#This Row],[Date]])</f>
        <v>2025</v>
      </c>
      <c r="J683" s="6">
        <f>MONTH(GameLog[[#This Row],[Date]])</f>
        <v>12</v>
      </c>
      <c r="K683" s="6" t="str">
        <f>IF(GameLog[[#This Row],[Date]]=MAX(GameLog[Date]),"Current","Previous")</f>
        <v>Previous</v>
      </c>
      <c r="L683" s="6"/>
      <c r="M6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3" s="6" t="str">
        <f ca="1">IF(GameLog[[#This Row],[Check]]="","",COUNTIF(GameLog[[#Headers],[Check]]:GameLog[[#This Row],[Check]],"?*")-1)</f>
        <v/>
      </c>
      <c r="O683" s="6" t="str">
        <f>IFERROR(INDEX(Players[New name],MATCH(GameLog[[#This Row],[Player]],Players[Name],0)),GameLog[[#This Row],[Player]])</f>
        <v>Unknown</v>
      </c>
    </row>
    <row r="684" spans="1:15" x14ac:dyDescent="0.45">
      <c r="A684" s="6" t="s">
        <v>76</v>
      </c>
      <c r="B684" s="6" t="s">
        <v>53</v>
      </c>
      <c r="C684" s="6">
        <v>2</v>
      </c>
      <c r="D684" s="6">
        <v>3</v>
      </c>
      <c r="E684" s="6">
        <v>1</v>
      </c>
      <c r="F684" s="10">
        <v>46020</v>
      </c>
      <c r="G684" s="6" t="str">
        <f>_xlfn.TEXTJOIN("|",TRUE,GameLog[[#This Row],[Pod]],TEXT(INT(GameLog[[#This Row],[Round]]),"yyyymmdd"),GameLog[[#This Row],[Date]])</f>
        <v>3|19000101|46020</v>
      </c>
      <c r="H684" s="6">
        <f>COUNTIF(GameLog[Pod ID],GameLog[[#This Row],[Pod ID]])</f>
        <v>4</v>
      </c>
      <c r="I684" s="6">
        <f>YEAR(GameLog[[#This Row],[Date]])</f>
        <v>2025</v>
      </c>
      <c r="J684" s="6">
        <f>MONTH(GameLog[[#This Row],[Date]])</f>
        <v>12</v>
      </c>
      <c r="K684" s="6" t="str">
        <f>IF(GameLog[[#This Row],[Date]]=MAX(GameLog[Date]),"Current","Previous")</f>
        <v>Previous</v>
      </c>
      <c r="L684" s="6"/>
      <c r="M6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4" s="6" t="str">
        <f ca="1">IF(GameLog[[#This Row],[Check]]="","",COUNTIF(GameLog[[#Headers],[Check]]:GameLog[[#This Row],[Check]],"?*")-1)</f>
        <v/>
      </c>
      <c r="O684" s="6" t="str">
        <f>IFERROR(INDEX(Players[New name],MATCH(GameLog[[#This Row],[Player]],Players[Name],0)),GameLog[[#This Row],[Player]])</f>
        <v>Jon M</v>
      </c>
    </row>
    <row r="685" spans="1:15" x14ac:dyDescent="0.45">
      <c r="A685" s="6" t="s">
        <v>57</v>
      </c>
      <c r="B685" s="6" t="s">
        <v>50</v>
      </c>
      <c r="C685" s="6">
        <v>3</v>
      </c>
      <c r="D685" s="6">
        <v>3</v>
      </c>
      <c r="E685" s="6">
        <v>1</v>
      </c>
      <c r="F685" s="10">
        <v>46020</v>
      </c>
      <c r="G685" s="6" t="str">
        <f>_xlfn.TEXTJOIN("|",TRUE,GameLog[[#This Row],[Pod]],TEXT(INT(GameLog[[#This Row],[Round]]),"yyyymmdd"),GameLog[[#This Row],[Date]])</f>
        <v>3|19000101|46020</v>
      </c>
      <c r="H685" s="6">
        <f>COUNTIF(GameLog[Pod ID],GameLog[[#This Row],[Pod ID]])</f>
        <v>4</v>
      </c>
      <c r="I685" s="6">
        <f>YEAR(GameLog[[#This Row],[Date]])</f>
        <v>2025</v>
      </c>
      <c r="J685" s="6">
        <f>MONTH(GameLog[[#This Row],[Date]])</f>
        <v>12</v>
      </c>
      <c r="K685" s="6" t="str">
        <f>IF(GameLog[[#This Row],[Date]]=MAX(GameLog[Date]),"Current","Previous")</f>
        <v>Previous</v>
      </c>
      <c r="L685" s="6"/>
      <c r="M6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5" s="6" t="str">
        <f ca="1">IF(GameLog[[#This Row],[Check]]="","",COUNTIF(GameLog[[#Headers],[Check]]:GameLog[[#This Row],[Check]],"?*")-1)</f>
        <v/>
      </c>
      <c r="O685" s="6" t="str">
        <f>IFERROR(INDEX(Players[New name],MATCH(GameLog[[#This Row],[Player]],Players[Name],0)),GameLog[[#This Row],[Player]])</f>
        <v>AJ W</v>
      </c>
    </row>
    <row r="686" spans="1:15" x14ac:dyDescent="0.45">
      <c r="A686" s="6" t="s">
        <v>61</v>
      </c>
      <c r="B686" s="6" t="s">
        <v>53</v>
      </c>
      <c r="C686" s="6">
        <v>4</v>
      </c>
      <c r="D686" s="6">
        <v>3</v>
      </c>
      <c r="E686" s="6">
        <v>1</v>
      </c>
      <c r="F686" s="10">
        <v>46020</v>
      </c>
      <c r="G686" s="6" t="str">
        <f>_xlfn.TEXTJOIN("|",TRUE,GameLog[[#This Row],[Pod]],TEXT(INT(GameLog[[#This Row],[Round]]),"yyyymmdd"),GameLog[[#This Row],[Date]])</f>
        <v>3|19000101|46020</v>
      </c>
      <c r="H686" s="6">
        <f>COUNTIF(GameLog[Pod ID],GameLog[[#This Row],[Pod ID]])</f>
        <v>4</v>
      </c>
      <c r="I686" s="6">
        <f>YEAR(GameLog[[#This Row],[Date]])</f>
        <v>2025</v>
      </c>
      <c r="J686" s="6">
        <f>MONTH(GameLog[[#This Row],[Date]])</f>
        <v>12</v>
      </c>
      <c r="K686" s="6" t="str">
        <f>IF(GameLog[[#This Row],[Date]]=MAX(GameLog[Date]),"Current","Previous")</f>
        <v>Previous</v>
      </c>
      <c r="L686" s="6"/>
      <c r="M6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6" s="6" t="str">
        <f ca="1">IF(GameLog[[#This Row],[Check]]="","",COUNTIF(GameLog[[#Headers],[Check]]:GameLog[[#This Row],[Check]],"?*")-1)</f>
        <v/>
      </c>
      <c r="O686" s="6" t="str">
        <f>IFERROR(INDEX(Players[New name],MATCH(GameLog[[#This Row],[Player]],Players[Name],0)),GameLog[[#This Row],[Player]])</f>
        <v>Trevor</v>
      </c>
    </row>
    <row r="687" spans="1:15" x14ac:dyDescent="0.45">
      <c r="A687" s="6" t="s">
        <v>58</v>
      </c>
      <c r="B687" s="6" t="s">
        <v>50</v>
      </c>
      <c r="C687" s="6">
        <v>1</v>
      </c>
      <c r="D687" s="6">
        <v>4</v>
      </c>
      <c r="E687" s="6">
        <v>1</v>
      </c>
      <c r="F687" s="10">
        <v>46020</v>
      </c>
      <c r="G687" s="6" t="str">
        <f>_xlfn.TEXTJOIN("|",TRUE,GameLog[[#This Row],[Pod]],TEXT(INT(GameLog[[#This Row],[Round]]),"yyyymmdd"),GameLog[[#This Row],[Date]])</f>
        <v>4|19000101|46020</v>
      </c>
      <c r="H687" s="6">
        <f>COUNTIF(GameLog[Pod ID],GameLog[[#This Row],[Pod ID]])</f>
        <v>4</v>
      </c>
      <c r="I687" s="6">
        <f>YEAR(GameLog[[#This Row],[Date]])</f>
        <v>2025</v>
      </c>
      <c r="J687" s="6">
        <f>MONTH(GameLog[[#This Row],[Date]])</f>
        <v>12</v>
      </c>
      <c r="K687" s="6" t="str">
        <f>IF(GameLog[[#This Row],[Date]]=MAX(GameLog[Date]),"Current","Previous")</f>
        <v>Previous</v>
      </c>
      <c r="L687" s="6"/>
      <c r="M6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7" s="6" t="str">
        <f ca="1">IF(GameLog[[#This Row],[Check]]="","",COUNTIF(GameLog[[#Headers],[Check]]:GameLog[[#This Row],[Check]],"?*")-1)</f>
        <v/>
      </c>
      <c r="O687" s="6" t="str">
        <f>IFERROR(INDEX(Players[New name],MATCH(GameLog[[#This Row],[Player]],Players[Name],0)),GameLog[[#This Row],[Player]])</f>
        <v>Dakota P</v>
      </c>
    </row>
    <row r="688" spans="1:15" x14ac:dyDescent="0.45">
      <c r="A688" s="6" t="s">
        <v>49</v>
      </c>
      <c r="B688" s="6" t="s">
        <v>53</v>
      </c>
      <c r="C688" s="6">
        <v>2</v>
      </c>
      <c r="D688" s="6">
        <v>4</v>
      </c>
      <c r="E688" s="6">
        <v>1</v>
      </c>
      <c r="F688" s="10">
        <v>46020</v>
      </c>
      <c r="G688" s="6" t="str">
        <f>_xlfn.TEXTJOIN("|",TRUE,GameLog[[#This Row],[Pod]],TEXT(INT(GameLog[[#This Row],[Round]]),"yyyymmdd"),GameLog[[#This Row],[Date]])</f>
        <v>4|19000101|46020</v>
      </c>
      <c r="H688" s="6">
        <f>COUNTIF(GameLog[Pod ID],GameLog[[#This Row],[Pod ID]])</f>
        <v>4</v>
      </c>
      <c r="I688" s="6">
        <f>YEAR(GameLog[[#This Row],[Date]])</f>
        <v>2025</v>
      </c>
      <c r="J688" s="6">
        <f>MONTH(GameLog[[#This Row],[Date]])</f>
        <v>12</v>
      </c>
      <c r="K688" s="6" t="str">
        <f>IF(GameLog[[#This Row],[Date]]=MAX(GameLog[Date]),"Current","Previous")</f>
        <v>Previous</v>
      </c>
      <c r="L688" s="6"/>
      <c r="M6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8" s="6" t="str">
        <f ca="1">IF(GameLog[[#This Row],[Check]]="","",COUNTIF(GameLog[[#Headers],[Check]]:GameLog[[#This Row],[Check]],"?*")-1)</f>
        <v/>
      </c>
      <c r="O688" s="6" t="str">
        <f>IFERROR(INDEX(Players[New name],MATCH(GameLog[[#This Row],[Player]],Players[Name],0)),GameLog[[#This Row],[Player]])</f>
        <v>Brett R</v>
      </c>
    </row>
    <row r="689" spans="1:15" x14ac:dyDescent="0.45">
      <c r="A689" s="6" t="s">
        <v>71</v>
      </c>
      <c r="B689" s="6" t="s">
        <v>53</v>
      </c>
      <c r="C689" s="6">
        <v>3</v>
      </c>
      <c r="D689" s="6">
        <v>4</v>
      </c>
      <c r="E689" s="6">
        <v>1</v>
      </c>
      <c r="F689" s="10">
        <v>46020</v>
      </c>
      <c r="G689" s="6" t="str">
        <f>_xlfn.TEXTJOIN("|",TRUE,GameLog[[#This Row],[Pod]],TEXT(INT(GameLog[[#This Row],[Round]]),"yyyymmdd"),GameLog[[#This Row],[Date]])</f>
        <v>4|19000101|46020</v>
      </c>
      <c r="H689" s="6">
        <f>COUNTIF(GameLog[Pod ID],GameLog[[#This Row],[Pod ID]])</f>
        <v>4</v>
      </c>
      <c r="I689" s="6">
        <f>YEAR(GameLog[[#This Row],[Date]])</f>
        <v>2025</v>
      </c>
      <c r="J689" s="6">
        <f>MONTH(GameLog[[#This Row],[Date]])</f>
        <v>12</v>
      </c>
      <c r="K689" s="6" t="str">
        <f>IF(GameLog[[#This Row],[Date]]=MAX(GameLog[Date]),"Current","Previous")</f>
        <v>Previous</v>
      </c>
      <c r="L689" s="6"/>
      <c r="M6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89" s="6" t="str">
        <f ca="1">IF(GameLog[[#This Row],[Check]]="","",COUNTIF(GameLog[[#Headers],[Check]]:GameLog[[#This Row],[Check]],"?*")-1)</f>
        <v/>
      </c>
      <c r="O689" s="6" t="str">
        <f>IFERROR(INDEX(Players[New name],MATCH(GameLog[[#This Row],[Player]],Players[Name],0)),GameLog[[#This Row],[Player]])</f>
        <v>Rodney Y</v>
      </c>
    </row>
    <row r="690" spans="1:15" x14ac:dyDescent="0.45">
      <c r="A690" s="6" t="s">
        <v>86</v>
      </c>
      <c r="B690" s="6" t="s">
        <v>53</v>
      </c>
      <c r="C690" s="6">
        <v>4</v>
      </c>
      <c r="D690" s="6">
        <v>4</v>
      </c>
      <c r="E690" s="6">
        <v>1</v>
      </c>
      <c r="F690" s="10">
        <v>46020</v>
      </c>
      <c r="G690" s="6" t="str">
        <f>_xlfn.TEXTJOIN("|",TRUE,GameLog[[#This Row],[Pod]],TEXT(INT(GameLog[[#This Row],[Round]]),"yyyymmdd"),GameLog[[#This Row],[Date]])</f>
        <v>4|19000101|46020</v>
      </c>
      <c r="H690" s="6">
        <f>COUNTIF(GameLog[Pod ID],GameLog[[#This Row],[Pod ID]])</f>
        <v>4</v>
      </c>
      <c r="I690" s="6">
        <f>YEAR(GameLog[[#This Row],[Date]])</f>
        <v>2025</v>
      </c>
      <c r="J690" s="6">
        <f>MONTH(GameLog[[#This Row],[Date]])</f>
        <v>12</v>
      </c>
      <c r="K690" s="6" t="str">
        <f>IF(GameLog[[#This Row],[Date]]=MAX(GameLog[Date]),"Current","Previous")</f>
        <v>Previous</v>
      </c>
      <c r="L690" s="6"/>
      <c r="M6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0" s="6" t="str">
        <f ca="1">IF(GameLog[[#This Row],[Check]]="","",COUNTIF(GameLog[[#Headers],[Check]]:GameLog[[#This Row],[Check]],"?*")-1)</f>
        <v/>
      </c>
      <c r="O690" s="6" t="str">
        <f>IFERROR(INDEX(Players[New name],MATCH(GameLog[[#This Row],[Player]],Players[Name],0)),GameLog[[#This Row],[Player]])</f>
        <v>Steve C</v>
      </c>
    </row>
    <row r="691" spans="1:15" x14ac:dyDescent="0.45">
      <c r="A691" s="6" t="s">
        <v>59</v>
      </c>
      <c r="B691" s="6" t="s">
        <v>50</v>
      </c>
      <c r="C691" s="6">
        <v>1</v>
      </c>
      <c r="D691" s="6">
        <v>1</v>
      </c>
      <c r="E691" s="6">
        <v>2</v>
      </c>
      <c r="F691" s="10">
        <v>46020</v>
      </c>
      <c r="G691" s="6" t="str">
        <f>_xlfn.TEXTJOIN("|",TRUE,GameLog[[#This Row],[Pod]],TEXT(INT(GameLog[[#This Row],[Round]]),"yyyymmdd"),GameLog[[#This Row],[Date]])</f>
        <v>1|19000102|46020</v>
      </c>
      <c r="H691" s="6">
        <f>COUNTIF(GameLog[Pod ID],GameLog[[#This Row],[Pod ID]])</f>
        <v>4</v>
      </c>
      <c r="I691" s="6">
        <f>YEAR(GameLog[[#This Row],[Date]])</f>
        <v>2025</v>
      </c>
      <c r="J691" s="6">
        <f>MONTH(GameLog[[#This Row],[Date]])</f>
        <v>12</v>
      </c>
      <c r="K691" s="6" t="str">
        <f>IF(GameLog[[#This Row],[Date]]=MAX(GameLog[Date]),"Current","Previous")</f>
        <v>Previous</v>
      </c>
      <c r="L691" s="6"/>
      <c r="M6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1" s="6" t="str">
        <f ca="1">IF(GameLog[[#This Row],[Check]]="","",COUNTIF(GameLog[[#Headers],[Check]]:GameLog[[#This Row],[Check]],"?*")-1)</f>
        <v/>
      </c>
      <c r="O691" s="6" t="str">
        <f>IFERROR(INDEX(Players[New name],MATCH(GameLog[[#This Row],[Player]],Players[Name],0)),GameLog[[#This Row],[Player]])</f>
        <v>Zack B</v>
      </c>
    </row>
    <row r="692" spans="1:15" x14ac:dyDescent="0.45">
      <c r="A692" s="6" t="s">
        <v>57</v>
      </c>
      <c r="B692" s="6" t="s">
        <v>53</v>
      </c>
      <c r="C692" s="6">
        <v>2</v>
      </c>
      <c r="D692" s="6">
        <v>1</v>
      </c>
      <c r="E692" s="6">
        <v>2</v>
      </c>
      <c r="F692" s="10">
        <v>46020</v>
      </c>
      <c r="G692" s="6" t="str">
        <f>_xlfn.TEXTJOIN("|",TRUE,GameLog[[#This Row],[Pod]],TEXT(INT(GameLog[[#This Row],[Round]]),"yyyymmdd"),GameLog[[#This Row],[Date]])</f>
        <v>1|19000102|46020</v>
      </c>
      <c r="H692" s="6">
        <f>COUNTIF(GameLog[Pod ID],GameLog[[#This Row],[Pod ID]])</f>
        <v>4</v>
      </c>
      <c r="I692" s="6">
        <f>YEAR(GameLog[[#This Row],[Date]])</f>
        <v>2025</v>
      </c>
      <c r="J692" s="6">
        <f>MONTH(GameLog[[#This Row],[Date]])</f>
        <v>12</v>
      </c>
      <c r="K692" s="6" t="str">
        <f>IF(GameLog[[#This Row],[Date]]=MAX(GameLog[Date]),"Current","Previous")</f>
        <v>Previous</v>
      </c>
      <c r="L692" s="6"/>
      <c r="M6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2" s="6" t="str">
        <f ca="1">IF(GameLog[[#This Row],[Check]]="","",COUNTIF(GameLog[[#Headers],[Check]]:GameLog[[#This Row],[Check]],"?*")-1)</f>
        <v/>
      </c>
      <c r="O692" s="6" t="str">
        <f>IFERROR(INDEX(Players[New name],MATCH(GameLog[[#This Row],[Player]],Players[Name],0)),GameLog[[#This Row],[Player]])</f>
        <v>AJ W</v>
      </c>
    </row>
    <row r="693" spans="1:15" x14ac:dyDescent="0.45">
      <c r="A693" s="6" t="s">
        <v>70</v>
      </c>
      <c r="B693" s="6" t="s">
        <v>53</v>
      </c>
      <c r="C693" s="6">
        <v>3</v>
      </c>
      <c r="D693" s="6">
        <v>1</v>
      </c>
      <c r="E693" s="6">
        <v>2</v>
      </c>
      <c r="F693" s="10">
        <v>46020</v>
      </c>
      <c r="G693" s="6" t="str">
        <f>_xlfn.TEXTJOIN("|",TRUE,GameLog[[#This Row],[Pod]],TEXT(INT(GameLog[[#This Row],[Round]]),"yyyymmdd"),GameLog[[#This Row],[Date]])</f>
        <v>1|19000102|46020</v>
      </c>
      <c r="H693" s="6">
        <f>COUNTIF(GameLog[Pod ID],GameLog[[#This Row],[Pod ID]])</f>
        <v>4</v>
      </c>
      <c r="I693" s="6">
        <f>YEAR(GameLog[[#This Row],[Date]])</f>
        <v>2025</v>
      </c>
      <c r="J693" s="6">
        <f>MONTH(GameLog[[#This Row],[Date]])</f>
        <v>12</v>
      </c>
      <c r="K693" s="6" t="str">
        <f>IF(GameLog[[#This Row],[Date]]=MAX(GameLog[Date]),"Current","Previous")</f>
        <v>Previous</v>
      </c>
      <c r="L693" s="6"/>
      <c r="M6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3" s="6" t="str">
        <f ca="1">IF(GameLog[[#This Row],[Check]]="","",COUNTIF(GameLog[[#Headers],[Check]]:GameLog[[#This Row],[Check]],"?*")-1)</f>
        <v/>
      </c>
      <c r="O693" s="6" t="str">
        <f>IFERROR(INDEX(Players[New name],MATCH(GameLog[[#This Row],[Player]],Players[Name],0)),GameLog[[#This Row],[Player]])</f>
        <v>Brad F</v>
      </c>
    </row>
    <row r="694" spans="1:15" x14ac:dyDescent="0.45">
      <c r="A694" s="6" t="s">
        <v>58</v>
      </c>
      <c r="B694" s="6" t="s">
        <v>53</v>
      </c>
      <c r="C694" s="6">
        <v>4</v>
      </c>
      <c r="D694" s="6">
        <v>1</v>
      </c>
      <c r="E694" s="6">
        <v>2</v>
      </c>
      <c r="F694" s="10">
        <v>46020</v>
      </c>
      <c r="G694" s="6" t="str">
        <f>_xlfn.TEXTJOIN("|",TRUE,GameLog[[#This Row],[Pod]],TEXT(INT(GameLog[[#This Row],[Round]]),"yyyymmdd"),GameLog[[#This Row],[Date]])</f>
        <v>1|19000102|46020</v>
      </c>
      <c r="H694" s="6">
        <f>COUNTIF(GameLog[Pod ID],GameLog[[#This Row],[Pod ID]])</f>
        <v>4</v>
      </c>
      <c r="I694" s="6">
        <f>YEAR(GameLog[[#This Row],[Date]])</f>
        <v>2025</v>
      </c>
      <c r="J694" s="6">
        <f>MONTH(GameLog[[#This Row],[Date]])</f>
        <v>12</v>
      </c>
      <c r="K694" s="6" t="str">
        <f>IF(GameLog[[#This Row],[Date]]=MAX(GameLog[Date]),"Current","Previous")</f>
        <v>Previous</v>
      </c>
      <c r="L694" s="6"/>
      <c r="M6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4" s="6" t="str">
        <f ca="1">IF(GameLog[[#This Row],[Check]]="","",COUNTIF(GameLog[[#Headers],[Check]]:GameLog[[#This Row],[Check]],"?*")-1)</f>
        <v/>
      </c>
      <c r="O694" s="6" t="str">
        <f>IFERROR(INDEX(Players[New name],MATCH(GameLog[[#This Row],[Player]],Players[Name],0)),GameLog[[#This Row],[Player]])</f>
        <v>Dakota P</v>
      </c>
    </row>
    <row r="695" spans="1:15" x14ac:dyDescent="0.45">
      <c r="A695" s="6" t="s">
        <v>76</v>
      </c>
      <c r="B695" s="6" t="s">
        <v>53</v>
      </c>
      <c r="C695" s="6">
        <v>1</v>
      </c>
      <c r="D695" s="6">
        <v>2</v>
      </c>
      <c r="E695" s="6">
        <v>2</v>
      </c>
      <c r="F695" s="10">
        <v>46020</v>
      </c>
      <c r="G695" s="6" t="str">
        <f>_xlfn.TEXTJOIN("|",TRUE,GameLog[[#This Row],[Pod]],TEXT(INT(GameLog[[#This Row],[Round]]),"yyyymmdd"),GameLog[[#This Row],[Date]])</f>
        <v>2|19000102|46020</v>
      </c>
      <c r="H695" s="6">
        <f>COUNTIF(GameLog[Pod ID],GameLog[[#This Row],[Pod ID]])</f>
        <v>4</v>
      </c>
      <c r="I695" s="6">
        <f>YEAR(GameLog[[#This Row],[Date]])</f>
        <v>2025</v>
      </c>
      <c r="J695" s="6">
        <f>MONTH(GameLog[[#This Row],[Date]])</f>
        <v>12</v>
      </c>
      <c r="K695" s="6" t="str">
        <f>IF(GameLog[[#This Row],[Date]]=MAX(GameLog[Date]),"Current","Previous")</f>
        <v>Previous</v>
      </c>
      <c r="L695" s="6"/>
      <c r="M6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5" s="6" t="str">
        <f ca="1">IF(GameLog[[#This Row],[Check]]="","",COUNTIF(GameLog[[#Headers],[Check]]:GameLog[[#This Row],[Check]],"?*")-1)</f>
        <v/>
      </c>
      <c r="O695" s="6" t="str">
        <f>IFERROR(INDEX(Players[New name],MATCH(GameLog[[#This Row],[Player]],Players[Name],0)),GameLog[[#This Row],[Player]])</f>
        <v>Jon M</v>
      </c>
    </row>
    <row r="696" spans="1:15" x14ac:dyDescent="0.45">
      <c r="A696" s="6" t="s">
        <v>68</v>
      </c>
      <c r="B696" s="6" t="s">
        <v>50</v>
      </c>
      <c r="C696" s="6">
        <v>2</v>
      </c>
      <c r="D696" s="6">
        <v>2</v>
      </c>
      <c r="E696" s="6">
        <v>2</v>
      </c>
      <c r="F696" s="10">
        <v>46020</v>
      </c>
      <c r="G696" s="6" t="str">
        <f>_xlfn.TEXTJOIN("|",TRUE,GameLog[[#This Row],[Pod]],TEXT(INT(GameLog[[#This Row],[Round]]),"yyyymmdd"),GameLog[[#This Row],[Date]])</f>
        <v>2|19000102|46020</v>
      </c>
      <c r="H696" s="6">
        <f>COUNTIF(GameLog[Pod ID],GameLog[[#This Row],[Pod ID]])</f>
        <v>4</v>
      </c>
      <c r="I696" s="6">
        <f>YEAR(GameLog[[#This Row],[Date]])</f>
        <v>2025</v>
      </c>
      <c r="J696" s="6">
        <f>MONTH(GameLog[[#This Row],[Date]])</f>
        <v>12</v>
      </c>
      <c r="K696" s="6" t="str">
        <f>IF(GameLog[[#This Row],[Date]]=MAX(GameLog[Date]),"Current","Previous")</f>
        <v>Previous</v>
      </c>
      <c r="L696" s="6"/>
      <c r="M6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6" s="6" t="str">
        <f ca="1">IF(GameLog[[#This Row],[Check]]="","",COUNTIF(GameLog[[#Headers],[Check]]:GameLog[[#This Row],[Check]],"?*")-1)</f>
        <v/>
      </c>
      <c r="O696" s="6" t="str">
        <f>IFERROR(INDEX(Players[New name],MATCH(GameLog[[#This Row],[Player]],Players[Name],0)),GameLog[[#This Row],[Player]])</f>
        <v>Edwin M</v>
      </c>
    </row>
    <row r="697" spans="1:15" x14ac:dyDescent="0.45">
      <c r="A697" s="6" t="s">
        <v>49</v>
      </c>
      <c r="B697" s="6" t="s">
        <v>53</v>
      </c>
      <c r="C697" s="6">
        <v>3</v>
      </c>
      <c r="D697" s="6">
        <v>2</v>
      </c>
      <c r="E697" s="6">
        <v>2</v>
      </c>
      <c r="F697" s="10">
        <v>46020</v>
      </c>
      <c r="G697" s="6" t="str">
        <f>_xlfn.TEXTJOIN("|",TRUE,GameLog[[#This Row],[Pod]],TEXT(INT(GameLog[[#This Row],[Round]]),"yyyymmdd"),GameLog[[#This Row],[Date]])</f>
        <v>2|19000102|46020</v>
      </c>
      <c r="H697" s="6">
        <f>COUNTIF(GameLog[Pod ID],GameLog[[#This Row],[Pod ID]])</f>
        <v>4</v>
      </c>
      <c r="I697" s="6">
        <f>YEAR(GameLog[[#This Row],[Date]])</f>
        <v>2025</v>
      </c>
      <c r="J697" s="6">
        <f>MONTH(GameLog[[#This Row],[Date]])</f>
        <v>12</v>
      </c>
      <c r="K697" s="6" t="str">
        <f>IF(GameLog[[#This Row],[Date]]=MAX(GameLog[Date]),"Current","Previous")</f>
        <v>Previous</v>
      </c>
      <c r="L697" s="6"/>
      <c r="M6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7" s="6" t="str">
        <f ca="1">IF(GameLog[[#This Row],[Check]]="","",COUNTIF(GameLog[[#Headers],[Check]]:GameLog[[#This Row],[Check]],"?*")-1)</f>
        <v/>
      </c>
      <c r="O697" s="6" t="str">
        <f>IFERROR(INDEX(Players[New name],MATCH(GameLog[[#This Row],[Player]],Players[Name],0)),GameLog[[#This Row],[Player]])</f>
        <v>Brett R</v>
      </c>
    </row>
    <row r="698" spans="1:15" x14ac:dyDescent="0.45">
      <c r="A698" s="6" t="s">
        <v>73</v>
      </c>
      <c r="B698" s="6" t="s">
        <v>53</v>
      </c>
      <c r="C698" s="6">
        <v>4</v>
      </c>
      <c r="D698" s="6">
        <v>2</v>
      </c>
      <c r="E698" s="6">
        <v>2</v>
      </c>
      <c r="F698" s="10">
        <v>46020</v>
      </c>
      <c r="G698" s="6" t="str">
        <f>_xlfn.TEXTJOIN("|",TRUE,GameLog[[#This Row],[Pod]],TEXT(INT(GameLog[[#This Row],[Round]]),"yyyymmdd"),GameLog[[#This Row],[Date]])</f>
        <v>2|19000102|46020</v>
      </c>
      <c r="H698" s="6">
        <f>COUNTIF(GameLog[Pod ID],GameLog[[#This Row],[Pod ID]])</f>
        <v>4</v>
      </c>
      <c r="I698" s="6">
        <f>YEAR(GameLog[[#This Row],[Date]])</f>
        <v>2025</v>
      </c>
      <c r="J698" s="6">
        <f>MONTH(GameLog[[#This Row],[Date]])</f>
        <v>12</v>
      </c>
      <c r="K698" s="6" t="str">
        <f>IF(GameLog[[#This Row],[Date]]=MAX(GameLog[Date]),"Current","Previous")</f>
        <v>Previous</v>
      </c>
      <c r="L698" s="6"/>
      <c r="M6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8" s="6" t="str">
        <f ca="1">IF(GameLog[[#This Row],[Check]]="","",COUNTIF(GameLog[[#Headers],[Check]]:GameLog[[#This Row],[Check]],"?*")-1)</f>
        <v/>
      </c>
      <c r="O698" s="6" t="str">
        <f>IFERROR(INDEX(Players[New name],MATCH(GameLog[[#This Row],[Player]],Players[Name],0)),GameLog[[#This Row],[Player]])</f>
        <v>Brandon B</v>
      </c>
    </row>
    <row r="699" spans="1:15" x14ac:dyDescent="0.45">
      <c r="A699" s="6" t="s">
        <v>52</v>
      </c>
      <c r="B699" s="6" t="s">
        <v>90</v>
      </c>
      <c r="C699" s="6">
        <v>1</v>
      </c>
      <c r="D699" s="6">
        <v>3</v>
      </c>
      <c r="E699" s="6">
        <v>2</v>
      </c>
      <c r="F699" s="10">
        <v>46020</v>
      </c>
      <c r="G699" s="6" t="str">
        <f>_xlfn.TEXTJOIN("|",TRUE,GameLog[[#This Row],[Pod]],TEXT(INT(GameLog[[#This Row],[Round]]),"yyyymmdd"),GameLog[[#This Row],[Date]])</f>
        <v>3|19000102|46020</v>
      </c>
      <c r="H699" s="6">
        <f>COUNTIF(GameLog[Pod ID],GameLog[[#This Row],[Pod ID]])</f>
        <v>4</v>
      </c>
      <c r="I699" s="6">
        <f>YEAR(GameLog[[#This Row],[Date]])</f>
        <v>2025</v>
      </c>
      <c r="J699" s="6">
        <f>MONTH(GameLog[[#This Row],[Date]])</f>
        <v>12</v>
      </c>
      <c r="K699" s="6" t="str">
        <f>IF(GameLog[[#This Row],[Date]]=MAX(GameLog[Date]),"Current","Previous")</f>
        <v>Previous</v>
      </c>
      <c r="L699" s="6"/>
      <c r="M6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699" s="6" t="str">
        <f ca="1">IF(GameLog[[#This Row],[Check]]="","",COUNTIF(GameLog[[#Headers],[Check]]:GameLog[[#This Row],[Check]],"?*")-1)</f>
        <v/>
      </c>
      <c r="O699" s="6" t="str">
        <f>IFERROR(INDEX(Players[New name],MATCH(GameLog[[#This Row],[Player]],Players[Name],0)),GameLog[[#This Row],[Player]])</f>
        <v>Unknown</v>
      </c>
    </row>
    <row r="700" spans="1:15" x14ac:dyDescent="0.45">
      <c r="A700" s="6" t="s">
        <v>60</v>
      </c>
      <c r="B700" s="6" t="s">
        <v>90</v>
      </c>
      <c r="C700" s="6">
        <v>2</v>
      </c>
      <c r="D700" s="6">
        <v>3</v>
      </c>
      <c r="E700" s="6">
        <v>2</v>
      </c>
      <c r="F700" s="10">
        <v>46020</v>
      </c>
      <c r="G700" s="6" t="str">
        <f>_xlfn.TEXTJOIN("|",TRUE,GameLog[[#This Row],[Pod]],TEXT(INT(GameLog[[#This Row],[Round]]),"yyyymmdd"),GameLog[[#This Row],[Date]])</f>
        <v>3|19000102|46020</v>
      </c>
      <c r="H700" s="6">
        <f>COUNTIF(GameLog[Pod ID],GameLog[[#This Row],[Pod ID]])</f>
        <v>4</v>
      </c>
      <c r="I700" s="6">
        <f>YEAR(GameLog[[#This Row],[Date]])</f>
        <v>2025</v>
      </c>
      <c r="J700" s="6">
        <f>MONTH(GameLog[[#This Row],[Date]])</f>
        <v>12</v>
      </c>
      <c r="K700" s="6" t="str">
        <f>IF(GameLog[[#This Row],[Date]]=MAX(GameLog[Date]),"Current","Previous")</f>
        <v>Previous</v>
      </c>
      <c r="L700" s="6"/>
      <c r="M7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0" s="6" t="str">
        <f ca="1">IF(GameLog[[#This Row],[Check]]="","",COUNTIF(GameLog[[#Headers],[Check]]:GameLog[[#This Row],[Check]],"?*")-1)</f>
        <v/>
      </c>
      <c r="O700" s="6" t="str">
        <f>IFERROR(INDEX(Players[New name],MATCH(GameLog[[#This Row],[Player]],Players[Name],0)),GameLog[[#This Row],[Player]])</f>
        <v>Brendan H</v>
      </c>
    </row>
    <row r="701" spans="1:15" x14ac:dyDescent="0.45">
      <c r="A701" s="6" t="s">
        <v>86</v>
      </c>
      <c r="B701" s="6" t="s">
        <v>90</v>
      </c>
      <c r="C701" s="6">
        <v>3</v>
      </c>
      <c r="D701" s="6">
        <v>3</v>
      </c>
      <c r="E701" s="6">
        <v>2</v>
      </c>
      <c r="F701" s="10">
        <v>46020</v>
      </c>
      <c r="G701" s="6" t="str">
        <f>_xlfn.TEXTJOIN("|",TRUE,GameLog[[#This Row],[Pod]],TEXT(INT(GameLog[[#This Row],[Round]]),"yyyymmdd"),GameLog[[#This Row],[Date]])</f>
        <v>3|19000102|46020</v>
      </c>
      <c r="H701" s="6">
        <f>COUNTIF(GameLog[Pod ID],GameLog[[#This Row],[Pod ID]])</f>
        <v>4</v>
      </c>
      <c r="I701" s="6">
        <f>YEAR(GameLog[[#This Row],[Date]])</f>
        <v>2025</v>
      </c>
      <c r="J701" s="6">
        <f>MONTH(GameLog[[#This Row],[Date]])</f>
        <v>12</v>
      </c>
      <c r="K701" s="6" t="str">
        <f>IF(GameLog[[#This Row],[Date]]=MAX(GameLog[Date]),"Current","Previous")</f>
        <v>Previous</v>
      </c>
      <c r="L701" s="6"/>
      <c r="M7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1" s="6" t="str">
        <f ca="1">IF(GameLog[[#This Row],[Check]]="","",COUNTIF(GameLog[[#Headers],[Check]]:GameLog[[#This Row],[Check]],"?*")-1)</f>
        <v/>
      </c>
      <c r="O701" s="6" t="str">
        <f>IFERROR(INDEX(Players[New name],MATCH(GameLog[[#This Row],[Player]],Players[Name],0)),GameLog[[#This Row],[Player]])</f>
        <v>Steve C</v>
      </c>
    </row>
    <row r="702" spans="1:15" x14ac:dyDescent="0.45">
      <c r="A702" s="6" t="s">
        <v>64</v>
      </c>
      <c r="B702" s="6" t="s">
        <v>90</v>
      </c>
      <c r="C702" s="6">
        <v>4</v>
      </c>
      <c r="D702" s="6">
        <v>3</v>
      </c>
      <c r="E702" s="6">
        <v>2</v>
      </c>
      <c r="F702" s="10">
        <v>46020</v>
      </c>
      <c r="G702" s="6" t="str">
        <f>_xlfn.TEXTJOIN("|",TRUE,GameLog[[#This Row],[Pod]],TEXT(INT(GameLog[[#This Row],[Round]]),"yyyymmdd"),GameLog[[#This Row],[Date]])</f>
        <v>3|19000102|46020</v>
      </c>
      <c r="H702" s="6">
        <f>COUNTIF(GameLog[Pod ID],GameLog[[#This Row],[Pod ID]])</f>
        <v>4</v>
      </c>
      <c r="I702" s="6">
        <f>YEAR(GameLog[[#This Row],[Date]])</f>
        <v>2025</v>
      </c>
      <c r="J702" s="6">
        <f>MONTH(GameLog[[#This Row],[Date]])</f>
        <v>12</v>
      </c>
      <c r="K702" s="6" t="str">
        <f>IF(GameLog[[#This Row],[Date]]=MAX(GameLog[Date]),"Current","Previous")</f>
        <v>Previous</v>
      </c>
      <c r="L702" s="6"/>
      <c r="M7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2" s="6" t="str">
        <f ca="1">IF(GameLog[[#This Row],[Check]]="","",COUNTIF(GameLog[[#Headers],[Check]]:GameLog[[#This Row],[Check]],"?*")-1)</f>
        <v/>
      </c>
      <c r="O702" s="6" t="str">
        <f>IFERROR(INDEX(Players[New name],MATCH(GameLog[[#This Row],[Player]],Players[Name],0)),GameLog[[#This Row],[Player]])</f>
        <v>Tyler B</v>
      </c>
    </row>
    <row r="703" spans="1:15" x14ac:dyDescent="0.45">
      <c r="A703" s="6" t="s">
        <v>71</v>
      </c>
      <c r="B703" s="6" t="s">
        <v>50</v>
      </c>
      <c r="C703" s="6">
        <v>1</v>
      </c>
      <c r="D703" s="6">
        <v>4</v>
      </c>
      <c r="E703" s="6">
        <v>2</v>
      </c>
      <c r="F703" s="10">
        <v>46020</v>
      </c>
      <c r="G703" s="6" t="str">
        <f>_xlfn.TEXTJOIN("|",TRUE,GameLog[[#This Row],[Pod]],TEXT(INT(GameLog[[#This Row],[Round]]),"yyyymmdd"),GameLog[[#This Row],[Date]])</f>
        <v>4|19000102|46020</v>
      </c>
      <c r="H703" s="6">
        <f>COUNTIF(GameLog[Pod ID],GameLog[[#This Row],[Pod ID]])</f>
        <v>4</v>
      </c>
      <c r="I703" s="6">
        <f>YEAR(GameLog[[#This Row],[Date]])</f>
        <v>2025</v>
      </c>
      <c r="J703" s="6">
        <f>MONTH(GameLog[[#This Row],[Date]])</f>
        <v>12</v>
      </c>
      <c r="K703" s="6" t="str">
        <f>IF(GameLog[[#This Row],[Date]]=MAX(GameLog[Date]),"Current","Previous")</f>
        <v>Previous</v>
      </c>
      <c r="L703" s="6"/>
      <c r="M7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3" s="6" t="str">
        <f ca="1">IF(GameLog[[#This Row],[Check]]="","",COUNTIF(GameLog[[#Headers],[Check]]:GameLog[[#This Row],[Check]],"?*")-1)</f>
        <v/>
      </c>
      <c r="O703" s="6" t="str">
        <f>IFERROR(INDEX(Players[New name],MATCH(GameLog[[#This Row],[Player]],Players[Name],0)),GameLog[[#This Row],[Player]])</f>
        <v>Rodney Y</v>
      </c>
    </row>
    <row r="704" spans="1:15" x14ac:dyDescent="0.45">
      <c r="A704" s="6" t="s">
        <v>61</v>
      </c>
      <c r="B704" s="6" t="s">
        <v>53</v>
      </c>
      <c r="C704" s="6">
        <v>2</v>
      </c>
      <c r="D704" s="6">
        <v>4</v>
      </c>
      <c r="E704" s="6">
        <v>2</v>
      </c>
      <c r="F704" s="10">
        <v>46020</v>
      </c>
      <c r="G704" s="6" t="str">
        <f>_xlfn.TEXTJOIN("|",TRUE,GameLog[[#This Row],[Pod]],TEXT(INT(GameLog[[#This Row],[Round]]),"yyyymmdd"),GameLog[[#This Row],[Date]])</f>
        <v>4|19000102|46020</v>
      </c>
      <c r="H704" s="6">
        <f>COUNTIF(GameLog[Pod ID],GameLog[[#This Row],[Pod ID]])</f>
        <v>4</v>
      </c>
      <c r="I704" s="6">
        <f>YEAR(GameLog[[#This Row],[Date]])</f>
        <v>2025</v>
      </c>
      <c r="J704" s="6">
        <f>MONTH(GameLog[[#This Row],[Date]])</f>
        <v>12</v>
      </c>
      <c r="K704" s="6" t="str">
        <f>IF(GameLog[[#This Row],[Date]]=MAX(GameLog[Date]),"Current","Previous")</f>
        <v>Previous</v>
      </c>
      <c r="L704" s="6"/>
      <c r="M7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4" s="6" t="str">
        <f ca="1">IF(GameLog[[#This Row],[Check]]="","",COUNTIF(GameLog[[#Headers],[Check]]:GameLog[[#This Row],[Check]],"?*")-1)</f>
        <v/>
      </c>
      <c r="O704" s="6" t="str">
        <f>IFERROR(INDEX(Players[New name],MATCH(GameLog[[#This Row],[Player]],Players[Name],0)),GameLog[[#This Row],[Player]])</f>
        <v>Trevor</v>
      </c>
    </row>
    <row r="705" spans="1:15" x14ac:dyDescent="0.45">
      <c r="A705" s="6" t="s">
        <v>56</v>
      </c>
      <c r="B705" s="6" t="s">
        <v>53</v>
      </c>
      <c r="C705" s="6">
        <v>3</v>
      </c>
      <c r="D705" s="6">
        <v>4</v>
      </c>
      <c r="E705" s="6">
        <v>2</v>
      </c>
      <c r="F705" s="10">
        <v>46020</v>
      </c>
      <c r="G705" s="6" t="str">
        <f>_xlfn.TEXTJOIN("|",TRUE,GameLog[[#This Row],[Pod]],TEXT(INT(GameLog[[#This Row],[Round]]),"yyyymmdd"),GameLog[[#This Row],[Date]])</f>
        <v>4|19000102|46020</v>
      </c>
      <c r="H705" s="6">
        <f>COUNTIF(GameLog[Pod ID],GameLog[[#This Row],[Pod ID]])</f>
        <v>4</v>
      </c>
      <c r="I705" s="6">
        <f>YEAR(GameLog[[#This Row],[Date]])</f>
        <v>2025</v>
      </c>
      <c r="J705" s="6">
        <f>MONTH(GameLog[[#This Row],[Date]])</f>
        <v>12</v>
      </c>
      <c r="K705" s="6" t="str">
        <f>IF(GameLog[[#This Row],[Date]]=MAX(GameLog[Date]),"Current","Previous")</f>
        <v>Previous</v>
      </c>
      <c r="L705" s="6"/>
      <c r="M7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5" s="6" t="str">
        <f ca="1">IF(GameLog[[#This Row],[Check]]="","",COUNTIF(GameLog[[#Headers],[Check]]:GameLog[[#This Row],[Check]],"?*")-1)</f>
        <v/>
      </c>
      <c r="O705" s="6" t="str">
        <f>IFERROR(INDEX(Players[New name],MATCH(GameLog[[#This Row],[Player]],Players[Name],0)),GameLog[[#This Row],[Player]])</f>
        <v>Mark D</v>
      </c>
    </row>
    <row r="706" spans="1:15" x14ac:dyDescent="0.45">
      <c r="A706" s="6" t="s">
        <v>55</v>
      </c>
      <c r="B706" s="6" t="s">
        <v>53</v>
      </c>
      <c r="C706" s="6">
        <v>4</v>
      </c>
      <c r="D706" s="6">
        <v>4</v>
      </c>
      <c r="E706" s="6">
        <v>2</v>
      </c>
      <c r="F706" s="10">
        <v>46020</v>
      </c>
      <c r="G706" s="6" t="str">
        <f>_xlfn.TEXTJOIN("|",TRUE,GameLog[[#This Row],[Pod]],TEXT(INT(GameLog[[#This Row],[Round]]),"yyyymmdd"),GameLog[[#This Row],[Date]])</f>
        <v>4|19000102|46020</v>
      </c>
      <c r="H706" s="6">
        <f>COUNTIF(GameLog[Pod ID],GameLog[[#This Row],[Pod ID]])</f>
        <v>4</v>
      </c>
      <c r="I706" s="6">
        <f>YEAR(GameLog[[#This Row],[Date]])</f>
        <v>2025</v>
      </c>
      <c r="J706" s="6">
        <f>MONTH(GameLog[[#This Row],[Date]])</f>
        <v>12</v>
      </c>
      <c r="K706" s="6" t="str">
        <f>IF(GameLog[[#This Row],[Date]]=MAX(GameLog[Date]),"Current","Previous")</f>
        <v>Previous</v>
      </c>
      <c r="L706" s="6"/>
      <c r="M7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6" s="6" t="str">
        <f ca="1">IF(GameLog[[#This Row],[Check]]="","",COUNTIF(GameLog[[#Headers],[Check]]:GameLog[[#This Row],[Check]],"?*")-1)</f>
        <v/>
      </c>
      <c r="O706" s="6" t="str">
        <f>IFERROR(INDEX(Players[New name],MATCH(GameLog[[#This Row],[Player]],Players[Name],0)),GameLog[[#This Row],[Player]])</f>
        <v>Bryce C</v>
      </c>
    </row>
    <row r="707" spans="1:15" x14ac:dyDescent="0.45">
      <c r="A707" s="6" t="s">
        <v>73</v>
      </c>
      <c r="B707" s="6" t="s">
        <v>90</v>
      </c>
      <c r="C707" s="6">
        <v>1</v>
      </c>
      <c r="D707" s="6">
        <v>1</v>
      </c>
      <c r="E707" s="6">
        <v>1</v>
      </c>
      <c r="F707" s="10">
        <v>46027</v>
      </c>
      <c r="G707" s="6" t="str">
        <f>_xlfn.TEXTJOIN("|",TRUE,GameLog[[#This Row],[Pod]],TEXT(INT(GameLog[[#This Row],[Round]]),"yyyymmdd"),GameLog[[#This Row],[Date]])</f>
        <v>1|19000101|46027</v>
      </c>
      <c r="H707" s="6">
        <f>COUNTIF(GameLog[Pod ID],GameLog[[#This Row],[Pod ID]])</f>
        <v>5</v>
      </c>
      <c r="I707" s="6">
        <f>YEAR(GameLog[[#This Row],[Date]])</f>
        <v>2026</v>
      </c>
      <c r="J707" s="6">
        <f>MONTH(GameLog[[#This Row],[Date]])</f>
        <v>1</v>
      </c>
      <c r="K707" s="6" t="str">
        <f>IF(GameLog[[#This Row],[Date]]=MAX(GameLog[Date]),"Current","Previous")</f>
        <v>Previous</v>
      </c>
      <c r="L707" s="6"/>
      <c r="M7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7" s="6" t="str">
        <f ca="1">IF(GameLog[[#This Row],[Check]]="","",COUNTIF(GameLog[[#Headers],[Check]]:GameLog[[#This Row],[Check]],"?*")-1)</f>
        <v/>
      </c>
      <c r="O707" s="6" t="str">
        <f>IFERROR(INDEX(Players[New name],MATCH(GameLog[[#This Row],[Player]],Players[Name],0)),GameLog[[#This Row],[Player]])</f>
        <v>Brandon B</v>
      </c>
    </row>
    <row r="708" spans="1:15" x14ac:dyDescent="0.45">
      <c r="A708" s="6" t="s">
        <v>74</v>
      </c>
      <c r="B708" s="6" t="s">
        <v>90</v>
      </c>
      <c r="C708" s="6">
        <v>2</v>
      </c>
      <c r="D708" s="6">
        <v>1</v>
      </c>
      <c r="E708" s="6">
        <v>1</v>
      </c>
      <c r="F708" s="10">
        <v>46027</v>
      </c>
      <c r="G708" s="6" t="str">
        <f>_xlfn.TEXTJOIN("|",TRUE,GameLog[[#This Row],[Pod]],TEXT(INT(GameLog[[#This Row],[Round]]),"yyyymmdd"),GameLog[[#This Row],[Date]])</f>
        <v>1|19000101|46027</v>
      </c>
      <c r="H708" s="6">
        <f>COUNTIF(GameLog[Pod ID],GameLog[[#This Row],[Pod ID]])</f>
        <v>5</v>
      </c>
      <c r="I708" s="6">
        <f>YEAR(GameLog[[#This Row],[Date]])</f>
        <v>2026</v>
      </c>
      <c r="J708" s="6">
        <f>MONTH(GameLog[[#This Row],[Date]])</f>
        <v>1</v>
      </c>
      <c r="K708" s="6" t="str">
        <f>IF(GameLog[[#This Row],[Date]]=MAX(GameLog[Date]),"Current","Previous")</f>
        <v>Previous</v>
      </c>
      <c r="L708" s="6"/>
      <c r="M7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8" s="6" t="str">
        <f ca="1">IF(GameLog[[#This Row],[Check]]="","",COUNTIF(GameLog[[#Headers],[Check]]:GameLog[[#This Row],[Check]],"?*")-1)</f>
        <v/>
      </c>
      <c r="O708" s="6" t="str">
        <f>IFERROR(INDEX(Players[New name],MATCH(GameLog[[#This Row],[Player]],Players[Name],0)),GameLog[[#This Row],[Player]])</f>
        <v>Jarrod O</v>
      </c>
    </row>
    <row r="709" spans="1:15" x14ac:dyDescent="0.45">
      <c r="A709" s="6" t="s">
        <v>59</v>
      </c>
      <c r="B709" s="6" t="s">
        <v>90</v>
      </c>
      <c r="C709" s="6">
        <v>3</v>
      </c>
      <c r="D709" s="6">
        <v>1</v>
      </c>
      <c r="E709" s="6">
        <v>1</v>
      </c>
      <c r="F709" s="10">
        <v>46027</v>
      </c>
      <c r="G709" s="6" t="str">
        <f>_xlfn.TEXTJOIN("|",TRUE,GameLog[[#This Row],[Pod]],TEXT(INT(GameLog[[#This Row],[Round]]),"yyyymmdd"),GameLog[[#This Row],[Date]])</f>
        <v>1|19000101|46027</v>
      </c>
      <c r="H709" s="6">
        <f>COUNTIF(GameLog[Pod ID],GameLog[[#This Row],[Pod ID]])</f>
        <v>5</v>
      </c>
      <c r="I709" s="6">
        <f>YEAR(GameLog[[#This Row],[Date]])</f>
        <v>2026</v>
      </c>
      <c r="J709" s="6">
        <f>MONTH(GameLog[[#This Row],[Date]])</f>
        <v>1</v>
      </c>
      <c r="K709" s="6" t="str">
        <f>IF(GameLog[[#This Row],[Date]]=MAX(GameLog[Date]),"Current","Previous")</f>
        <v>Previous</v>
      </c>
      <c r="L709" s="6"/>
      <c r="M7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09" s="6" t="str">
        <f ca="1">IF(GameLog[[#This Row],[Check]]="","",COUNTIF(GameLog[[#Headers],[Check]]:GameLog[[#This Row],[Check]],"?*")-1)</f>
        <v/>
      </c>
      <c r="O709" s="6" t="str">
        <f>IFERROR(INDEX(Players[New name],MATCH(GameLog[[#This Row],[Player]],Players[Name],0)),GameLog[[#This Row],[Player]])</f>
        <v>Zack B</v>
      </c>
    </row>
    <row r="710" spans="1:15" x14ac:dyDescent="0.45">
      <c r="A710" s="6" t="s">
        <v>60</v>
      </c>
      <c r="B710" s="6" t="s">
        <v>90</v>
      </c>
      <c r="C710" s="6">
        <v>4</v>
      </c>
      <c r="D710" s="6">
        <v>1</v>
      </c>
      <c r="E710" s="6">
        <v>1</v>
      </c>
      <c r="F710" s="10">
        <v>46027</v>
      </c>
      <c r="G710" s="6" t="str">
        <f>_xlfn.TEXTJOIN("|",TRUE,GameLog[[#This Row],[Pod]],TEXT(INT(GameLog[[#This Row],[Round]]),"yyyymmdd"),GameLog[[#This Row],[Date]])</f>
        <v>1|19000101|46027</v>
      </c>
      <c r="H710" s="6">
        <f>COUNTIF(GameLog[Pod ID],GameLog[[#This Row],[Pod ID]])</f>
        <v>5</v>
      </c>
      <c r="I710" s="6">
        <f>YEAR(GameLog[[#This Row],[Date]])</f>
        <v>2026</v>
      </c>
      <c r="J710" s="6">
        <f>MONTH(GameLog[[#This Row],[Date]])</f>
        <v>1</v>
      </c>
      <c r="K710" s="6" t="str">
        <f>IF(GameLog[[#This Row],[Date]]=MAX(GameLog[Date]),"Current","Previous")</f>
        <v>Previous</v>
      </c>
      <c r="L710" s="6"/>
      <c r="M7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0" s="6" t="str">
        <f ca="1">IF(GameLog[[#This Row],[Check]]="","",COUNTIF(GameLog[[#Headers],[Check]]:GameLog[[#This Row],[Check]],"?*")-1)</f>
        <v/>
      </c>
      <c r="O710" s="6" t="str">
        <f>IFERROR(INDEX(Players[New name],MATCH(GameLog[[#This Row],[Player]],Players[Name],0)),GameLog[[#This Row],[Player]])</f>
        <v>Brendan H</v>
      </c>
    </row>
    <row r="711" spans="1:15" x14ac:dyDescent="0.45">
      <c r="A711" s="6" t="s">
        <v>70</v>
      </c>
      <c r="B711" s="6" t="s">
        <v>90</v>
      </c>
      <c r="C711" s="6">
        <v>5</v>
      </c>
      <c r="D711" s="6">
        <v>1</v>
      </c>
      <c r="E711" s="6">
        <v>1</v>
      </c>
      <c r="F711" s="10">
        <v>46027</v>
      </c>
      <c r="G711" s="6" t="str">
        <f>_xlfn.TEXTJOIN("|",TRUE,GameLog[[#This Row],[Pod]],TEXT(INT(GameLog[[#This Row],[Round]]),"yyyymmdd"),GameLog[[#This Row],[Date]])</f>
        <v>1|19000101|46027</v>
      </c>
      <c r="H711" s="6">
        <f>COUNTIF(GameLog[Pod ID],GameLog[[#This Row],[Pod ID]])</f>
        <v>5</v>
      </c>
      <c r="I711" s="6">
        <f>YEAR(GameLog[[#This Row],[Date]])</f>
        <v>2026</v>
      </c>
      <c r="J711" s="6">
        <f>MONTH(GameLog[[#This Row],[Date]])</f>
        <v>1</v>
      </c>
      <c r="K711" s="6" t="str">
        <f>IF(GameLog[[#This Row],[Date]]=MAX(GameLog[Date]),"Current","Previous")</f>
        <v>Previous</v>
      </c>
      <c r="L711" s="6"/>
      <c r="M7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1" s="6" t="str">
        <f ca="1">IF(GameLog[[#This Row],[Check]]="","",COUNTIF(GameLog[[#Headers],[Check]]:GameLog[[#This Row],[Check]],"?*")-1)</f>
        <v/>
      </c>
      <c r="O711" s="6" t="str">
        <f>IFERROR(INDEX(Players[New name],MATCH(GameLog[[#This Row],[Player]],Players[Name],0)),GameLog[[#This Row],[Player]])</f>
        <v>Brad F</v>
      </c>
    </row>
    <row r="712" spans="1:15" x14ac:dyDescent="0.45">
      <c r="A712" s="6" t="s">
        <v>78</v>
      </c>
      <c r="B712" s="6" t="s">
        <v>53</v>
      </c>
      <c r="C712" s="6">
        <v>1</v>
      </c>
      <c r="D712" s="6">
        <v>2</v>
      </c>
      <c r="E712" s="6">
        <v>1</v>
      </c>
      <c r="F712" s="10">
        <v>46027</v>
      </c>
      <c r="G712" s="6" t="str">
        <f>_xlfn.TEXTJOIN("|",TRUE,GameLog[[#This Row],[Pod]],TEXT(INT(GameLog[[#This Row],[Round]]),"yyyymmdd"),GameLog[[#This Row],[Date]])</f>
        <v>2|19000101|46027</v>
      </c>
      <c r="H712" s="6">
        <f>COUNTIF(GameLog[Pod ID],GameLog[[#This Row],[Pod ID]])</f>
        <v>5</v>
      </c>
      <c r="I712" s="6">
        <f>YEAR(GameLog[[#This Row],[Date]])</f>
        <v>2026</v>
      </c>
      <c r="J712" s="6">
        <f>MONTH(GameLog[[#This Row],[Date]])</f>
        <v>1</v>
      </c>
      <c r="K712" s="6" t="str">
        <f>IF(GameLog[[#This Row],[Date]]=MAX(GameLog[Date]),"Current","Previous")</f>
        <v>Previous</v>
      </c>
      <c r="L712" s="6"/>
      <c r="M7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2" s="6" t="str">
        <f ca="1">IF(GameLog[[#This Row],[Check]]="","",COUNTIF(GameLog[[#Headers],[Check]]:GameLog[[#This Row],[Check]],"?*")-1)</f>
        <v/>
      </c>
      <c r="O712" s="6" t="str">
        <f>IFERROR(INDEX(Players[New name],MATCH(GameLog[[#This Row],[Player]],Players[Name],0)),GameLog[[#This Row],[Player]])</f>
        <v>Justin M</v>
      </c>
    </row>
    <row r="713" spans="1:15" x14ac:dyDescent="0.45">
      <c r="A713" s="6" t="s">
        <v>77</v>
      </c>
      <c r="B713" s="6" t="s">
        <v>53</v>
      </c>
      <c r="C713" s="6">
        <v>2</v>
      </c>
      <c r="D713" s="6">
        <v>2</v>
      </c>
      <c r="E713" s="6">
        <v>1</v>
      </c>
      <c r="F713" s="10">
        <v>46027</v>
      </c>
      <c r="G713" s="6" t="str">
        <f>_xlfn.TEXTJOIN("|",TRUE,GameLog[[#This Row],[Pod]],TEXT(INT(GameLog[[#This Row],[Round]]),"yyyymmdd"),GameLog[[#This Row],[Date]])</f>
        <v>2|19000101|46027</v>
      </c>
      <c r="H713" s="6">
        <f>COUNTIF(GameLog[Pod ID],GameLog[[#This Row],[Pod ID]])</f>
        <v>5</v>
      </c>
      <c r="I713" s="6">
        <f>YEAR(GameLog[[#This Row],[Date]])</f>
        <v>2026</v>
      </c>
      <c r="J713" s="6">
        <f>MONTH(GameLog[[#This Row],[Date]])</f>
        <v>1</v>
      </c>
      <c r="K713" s="6" t="str">
        <f>IF(GameLog[[#This Row],[Date]]=MAX(GameLog[Date]),"Current","Previous")</f>
        <v>Previous</v>
      </c>
      <c r="L713" s="6"/>
      <c r="M7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3" s="6" t="str">
        <f ca="1">IF(GameLog[[#This Row],[Check]]="","",COUNTIF(GameLog[[#Headers],[Check]]:GameLog[[#This Row],[Check]],"?*")-1)</f>
        <v/>
      </c>
      <c r="O713" s="6" t="str">
        <f>IFERROR(INDEX(Players[New name],MATCH(GameLog[[#This Row],[Player]],Players[Name],0)),GameLog[[#This Row],[Player]])</f>
        <v>Dave M</v>
      </c>
    </row>
    <row r="714" spans="1:15" x14ac:dyDescent="0.45">
      <c r="A714" s="6" t="s">
        <v>58</v>
      </c>
      <c r="B714" s="6" t="s">
        <v>53</v>
      </c>
      <c r="C714" s="6">
        <v>3</v>
      </c>
      <c r="D714" s="6">
        <v>2</v>
      </c>
      <c r="E714" s="6">
        <v>1</v>
      </c>
      <c r="F714" s="10">
        <v>46027</v>
      </c>
      <c r="G714" s="6" t="str">
        <f>_xlfn.TEXTJOIN("|",TRUE,GameLog[[#This Row],[Pod]],TEXT(INT(GameLog[[#This Row],[Round]]),"yyyymmdd"),GameLog[[#This Row],[Date]])</f>
        <v>2|19000101|46027</v>
      </c>
      <c r="H714" s="6">
        <f>COUNTIF(GameLog[Pod ID],GameLog[[#This Row],[Pod ID]])</f>
        <v>5</v>
      </c>
      <c r="I714" s="6">
        <f>YEAR(GameLog[[#This Row],[Date]])</f>
        <v>2026</v>
      </c>
      <c r="J714" s="6">
        <f>MONTH(GameLog[[#This Row],[Date]])</f>
        <v>1</v>
      </c>
      <c r="K714" s="6" t="str">
        <f>IF(GameLog[[#This Row],[Date]]=MAX(GameLog[Date]),"Current","Previous")</f>
        <v>Previous</v>
      </c>
      <c r="L714" s="6"/>
      <c r="M7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4" s="6" t="str">
        <f ca="1">IF(GameLog[[#This Row],[Check]]="","",COUNTIF(GameLog[[#Headers],[Check]]:GameLog[[#This Row],[Check]],"?*")-1)</f>
        <v/>
      </c>
      <c r="O714" s="6" t="str">
        <f>IFERROR(INDEX(Players[New name],MATCH(GameLog[[#This Row],[Player]],Players[Name],0)),GameLog[[#This Row],[Player]])</f>
        <v>Dakota P</v>
      </c>
    </row>
    <row r="715" spans="1:15" x14ac:dyDescent="0.45">
      <c r="A715" s="6" t="s">
        <v>86</v>
      </c>
      <c r="B715" s="6" t="s">
        <v>50</v>
      </c>
      <c r="C715" s="6">
        <v>4</v>
      </c>
      <c r="D715" s="6">
        <v>2</v>
      </c>
      <c r="E715" s="6">
        <v>1</v>
      </c>
      <c r="F715" s="10">
        <v>46027</v>
      </c>
      <c r="G715" s="6" t="str">
        <f>_xlfn.TEXTJOIN("|",TRUE,GameLog[[#This Row],[Pod]],TEXT(INT(GameLog[[#This Row],[Round]]),"yyyymmdd"),GameLog[[#This Row],[Date]])</f>
        <v>2|19000101|46027</v>
      </c>
      <c r="H715" s="6">
        <f>COUNTIF(GameLog[Pod ID],GameLog[[#This Row],[Pod ID]])</f>
        <v>5</v>
      </c>
      <c r="I715" s="6">
        <f>YEAR(GameLog[[#This Row],[Date]])</f>
        <v>2026</v>
      </c>
      <c r="J715" s="6">
        <f>MONTH(GameLog[[#This Row],[Date]])</f>
        <v>1</v>
      </c>
      <c r="K715" s="6" t="str">
        <f>IF(GameLog[[#This Row],[Date]]=MAX(GameLog[Date]),"Current","Previous")</f>
        <v>Previous</v>
      </c>
      <c r="L715" s="6"/>
      <c r="M7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5" s="6" t="str">
        <f ca="1">IF(GameLog[[#This Row],[Check]]="","",COUNTIF(GameLog[[#Headers],[Check]]:GameLog[[#This Row],[Check]],"?*")-1)</f>
        <v/>
      </c>
      <c r="O715" s="6" t="str">
        <f>IFERROR(INDEX(Players[New name],MATCH(GameLog[[#This Row],[Player]],Players[Name],0)),GameLog[[#This Row],[Player]])</f>
        <v>Steve C</v>
      </c>
    </row>
    <row r="716" spans="1:15" x14ac:dyDescent="0.45">
      <c r="A716" s="6" t="s">
        <v>69</v>
      </c>
      <c r="B716" s="6" t="s">
        <v>53</v>
      </c>
      <c r="C716" s="6">
        <v>5</v>
      </c>
      <c r="D716" s="6">
        <v>2</v>
      </c>
      <c r="E716" s="6">
        <v>1</v>
      </c>
      <c r="F716" s="10">
        <v>46027</v>
      </c>
      <c r="G716" s="6" t="str">
        <f>_xlfn.TEXTJOIN("|",TRUE,GameLog[[#This Row],[Pod]],TEXT(INT(GameLog[[#This Row],[Round]]),"yyyymmdd"),GameLog[[#This Row],[Date]])</f>
        <v>2|19000101|46027</v>
      </c>
      <c r="H716" s="6">
        <f>COUNTIF(GameLog[Pod ID],GameLog[[#This Row],[Pod ID]])</f>
        <v>5</v>
      </c>
      <c r="I716" s="6">
        <f>YEAR(GameLog[[#This Row],[Date]])</f>
        <v>2026</v>
      </c>
      <c r="J716" s="6">
        <f>MONTH(GameLog[[#This Row],[Date]])</f>
        <v>1</v>
      </c>
      <c r="K716" s="6" t="str">
        <f>IF(GameLog[[#This Row],[Date]]=MAX(GameLog[Date]),"Current","Previous")</f>
        <v>Previous</v>
      </c>
      <c r="L716" s="6"/>
      <c r="M7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6" s="6" t="str">
        <f ca="1">IF(GameLog[[#This Row],[Check]]="","",COUNTIF(GameLog[[#Headers],[Check]]:GameLog[[#This Row],[Check]],"?*")-1)</f>
        <v/>
      </c>
      <c r="O716" s="6" t="str">
        <f>IFERROR(INDEX(Players[New name],MATCH(GameLog[[#This Row],[Player]],Players[Name],0)),GameLog[[#This Row],[Player]])</f>
        <v>Ryan T</v>
      </c>
    </row>
    <row r="717" spans="1:15" x14ac:dyDescent="0.45">
      <c r="A717" s="6" t="s">
        <v>63</v>
      </c>
      <c r="B717" s="6" t="s">
        <v>50</v>
      </c>
      <c r="C717" s="6">
        <v>1</v>
      </c>
      <c r="D717" s="6">
        <v>3</v>
      </c>
      <c r="E717" s="6">
        <v>1</v>
      </c>
      <c r="F717" s="10">
        <v>46027</v>
      </c>
      <c r="G717" s="6" t="str">
        <f>_xlfn.TEXTJOIN("|",TRUE,GameLog[[#This Row],[Pod]],TEXT(INT(GameLog[[#This Row],[Round]]),"yyyymmdd"),GameLog[[#This Row],[Date]])</f>
        <v>3|19000101|46027</v>
      </c>
      <c r="H717" s="6">
        <f>COUNTIF(GameLog[Pod ID],GameLog[[#This Row],[Pod ID]])</f>
        <v>4</v>
      </c>
      <c r="I717" s="6">
        <f>YEAR(GameLog[[#This Row],[Date]])</f>
        <v>2026</v>
      </c>
      <c r="J717" s="6">
        <f>MONTH(GameLog[[#This Row],[Date]])</f>
        <v>1</v>
      </c>
      <c r="K717" s="6" t="str">
        <f>IF(GameLog[[#This Row],[Date]]=MAX(GameLog[Date]),"Current","Previous")</f>
        <v>Previous</v>
      </c>
      <c r="L717" s="6"/>
      <c r="M7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7" s="6" t="str">
        <f ca="1">IF(GameLog[[#This Row],[Check]]="","",COUNTIF(GameLog[[#Headers],[Check]]:GameLog[[#This Row],[Check]],"?*")-1)</f>
        <v/>
      </c>
      <c r="O717" s="6" t="str">
        <f>IFERROR(INDEX(Players[New name],MATCH(GameLog[[#This Row],[Player]],Players[Name],0)),GameLog[[#This Row],[Player]])</f>
        <v>Jake D</v>
      </c>
    </row>
    <row r="718" spans="1:15" x14ac:dyDescent="0.45">
      <c r="A718" s="6" t="s">
        <v>71</v>
      </c>
      <c r="B718" s="6" t="s">
        <v>53</v>
      </c>
      <c r="C718" s="6">
        <v>2</v>
      </c>
      <c r="D718" s="6">
        <v>3</v>
      </c>
      <c r="E718" s="6">
        <v>1</v>
      </c>
      <c r="F718" s="10">
        <v>46027</v>
      </c>
      <c r="G718" s="6" t="str">
        <f>_xlfn.TEXTJOIN("|",TRUE,GameLog[[#This Row],[Pod]],TEXT(INT(GameLog[[#This Row],[Round]]),"yyyymmdd"),GameLog[[#This Row],[Date]])</f>
        <v>3|19000101|46027</v>
      </c>
      <c r="H718" s="6">
        <f>COUNTIF(GameLog[Pod ID],GameLog[[#This Row],[Pod ID]])</f>
        <v>4</v>
      </c>
      <c r="I718" s="6">
        <f>YEAR(GameLog[[#This Row],[Date]])</f>
        <v>2026</v>
      </c>
      <c r="J718" s="6">
        <f>MONTH(GameLog[[#This Row],[Date]])</f>
        <v>1</v>
      </c>
      <c r="K718" s="6" t="str">
        <f>IF(GameLog[[#This Row],[Date]]=MAX(GameLog[Date]),"Current","Previous")</f>
        <v>Previous</v>
      </c>
      <c r="L718" s="6"/>
      <c r="M7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8" s="6" t="str">
        <f ca="1">IF(GameLog[[#This Row],[Check]]="","",COUNTIF(GameLog[[#Headers],[Check]]:GameLog[[#This Row],[Check]],"?*")-1)</f>
        <v/>
      </c>
      <c r="O718" s="6" t="str">
        <f>IFERROR(INDEX(Players[New name],MATCH(GameLog[[#This Row],[Player]],Players[Name],0)),GameLog[[#This Row],[Player]])</f>
        <v>Rodney Y</v>
      </c>
    </row>
    <row r="719" spans="1:15" x14ac:dyDescent="0.45">
      <c r="A719" s="6" t="s">
        <v>49</v>
      </c>
      <c r="B719" s="6" t="s">
        <v>53</v>
      </c>
      <c r="C719" s="6">
        <v>3</v>
      </c>
      <c r="D719" s="6">
        <v>3</v>
      </c>
      <c r="E719" s="6">
        <v>1</v>
      </c>
      <c r="F719" s="10">
        <v>46027</v>
      </c>
      <c r="G719" s="6" t="str">
        <f>_xlfn.TEXTJOIN("|",TRUE,GameLog[[#This Row],[Pod]],TEXT(INT(GameLog[[#This Row],[Round]]),"yyyymmdd"),GameLog[[#This Row],[Date]])</f>
        <v>3|19000101|46027</v>
      </c>
      <c r="H719" s="6">
        <f>COUNTIF(GameLog[Pod ID],GameLog[[#This Row],[Pod ID]])</f>
        <v>4</v>
      </c>
      <c r="I719" s="6">
        <f>YEAR(GameLog[[#This Row],[Date]])</f>
        <v>2026</v>
      </c>
      <c r="J719" s="6">
        <f>MONTH(GameLog[[#This Row],[Date]])</f>
        <v>1</v>
      </c>
      <c r="K719" s="6" t="str">
        <f>IF(GameLog[[#This Row],[Date]]=MAX(GameLog[Date]),"Current","Previous")</f>
        <v>Previous</v>
      </c>
      <c r="L719" s="6"/>
      <c r="M7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19" s="6" t="str">
        <f ca="1">IF(GameLog[[#This Row],[Check]]="","",COUNTIF(GameLog[[#Headers],[Check]]:GameLog[[#This Row],[Check]],"?*")-1)</f>
        <v/>
      </c>
      <c r="O719" s="6" t="str">
        <f>IFERROR(INDEX(Players[New name],MATCH(GameLog[[#This Row],[Player]],Players[Name],0)),GameLog[[#This Row],[Player]])</f>
        <v>Brett R</v>
      </c>
    </row>
    <row r="720" spans="1:15" x14ac:dyDescent="0.45">
      <c r="A720" s="6" t="s">
        <v>64</v>
      </c>
      <c r="B720" s="6" t="s">
        <v>53</v>
      </c>
      <c r="C720" s="6">
        <v>4</v>
      </c>
      <c r="D720" s="6">
        <v>3</v>
      </c>
      <c r="E720" s="6">
        <v>1</v>
      </c>
      <c r="F720" s="10">
        <v>46027</v>
      </c>
      <c r="G720" s="6" t="str">
        <f>_xlfn.TEXTJOIN("|",TRUE,GameLog[[#This Row],[Pod]],TEXT(INT(GameLog[[#This Row],[Round]]),"yyyymmdd"),GameLog[[#This Row],[Date]])</f>
        <v>3|19000101|46027</v>
      </c>
      <c r="H720" s="6">
        <f>COUNTIF(GameLog[Pod ID],GameLog[[#This Row],[Pod ID]])</f>
        <v>4</v>
      </c>
      <c r="I720" s="6">
        <f>YEAR(GameLog[[#This Row],[Date]])</f>
        <v>2026</v>
      </c>
      <c r="J720" s="6">
        <f>MONTH(GameLog[[#This Row],[Date]])</f>
        <v>1</v>
      </c>
      <c r="K720" s="6" t="str">
        <f>IF(GameLog[[#This Row],[Date]]=MAX(GameLog[Date]),"Current","Previous")</f>
        <v>Previous</v>
      </c>
      <c r="L720" s="6"/>
      <c r="M7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0" s="6" t="str">
        <f ca="1">IF(GameLog[[#This Row],[Check]]="","",COUNTIF(GameLog[[#Headers],[Check]]:GameLog[[#This Row],[Check]],"?*")-1)</f>
        <v/>
      </c>
      <c r="O720" s="6" t="str">
        <f>IFERROR(INDEX(Players[New name],MATCH(GameLog[[#This Row],[Player]],Players[Name],0)),GameLog[[#This Row],[Player]])</f>
        <v>Tyler B</v>
      </c>
    </row>
    <row r="721" spans="1:15" x14ac:dyDescent="0.45">
      <c r="A721" s="6" t="s">
        <v>55</v>
      </c>
      <c r="B721" s="6" t="s">
        <v>50</v>
      </c>
      <c r="C721" s="6">
        <v>1</v>
      </c>
      <c r="D721" s="6">
        <v>4</v>
      </c>
      <c r="E721" s="6">
        <v>1</v>
      </c>
      <c r="F721" s="10">
        <v>46027</v>
      </c>
      <c r="G721" s="6" t="str">
        <f>_xlfn.TEXTJOIN("|",TRUE,GameLog[[#This Row],[Pod]],TEXT(INT(GameLog[[#This Row],[Round]]),"yyyymmdd"),GameLog[[#This Row],[Date]])</f>
        <v>4|19000101|46027</v>
      </c>
      <c r="H721" s="6">
        <f>COUNTIF(GameLog[Pod ID],GameLog[[#This Row],[Pod ID]])</f>
        <v>4</v>
      </c>
      <c r="I721" s="6">
        <f>YEAR(GameLog[[#This Row],[Date]])</f>
        <v>2026</v>
      </c>
      <c r="J721" s="6">
        <f>MONTH(GameLog[[#This Row],[Date]])</f>
        <v>1</v>
      </c>
      <c r="K721" s="6" t="str">
        <f>IF(GameLog[[#This Row],[Date]]=MAX(GameLog[Date]),"Current","Previous")</f>
        <v>Previous</v>
      </c>
      <c r="L721" s="6"/>
      <c r="M7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1" s="6" t="str">
        <f ca="1">IF(GameLog[[#This Row],[Check]]="","",COUNTIF(GameLog[[#Headers],[Check]]:GameLog[[#This Row],[Check]],"?*")-1)</f>
        <v/>
      </c>
      <c r="O721" s="6" t="str">
        <f>IFERROR(INDEX(Players[New name],MATCH(GameLog[[#This Row],[Player]],Players[Name],0)),GameLog[[#This Row],[Player]])</f>
        <v>Bryce C</v>
      </c>
    </row>
    <row r="722" spans="1:15" x14ac:dyDescent="0.45">
      <c r="A722" s="6" t="s">
        <v>68</v>
      </c>
      <c r="B722" s="6" t="s">
        <v>53</v>
      </c>
      <c r="C722" s="6">
        <v>2</v>
      </c>
      <c r="D722" s="6">
        <v>4</v>
      </c>
      <c r="E722" s="6">
        <v>1</v>
      </c>
      <c r="F722" s="10">
        <v>46027</v>
      </c>
      <c r="G722" s="6" t="str">
        <f>_xlfn.TEXTJOIN("|",TRUE,GameLog[[#This Row],[Pod]],TEXT(INT(GameLog[[#This Row],[Round]]),"yyyymmdd"),GameLog[[#This Row],[Date]])</f>
        <v>4|19000101|46027</v>
      </c>
      <c r="H722" s="6">
        <f>COUNTIF(GameLog[Pod ID],GameLog[[#This Row],[Pod ID]])</f>
        <v>4</v>
      </c>
      <c r="I722" s="6">
        <f>YEAR(GameLog[[#This Row],[Date]])</f>
        <v>2026</v>
      </c>
      <c r="J722" s="6">
        <f>MONTH(GameLog[[#This Row],[Date]])</f>
        <v>1</v>
      </c>
      <c r="K722" s="6" t="str">
        <f>IF(GameLog[[#This Row],[Date]]=MAX(GameLog[Date]),"Current","Previous")</f>
        <v>Previous</v>
      </c>
      <c r="L722" s="6"/>
      <c r="M7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2" s="6" t="str">
        <f ca="1">IF(GameLog[[#This Row],[Check]]="","",COUNTIF(GameLog[[#Headers],[Check]]:GameLog[[#This Row],[Check]],"?*")-1)</f>
        <v/>
      </c>
      <c r="O722" s="6" t="str">
        <f>IFERROR(INDEX(Players[New name],MATCH(GameLog[[#This Row],[Player]],Players[Name],0)),GameLog[[#This Row],[Player]])</f>
        <v>Edwin M</v>
      </c>
    </row>
    <row r="723" spans="1:15" x14ac:dyDescent="0.45">
      <c r="A723" s="6" t="s">
        <v>57</v>
      </c>
      <c r="B723" s="6" t="s">
        <v>53</v>
      </c>
      <c r="C723" s="6">
        <v>3</v>
      </c>
      <c r="D723" s="6">
        <v>4</v>
      </c>
      <c r="E723" s="6">
        <v>1</v>
      </c>
      <c r="F723" s="10">
        <v>46027</v>
      </c>
      <c r="G723" s="6" t="str">
        <f>_xlfn.TEXTJOIN("|",TRUE,GameLog[[#This Row],[Pod]],TEXT(INT(GameLog[[#This Row],[Round]]),"yyyymmdd"),GameLog[[#This Row],[Date]])</f>
        <v>4|19000101|46027</v>
      </c>
      <c r="H723" s="6">
        <f>COUNTIF(GameLog[Pod ID],GameLog[[#This Row],[Pod ID]])</f>
        <v>4</v>
      </c>
      <c r="I723" s="6">
        <f>YEAR(GameLog[[#This Row],[Date]])</f>
        <v>2026</v>
      </c>
      <c r="J723" s="6">
        <f>MONTH(GameLog[[#This Row],[Date]])</f>
        <v>1</v>
      </c>
      <c r="K723" s="6" t="str">
        <f>IF(GameLog[[#This Row],[Date]]=MAX(GameLog[Date]),"Current","Previous")</f>
        <v>Previous</v>
      </c>
      <c r="L723" s="6"/>
      <c r="M7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3" s="6" t="str">
        <f ca="1">IF(GameLog[[#This Row],[Check]]="","",COUNTIF(GameLog[[#Headers],[Check]]:GameLog[[#This Row],[Check]],"?*")-1)</f>
        <v/>
      </c>
      <c r="O723" s="6" t="str">
        <f>IFERROR(INDEX(Players[New name],MATCH(GameLog[[#This Row],[Player]],Players[Name],0)),GameLog[[#This Row],[Player]])</f>
        <v>AJ W</v>
      </c>
    </row>
    <row r="724" spans="1:15" x14ac:dyDescent="0.45">
      <c r="A724" s="6" t="s">
        <v>67</v>
      </c>
      <c r="B724" s="6" t="s">
        <v>53</v>
      </c>
      <c r="C724" s="6">
        <v>4</v>
      </c>
      <c r="D724" s="6">
        <v>4</v>
      </c>
      <c r="E724" s="6">
        <v>1</v>
      </c>
      <c r="F724" s="10">
        <v>46027</v>
      </c>
      <c r="G724" s="6" t="str">
        <f>_xlfn.TEXTJOIN("|",TRUE,GameLog[[#This Row],[Pod]],TEXT(INT(GameLog[[#This Row],[Round]]),"yyyymmdd"),GameLog[[#This Row],[Date]])</f>
        <v>4|19000101|46027</v>
      </c>
      <c r="H724" s="6">
        <f>COUNTIF(GameLog[Pod ID],GameLog[[#This Row],[Pod ID]])</f>
        <v>4</v>
      </c>
      <c r="I724" s="6">
        <f>YEAR(GameLog[[#This Row],[Date]])</f>
        <v>2026</v>
      </c>
      <c r="J724" s="6">
        <f>MONTH(GameLog[[#This Row],[Date]])</f>
        <v>1</v>
      </c>
      <c r="K724" s="6" t="str">
        <f>IF(GameLog[[#This Row],[Date]]=MAX(GameLog[Date]),"Current","Previous")</f>
        <v>Previous</v>
      </c>
      <c r="L724" s="6"/>
      <c r="M7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4" s="6" t="str">
        <f ca="1">IF(GameLog[[#This Row],[Check]]="","",COUNTIF(GameLog[[#Headers],[Check]]:GameLog[[#This Row],[Check]],"?*")-1)</f>
        <v/>
      </c>
      <c r="O724" s="6" t="str">
        <f>IFERROR(INDEX(Players[New name],MATCH(GameLog[[#This Row],[Player]],Players[Name],0)),GameLog[[#This Row],[Player]])</f>
        <v>Sam</v>
      </c>
    </row>
    <row r="725" spans="1:15" x14ac:dyDescent="0.45">
      <c r="A725" s="6" t="s">
        <v>63</v>
      </c>
      <c r="B725" s="6" t="s">
        <v>50</v>
      </c>
      <c r="C725" s="6">
        <v>1</v>
      </c>
      <c r="D725" s="6">
        <v>1</v>
      </c>
      <c r="E725" s="6">
        <v>2</v>
      </c>
      <c r="F725" s="10">
        <v>46027</v>
      </c>
      <c r="G725" s="6" t="str">
        <f>_xlfn.TEXTJOIN("|",TRUE,GameLog[[#This Row],[Pod]],TEXT(INT(GameLog[[#This Row],[Round]]),"yyyymmdd"),GameLog[[#This Row],[Date]])</f>
        <v>1|19000102|46027</v>
      </c>
      <c r="H725" s="6">
        <f>COUNTIF(GameLog[Pod ID],GameLog[[#This Row],[Pod ID]])</f>
        <v>4</v>
      </c>
      <c r="I725" s="6">
        <f>YEAR(GameLog[[#This Row],[Date]])</f>
        <v>2026</v>
      </c>
      <c r="J725" s="6">
        <f>MONTH(GameLog[[#This Row],[Date]])</f>
        <v>1</v>
      </c>
      <c r="K725" s="6" t="str">
        <f>IF(GameLog[[#This Row],[Date]]=MAX(GameLog[Date]),"Current","Previous")</f>
        <v>Previous</v>
      </c>
      <c r="L725" s="6"/>
      <c r="M7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5" s="6" t="str">
        <f ca="1">IF(GameLog[[#This Row],[Check]]="","",COUNTIF(GameLog[[#Headers],[Check]]:GameLog[[#This Row],[Check]],"?*")-1)</f>
        <v/>
      </c>
      <c r="O725" s="6" t="str">
        <f>IFERROR(INDEX(Players[New name],MATCH(GameLog[[#This Row],[Player]],Players[Name],0)),GameLog[[#This Row],[Player]])</f>
        <v>Jake D</v>
      </c>
    </row>
    <row r="726" spans="1:15" x14ac:dyDescent="0.45">
      <c r="A726" s="6" t="s">
        <v>86</v>
      </c>
      <c r="B726" s="6" t="s">
        <v>53</v>
      </c>
      <c r="C726" s="6">
        <v>2</v>
      </c>
      <c r="D726" s="6">
        <v>1</v>
      </c>
      <c r="E726" s="6">
        <v>2</v>
      </c>
      <c r="F726" s="10">
        <v>46027</v>
      </c>
      <c r="G726" s="6" t="str">
        <f>_xlfn.TEXTJOIN("|",TRUE,GameLog[[#This Row],[Pod]],TEXT(INT(GameLog[[#This Row],[Round]]),"yyyymmdd"),GameLog[[#This Row],[Date]])</f>
        <v>1|19000102|46027</v>
      </c>
      <c r="H726" s="6">
        <f>COUNTIF(GameLog[Pod ID],GameLog[[#This Row],[Pod ID]])</f>
        <v>4</v>
      </c>
      <c r="I726" s="6">
        <f>YEAR(GameLog[[#This Row],[Date]])</f>
        <v>2026</v>
      </c>
      <c r="J726" s="6">
        <f>MONTH(GameLog[[#This Row],[Date]])</f>
        <v>1</v>
      </c>
      <c r="K726" s="6" t="str">
        <f>IF(GameLog[[#This Row],[Date]]=MAX(GameLog[Date]),"Current","Previous")</f>
        <v>Previous</v>
      </c>
      <c r="L726" s="6"/>
      <c r="M7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6" s="6" t="str">
        <f ca="1">IF(GameLog[[#This Row],[Check]]="","",COUNTIF(GameLog[[#Headers],[Check]]:GameLog[[#This Row],[Check]],"?*")-1)</f>
        <v/>
      </c>
      <c r="O726" s="6" t="str">
        <f>IFERROR(INDEX(Players[New name],MATCH(GameLog[[#This Row],[Player]],Players[Name],0)),GameLog[[#This Row],[Player]])</f>
        <v>Steve C</v>
      </c>
    </row>
    <row r="727" spans="1:15" x14ac:dyDescent="0.45">
      <c r="A727" s="6" t="s">
        <v>55</v>
      </c>
      <c r="B727" s="6" t="s">
        <v>53</v>
      </c>
      <c r="C727" s="6">
        <v>3</v>
      </c>
      <c r="D727" s="6">
        <v>1</v>
      </c>
      <c r="E727" s="6">
        <v>2</v>
      </c>
      <c r="F727" s="10">
        <v>46027</v>
      </c>
      <c r="G727" s="6" t="str">
        <f>_xlfn.TEXTJOIN("|",TRUE,GameLog[[#This Row],[Pod]],TEXT(INT(GameLog[[#This Row],[Round]]),"yyyymmdd"),GameLog[[#This Row],[Date]])</f>
        <v>1|19000102|46027</v>
      </c>
      <c r="H727" s="6">
        <f>COUNTIF(GameLog[Pod ID],GameLog[[#This Row],[Pod ID]])</f>
        <v>4</v>
      </c>
      <c r="I727" s="6">
        <f>YEAR(GameLog[[#This Row],[Date]])</f>
        <v>2026</v>
      </c>
      <c r="J727" s="6">
        <f>MONTH(GameLog[[#This Row],[Date]])</f>
        <v>1</v>
      </c>
      <c r="K727" s="6" t="str">
        <f>IF(GameLog[[#This Row],[Date]]=MAX(GameLog[Date]),"Current","Previous")</f>
        <v>Previous</v>
      </c>
      <c r="L727" s="6"/>
      <c r="M7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7" s="6" t="str">
        <f ca="1">IF(GameLog[[#This Row],[Check]]="","",COUNTIF(GameLog[[#Headers],[Check]]:GameLog[[#This Row],[Check]],"?*")-1)</f>
        <v/>
      </c>
      <c r="O727" s="6" t="str">
        <f>IFERROR(INDEX(Players[New name],MATCH(GameLog[[#This Row],[Player]],Players[Name],0)),GameLog[[#This Row],[Player]])</f>
        <v>Bryce C</v>
      </c>
    </row>
    <row r="728" spans="1:15" x14ac:dyDescent="0.45">
      <c r="A728" s="6" t="s">
        <v>88</v>
      </c>
      <c r="B728" s="6" t="s">
        <v>53</v>
      </c>
      <c r="C728" s="6">
        <v>4</v>
      </c>
      <c r="D728" s="6">
        <v>1</v>
      </c>
      <c r="E728" s="6">
        <v>2</v>
      </c>
      <c r="F728" s="10">
        <v>46027</v>
      </c>
      <c r="G728" s="6" t="str">
        <f>_xlfn.TEXTJOIN("|",TRUE,GameLog[[#This Row],[Pod]],TEXT(INT(GameLog[[#This Row],[Round]]),"yyyymmdd"),GameLog[[#This Row],[Date]])</f>
        <v>1|19000102|46027</v>
      </c>
      <c r="H728" s="6">
        <f>COUNTIF(GameLog[Pod ID],GameLog[[#This Row],[Pod ID]])</f>
        <v>4</v>
      </c>
      <c r="I728" s="6">
        <f>YEAR(GameLog[[#This Row],[Date]])</f>
        <v>2026</v>
      </c>
      <c r="J728" s="6">
        <f>MONTH(GameLog[[#This Row],[Date]])</f>
        <v>1</v>
      </c>
      <c r="K728" s="6" t="str">
        <f>IF(GameLog[[#This Row],[Date]]=MAX(GameLog[Date]),"Current","Previous")</f>
        <v>Previous</v>
      </c>
      <c r="L728" s="6"/>
      <c r="M7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8" s="6" t="str">
        <f ca="1">IF(GameLog[[#This Row],[Check]]="","",COUNTIF(GameLog[[#Headers],[Check]]:GameLog[[#This Row],[Check]],"?*")-1)</f>
        <v/>
      </c>
      <c r="O728" s="6" t="str">
        <f>IFERROR(INDEX(Players[New name],MATCH(GameLog[[#This Row],[Player]],Players[Name],0)),GameLog[[#This Row],[Player]])</f>
        <v>Andrew R</v>
      </c>
    </row>
    <row r="729" spans="1:15" x14ac:dyDescent="0.45">
      <c r="A729" s="6" t="s">
        <v>64</v>
      </c>
      <c r="B729" s="6" t="s">
        <v>50</v>
      </c>
      <c r="C729" s="6">
        <v>1</v>
      </c>
      <c r="D729" s="6">
        <v>2</v>
      </c>
      <c r="E729" s="6">
        <v>2</v>
      </c>
      <c r="F729" s="10">
        <v>46027</v>
      </c>
      <c r="G729" s="6" t="str">
        <f>_xlfn.TEXTJOIN("|",TRUE,GameLog[[#This Row],[Pod]],TEXT(INT(GameLog[[#This Row],[Round]]),"yyyymmdd"),GameLog[[#This Row],[Date]])</f>
        <v>2|19000102|46027</v>
      </c>
      <c r="H729" s="6">
        <f>COUNTIF(GameLog[Pod ID],GameLog[[#This Row],[Pod ID]])</f>
        <v>5</v>
      </c>
      <c r="I729" s="6">
        <f>YEAR(GameLog[[#This Row],[Date]])</f>
        <v>2026</v>
      </c>
      <c r="J729" s="6">
        <f>MONTH(GameLog[[#This Row],[Date]])</f>
        <v>1</v>
      </c>
      <c r="K729" s="6" t="str">
        <f>IF(GameLog[[#This Row],[Date]]=MAX(GameLog[Date]),"Current","Previous")</f>
        <v>Previous</v>
      </c>
      <c r="L729" s="6"/>
      <c r="M7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29" s="6" t="str">
        <f ca="1">IF(GameLog[[#This Row],[Check]]="","",COUNTIF(GameLog[[#Headers],[Check]]:GameLog[[#This Row],[Check]],"?*")-1)</f>
        <v/>
      </c>
      <c r="O729" s="6" t="str">
        <f>IFERROR(INDEX(Players[New name],MATCH(GameLog[[#This Row],[Player]],Players[Name],0)),GameLog[[#This Row],[Player]])</f>
        <v>Tyler B</v>
      </c>
    </row>
    <row r="730" spans="1:15" x14ac:dyDescent="0.45">
      <c r="A730" s="6" t="s">
        <v>69</v>
      </c>
      <c r="B730" s="6" t="s">
        <v>53</v>
      </c>
      <c r="C730" s="6">
        <v>2</v>
      </c>
      <c r="D730" s="6">
        <v>2</v>
      </c>
      <c r="E730" s="6">
        <v>2</v>
      </c>
      <c r="F730" s="10">
        <v>46027</v>
      </c>
      <c r="G730" s="6" t="str">
        <f>_xlfn.TEXTJOIN("|",TRUE,GameLog[[#This Row],[Pod]],TEXT(INT(GameLog[[#This Row],[Round]]),"yyyymmdd"),GameLog[[#This Row],[Date]])</f>
        <v>2|19000102|46027</v>
      </c>
      <c r="H730" s="6">
        <f>COUNTIF(GameLog[Pod ID],GameLog[[#This Row],[Pod ID]])</f>
        <v>5</v>
      </c>
      <c r="I730" s="6">
        <f>YEAR(GameLog[[#This Row],[Date]])</f>
        <v>2026</v>
      </c>
      <c r="J730" s="6">
        <f>MONTH(GameLog[[#This Row],[Date]])</f>
        <v>1</v>
      </c>
      <c r="K730" s="6" t="str">
        <f>IF(GameLog[[#This Row],[Date]]=MAX(GameLog[Date]),"Current","Previous")</f>
        <v>Previous</v>
      </c>
      <c r="L730" s="6"/>
      <c r="M7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0" s="6" t="str">
        <f ca="1">IF(GameLog[[#This Row],[Check]]="","",COUNTIF(GameLog[[#Headers],[Check]]:GameLog[[#This Row],[Check]],"?*")-1)</f>
        <v/>
      </c>
      <c r="O730" s="6" t="str">
        <f>IFERROR(INDEX(Players[New name],MATCH(GameLog[[#This Row],[Player]],Players[Name],0)),GameLog[[#This Row],[Player]])</f>
        <v>Ryan T</v>
      </c>
    </row>
    <row r="731" spans="1:15" x14ac:dyDescent="0.45">
      <c r="A731" s="6" t="s">
        <v>60</v>
      </c>
      <c r="B731" s="6" t="s">
        <v>53</v>
      </c>
      <c r="C731" s="6">
        <v>3</v>
      </c>
      <c r="D731" s="6">
        <v>2</v>
      </c>
      <c r="E731" s="6">
        <v>2</v>
      </c>
      <c r="F731" s="10">
        <v>46027</v>
      </c>
      <c r="G731" s="6" t="str">
        <f>_xlfn.TEXTJOIN("|",TRUE,GameLog[[#This Row],[Pod]],TEXT(INT(GameLog[[#This Row],[Round]]),"yyyymmdd"),GameLog[[#This Row],[Date]])</f>
        <v>2|19000102|46027</v>
      </c>
      <c r="H731" s="6">
        <f>COUNTIF(GameLog[Pod ID],GameLog[[#This Row],[Pod ID]])</f>
        <v>5</v>
      </c>
      <c r="I731" s="6">
        <f>YEAR(GameLog[[#This Row],[Date]])</f>
        <v>2026</v>
      </c>
      <c r="J731" s="6">
        <f>MONTH(GameLog[[#This Row],[Date]])</f>
        <v>1</v>
      </c>
      <c r="K731" s="6" t="str">
        <f>IF(GameLog[[#This Row],[Date]]=MAX(GameLog[Date]),"Current","Previous")</f>
        <v>Previous</v>
      </c>
      <c r="L731" s="6"/>
      <c r="M7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1" s="6" t="str">
        <f ca="1">IF(GameLog[[#This Row],[Check]]="","",COUNTIF(GameLog[[#Headers],[Check]]:GameLog[[#This Row],[Check]],"?*")-1)</f>
        <v/>
      </c>
      <c r="O731" s="6" t="str">
        <f>IFERROR(INDEX(Players[New name],MATCH(GameLog[[#This Row],[Player]],Players[Name],0)),GameLog[[#This Row],[Player]])</f>
        <v>Brendan H</v>
      </c>
    </row>
    <row r="732" spans="1:15" x14ac:dyDescent="0.45">
      <c r="A732" s="6" t="s">
        <v>68</v>
      </c>
      <c r="B732" s="6" t="s">
        <v>53</v>
      </c>
      <c r="C732" s="6">
        <v>4</v>
      </c>
      <c r="D732" s="6">
        <v>2</v>
      </c>
      <c r="E732" s="6">
        <v>2</v>
      </c>
      <c r="F732" s="10">
        <v>46027</v>
      </c>
      <c r="G732" s="6" t="str">
        <f>_xlfn.TEXTJOIN("|",TRUE,GameLog[[#This Row],[Pod]],TEXT(INT(GameLog[[#This Row],[Round]]),"yyyymmdd"),GameLog[[#This Row],[Date]])</f>
        <v>2|19000102|46027</v>
      </c>
      <c r="H732" s="6">
        <f>COUNTIF(GameLog[Pod ID],GameLog[[#This Row],[Pod ID]])</f>
        <v>5</v>
      </c>
      <c r="I732" s="6">
        <f>YEAR(GameLog[[#This Row],[Date]])</f>
        <v>2026</v>
      </c>
      <c r="J732" s="6">
        <f>MONTH(GameLog[[#This Row],[Date]])</f>
        <v>1</v>
      </c>
      <c r="K732" s="6" t="str">
        <f>IF(GameLog[[#This Row],[Date]]=MAX(GameLog[Date]),"Current","Previous")</f>
        <v>Previous</v>
      </c>
      <c r="L732" s="6"/>
      <c r="M7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2" s="6" t="str">
        <f ca="1">IF(GameLog[[#This Row],[Check]]="","",COUNTIF(GameLog[[#Headers],[Check]]:GameLog[[#This Row],[Check]],"?*")-1)</f>
        <v/>
      </c>
      <c r="O732" s="6" t="str">
        <f>IFERROR(INDEX(Players[New name],MATCH(GameLog[[#This Row],[Player]],Players[Name],0)),GameLog[[#This Row],[Player]])</f>
        <v>Edwin M</v>
      </c>
    </row>
    <row r="733" spans="1:15" x14ac:dyDescent="0.45">
      <c r="A733" s="6" t="s">
        <v>73</v>
      </c>
      <c r="B733" s="6" t="s">
        <v>53</v>
      </c>
      <c r="C733" s="6">
        <v>5</v>
      </c>
      <c r="D733" s="6">
        <v>2</v>
      </c>
      <c r="E733" s="6">
        <v>2</v>
      </c>
      <c r="F733" s="10">
        <v>46027</v>
      </c>
      <c r="G733" s="6" t="str">
        <f>_xlfn.TEXTJOIN("|",TRUE,GameLog[[#This Row],[Pod]],TEXT(INT(GameLog[[#This Row],[Round]]),"yyyymmdd"),GameLog[[#This Row],[Date]])</f>
        <v>2|19000102|46027</v>
      </c>
      <c r="H733" s="6">
        <f>COUNTIF(GameLog[Pod ID],GameLog[[#This Row],[Pod ID]])</f>
        <v>5</v>
      </c>
      <c r="I733" s="6">
        <f>YEAR(GameLog[[#This Row],[Date]])</f>
        <v>2026</v>
      </c>
      <c r="J733" s="6">
        <f>MONTH(GameLog[[#This Row],[Date]])</f>
        <v>1</v>
      </c>
      <c r="K733" s="6" t="str">
        <f>IF(GameLog[[#This Row],[Date]]=MAX(GameLog[Date]),"Current","Previous")</f>
        <v>Previous</v>
      </c>
      <c r="L733" s="6"/>
      <c r="M7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3" s="6" t="str">
        <f ca="1">IF(GameLog[[#This Row],[Check]]="","",COUNTIF(GameLog[[#Headers],[Check]]:GameLog[[#This Row],[Check]],"?*")-1)</f>
        <v/>
      </c>
      <c r="O733" s="6" t="str">
        <f>IFERROR(INDEX(Players[New name],MATCH(GameLog[[#This Row],[Player]],Players[Name],0)),GameLog[[#This Row],[Player]])</f>
        <v>Brandon B</v>
      </c>
    </row>
    <row r="734" spans="1:15" x14ac:dyDescent="0.45">
      <c r="A734" s="6" t="s">
        <v>67</v>
      </c>
      <c r="B734" s="6" t="s">
        <v>53</v>
      </c>
      <c r="C734" s="6">
        <v>1</v>
      </c>
      <c r="D734" s="6">
        <v>3</v>
      </c>
      <c r="E734" s="6">
        <v>2</v>
      </c>
      <c r="F734" s="10">
        <v>46027</v>
      </c>
      <c r="G734" s="6" t="str">
        <f>_xlfn.TEXTJOIN("|",TRUE,GameLog[[#This Row],[Pod]],TEXT(INT(GameLog[[#This Row],[Round]]),"yyyymmdd"),GameLog[[#This Row],[Date]])</f>
        <v>3|19000102|46027</v>
      </c>
      <c r="H734" s="6">
        <f>COUNTIF(GameLog[Pod ID],GameLog[[#This Row],[Pod ID]])</f>
        <v>5</v>
      </c>
      <c r="I734" s="6">
        <f>YEAR(GameLog[[#This Row],[Date]])</f>
        <v>2026</v>
      </c>
      <c r="J734" s="6">
        <f>MONTH(GameLog[[#This Row],[Date]])</f>
        <v>1</v>
      </c>
      <c r="K734" s="6" t="str">
        <f>IF(GameLog[[#This Row],[Date]]=MAX(GameLog[Date]),"Current","Previous")</f>
        <v>Previous</v>
      </c>
      <c r="L734" s="6"/>
      <c r="M7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4" s="6" t="str">
        <f ca="1">IF(GameLog[[#This Row],[Check]]="","",COUNTIF(GameLog[[#Headers],[Check]]:GameLog[[#This Row],[Check]],"?*")-1)</f>
        <v/>
      </c>
      <c r="O734" s="6" t="str">
        <f>IFERROR(INDEX(Players[New name],MATCH(GameLog[[#This Row],[Player]],Players[Name],0)),GameLog[[#This Row],[Player]])</f>
        <v>Sam</v>
      </c>
    </row>
    <row r="735" spans="1:15" x14ac:dyDescent="0.45">
      <c r="A735" s="6" t="s">
        <v>59</v>
      </c>
      <c r="B735" s="6" t="s">
        <v>53</v>
      </c>
      <c r="C735" s="6">
        <v>2</v>
      </c>
      <c r="D735" s="6">
        <v>3</v>
      </c>
      <c r="E735" s="6">
        <v>2</v>
      </c>
      <c r="F735" s="10">
        <v>46027</v>
      </c>
      <c r="G735" s="6" t="str">
        <f>_xlfn.TEXTJOIN("|",TRUE,GameLog[[#This Row],[Pod]],TEXT(INT(GameLog[[#This Row],[Round]]),"yyyymmdd"),GameLog[[#This Row],[Date]])</f>
        <v>3|19000102|46027</v>
      </c>
      <c r="H735" s="6">
        <f>COUNTIF(GameLog[Pod ID],GameLog[[#This Row],[Pod ID]])</f>
        <v>5</v>
      </c>
      <c r="I735" s="6">
        <f>YEAR(GameLog[[#This Row],[Date]])</f>
        <v>2026</v>
      </c>
      <c r="J735" s="6">
        <f>MONTH(GameLog[[#This Row],[Date]])</f>
        <v>1</v>
      </c>
      <c r="K735" s="6" t="str">
        <f>IF(GameLog[[#This Row],[Date]]=MAX(GameLog[Date]),"Current","Previous")</f>
        <v>Previous</v>
      </c>
      <c r="L735" s="6"/>
      <c r="M7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5" s="6" t="str">
        <f ca="1">IF(GameLog[[#This Row],[Check]]="","",COUNTIF(GameLog[[#Headers],[Check]]:GameLog[[#This Row],[Check]],"?*")-1)</f>
        <v/>
      </c>
      <c r="O735" s="6" t="str">
        <f>IFERROR(INDEX(Players[New name],MATCH(GameLog[[#This Row],[Player]],Players[Name],0)),GameLog[[#This Row],[Player]])</f>
        <v>Zack B</v>
      </c>
    </row>
    <row r="736" spans="1:15" x14ac:dyDescent="0.45">
      <c r="A736" s="6" t="s">
        <v>77</v>
      </c>
      <c r="B736" s="6" t="s">
        <v>50</v>
      </c>
      <c r="C736" s="6">
        <v>3</v>
      </c>
      <c r="D736" s="6">
        <v>3</v>
      </c>
      <c r="E736" s="6">
        <v>2</v>
      </c>
      <c r="F736" s="10">
        <v>46027</v>
      </c>
      <c r="G736" s="6" t="str">
        <f>_xlfn.TEXTJOIN("|",TRUE,GameLog[[#This Row],[Pod]],TEXT(INT(GameLog[[#This Row],[Round]]),"yyyymmdd"),GameLog[[#This Row],[Date]])</f>
        <v>3|19000102|46027</v>
      </c>
      <c r="H736" s="6">
        <f>COUNTIF(GameLog[Pod ID],GameLog[[#This Row],[Pod ID]])</f>
        <v>5</v>
      </c>
      <c r="I736" s="6">
        <f>YEAR(GameLog[[#This Row],[Date]])</f>
        <v>2026</v>
      </c>
      <c r="J736" s="6">
        <f>MONTH(GameLog[[#This Row],[Date]])</f>
        <v>1</v>
      </c>
      <c r="K736" s="6" t="str">
        <f>IF(GameLog[[#This Row],[Date]]=MAX(GameLog[Date]),"Current","Previous")</f>
        <v>Previous</v>
      </c>
      <c r="L736" s="6"/>
      <c r="M7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6" s="6" t="str">
        <f ca="1">IF(GameLog[[#This Row],[Check]]="","",COUNTIF(GameLog[[#Headers],[Check]]:GameLog[[#This Row],[Check]],"?*")-1)</f>
        <v/>
      </c>
      <c r="O736" s="6" t="str">
        <f>IFERROR(INDEX(Players[New name],MATCH(GameLog[[#This Row],[Player]],Players[Name],0)),GameLog[[#This Row],[Player]])</f>
        <v>Dave M</v>
      </c>
    </row>
    <row r="737" spans="1:15" x14ac:dyDescent="0.45">
      <c r="A737" s="6" t="s">
        <v>71</v>
      </c>
      <c r="B737" s="6" t="s">
        <v>53</v>
      </c>
      <c r="C737" s="6">
        <v>4</v>
      </c>
      <c r="D737" s="6">
        <v>3</v>
      </c>
      <c r="E737" s="6">
        <v>2</v>
      </c>
      <c r="F737" s="10">
        <v>46027</v>
      </c>
      <c r="G737" s="6" t="str">
        <f>_xlfn.TEXTJOIN("|",TRUE,GameLog[[#This Row],[Pod]],TEXT(INT(GameLog[[#This Row],[Round]]),"yyyymmdd"),GameLog[[#This Row],[Date]])</f>
        <v>3|19000102|46027</v>
      </c>
      <c r="H737" s="6">
        <f>COUNTIF(GameLog[Pod ID],GameLog[[#This Row],[Pod ID]])</f>
        <v>5</v>
      </c>
      <c r="I737" s="6">
        <f>YEAR(GameLog[[#This Row],[Date]])</f>
        <v>2026</v>
      </c>
      <c r="J737" s="6">
        <f>MONTH(GameLog[[#This Row],[Date]])</f>
        <v>1</v>
      </c>
      <c r="K737" s="6" t="str">
        <f>IF(GameLog[[#This Row],[Date]]=MAX(GameLog[Date]),"Current","Previous")</f>
        <v>Previous</v>
      </c>
      <c r="L737" s="6"/>
      <c r="M7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7" s="6" t="str">
        <f ca="1">IF(GameLog[[#This Row],[Check]]="","",COUNTIF(GameLog[[#Headers],[Check]]:GameLog[[#This Row],[Check]],"?*")-1)</f>
        <v/>
      </c>
      <c r="O737" s="6" t="str">
        <f>IFERROR(INDEX(Players[New name],MATCH(GameLog[[#This Row],[Player]],Players[Name],0)),GameLog[[#This Row],[Player]])</f>
        <v>Rodney Y</v>
      </c>
    </row>
    <row r="738" spans="1:15" x14ac:dyDescent="0.45">
      <c r="A738" s="6" t="s">
        <v>78</v>
      </c>
      <c r="B738" s="6" t="s">
        <v>53</v>
      </c>
      <c r="C738" s="6">
        <v>5</v>
      </c>
      <c r="D738" s="6">
        <v>3</v>
      </c>
      <c r="E738" s="6">
        <v>2</v>
      </c>
      <c r="F738" s="10">
        <v>46027</v>
      </c>
      <c r="G738" s="6" t="str">
        <f>_xlfn.TEXTJOIN("|",TRUE,GameLog[[#This Row],[Pod]],TEXT(INT(GameLog[[#This Row],[Round]]),"yyyymmdd"),GameLog[[#This Row],[Date]])</f>
        <v>3|19000102|46027</v>
      </c>
      <c r="H738" s="6">
        <f>COUNTIF(GameLog[Pod ID],GameLog[[#This Row],[Pod ID]])</f>
        <v>5</v>
      </c>
      <c r="I738" s="6">
        <f>YEAR(GameLog[[#This Row],[Date]])</f>
        <v>2026</v>
      </c>
      <c r="J738" s="6">
        <f>MONTH(GameLog[[#This Row],[Date]])</f>
        <v>1</v>
      </c>
      <c r="K738" s="6" t="str">
        <f>IF(GameLog[[#This Row],[Date]]=MAX(GameLog[Date]),"Current","Previous")</f>
        <v>Previous</v>
      </c>
      <c r="L738" s="6"/>
      <c r="M7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8" s="6" t="str">
        <f ca="1">IF(GameLog[[#This Row],[Check]]="","",COUNTIF(GameLog[[#Headers],[Check]]:GameLog[[#This Row],[Check]],"?*")-1)</f>
        <v/>
      </c>
      <c r="O738" s="6" t="str">
        <f>IFERROR(INDEX(Players[New name],MATCH(GameLog[[#This Row],[Player]],Players[Name],0)),GameLog[[#This Row],[Player]])</f>
        <v>Justin M</v>
      </c>
    </row>
    <row r="739" spans="1:15" x14ac:dyDescent="0.45">
      <c r="A739" s="6" t="s">
        <v>70</v>
      </c>
      <c r="B739" s="6" t="s">
        <v>53</v>
      </c>
      <c r="C739" s="6">
        <v>1</v>
      </c>
      <c r="D739" s="6">
        <v>4</v>
      </c>
      <c r="E739" s="6">
        <v>2</v>
      </c>
      <c r="F739" s="10">
        <v>46027</v>
      </c>
      <c r="G739" s="6" t="str">
        <f>_xlfn.TEXTJOIN("|",TRUE,GameLog[[#This Row],[Pod]],TEXT(INT(GameLog[[#This Row],[Round]]),"yyyymmdd"),GameLog[[#This Row],[Date]])</f>
        <v>4|19000102|46027</v>
      </c>
      <c r="H739" s="6">
        <f>COUNTIF(GameLog[Pod ID],GameLog[[#This Row],[Pod ID]])</f>
        <v>5</v>
      </c>
      <c r="I739" s="6">
        <f>YEAR(GameLog[[#This Row],[Date]])</f>
        <v>2026</v>
      </c>
      <c r="J739" s="6">
        <f>MONTH(GameLog[[#This Row],[Date]])</f>
        <v>1</v>
      </c>
      <c r="K739" s="6" t="str">
        <f>IF(GameLog[[#This Row],[Date]]=MAX(GameLog[Date]),"Current","Previous")</f>
        <v>Previous</v>
      </c>
      <c r="L739" s="6"/>
      <c r="M7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39" s="6" t="str">
        <f ca="1">IF(GameLog[[#This Row],[Check]]="","",COUNTIF(GameLog[[#Headers],[Check]]:GameLog[[#This Row],[Check]],"?*")-1)</f>
        <v/>
      </c>
      <c r="O739" s="6" t="str">
        <f>IFERROR(INDEX(Players[New name],MATCH(GameLog[[#This Row],[Player]],Players[Name],0)),GameLog[[#This Row],[Player]])</f>
        <v>Brad F</v>
      </c>
    </row>
    <row r="740" spans="1:15" x14ac:dyDescent="0.45">
      <c r="A740" s="6" t="s">
        <v>57</v>
      </c>
      <c r="B740" s="6" t="s">
        <v>53</v>
      </c>
      <c r="C740" s="6">
        <v>2</v>
      </c>
      <c r="D740" s="6">
        <v>4</v>
      </c>
      <c r="E740" s="6">
        <v>2</v>
      </c>
      <c r="F740" s="10">
        <v>46027</v>
      </c>
      <c r="G740" s="6" t="str">
        <f>_xlfn.TEXTJOIN("|",TRUE,GameLog[[#This Row],[Pod]],TEXT(INT(GameLog[[#This Row],[Round]]),"yyyymmdd"),GameLog[[#This Row],[Date]])</f>
        <v>4|19000102|46027</v>
      </c>
      <c r="H740" s="6">
        <f>COUNTIF(GameLog[Pod ID],GameLog[[#This Row],[Pod ID]])</f>
        <v>5</v>
      </c>
      <c r="I740" s="6">
        <f>YEAR(GameLog[[#This Row],[Date]])</f>
        <v>2026</v>
      </c>
      <c r="J740" s="6">
        <f>MONTH(GameLog[[#This Row],[Date]])</f>
        <v>1</v>
      </c>
      <c r="K740" s="6" t="str">
        <f>IF(GameLog[[#This Row],[Date]]=MAX(GameLog[Date]),"Current","Previous")</f>
        <v>Previous</v>
      </c>
      <c r="L740" s="6"/>
      <c r="M7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0" s="6" t="str">
        <f ca="1">IF(GameLog[[#This Row],[Check]]="","",COUNTIF(GameLog[[#Headers],[Check]]:GameLog[[#This Row],[Check]],"?*")-1)</f>
        <v/>
      </c>
      <c r="O740" s="6" t="str">
        <f>IFERROR(INDEX(Players[New name],MATCH(GameLog[[#This Row],[Player]],Players[Name],0)),GameLog[[#This Row],[Player]])</f>
        <v>AJ W</v>
      </c>
    </row>
    <row r="741" spans="1:15" x14ac:dyDescent="0.45">
      <c r="A741" s="6" t="s">
        <v>58</v>
      </c>
      <c r="B741" s="6" t="s">
        <v>53</v>
      </c>
      <c r="C741" s="6">
        <v>3</v>
      </c>
      <c r="D741" s="6">
        <v>4</v>
      </c>
      <c r="E741" s="6">
        <v>2</v>
      </c>
      <c r="F741" s="10">
        <v>46027</v>
      </c>
      <c r="G741" s="6" t="str">
        <f>_xlfn.TEXTJOIN("|",TRUE,GameLog[[#This Row],[Pod]],TEXT(INT(GameLog[[#This Row],[Round]]),"yyyymmdd"),GameLog[[#This Row],[Date]])</f>
        <v>4|19000102|46027</v>
      </c>
      <c r="H741" s="6">
        <f>COUNTIF(GameLog[Pod ID],GameLog[[#This Row],[Pod ID]])</f>
        <v>5</v>
      </c>
      <c r="I741" s="6">
        <f>YEAR(GameLog[[#This Row],[Date]])</f>
        <v>2026</v>
      </c>
      <c r="J741" s="6">
        <f>MONTH(GameLog[[#This Row],[Date]])</f>
        <v>1</v>
      </c>
      <c r="K741" s="6" t="str">
        <f>IF(GameLog[[#This Row],[Date]]=MAX(GameLog[Date]),"Current","Previous")</f>
        <v>Previous</v>
      </c>
      <c r="L741" s="6"/>
      <c r="M7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1" s="6" t="str">
        <f ca="1">IF(GameLog[[#This Row],[Check]]="","",COUNTIF(GameLog[[#Headers],[Check]]:GameLog[[#This Row],[Check]],"?*")-1)</f>
        <v/>
      </c>
      <c r="O741" s="6" t="str">
        <f>IFERROR(INDEX(Players[New name],MATCH(GameLog[[#This Row],[Player]],Players[Name],0)),GameLog[[#This Row],[Player]])</f>
        <v>Dakota P</v>
      </c>
    </row>
    <row r="742" spans="1:15" x14ac:dyDescent="0.45">
      <c r="A742" s="6" t="s">
        <v>49</v>
      </c>
      <c r="B742" s="6" t="s">
        <v>53</v>
      </c>
      <c r="C742" s="6">
        <v>4</v>
      </c>
      <c r="D742" s="6">
        <v>4</v>
      </c>
      <c r="E742" s="6">
        <v>2</v>
      </c>
      <c r="F742" s="10">
        <v>46027</v>
      </c>
      <c r="G742" s="6" t="str">
        <f>_xlfn.TEXTJOIN("|",TRUE,GameLog[[#This Row],[Pod]],TEXT(INT(GameLog[[#This Row],[Round]]),"yyyymmdd"),GameLog[[#This Row],[Date]])</f>
        <v>4|19000102|46027</v>
      </c>
      <c r="H742" s="6">
        <f>COUNTIF(GameLog[Pod ID],GameLog[[#This Row],[Pod ID]])</f>
        <v>5</v>
      </c>
      <c r="I742" s="6">
        <f>YEAR(GameLog[[#This Row],[Date]])</f>
        <v>2026</v>
      </c>
      <c r="J742" s="6">
        <f>MONTH(GameLog[[#This Row],[Date]])</f>
        <v>1</v>
      </c>
      <c r="K742" s="6" t="str">
        <f>IF(GameLog[[#This Row],[Date]]=MAX(GameLog[Date]),"Current","Previous")</f>
        <v>Previous</v>
      </c>
      <c r="L742" s="6"/>
      <c r="M7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2" s="6" t="str">
        <f ca="1">IF(GameLog[[#This Row],[Check]]="","",COUNTIF(GameLog[[#Headers],[Check]]:GameLog[[#This Row],[Check]],"?*")-1)</f>
        <v/>
      </c>
      <c r="O742" s="6" t="str">
        <f>IFERROR(INDEX(Players[New name],MATCH(GameLog[[#This Row],[Player]],Players[Name],0)),GameLog[[#This Row],[Player]])</f>
        <v>Brett R</v>
      </c>
    </row>
    <row r="743" spans="1:15" x14ac:dyDescent="0.45">
      <c r="A743" s="6" t="s">
        <v>74</v>
      </c>
      <c r="B743" s="6" t="s">
        <v>50</v>
      </c>
      <c r="C743" s="6">
        <v>5</v>
      </c>
      <c r="D743" s="6">
        <v>4</v>
      </c>
      <c r="E743" s="6">
        <v>2</v>
      </c>
      <c r="F743" s="10">
        <v>46027</v>
      </c>
      <c r="G743" s="6" t="str">
        <f>_xlfn.TEXTJOIN("|",TRUE,GameLog[[#This Row],[Pod]],TEXT(INT(GameLog[[#This Row],[Round]]),"yyyymmdd"),GameLog[[#This Row],[Date]])</f>
        <v>4|19000102|46027</v>
      </c>
      <c r="H743" s="6">
        <f>COUNTIF(GameLog[Pod ID],GameLog[[#This Row],[Pod ID]])</f>
        <v>5</v>
      </c>
      <c r="I743" s="6">
        <f>YEAR(GameLog[[#This Row],[Date]])</f>
        <v>2026</v>
      </c>
      <c r="J743" s="6">
        <f>MONTH(GameLog[[#This Row],[Date]])</f>
        <v>1</v>
      </c>
      <c r="K743" s="6" t="str">
        <f>IF(GameLog[[#This Row],[Date]]=MAX(GameLog[Date]),"Current","Previous")</f>
        <v>Previous</v>
      </c>
      <c r="L743" s="6"/>
      <c r="M7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3" s="6" t="str">
        <f ca="1">IF(GameLog[[#This Row],[Check]]="","",COUNTIF(GameLog[[#Headers],[Check]]:GameLog[[#This Row],[Check]],"?*")-1)</f>
        <v/>
      </c>
      <c r="O743" s="6" t="str">
        <f>IFERROR(INDEX(Players[New name],MATCH(GameLog[[#This Row],[Player]],Players[Name],0)),GameLog[[#This Row],[Player]])</f>
        <v>Jarrod O</v>
      </c>
    </row>
    <row r="744" spans="1:15" x14ac:dyDescent="0.45">
      <c r="A744" s="6" t="s">
        <v>58</v>
      </c>
      <c r="B744" s="6" t="s">
        <v>50</v>
      </c>
      <c r="C744" s="6">
        <v>1</v>
      </c>
      <c r="D744" s="6">
        <v>1</v>
      </c>
      <c r="E744" s="6">
        <v>1</v>
      </c>
      <c r="F744" s="10">
        <v>46034</v>
      </c>
      <c r="G744" s="6" t="str">
        <f>_xlfn.TEXTJOIN("|",TRUE,GameLog[[#This Row],[Pod]],TEXT(INT(GameLog[[#This Row],[Round]]),"yyyymmdd"),GameLog[[#This Row],[Date]])</f>
        <v>1|19000101|46034</v>
      </c>
      <c r="H744" s="6">
        <f>COUNTIF(GameLog[Pod ID],GameLog[[#This Row],[Pod ID]])</f>
        <v>4</v>
      </c>
      <c r="I744" s="6">
        <f>YEAR(GameLog[[#This Row],[Date]])</f>
        <v>2026</v>
      </c>
      <c r="J744" s="6">
        <f>MONTH(GameLog[[#This Row],[Date]])</f>
        <v>1</v>
      </c>
      <c r="K744" s="6" t="str">
        <f>IF(GameLog[[#This Row],[Date]]=MAX(GameLog[Date]),"Current","Previous")</f>
        <v>Previous</v>
      </c>
      <c r="L744" s="6"/>
      <c r="M7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4" s="6" t="str">
        <f ca="1">IF(GameLog[[#This Row],[Check]]="","",COUNTIF(GameLog[[#Headers],[Check]]:GameLog[[#This Row],[Check]],"?*")-1)</f>
        <v/>
      </c>
      <c r="O744" s="6" t="str">
        <f>IFERROR(INDEX(Players[New name],MATCH(GameLog[[#This Row],[Player]],Players[Name],0)),GameLog[[#This Row],[Player]])</f>
        <v>Dakota P</v>
      </c>
    </row>
    <row r="745" spans="1:15" x14ac:dyDescent="0.45">
      <c r="A745" s="6" t="s">
        <v>59</v>
      </c>
      <c r="B745" s="6" t="s">
        <v>53</v>
      </c>
      <c r="C745" s="6">
        <v>2</v>
      </c>
      <c r="D745" s="6">
        <v>1</v>
      </c>
      <c r="E745" s="6">
        <v>1</v>
      </c>
      <c r="F745" s="10">
        <v>46034</v>
      </c>
      <c r="G745" s="6" t="str">
        <f>_xlfn.TEXTJOIN("|",TRUE,GameLog[[#This Row],[Pod]],TEXT(INT(GameLog[[#This Row],[Round]]),"yyyymmdd"),GameLog[[#This Row],[Date]])</f>
        <v>1|19000101|46034</v>
      </c>
      <c r="H745" s="6">
        <f>COUNTIF(GameLog[Pod ID],GameLog[[#This Row],[Pod ID]])</f>
        <v>4</v>
      </c>
      <c r="I745" s="6">
        <f>YEAR(GameLog[[#This Row],[Date]])</f>
        <v>2026</v>
      </c>
      <c r="J745" s="6">
        <f>MONTH(GameLog[[#This Row],[Date]])</f>
        <v>1</v>
      </c>
      <c r="K745" s="6" t="str">
        <f>IF(GameLog[[#This Row],[Date]]=MAX(GameLog[Date]),"Current","Previous")</f>
        <v>Previous</v>
      </c>
      <c r="L745" s="6"/>
      <c r="M7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5" s="6" t="str">
        <f ca="1">IF(GameLog[[#This Row],[Check]]="","",COUNTIF(GameLog[[#Headers],[Check]]:GameLog[[#This Row],[Check]],"?*")-1)</f>
        <v/>
      </c>
      <c r="O745" s="6" t="str">
        <f>IFERROR(INDEX(Players[New name],MATCH(GameLog[[#This Row],[Player]],Players[Name],0)),GameLog[[#This Row],[Player]])</f>
        <v>Zack B</v>
      </c>
    </row>
    <row r="746" spans="1:15" x14ac:dyDescent="0.45">
      <c r="A746" s="6" t="s">
        <v>76</v>
      </c>
      <c r="B746" s="6" t="s">
        <v>53</v>
      </c>
      <c r="C746" s="6">
        <v>3</v>
      </c>
      <c r="D746" s="6">
        <v>1</v>
      </c>
      <c r="E746" s="6">
        <v>1</v>
      </c>
      <c r="F746" s="10">
        <v>46034</v>
      </c>
      <c r="G746" s="6" t="str">
        <f>_xlfn.TEXTJOIN("|",TRUE,GameLog[[#This Row],[Pod]],TEXT(INT(GameLog[[#This Row],[Round]]),"yyyymmdd"),GameLog[[#This Row],[Date]])</f>
        <v>1|19000101|46034</v>
      </c>
      <c r="H746" s="6">
        <f>COUNTIF(GameLog[Pod ID],GameLog[[#This Row],[Pod ID]])</f>
        <v>4</v>
      </c>
      <c r="I746" s="6">
        <f>YEAR(GameLog[[#This Row],[Date]])</f>
        <v>2026</v>
      </c>
      <c r="J746" s="6">
        <f>MONTH(GameLog[[#This Row],[Date]])</f>
        <v>1</v>
      </c>
      <c r="K746" s="6" t="str">
        <f>IF(GameLog[[#This Row],[Date]]=MAX(GameLog[Date]),"Current","Previous")</f>
        <v>Previous</v>
      </c>
      <c r="L746" s="6"/>
      <c r="M7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6" s="6" t="str">
        <f ca="1">IF(GameLog[[#This Row],[Check]]="","",COUNTIF(GameLog[[#Headers],[Check]]:GameLog[[#This Row],[Check]],"?*")-1)</f>
        <v/>
      </c>
      <c r="O746" s="6" t="str">
        <f>IFERROR(INDEX(Players[New name],MATCH(GameLog[[#This Row],[Player]],Players[Name],0)),GameLog[[#This Row],[Player]])</f>
        <v>Jon M</v>
      </c>
    </row>
    <row r="747" spans="1:15" x14ac:dyDescent="0.45">
      <c r="A747" s="6" t="s">
        <v>91</v>
      </c>
      <c r="B747" s="6" t="s">
        <v>53</v>
      </c>
      <c r="C747" s="6">
        <v>4</v>
      </c>
      <c r="D747" s="6">
        <v>1</v>
      </c>
      <c r="E747" s="6">
        <v>1</v>
      </c>
      <c r="F747" s="10">
        <v>46034</v>
      </c>
      <c r="G747" s="6" t="str">
        <f>_xlfn.TEXTJOIN("|",TRUE,GameLog[[#This Row],[Pod]],TEXT(INT(GameLog[[#This Row],[Round]]),"yyyymmdd"),GameLog[[#This Row],[Date]])</f>
        <v>1|19000101|46034</v>
      </c>
      <c r="H747" s="6">
        <f>COUNTIF(GameLog[Pod ID],GameLog[[#This Row],[Pod ID]])</f>
        <v>4</v>
      </c>
      <c r="I747" s="6">
        <f>YEAR(GameLog[[#This Row],[Date]])</f>
        <v>2026</v>
      </c>
      <c r="J747" s="6">
        <f>MONTH(GameLog[[#This Row],[Date]])</f>
        <v>1</v>
      </c>
      <c r="K747" s="6" t="str">
        <f>IF(GameLog[[#This Row],[Date]]=MAX(GameLog[Date]),"Current","Previous")</f>
        <v>Previous</v>
      </c>
      <c r="L747" s="6"/>
      <c r="M7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7" s="6" t="str">
        <f ca="1">IF(GameLog[[#This Row],[Check]]="","",COUNTIF(GameLog[[#Headers],[Check]]:GameLog[[#This Row],[Check]],"?*")-1)</f>
        <v/>
      </c>
      <c r="O747" s="6" t="str">
        <f>IFERROR(INDEX(Players[New name],MATCH(GameLog[[#This Row],[Player]],Players[Name],0)),GameLog[[#This Row],[Player]])</f>
        <v>Isaac B</v>
      </c>
    </row>
    <row r="748" spans="1:15" x14ac:dyDescent="0.45">
      <c r="A748" s="6" t="s">
        <v>57</v>
      </c>
      <c r="B748" s="6" t="s">
        <v>53</v>
      </c>
      <c r="C748" s="6">
        <v>1</v>
      </c>
      <c r="D748" s="6">
        <v>2</v>
      </c>
      <c r="E748" s="6">
        <v>1</v>
      </c>
      <c r="F748" s="10">
        <v>46034</v>
      </c>
      <c r="G748" s="6" t="str">
        <f>_xlfn.TEXTJOIN("|",TRUE,GameLog[[#This Row],[Pod]],TEXT(INT(GameLog[[#This Row],[Round]]),"yyyymmdd"),GameLog[[#This Row],[Date]])</f>
        <v>2|19000101|46034</v>
      </c>
      <c r="H748" s="6">
        <f>COUNTIF(GameLog[Pod ID],GameLog[[#This Row],[Pod ID]])</f>
        <v>4</v>
      </c>
      <c r="I748" s="6">
        <f>YEAR(GameLog[[#This Row],[Date]])</f>
        <v>2026</v>
      </c>
      <c r="J748" s="6">
        <f>MONTH(GameLog[[#This Row],[Date]])</f>
        <v>1</v>
      </c>
      <c r="K748" s="6" t="str">
        <f>IF(GameLog[[#This Row],[Date]]=MAX(GameLog[Date]),"Current","Previous")</f>
        <v>Previous</v>
      </c>
      <c r="L748" s="6"/>
      <c r="M7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8" s="6" t="str">
        <f ca="1">IF(GameLog[[#This Row],[Check]]="","",COUNTIF(GameLog[[#Headers],[Check]]:GameLog[[#This Row],[Check]],"?*")-1)</f>
        <v/>
      </c>
      <c r="O748" s="6" t="str">
        <f>IFERROR(INDEX(Players[New name],MATCH(GameLog[[#This Row],[Player]],Players[Name],0)),GameLog[[#This Row],[Player]])</f>
        <v>AJ W</v>
      </c>
    </row>
    <row r="749" spans="1:15" x14ac:dyDescent="0.45">
      <c r="A749" s="6" t="s">
        <v>77</v>
      </c>
      <c r="B749" s="6" t="s">
        <v>53</v>
      </c>
      <c r="C749" s="6">
        <v>2</v>
      </c>
      <c r="D749" s="6">
        <v>2</v>
      </c>
      <c r="E749" s="6">
        <v>1</v>
      </c>
      <c r="F749" s="10">
        <v>46034</v>
      </c>
      <c r="G749" s="6" t="str">
        <f>_xlfn.TEXTJOIN("|",TRUE,GameLog[[#This Row],[Pod]],TEXT(INT(GameLog[[#This Row],[Round]]),"yyyymmdd"),GameLog[[#This Row],[Date]])</f>
        <v>2|19000101|46034</v>
      </c>
      <c r="H749" s="6">
        <f>COUNTIF(GameLog[Pod ID],GameLog[[#This Row],[Pod ID]])</f>
        <v>4</v>
      </c>
      <c r="I749" s="6">
        <f>YEAR(GameLog[[#This Row],[Date]])</f>
        <v>2026</v>
      </c>
      <c r="J749" s="6">
        <f>MONTH(GameLog[[#This Row],[Date]])</f>
        <v>1</v>
      </c>
      <c r="K749" s="6" t="str">
        <f>IF(GameLog[[#This Row],[Date]]=MAX(GameLog[Date]),"Current","Previous")</f>
        <v>Previous</v>
      </c>
      <c r="L749" s="6"/>
      <c r="M7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49" s="6" t="str">
        <f ca="1">IF(GameLog[[#This Row],[Check]]="","",COUNTIF(GameLog[[#Headers],[Check]]:GameLog[[#This Row],[Check]],"?*")-1)</f>
        <v/>
      </c>
      <c r="O749" s="6" t="str">
        <f>IFERROR(INDEX(Players[New name],MATCH(GameLog[[#This Row],[Player]],Players[Name],0)),GameLog[[#This Row],[Player]])</f>
        <v>Dave M</v>
      </c>
    </row>
    <row r="750" spans="1:15" x14ac:dyDescent="0.45">
      <c r="A750" s="6" t="s">
        <v>92</v>
      </c>
      <c r="B750" s="6" t="s">
        <v>50</v>
      </c>
      <c r="C750" s="6">
        <v>3</v>
      </c>
      <c r="D750" s="6">
        <v>2</v>
      </c>
      <c r="E750" s="6">
        <v>1</v>
      </c>
      <c r="F750" s="10">
        <v>46034</v>
      </c>
      <c r="G750" s="6" t="str">
        <f>_xlfn.TEXTJOIN("|",TRUE,GameLog[[#This Row],[Pod]],TEXT(INT(GameLog[[#This Row],[Round]]),"yyyymmdd"),GameLog[[#This Row],[Date]])</f>
        <v>2|19000101|46034</v>
      </c>
      <c r="H750" s="6">
        <f>COUNTIF(GameLog[Pod ID],GameLog[[#This Row],[Pod ID]])</f>
        <v>4</v>
      </c>
      <c r="I750" s="6">
        <f>YEAR(GameLog[[#This Row],[Date]])</f>
        <v>2026</v>
      </c>
      <c r="J750" s="6">
        <f>MONTH(GameLog[[#This Row],[Date]])</f>
        <v>1</v>
      </c>
      <c r="K750" s="6" t="str">
        <f>IF(GameLog[[#This Row],[Date]]=MAX(GameLog[Date]),"Current","Previous")</f>
        <v>Previous</v>
      </c>
      <c r="L750" s="6"/>
      <c r="M7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0" s="6" t="str">
        <f ca="1">IF(GameLog[[#This Row],[Check]]="","",COUNTIF(GameLog[[#Headers],[Check]]:GameLog[[#This Row],[Check]],"?*")-1)</f>
        <v/>
      </c>
      <c r="O750" s="6" t="str">
        <f>IFERROR(INDEX(Players[New name],MATCH(GameLog[[#This Row],[Player]],Players[Name],0)),GameLog[[#This Row],[Player]])</f>
        <v>Harley A</v>
      </c>
    </row>
    <row r="751" spans="1:15" x14ac:dyDescent="0.45">
      <c r="A751" s="6" t="s">
        <v>72</v>
      </c>
      <c r="B751" s="6" t="s">
        <v>53</v>
      </c>
      <c r="C751" s="6">
        <v>4</v>
      </c>
      <c r="D751" s="6">
        <v>2</v>
      </c>
      <c r="E751" s="6">
        <v>1</v>
      </c>
      <c r="F751" s="10">
        <v>46034</v>
      </c>
      <c r="G751" s="6" t="str">
        <f>_xlfn.TEXTJOIN("|",TRUE,GameLog[[#This Row],[Pod]],TEXT(INT(GameLog[[#This Row],[Round]]),"yyyymmdd"),GameLog[[#This Row],[Date]])</f>
        <v>2|19000101|46034</v>
      </c>
      <c r="H751" s="6">
        <f>COUNTIF(GameLog[Pod ID],GameLog[[#This Row],[Pod ID]])</f>
        <v>4</v>
      </c>
      <c r="I751" s="6">
        <f>YEAR(GameLog[[#This Row],[Date]])</f>
        <v>2026</v>
      </c>
      <c r="J751" s="6">
        <f>MONTH(GameLog[[#This Row],[Date]])</f>
        <v>1</v>
      </c>
      <c r="K751" s="6" t="str">
        <f>IF(GameLog[[#This Row],[Date]]=MAX(GameLog[Date]),"Current","Previous")</f>
        <v>Previous</v>
      </c>
      <c r="L751" s="6"/>
      <c r="M7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1" s="6" t="str">
        <f ca="1">IF(GameLog[[#This Row],[Check]]="","",COUNTIF(GameLog[[#Headers],[Check]]:GameLog[[#This Row],[Check]],"?*")-1)</f>
        <v/>
      </c>
      <c r="O751" s="6" t="str">
        <f>IFERROR(INDEX(Players[New name],MATCH(GameLog[[#This Row],[Player]],Players[Name],0)),GameLog[[#This Row],[Player]])</f>
        <v>Ben H</v>
      </c>
    </row>
    <row r="752" spans="1:15" x14ac:dyDescent="0.45">
      <c r="A752" s="6" t="s">
        <v>67</v>
      </c>
      <c r="B752" s="6" t="s">
        <v>53</v>
      </c>
      <c r="C752" s="6">
        <v>1</v>
      </c>
      <c r="D752" s="6">
        <v>3</v>
      </c>
      <c r="E752" s="6">
        <v>1</v>
      </c>
      <c r="F752" s="10">
        <v>46034</v>
      </c>
      <c r="G752" s="6" t="str">
        <f>_xlfn.TEXTJOIN("|",TRUE,GameLog[[#This Row],[Pod]],TEXT(INT(GameLog[[#This Row],[Round]]),"yyyymmdd"),GameLog[[#This Row],[Date]])</f>
        <v>3|19000101|46034</v>
      </c>
      <c r="H752" s="6">
        <f>COUNTIF(GameLog[Pod ID],GameLog[[#This Row],[Pod ID]])</f>
        <v>4</v>
      </c>
      <c r="I752" s="6">
        <f>YEAR(GameLog[[#This Row],[Date]])</f>
        <v>2026</v>
      </c>
      <c r="J752" s="6">
        <f>MONTH(GameLog[[#This Row],[Date]])</f>
        <v>1</v>
      </c>
      <c r="K752" s="6" t="str">
        <f>IF(GameLog[[#This Row],[Date]]=MAX(GameLog[Date]),"Current","Previous")</f>
        <v>Previous</v>
      </c>
      <c r="L752" s="6"/>
      <c r="M7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2" s="6" t="str">
        <f ca="1">IF(GameLog[[#This Row],[Check]]="","",COUNTIF(GameLog[[#Headers],[Check]]:GameLog[[#This Row],[Check]],"?*")-1)</f>
        <v/>
      </c>
      <c r="O752" s="6" t="str">
        <f>IFERROR(INDEX(Players[New name],MATCH(GameLog[[#This Row],[Player]],Players[Name],0)),GameLog[[#This Row],[Player]])</f>
        <v>Sam</v>
      </c>
    </row>
    <row r="753" spans="1:15" x14ac:dyDescent="0.45">
      <c r="A753" s="6" t="s">
        <v>70</v>
      </c>
      <c r="B753" s="6" t="s">
        <v>50</v>
      </c>
      <c r="C753" s="6">
        <v>2</v>
      </c>
      <c r="D753" s="6">
        <v>3</v>
      </c>
      <c r="E753" s="6">
        <v>1</v>
      </c>
      <c r="F753" s="10">
        <v>46034</v>
      </c>
      <c r="G753" s="6" t="str">
        <f>_xlfn.TEXTJOIN("|",TRUE,GameLog[[#This Row],[Pod]],TEXT(INT(GameLog[[#This Row],[Round]]),"yyyymmdd"),GameLog[[#This Row],[Date]])</f>
        <v>3|19000101|46034</v>
      </c>
      <c r="H753" s="6">
        <f>COUNTIF(GameLog[Pod ID],GameLog[[#This Row],[Pod ID]])</f>
        <v>4</v>
      </c>
      <c r="I753" s="6">
        <f>YEAR(GameLog[[#This Row],[Date]])</f>
        <v>2026</v>
      </c>
      <c r="J753" s="6">
        <f>MONTH(GameLog[[#This Row],[Date]])</f>
        <v>1</v>
      </c>
      <c r="K753" s="6" t="str">
        <f>IF(GameLog[[#This Row],[Date]]=MAX(GameLog[Date]),"Current","Previous")</f>
        <v>Previous</v>
      </c>
      <c r="L753" s="6"/>
      <c r="M7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3" s="6" t="str">
        <f ca="1">IF(GameLog[[#This Row],[Check]]="","",COUNTIF(GameLog[[#Headers],[Check]]:GameLog[[#This Row],[Check]],"?*")-1)</f>
        <v/>
      </c>
      <c r="O753" s="6" t="str">
        <f>IFERROR(INDEX(Players[New name],MATCH(GameLog[[#This Row],[Player]],Players[Name],0)),GameLog[[#This Row],[Player]])</f>
        <v>Brad F</v>
      </c>
    </row>
    <row r="754" spans="1:15" x14ac:dyDescent="0.45">
      <c r="A754" s="6" t="s">
        <v>86</v>
      </c>
      <c r="B754" s="6" t="s">
        <v>53</v>
      </c>
      <c r="C754" s="6">
        <v>3</v>
      </c>
      <c r="D754" s="6">
        <v>3</v>
      </c>
      <c r="E754" s="6">
        <v>1</v>
      </c>
      <c r="F754" s="10">
        <v>46034</v>
      </c>
      <c r="G754" s="6" t="str">
        <f>_xlfn.TEXTJOIN("|",TRUE,GameLog[[#This Row],[Pod]],TEXT(INT(GameLog[[#This Row],[Round]]),"yyyymmdd"),GameLog[[#This Row],[Date]])</f>
        <v>3|19000101|46034</v>
      </c>
      <c r="H754" s="6">
        <f>COUNTIF(GameLog[Pod ID],GameLog[[#This Row],[Pod ID]])</f>
        <v>4</v>
      </c>
      <c r="I754" s="6">
        <f>YEAR(GameLog[[#This Row],[Date]])</f>
        <v>2026</v>
      </c>
      <c r="J754" s="6">
        <f>MONTH(GameLog[[#This Row],[Date]])</f>
        <v>1</v>
      </c>
      <c r="K754" s="6" t="str">
        <f>IF(GameLog[[#This Row],[Date]]=MAX(GameLog[Date]),"Current","Previous")</f>
        <v>Previous</v>
      </c>
      <c r="L754" s="6"/>
      <c r="M7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4" s="6" t="str">
        <f ca="1">IF(GameLog[[#This Row],[Check]]="","",COUNTIF(GameLog[[#Headers],[Check]]:GameLog[[#This Row],[Check]],"?*")-1)</f>
        <v/>
      </c>
      <c r="O754" s="6" t="str">
        <f>IFERROR(INDEX(Players[New name],MATCH(GameLog[[#This Row],[Player]],Players[Name],0)),GameLog[[#This Row],[Player]])</f>
        <v>Steve C</v>
      </c>
    </row>
    <row r="755" spans="1:15" x14ac:dyDescent="0.45">
      <c r="A755" s="6" t="s">
        <v>60</v>
      </c>
      <c r="B755" s="6" t="s">
        <v>53</v>
      </c>
      <c r="C755" s="6">
        <v>4</v>
      </c>
      <c r="D755" s="6">
        <v>3</v>
      </c>
      <c r="E755" s="6">
        <v>1</v>
      </c>
      <c r="F755" s="10">
        <v>46034</v>
      </c>
      <c r="G755" s="6" t="str">
        <f>_xlfn.TEXTJOIN("|",TRUE,GameLog[[#This Row],[Pod]],TEXT(INT(GameLog[[#This Row],[Round]]),"yyyymmdd"),GameLog[[#This Row],[Date]])</f>
        <v>3|19000101|46034</v>
      </c>
      <c r="H755" s="6">
        <f>COUNTIF(GameLog[Pod ID],GameLog[[#This Row],[Pod ID]])</f>
        <v>4</v>
      </c>
      <c r="I755" s="6">
        <f>YEAR(GameLog[[#This Row],[Date]])</f>
        <v>2026</v>
      </c>
      <c r="J755" s="6">
        <f>MONTH(GameLog[[#This Row],[Date]])</f>
        <v>1</v>
      </c>
      <c r="K755" s="6" t="str">
        <f>IF(GameLog[[#This Row],[Date]]=MAX(GameLog[Date]),"Current","Previous")</f>
        <v>Previous</v>
      </c>
      <c r="L755" s="6"/>
      <c r="M7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5" s="6" t="str">
        <f ca="1">IF(GameLog[[#This Row],[Check]]="","",COUNTIF(GameLog[[#Headers],[Check]]:GameLog[[#This Row],[Check]],"?*")-1)</f>
        <v/>
      </c>
      <c r="O755" s="6" t="str">
        <f>IFERROR(INDEX(Players[New name],MATCH(GameLog[[#This Row],[Player]],Players[Name],0)),GameLog[[#This Row],[Player]])</f>
        <v>Brendan H</v>
      </c>
    </row>
    <row r="756" spans="1:15" x14ac:dyDescent="0.45">
      <c r="A756" s="6" t="s">
        <v>64</v>
      </c>
      <c r="B756" s="6" t="s">
        <v>53</v>
      </c>
      <c r="C756" s="6">
        <v>1</v>
      </c>
      <c r="D756" s="6">
        <v>4</v>
      </c>
      <c r="E756" s="6">
        <v>1</v>
      </c>
      <c r="F756" s="10">
        <v>46034</v>
      </c>
      <c r="G756" s="6" t="str">
        <f>_xlfn.TEXTJOIN("|",TRUE,GameLog[[#This Row],[Pod]],TEXT(INT(GameLog[[#This Row],[Round]]),"yyyymmdd"),GameLog[[#This Row],[Date]])</f>
        <v>4|19000101|46034</v>
      </c>
      <c r="H756" s="6">
        <f>COUNTIF(GameLog[Pod ID],GameLog[[#This Row],[Pod ID]])</f>
        <v>3</v>
      </c>
      <c r="I756" s="6">
        <f>YEAR(GameLog[[#This Row],[Date]])</f>
        <v>2026</v>
      </c>
      <c r="J756" s="6">
        <f>MONTH(GameLog[[#This Row],[Date]])</f>
        <v>1</v>
      </c>
      <c r="K756" s="6" t="str">
        <f>IF(GameLog[[#This Row],[Date]]=MAX(GameLog[Date]),"Current","Previous")</f>
        <v>Previous</v>
      </c>
      <c r="L756" s="6"/>
      <c r="M7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6" s="6" t="str">
        <f ca="1">IF(GameLog[[#This Row],[Check]]="","",COUNTIF(GameLog[[#Headers],[Check]]:GameLog[[#This Row],[Check]],"?*")-1)</f>
        <v/>
      </c>
      <c r="O756" s="6" t="str">
        <f>IFERROR(INDEX(Players[New name],MATCH(GameLog[[#This Row],[Player]],Players[Name],0)),GameLog[[#This Row],[Player]])</f>
        <v>Tyler B</v>
      </c>
    </row>
    <row r="757" spans="1:15" x14ac:dyDescent="0.45">
      <c r="A757" s="6" t="s">
        <v>78</v>
      </c>
      <c r="B757" s="6" t="s">
        <v>50</v>
      </c>
      <c r="C757" s="6">
        <v>2</v>
      </c>
      <c r="D757" s="6">
        <v>4</v>
      </c>
      <c r="E757" s="6">
        <v>1</v>
      </c>
      <c r="F757" s="10">
        <v>46034</v>
      </c>
      <c r="G757" s="6" t="str">
        <f>_xlfn.TEXTJOIN("|",TRUE,GameLog[[#This Row],[Pod]],TEXT(INT(GameLog[[#This Row],[Round]]),"yyyymmdd"),GameLog[[#This Row],[Date]])</f>
        <v>4|19000101|46034</v>
      </c>
      <c r="H757" s="6">
        <f>COUNTIF(GameLog[Pod ID],GameLog[[#This Row],[Pod ID]])</f>
        <v>3</v>
      </c>
      <c r="I757" s="6">
        <f>YEAR(GameLog[[#This Row],[Date]])</f>
        <v>2026</v>
      </c>
      <c r="J757" s="6">
        <f>MONTH(GameLog[[#This Row],[Date]])</f>
        <v>1</v>
      </c>
      <c r="K757" s="6" t="str">
        <f>IF(GameLog[[#This Row],[Date]]=MAX(GameLog[Date]),"Current","Previous")</f>
        <v>Previous</v>
      </c>
      <c r="L757" s="6"/>
      <c r="M7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7" s="6" t="str">
        <f ca="1">IF(GameLog[[#This Row],[Check]]="","",COUNTIF(GameLog[[#Headers],[Check]]:GameLog[[#This Row],[Check]],"?*")-1)</f>
        <v/>
      </c>
      <c r="O757" s="6" t="str">
        <f>IFERROR(INDEX(Players[New name],MATCH(GameLog[[#This Row],[Player]],Players[Name],0)),GameLog[[#This Row],[Player]])</f>
        <v>Justin M</v>
      </c>
    </row>
    <row r="758" spans="1:15" x14ac:dyDescent="0.45">
      <c r="A758" s="6" t="s">
        <v>73</v>
      </c>
      <c r="B758" s="6" t="s">
        <v>53</v>
      </c>
      <c r="C758" s="6">
        <v>3</v>
      </c>
      <c r="D758" s="6">
        <v>4</v>
      </c>
      <c r="E758" s="6">
        <v>1</v>
      </c>
      <c r="F758" s="10">
        <v>46034</v>
      </c>
      <c r="G758" s="6" t="str">
        <f>_xlfn.TEXTJOIN("|",TRUE,GameLog[[#This Row],[Pod]],TEXT(INT(GameLog[[#This Row],[Round]]),"yyyymmdd"),GameLog[[#This Row],[Date]])</f>
        <v>4|19000101|46034</v>
      </c>
      <c r="H758" s="6">
        <f>COUNTIF(GameLog[Pod ID],GameLog[[#This Row],[Pod ID]])</f>
        <v>3</v>
      </c>
      <c r="I758" s="6">
        <f>YEAR(GameLog[[#This Row],[Date]])</f>
        <v>2026</v>
      </c>
      <c r="J758" s="6">
        <f>MONTH(GameLog[[#This Row],[Date]])</f>
        <v>1</v>
      </c>
      <c r="K758" s="6" t="str">
        <f>IF(GameLog[[#This Row],[Date]]=MAX(GameLog[Date]),"Current","Previous")</f>
        <v>Previous</v>
      </c>
      <c r="L758" s="6"/>
      <c r="M7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8" s="6" t="str">
        <f ca="1">IF(GameLog[[#This Row],[Check]]="","",COUNTIF(GameLog[[#Headers],[Check]]:GameLog[[#This Row],[Check]],"?*")-1)</f>
        <v/>
      </c>
      <c r="O758" s="6" t="str">
        <f>IFERROR(INDEX(Players[New name],MATCH(GameLog[[#This Row],[Player]],Players[Name],0)),GameLog[[#This Row],[Player]])</f>
        <v>Brandon B</v>
      </c>
    </row>
    <row r="759" spans="1:15" x14ac:dyDescent="0.45">
      <c r="A759" s="6" t="s">
        <v>68</v>
      </c>
      <c r="B759" s="6" t="s">
        <v>53</v>
      </c>
      <c r="C759" s="6">
        <v>1</v>
      </c>
      <c r="D759" s="6">
        <v>5</v>
      </c>
      <c r="E759" s="6">
        <v>1</v>
      </c>
      <c r="F759" s="10">
        <v>46034</v>
      </c>
      <c r="G759" s="6" t="str">
        <f>_xlfn.TEXTJOIN("|",TRUE,GameLog[[#This Row],[Pod]],TEXT(INT(GameLog[[#This Row],[Round]]),"yyyymmdd"),GameLog[[#This Row],[Date]])</f>
        <v>5|19000101|46034</v>
      </c>
      <c r="H759" s="6">
        <f>COUNTIF(GameLog[Pod ID],GameLog[[#This Row],[Pod ID]])</f>
        <v>4</v>
      </c>
      <c r="I759" s="6">
        <f>YEAR(GameLog[[#This Row],[Date]])</f>
        <v>2026</v>
      </c>
      <c r="J759" s="6">
        <f>MONTH(GameLog[[#This Row],[Date]])</f>
        <v>1</v>
      </c>
      <c r="K759" s="6" t="str">
        <f>IF(GameLog[[#This Row],[Date]]=MAX(GameLog[Date]),"Current","Previous")</f>
        <v>Previous</v>
      </c>
      <c r="L759" s="6"/>
      <c r="M7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59" s="6" t="str">
        <f ca="1">IF(GameLog[[#This Row],[Check]]="","",COUNTIF(GameLog[[#Headers],[Check]]:GameLog[[#This Row],[Check]],"?*")-1)</f>
        <v/>
      </c>
      <c r="O759" s="6" t="str">
        <f>IFERROR(INDEX(Players[New name],MATCH(GameLog[[#This Row],[Player]],Players[Name],0)),GameLog[[#This Row],[Player]])</f>
        <v>Edwin M</v>
      </c>
    </row>
    <row r="760" spans="1:15" x14ac:dyDescent="0.45">
      <c r="A760" s="6" t="s">
        <v>71</v>
      </c>
      <c r="B760" s="6" t="s">
        <v>50</v>
      </c>
      <c r="C760" s="6">
        <v>2</v>
      </c>
      <c r="D760" s="6">
        <v>5</v>
      </c>
      <c r="E760" s="6">
        <v>1</v>
      </c>
      <c r="F760" s="10">
        <v>46034</v>
      </c>
      <c r="G760" s="6" t="str">
        <f>_xlfn.TEXTJOIN("|",TRUE,GameLog[[#This Row],[Pod]],TEXT(INT(GameLog[[#This Row],[Round]]),"yyyymmdd"),GameLog[[#This Row],[Date]])</f>
        <v>5|19000101|46034</v>
      </c>
      <c r="H760" s="6">
        <f>COUNTIF(GameLog[Pod ID],GameLog[[#This Row],[Pod ID]])</f>
        <v>4</v>
      </c>
      <c r="I760" s="6">
        <f>YEAR(GameLog[[#This Row],[Date]])</f>
        <v>2026</v>
      </c>
      <c r="J760" s="6">
        <f>MONTH(GameLog[[#This Row],[Date]])</f>
        <v>1</v>
      </c>
      <c r="K760" s="6" t="str">
        <f>IF(GameLog[[#This Row],[Date]]=MAX(GameLog[Date]),"Current","Previous")</f>
        <v>Previous</v>
      </c>
      <c r="L760" s="6"/>
      <c r="M7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0" s="6" t="str">
        <f ca="1">IF(GameLog[[#This Row],[Check]]="","",COUNTIF(GameLog[[#Headers],[Check]]:GameLog[[#This Row],[Check]],"?*")-1)</f>
        <v/>
      </c>
      <c r="O760" s="6" t="str">
        <f>IFERROR(INDEX(Players[New name],MATCH(GameLog[[#This Row],[Player]],Players[Name],0)),GameLog[[#This Row],[Player]])</f>
        <v>Rodney Y</v>
      </c>
    </row>
    <row r="761" spans="1:15" x14ac:dyDescent="0.45">
      <c r="A761" s="6" t="s">
        <v>93</v>
      </c>
      <c r="B761" s="6" t="s">
        <v>53</v>
      </c>
      <c r="C761" s="6">
        <v>3</v>
      </c>
      <c r="D761" s="6">
        <v>5</v>
      </c>
      <c r="E761" s="6">
        <v>1</v>
      </c>
      <c r="F761" s="10">
        <v>46034</v>
      </c>
      <c r="G761" s="6" t="str">
        <f>_xlfn.TEXTJOIN("|",TRUE,GameLog[[#This Row],[Pod]],TEXT(INT(GameLog[[#This Row],[Round]]),"yyyymmdd"),GameLog[[#This Row],[Date]])</f>
        <v>5|19000101|46034</v>
      </c>
      <c r="H761" s="6">
        <f>COUNTIF(GameLog[Pod ID],GameLog[[#This Row],[Pod ID]])</f>
        <v>4</v>
      </c>
      <c r="I761" s="6">
        <f>YEAR(GameLog[[#This Row],[Date]])</f>
        <v>2026</v>
      </c>
      <c r="J761" s="6">
        <f>MONTH(GameLog[[#This Row],[Date]])</f>
        <v>1</v>
      </c>
      <c r="K761" s="6" t="str">
        <f>IF(GameLog[[#This Row],[Date]]=MAX(GameLog[Date]),"Current","Previous")</f>
        <v>Previous</v>
      </c>
      <c r="L761" s="6"/>
      <c r="M7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1" s="6" t="str">
        <f ca="1">IF(GameLog[[#This Row],[Check]]="","",COUNTIF(GameLog[[#Headers],[Check]]:GameLog[[#This Row],[Check]],"?*")-1)</f>
        <v/>
      </c>
      <c r="O761" s="6" t="str">
        <f>IFERROR(INDEX(Players[New name],MATCH(GameLog[[#This Row],[Player]],Players[Name],0)),GameLog[[#This Row],[Player]])</f>
        <v>John B</v>
      </c>
    </row>
    <row r="762" spans="1:15" x14ac:dyDescent="0.45">
      <c r="A762" s="6" t="s">
        <v>74</v>
      </c>
      <c r="B762" s="6" t="s">
        <v>53</v>
      </c>
      <c r="C762" s="6">
        <v>4</v>
      </c>
      <c r="D762" s="6">
        <v>5</v>
      </c>
      <c r="E762" s="6">
        <v>1</v>
      </c>
      <c r="F762" s="10">
        <v>46034</v>
      </c>
      <c r="G762" s="6" t="str">
        <f>_xlfn.TEXTJOIN("|",TRUE,GameLog[[#This Row],[Pod]],TEXT(INT(GameLog[[#This Row],[Round]]),"yyyymmdd"),GameLog[[#This Row],[Date]])</f>
        <v>5|19000101|46034</v>
      </c>
      <c r="H762" s="6">
        <f>COUNTIF(GameLog[Pod ID],GameLog[[#This Row],[Pod ID]])</f>
        <v>4</v>
      </c>
      <c r="I762" s="6">
        <f>YEAR(GameLog[[#This Row],[Date]])</f>
        <v>2026</v>
      </c>
      <c r="J762" s="6">
        <f>MONTH(GameLog[[#This Row],[Date]])</f>
        <v>1</v>
      </c>
      <c r="K762" s="6" t="str">
        <f>IF(GameLog[[#This Row],[Date]]=MAX(GameLog[Date]),"Current","Previous")</f>
        <v>Previous</v>
      </c>
      <c r="L762" s="6"/>
      <c r="M7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2" s="6" t="str">
        <f ca="1">IF(GameLog[[#This Row],[Check]]="","",COUNTIF(GameLog[[#Headers],[Check]]:GameLog[[#This Row],[Check]],"?*")-1)</f>
        <v/>
      </c>
      <c r="O762" s="6" t="str">
        <f>IFERROR(INDEX(Players[New name],MATCH(GameLog[[#This Row],[Player]],Players[Name],0)),GameLog[[#This Row],[Player]])</f>
        <v>Jarrod O</v>
      </c>
    </row>
    <row r="763" spans="1:15" x14ac:dyDescent="0.45">
      <c r="A763" s="6" t="s">
        <v>63</v>
      </c>
      <c r="B763" s="6" t="s">
        <v>53</v>
      </c>
      <c r="C763" s="6">
        <v>1</v>
      </c>
      <c r="D763" s="6">
        <v>6</v>
      </c>
      <c r="E763" s="6">
        <v>1</v>
      </c>
      <c r="F763" s="10">
        <v>46034</v>
      </c>
      <c r="G763" s="6" t="str">
        <f>_xlfn.TEXTJOIN("|",TRUE,GameLog[[#This Row],[Pod]],TEXT(INT(GameLog[[#This Row],[Round]]),"yyyymmdd"),GameLog[[#This Row],[Date]])</f>
        <v>6|19000101|46034</v>
      </c>
      <c r="H763" s="6">
        <f>COUNTIF(GameLog[Pod ID],GameLog[[#This Row],[Pod ID]])</f>
        <v>4</v>
      </c>
      <c r="I763" s="6">
        <f>YEAR(GameLog[[#This Row],[Date]])</f>
        <v>2026</v>
      </c>
      <c r="J763" s="6">
        <f>MONTH(GameLog[[#This Row],[Date]])</f>
        <v>1</v>
      </c>
      <c r="K763" s="6" t="str">
        <f>IF(GameLog[[#This Row],[Date]]=MAX(GameLog[Date]),"Current","Previous")</f>
        <v>Previous</v>
      </c>
      <c r="L763" s="6"/>
      <c r="M7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3" s="6" t="str">
        <f ca="1">IF(GameLog[[#This Row],[Check]]="","",COUNTIF(GameLog[[#Headers],[Check]]:GameLog[[#This Row],[Check]],"?*")-1)</f>
        <v/>
      </c>
      <c r="O763" s="6" t="str">
        <f>IFERROR(INDEX(Players[New name],MATCH(GameLog[[#This Row],[Player]],Players[Name],0)),GameLog[[#This Row],[Player]])</f>
        <v>Jake D</v>
      </c>
    </row>
    <row r="764" spans="1:15" x14ac:dyDescent="0.45">
      <c r="A764" s="6" t="s">
        <v>55</v>
      </c>
      <c r="B764" s="6" t="s">
        <v>50</v>
      </c>
      <c r="C764" s="6">
        <v>2</v>
      </c>
      <c r="D764" s="6">
        <v>6</v>
      </c>
      <c r="E764" s="6">
        <v>1</v>
      </c>
      <c r="F764" s="10">
        <v>46034</v>
      </c>
      <c r="G764" s="6" t="str">
        <f>_xlfn.TEXTJOIN("|",TRUE,GameLog[[#This Row],[Pod]],TEXT(INT(GameLog[[#This Row],[Round]]),"yyyymmdd"),GameLog[[#This Row],[Date]])</f>
        <v>6|19000101|46034</v>
      </c>
      <c r="H764" s="6">
        <f>COUNTIF(GameLog[Pod ID],GameLog[[#This Row],[Pod ID]])</f>
        <v>4</v>
      </c>
      <c r="I764" s="6">
        <f>YEAR(GameLog[[#This Row],[Date]])</f>
        <v>2026</v>
      </c>
      <c r="J764" s="6">
        <f>MONTH(GameLog[[#This Row],[Date]])</f>
        <v>1</v>
      </c>
      <c r="K764" s="6" t="str">
        <f>IF(GameLog[[#This Row],[Date]]=MAX(GameLog[Date]),"Current","Previous")</f>
        <v>Previous</v>
      </c>
      <c r="L764" s="6"/>
      <c r="M7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4" s="6" t="str">
        <f ca="1">IF(GameLog[[#This Row],[Check]]="","",COUNTIF(GameLog[[#Headers],[Check]]:GameLog[[#This Row],[Check]],"?*")-1)</f>
        <v/>
      </c>
      <c r="O764" s="6" t="str">
        <f>IFERROR(INDEX(Players[New name],MATCH(GameLog[[#This Row],[Player]],Players[Name],0)),GameLog[[#This Row],[Player]])</f>
        <v>Bryce C</v>
      </c>
    </row>
    <row r="765" spans="1:15" x14ac:dyDescent="0.45">
      <c r="A765" s="6" t="s">
        <v>61</v>
      </c>
      <c r="B765" s="6" t="s">
        <v>53</v>
      </c>
      <c r="C765" s="6">
        <v>3</v>
      </c>
      <c r="D765" s="6">
        <v>6</v>
      </c>
      <c r="E765" s="6">
        <v>1</v>
      </c>
      <c r="F765" s="10">
        <v>46034</v>
      </c>
      <c r="G765" s="6" t="str">
        <f>_xlfn.TEXTJOIN("|",TRUE,GameLog[[#This Row],[Pod]],TEXT(INT(GameLog[[#This Row],[Round]]),"yyyymmdd"),GameLog[[#This Row],[Date]])</f>
        <v>6|19000101|46034</v>
      </c>
      <c r="H765" s="6">
        <f>COUNTIF(GameLog[Pod ID],GameLog[[#This Row],[Pod ID]])</f>
        <v>4</v>
      </c>
      <c r="I765" s="6">
        <f>YEAR(GameLog[[#This Row],[Date]])</f>
        <v>2026</v>
      </c>
      <c r="J765" s="6">
        <f>MONTH(GameLog[[#This Row],[Date]])</f>
        <v>1</v>
      </c>
      <c r="K765" s="6" t="str">
        <f>IF(GameLog[[#This Row],[Date]]=MAX(GameLog[Date]),"Current","Previous")</f>
        <v>Previous</v>
      </c>
      <c r="L765" s="6"/>
      <c r="M7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5" s="6" t="str">
        <f ca="1">IF(GameLog[[#This Row],[Check]]="","",COUNTIF(GameLog[[#Headers],[Check]]:GameLog[[#This Row],[Check]],"?*")-1)</f>
        <v/>
      </c>
      <c r="O765" s="6" t="str">
        <f>IFERROR(INDEX(Players[New name],MATCH(GameLog[[#This Row],[Player]],Players[Name],0)),GameLog[[#This Row],[Player]])</f>
        <v>Trevor</v>
      </c>
    </row>
    <row r="766" spans="1:15" x14ac:dyDescent="0.45">
      <c r="A766" s="6" t="s">
        <v>81</v>
      </c>
      <c r="B766" s="6" t="s">
        <v>53</v>
      </c>
      <c r="C766" s="6">
        <v>4</v>
      </c>
      <c r="D766" s="6">
        <v>6</v>
      </c>
      <c r="E766" s="6">
        <v>1</v>
      </c>
      <c r="F766" s="10">
        <v>46034</v>
      </c>
      <c r="G766" s="6" t="str">
        <f>_xlfn.TEXTJOIN("|",TRUE,GameLog[[#This Row],[Pod]],TEXT(INT(GameLog[[#This Row],[Round]]),"yyyymmdd"),GameLog[[#This Row],[Date]])</f>
        <v>6|19000101|46034</v>
      </c>
      <c r="H766" s="6">
        <f>COUNTIF(GameLog[Pod ID],GameLog[[#This Row],[Pod ID]])</f>
        <v>4</v>
      </c>
      <c r="I766" s="6">
        <f>YEAR(GameLog[[#This Row],[Date]])</f>
        <v>2026</v>
      </c>
      <c r="J766" s="6">
        <f>MONTH(GameLog[[#This Row],[Date]])</f>
        <v>1</v>
      </c>
      <c r="K766" s="6" t="str">
        <f>IF(GameLog[[#This Row],[Date]]=MAX(GameLog[Date]),"Current","Previous")</f>
        <v>Previous</v>
      </c>
      <c r="L766" s="6"/>
      <c r="M7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6" s="6" t="str">
        <f ca="1">IF(GameLog[[#This Row],[Check]]="","",COUNTIF(GameLog[[#Headers],[Check]]:GameLog[[#This Row],[Check]],"?*")-1)</f>
        <v/>
      </c>
      <c r="O766" s="6" t="str">
        <f>IFERROR(INDEX(Players[New name],MATCH(GameLog[[#This Row],[Player]],Players[Name],0)),GameLog[[#This Row],[Player]])</f>
        <v>Forrest</v>
      </c>
    </row>
    <row r="767" spans="1:15" x14ac:dyDescent="0.45">
      <c r="A767" s="6" t="s">
        <v>88</v>
      </c>
      <c r="B767" s="6" t="s">
        <v>50</v>
      </c>
      <c r="C767" s="6">
        <v>1</v>
      </c>
      <c r="D767" s="6">
        <v>7</v>
      </c>
      <c r="E767" s="6">
        <v>1</v>
      </c>
      <c r="F767" s="10">
        <v>46034</v>
      </c>
      <c r="G767" s="6" t="str">
        <f>_xlfn.TEXTJOIN("|",TRUE,GameLog[[#This Row],[Pod]],TEXT(INT(GameLog[[#This Row],[Round]]),"yyyymmdd"),GameLog[[#This Row],[Date]])</f>
        <v>7|19000101|46034</v>
      </c>
      <c r="H767" s="6">
        <f>COUNTIF(GameLog[Pod ID],GameLog[[#This Row],[Pod ID]])</f>
        <v>4</v>
      </c>
      <c r="I767" s="6">
        <f>YEAR(GameLog[[#This Row],[Date]])</f>
        <v>2026</v>
      </c>
      <c r="J767" s="6">
        <f>MONTH(GameLog[[#This Row],[Date]])</f>
        <v>1</v>
      </c>
      <c r="K767" s="6" t="str">
        <f>IF(GameLog[[#This Row],[Date]]=MAX(GameLog[Date]),"Current","Previous")</f>
        <v>Previous</v>
      </c>
      <c r="L767" s="6"/>
      <c r="M7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7" s="6" t="str">
        <f ca="1">IF(GameLog[[#This Row],[Check]]="","",COUNTIF(GameLog[[#Headers],[Check]]:GameLog[[#This Row],[Check]],"?*")-1)</f>
        <v/>
      </c>
      <c r="O767" s="6" t="str">
        <f>IFERROR(INDEX(Players[New name],MATCH(GameLog[[#This Row],[Player]],Players[Name],0)),GameLog[[#This Row],[Player]])</f>
        <v>Andrew R</v>
      </c>
    </row>
    <row r="768" spans="1:15" x14ac:dyDescent="0.45">
      <c r="A768" s="6" t="s">
        <v>69</v>
      </c>
      <c r="B768" s="6" t="s">
        <v>53</v>
      </c>
      <c r="C768" s="6">
        <v>2</v>
      </c>
      <c r="D768" s="6">
        <v>7</v>
      </c>
      <c r="E768" s="6">
        <v>1</v>
      </c>
      <c r="F768" s="10">
        <v>46034</v>
      </c>
      <c r="G768" s="6" t="str">
        <f>_xlfn.TEXTJOIN("|",TRUE,GameLog[[#This Row],[Pod]],TEXT(INT(GameLog[[#This Row],[Round]]),"yyyymmdd"),GameLog[[#This Row],[Date]])</f>
        <v>7|19000101|46034</v>
      </c>
      <c r="H768" s="6">
        <f>COUNTIF(GameLog[Pod ID],GameLog[[#This Row],[Pod ID]])</f>
        <v>4</v>
      </c>
      <c r="I768" s="6">
        <f>YEAR(GameLog[[#This Row],[Date]])</f>
        <v>2026</v>
      </c>
      <c r="J768" s="6">
        <f>MONTH(GameLog[[#This Row],[Date]])</f>
        <v>1</v>
      </c>
      <c r="K768" s="6" t="str">
        <f>IF(GameLog[[#This Row],[Date]]=MAX(GameLog[Date]),"Current","Previous")</f>
        <v>Previous</v>
      </c>
      <c r="L768" s="6"/>
      <c r="M7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8" s="6" t="str">
        <f ca="1">IF(GameLog[[#This Row],[Check]]="","",COUNTIF(GameLog[[#Headers],[Check]]:GameLog[[#This Row],[Check]],"?*")-1)</f>
        <v/>
      </c>
      <c r="O768" s="6" t="str">
        <f>IFERROR(INDEX(Players[New name],MATCH(GameLog[[#This Row],[Player]],Players[Name],0)),GameLog[[#This Row],[Player]])</f>
        <v>Ryan T</v>
      </c>
    </row>
    <row r="769" spans="1:15" x14ac:dyDescent="0.45">
      <c r="A769" s="6" t="s">
        <v>49</v>
      </c>
      <c r="B769" s="6" t="s">
        <v>53</v>
      </c>
      <c r="C769" s="6">
        <v>3</v>
      </c>
      <c r="D769" s="6">
        <v>7</v>
      </c>
      <c r="E769" s="6">
        <v>1</v>
      </c>
      <c r="F769" s="10">
        <v>46034</v>
      </c>
      <c r="G769" s="6" t="str">
        <f>_xlfn.TEXTJOIN("|",TRUE,GameLog[[#This Row],[Pod]],TEXT(INT(GameLog[[#This Row],[Round]]),"yyyymmdd"),GameLog[[#This Row],[Date]])</f>
        <v>7|19000101|46034</v>
      </c>
      <c r="H769" s="6">
        <f>COUNTIF(GameLog[Pod ID],GameLog[[#This Row],[Pod ID]])</f>
        <v>4</v>
      </c>
      <c r="I769" s="6">
        <f>YEAR(GameLog[[#This Row],[Date]])</f>
        <v>2026</v>
      </c>
      <c r="J769" s="6">
        <f>MONTH(GameLog[[#This Row],[Date]])</f>
        <v>1</v>
      </c>
      <c r="K769" s="6" t="str">
        <f>IF(GameLog[[#This Row],[Date]]=MAX(GameLog[Date]),"Current","Previous")</f>
        <v>Previous</v>
      </c>
      <c r="L769" s="6"/>
      <c r="M7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69" s="6" t="str">
        <f ca="1">IF(GameLog[[#This Row],[Check]]="","",COUNTIF(GameLog[[#Headers],[Check]]:GameLog[[#This Row],[Check]],"?*")-1)</f>
        <v/>
      </c>
      <c r="O769" s="6" t="str">
        <f>IFERROR(INDEX(Players[New name],MATCH(GameLog[[#This Row],[Player]],Players[Name],0)),GameLog[[#This Row],[Player]])</f>
        <v>Brett R</v>
      </c>
    </row>
    <row r="770" spans="1:15" x14ac:dyDescent="0.45">
      <c r="A770" s="6" t="s">
        <v>52</v>
      </c>
      <c r="B770" s="6" t="s">
        <v>53</v>
      </c>
      <c r="C770" s="6">
        <v>4</v>
      </c>
      <c r="D770" s="6">
        <v>7</v>
      </c>
      <c r="E770" s="6">
        <v>1</v>
      </c>
      <c r="F770" s="10">
        <v>46034</v>
      </c>
      <c r="G770" s="6" t="str">
        <f>_xlfn.TEXTJOIN("|",TRUE,GameLog[[#This Row],[Pod]],TEXT(INT(GameLog[[#This Row],[Round]]),"yyyymmdd"),GameLog[[#This Row],[Date]])</f>
        <v>7|19000101|46034</v>
      </c>
      <c r="H770" s="6">
        <f>COUNTIF(GameLog[Pod ID],GameLog[[#This Row],[Pod ID]])</f>
        <v>4</v>
      </c>
      <c r="I770" s="6">
        <f>YEAR(GameLog[[#This Row],[Date]])</f>
        <v>2026</v>
      </c>
      <c r="J770" s="6">
        <f>MONTH(GameLog[[#This Row],[Date]])</f>
        <v>1</v>
      </c>
      <c r="K770" s="6" t="str">
        <f>IF(GameLog[[#This Row],[Date]]=MAX(GameLog[Date]),"Current","Previous")</f>
        <v>Previous</v>
      </c>
      <c r="L770" s="6"/>
      <c r="M7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0" s="6" t="str">
        <f ca="1">IF(GameLog[[#This Row],[Check]]="","",COUNTIF(GameLog[[#Headers],[Check]]:GameLog[[#This Row],[Check]],"?*")-1)</f>
        <v/>
      </c>
      <c r="O770" s="6" t="str">
        <f>IFERROR(INDEX(Players[New name],MATCH(GameLog[[#This Row],[Player]],Players[Name],0)),GameLog[[#This Row],[Player]])</f>
        <v>Unknown</v>
      </c>
    </row>
    <row r="771" spans="1:15" x14ac:dyDescent="0.45">
      <c r="A771" s="6" t="s">
        <v>78</v>
      </c>
      <c r="B771" s="6" t="s">
        <v>90</v>
      </c>
      <c r="C771" s="6">
        <v>1</v>
      </c>
      <c r="D771" s="6">
        <v>1</v>
      </c>
      <c r="E771" s="6">
        <v>2</v>
      </c>
      <c r="F771" s="10">
        <v>46034</v>
      </c>
      <c r="G771" s="6" t="str">
        <f>_xlfn.TEXTJOIN("|",TRUE,GameLog[[#This Row],[Pod]],TEXT(INT(GameLog[[#This Row],[Round]]),"yyyymmdd"),GameLog[[#This Row],[Date]])</f>
        <v>1|19000102|46034</v>
      </c>
      <c r="H771" s="6">
        <f>COUNTIF(GameLog[Pod ID],GameLog[[#This Row],[Pod ID]])</f>
        <v>4</v>
      </c>
      <c r="I771" s="6">
        <f>YEAR(GameLog[[#This Row],[Date]])</f>
        <v>2026</v>
      </c>
      <c r="J771" s="6">
        <f>MONTH(GameLog[[#This Row],[Date]])</f>
        <v>1</v>
      </c>
      <c r="K771" s="6" t="str">
        <f>IF(GameLog[[#This Row],[Date]]=MAX(GameLog[Date]),"Current","Previous")</f>
        <v>Previous</v>
      </c>
      <c r="L771" s="6"/>
      <c r="M7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1" s="6" t="str">
        <f ca="1">IF(GameLog[[#This Row],[Check]]="","",COUNTIF(GameLog[[#Headers],[Check]]:GameLog[[#This Row],[Check]],"?*")-1)</f>
        <v/>
      </c>
      <c r="O771" s="6" t="str">
        <f>IFERROR(INDEX(Players[New name],MATCH(GameLog[[#This Row],[Player]],Players[Name],0)),GameLog[[#This Row],[Player]])</f>
        <v>Justin M</v>
      </c>
    </row>
    <row r="772" spans="1:15" x14ac:dyDescent="0.45">
      <c r="A772" s="6" t="s">
        <v>63</v>
      </c>
      <c r="B772" s="6" t="s">
        <v>90</v>
      </c>
      <c r="C772" s="6">
        <v>2</v>
      </c>
      <c r="D772" s="6">
        <v>1</v>
      </c>
      <c r="E772" s="6">
        <v>2</v>
      </c>
      <c r="F772" s="10">
        <v>46034</v>
      </c>
      <c r="G772" s="6" t="str">
        <f>_xlfn.TEXTJOIN("|",TRUE,GameLog[[#This Row],[Pod]],TEXT(INT(GameLog[[#This Row],[Round]]),"yyyymmdd"),GameLog[[#This Row],[Date]])</f>
        <v>1|19000102|46034</v>
      </c>
      <c r="H772" s="6">
        <f>COUNTIF(GameLog[Pod ID],GameLog[[#This Row],[Pod ID]])</f>
        <v>4</v>
      </c>
      <c r="I772" s="6">
        <f>YEAR(GameLog[[#This Row],[Date]])</f>
        <v>2026</v>
      </c>
      <c r="J772" s="6">
        <f>MONTH(GameLog[[#This Row],[Date]])</f>
        <v>1</v>
      </c>
      <c r="K772" s="6" t="str">
        <f>IF(GameLog[[#This Row],[Date]]=MAX(GameLog[Date]),"Current","Previous")</f>
        <v>Previous</v>
      </c>
      <c r="L772" s="6"/>
      <c r="M7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2" s="6" t="str">
        <f ca="1">IF(GameLog[[#This Row],[Check]]="","",COUNTIF(GameLog[[#Headers],[Check]]:GameLog[[#This Row],[Check]],"?*")-1)</f>
        <v/>
      </c>
      <c r="O772" s="6" t="str">
        <f>IFERROR(INDEX(Players[New name],MATCH(GameLog[[#This Row],[Player]],Players[Name],0)),GameLog[[#This Row],[Player]])</f>
        <v>Jake D</v>
      </c>
    </row>
    <row r="773" spans="1:15" x14ac:dyDescent="0.45">
      <c r="A773" s="6" t="s">
        <v>68</v>
      </c>
      <c r="B773" s="6" t="s">
        <v>90</v>
      </c>
      <c r="C773" s="6">
        <v>3</v>
      </c>
      <c r="D773" s="6">
        <v>1</v>
      </c>
      <c r="E773" s="6">
        <v>2</v>
      </c>
      <c r="F773" s="10">
        <v>46034</v>
      </c>
      <c r="G773" s="6" t="str">
        <f>_xlfn.TEXTJOIN("|",TRUE,GameLog[[#This Row],[Pod]],TEXT(INT(GameLog[[#This Row],[Round]]),"yyyymmdd"),GameLog[[#This Row],[Date]])</f>
        <v>1|19000102|46034</v>
      </c>
      <c r="H773" s="6">
        <f>COUNTIF(GameLog[Pod ID],GameLog[[#This Row],[Pod ID]])</f>
        <v>4</v>
      </c>
      <c r="I773" s="6">
        <f>YEAR(GameLog[[#This Row],[Date]])</f>
        <v>2026</v>
      </c>
      <c r="J773" s="6">
        <f>MONTH(GameLog[[#This Row],[Date]])</f>
        <v>1</v>
      </c>
      <c r="K773" s="6" t="str">
        <f>IF(GameLog[[#This Row],[Date]]=MAX(GameLog[Date]),"Current","Previous")</f>
        <v>Previous</v>
      </c>
      <c r="L773" s="6"/>
      <c r="M7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3" s="6" t="str">
        <f ca="1">IF(GameLog[[#This Row],[Check]]="","",COUNTIF(GameLog[[#Headers],[Check]]:GameLog[[#This Row],[Check]],"?*")-1)</f>
        <v/>
      </c>
      <c r="O773" s="6" t="str">
        <f>IFERROR(INDEX(Players[New name],MATCH(GameLog[[#This Row],[Player]],Players[Name],0)),GameLog[[#This Row],[Player]])</f>
        <v>Edwin M</v>
      </c>
    </row>
    <row r="774" spans="1:15" x14ac:dyDescent="0.45">
      <c r="A774" s="6" t="s">
        <v>67</v>
      </c>
      <c r="B774" s="6" t="s">
        <v>90</v>
      </c>
      <c r="C774" s="6">
        <v>4</v>
      </c>
      <c r="D774" s="6">
        <v>1</v>
      </c>
      <c r="E774" s="6">
        <v>2</v>
      </c>
      <c r="F774" s="10">
        <v>46034</v>
      </c>
      <c r="G774" s="6" t="str">
        <f>_xlfn.TEXTJOIN("|",TRUE,GameLog[[#This Row],[Pod]],TEXT(INT(GameLog[[#This Row],[Round]]),"yyyymmdd"),GameLog[[#This Row],[Date]])</f>
        <v>1|19000102|46034</v>
      </c>
      <c r="H774" s="6">
        <f>COUNTIF(GameLog[Pod ID],GameLog[[#This Row],[Pod ID]])</f>
        <v>4</v>
      </c>
      <c r="I774" s="6">
        <f>YEAR(GameLog[[#This Row],[Date]])</f>
        <v>2026</v>
      </c>
      <c r="J774" s="6">
        <f>MONTH(GameLog[[#This Row],[Date]])</f>
        <v>1</v>
      </c>
      <c r="K774" s="6" t="str">
        <f>IF(GameLog[[#This Row],[Date]]=MAX(GameLog[Date]),"Current","Previous")</f>
        <v>Previous</v>
      </c>
      <c r="L774" s="6"/>
      <c r="M7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4" s="6" t="str">
        <f ca="1">IF(GameLog[[#This Row],[Check]]="","",COUNTIF(GameLog[[#Headers],[Check]]:GameLog[[#This Row],[Check]],"?*")-1)</f>
        <v/>
      </c>
      <c r="O774" s="6" t="str">
        <f>IFERROR(INDEX(Players[New name],MATCH(GameLog[[#This Row],[Player]],Players[Name],0)),GameLog[[#This Row],[Player]])</f>
        <v>Sam</v>
      </c>
    </row>
    <row r="775" spans="1:15" x14ac:dyDescent="0.45">
      <c r="A775" s="6" t="s">
        <v>76</v>
      </c>
      <c r="B775" s="6" t="s">
        <v>53</v>
      </c>
      <c r="C775" s="6">
        <v>1</v>
      </c>
      <c r="D775" s="6">
        <v>2</v>
      </c>
      <c r="E775" s="6">
        <v>2</v>
      </c>
      <c r="F775" s="10">
        <v>46034</v>
      </c>
      <c r="G775" s="6" t="str">
        <f>_xlfn.TEXTJOIN("|",TRUE,GameLog[[#This Row],[Pod]],TEXT(INT(GameLog[[#This Row],[Round]]),"yyyymmdd"),GameLog[[#This Row],[Date]])</f>
        <v>2|19000102|46034</v>
      </c>
      <c r="H775" s="6">
        <f>COUNTIF(GameLog[Pod ID],GameLog[[#This Row],[Pod ID]])</f>
        <v>4</v>
      </c>
      <c r="I775" s="6">
        <f>YEAR(GameLog[[#This Row],[Date]])</f>
        <v>2026</v>
      </c>
      <c r="J775" s="6">
        <f>MONTH(GameLog[[#This Row],[Date]])</f>
        <v>1</v>
      </c>
      <c r="K775" s="6" t="str">
        <f>IF(GameLog[[#This Row],[Date]]=MAX(GameLog[Date]),"Current","Previous")</f>
        <v>Previous</v>
      </c>
      <c r="L775" s="6"/>
      <c r="M7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5" s="6" t="str">
        <f ca="1">IF(GameLog[[#This Row],[Check]]="","",COUNTIF(GameLog[[#Headers],[Check]]:GameLog[[#This Row],[Check]],"?*")-1)</f>
        <v/>
      </c>
      <c r="O775" s="6" t="str">
        <f>IFERROR(INDEX(Players[New name],MATCH(GameLog[[#This Row],[Player]],Players[Name],0)),GameLog[[#This Row],[Player]])</f>
        <v>Jon M</v>
      </c>
    </row>
    <row r="776" spans="1:15" x14ac:dyDescent="0.45">
      <c r="A776" s="6" t="s">
        <v>69</v>
      </c>
      <c r="B776" s="6" t="s">
        <v>53</v>
      </c>
      <c r="C776" s="6">
        <v>2</v>
      </c>
      <c r="D776" s="6">
        <v>2</v>
      </c>
      <c r="E776" s="6">
        <v>2</v>
      </c>
      <c r="F776" s="10">
        <v>46034</v>
      </c>
      <c r="G776" s="6" t="str">
        <f>_xlfn.TEXTJOIN("|",TRUE,GameLog[[#This Row],[Pod]],TEXT(INT(GameLog[[#This Row],[Round]]),"yyyymmdd"),GameLog[[#This Row],[Date]])</f>
        <v>2|19000102|46034</v>
      </c>
      <c r="H776" s="6">
        <f>COUNTIF(GameLog[Pod ID],GameLog[[#This Row],[Pod ID]])</f>
        <v>4</v>
      </c>
      <c r="I776" s="6">
        <f>YEAR(GameLog[[#This Row],[Date]])</f>
        <v>2026</v>
      </c>
      <c r="J776" s="6">
        <f>MONTH(GameLog[[#This Row],[Date]])</f>
        <v>1</v>
      </c>
      <c r="K776" s="6" t="str">
        <f>IF(GameLog[[#This Row],[Date]]=MAX(GameLog[Date]),"Current","Previous")</f>
        <v>Previous</v>
      </c>
      <c r="L776" s="6"/>
      <c r="M7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6" s="6" t="str">
        <f ca="1">IF(GameLog[[#This Row],[Check]]="","",COUNTIF(GameLog[[#Headers],[Check]]:GameLog[[#This Row],[Check]],"?*")-1)</f>
        <v/>
      </c>
      <c r="O776" s="6" t="str">
        <f>IFERROR(INDEX(Players[New name],MATCH(GameLog[[#This Row],[Player]],Players[Name],0)),GameLog[[#This Row],[Player]])</f>
        <v>Ryan T</v>
      </c>
    </row>
    <row r="777" spans="1:15" x14ac:dyDescent="0.45">
      <c r="A777" s="6" t="s">
        <v>73</v>
      </c>
      <c r="B777" s="6" t="s">
        <v>53</v>
      </c>
      <c r="C777" s="6">
        <v>3</v>
      </c>
      <c r="D777" s="6">
        <v>2</v>
      </c>
      <c r="E777" s="6">
        <v>2</v>
      </c>
      <c r="F777" s="10">
        <v>46034</v>
      </c>
      <c r="G777" s="6" t="str">
        <f>_xlfn.TEXTJOIN("|",TRUE,GameLog[[#This Row],[Pod]],TEXT(INT(GameLog[[#This Row],[Round]]),"yyyymmdd"),GameLog[[#This Row],[Date]])</f>
        <v>2|19000102|46034</v>
      </c>
      <c r="H777" s="6">
        <f>COUNTIF(GameLog[Pod ID],GameLog[[#This Row],[Pod ID]])</f>
        <v>4</v>
      </c>
      <c r="I777" s="6">
        <f>YEAR(GameLog[[#This Row],[Date]])</f>
        <v>2026</v>
      </c>
      <c r="J777" s="6">
        <f>MONTH(GameLog[[#This Row],[Date]])</f>
        <v>1</v>
      </c>
      <c r="K777" s="6" t="str">
        <f>IF(GameLog[[#This Row],[Date]]=MAX(GameLog[Date]),"Current","Previous")</f>
        <v>Previous</v>
      </c>
      <c r="L777" s="6"/>
      <c r="M7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7" s="6" t="str">
        <f ca="1">IF(GameLog[[#This Row],[Check]]="","",COUNTIF(GameLog[[#Headers],[Check]]:GameLog[[#This Row],[Check]],"?*")-1)</f>
        <v/>
      </c>
      <c r="O777" s="6" t="str">
        <f>IFERROR(INDEX(Players[New name],MATCH(GameLog[[#This Row],[Player]],Players[Name],0)),GameLog[[#This Row],[Player]])</f>
        <v>Brandon B</v>
      </c>
    </row>
    <row r="778" spans="1:15" x14ac:dyDescent="0.45">
      <c r="A778" s="6" t="s">
        <v>71</v>
      </c>
      <c r="B778" s="6" t="s">
        <v>50</v>
      </c>
      <c r="C778" s="6">
        <v>4</v>
      </c>
      <c r="D778" s="6">
        <v>2</v>
      </c>
      <c r="E778" s="6">
        <v>2</v>
      </c>
      <c r="F778" s="10">
        <v>46034</v>
      </c>
      <c r="G778" s="6" t="str">
        <f>_xlfn.TEXTJOIN("|",TRUE,GameLog[[#This Row],[Pod]],TEXT(INT(GameLog[[#This Row],[Round]]),"yyyymmdd"),GameLog[[#This Row],[Date]])</f>
        <v>2|19000102|46034</v>
      </c>
      <c r="H778" s="6">
        <f>COUNTIF(GameLog[Pod ID],GameLog[[#This Row],[Pod ID]])</f>
        <v>4</v>
      </c>
      <c r="I778" s="6">
        <f>YEAR(GameLog[[#This Row],[Date]])</f>
        <v>2026</v>
      </c>
      <c r="J778" s="6">
        <f>MONTH(GameLog[[#This Row],[Date]])</f>
        <v>1</v>
      </c>
      <c r="K778" s="6" t="str">
        <f>IF(GameLog[[#This Row],[Date]]=MAX(GameLog[Date]),"Current","Previous")</f>
        <v>Previous</v>
      </c>
      <c r="L778" s="6"/>
      <c r="M7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8" s="6" t="str">
        <f ca="1">IF(GameLog[[#This Row],[Check]]="","",COUNTIF(GameLog[[#Headers],[Check]]:GameLog[[#This Row],[Check]],"?*")-1)</f>
        <v/>
      </c>
      <c r="O778" s="6" t="str">
        <f>IFERROR(INDEX(Players[New name],MATCH(GameLog[[#This Row],[Player]],Players[Name],0)),GameLog[[#This Row],[Player]])</f>
        <v>Rodney Y</v>
      </c>
    </row>
    <row r="779" spans="1:15" x14ac:dyDescent="0.45">
      <c r="A779" s="6" t="s">
        <v>72</v>
      </c>
      <c r="B779" s="6" t="s">
        <v>90</v>
      </c>
      <c r="C779" s="6">
        <v>1</v>
      </c>
      <c r="D779" s="6">
        <v>3</v>
      </c>
      <c r="E779" s="6">
        <v>2</v>
      </c>
      <c r="F779" s="10">
        <v>46034</v>
      </c>
      <c r="G779" s="6" t="str">
        <f>_xlfn.TEXTJOIN("|",TRUE,GameLog[[#This Row],[Pod]],TEXT(INT(GameLog[[#This Row],[Round]]),"yyyymmdd"),GameLog[[#This Row],[Date]])</f>
        <v>3|19000102|46034</v>
      </c>
      <c r="H779" s="6">
        <f>COUNTIF(GameLog[Pod ID],GameLog[[#This Row],[Pod ID]])</f>
        <v>4</v>
      </c>
      <c r="I779" s="6">
        <f>YEAR(GameLog[[#This Row],[Date]])</f>
        <v>2026</v>
      </c>
      <c r="J779" s="6">
        <f>MONTH(GameLog[[#This Row],[Date]])</f>
        <v>1</v>
      </c>
      <c r="K779" s="6" t="str">
        <f>IF(GameLog[[#This Row],[Date]]=MAX(GameLog[Date]),"Current","Previous")</f>
        <v>Previous</v>
      </c>
      <c r="L779" s="6"/>
      <c r="M7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79" s="6" t="str">
        <f ca="1">IF(GameLog[[#This Row],[Check]]="","",COUNTIF(GameLog[[#Headers],[Check]]:GameLog[[#This Row],[Check]],"?*")-1)</f>
        <v/>
      </c>
      <c r="O779" s="6" t="str">
        <f>IFERROR(INDEX(Players[New name],MATCH(GameLog[[#This Row],[Player]],Players[Name],0)),GameLog[[#This Row],[Player]])</f>
        <v>Ben H</v>
      </c>
    </row>
    <row r="780" spans="1:15" x14ac:dyDescent="0.45">
      <c r="A780" s="6" t="s">
        <v>70</v>
      </c>
      <c r="B780" s="6" t="s">
        <v>90</v>
      </c>
      <c r="C780" s="6">
        <v>2</v>
      </c>
      <c r="D780" s="6">
        <v>3</v>
      </c>
      <c r="E780" s="6">
        <v>2</v>
      </c>
      <c r="F780" s="10">
        <v>46034</v>
      </c>
      <c r="G780" s="6" t="str">
        <f>_xlfn.TEXTJOIN("|",TRUE,GameLog[[#This Row],[Pod]],TEXT(INT(GameLog[[#This Row],[Round]]),"yyyymmdd"),GameLog[[#This Row],[Date]])</f>
        <v>3|19000102|46034</v>
      </c>
      <c r="H780" s="6">
        <f>COUNTIF(GameLog[Pod ID],GameLog[[#This Row],[Pod ID]])</f>
        <v>4</v>
      </c>
      <c r="I780" s="6">
        <f>YEAR(GameLog[[#This Row],[Date]])</f>
        <v>2026</v>
      </c>
      <c r="J780" s="6">
        <f>MONTH(GameLog[[#This Row],[Date]])</f>
        <v>1</v>
      </c>
      <c r="K780" s="6" t="str">
        <f>IF(GameLog[[#This Row],[Date]]=MAX(GameLog[Date]),"Current","Previous")</f>
        <v>Previous</v>
      </c>
      <c r="L780" s="6"/>
      <c r="M7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0" s="6" t="str">
        <f ca="1">IF(GameLog[[#This Row],[Check]]="","",COUNTIF(GameLog[[#Headers],[Check]]:GameLog[[#This Row],[Check]],"?*")-1)</f>
        <v/>
      </c>
      <c r="O780" s="6" t="str">
        <f>IFERROR(INDEX(Players[New name],MATCH(GameLog[[#This Row],[Player]],Players[Name],0)),GameLog[[#This Row],[Player]])</f>
        <v>Brad F</v>
      </c>
    </row>
    <row r="781" spans="1:15" x14ac:dyDescent="0.45">
      <c r="A781" s="6" t="s">
        <v>91</v>
      </c>
      <c r="B781" s="6" t="s">
        <v>90</v>
      </c>
      <c r="C781" s="6">
        <v>3</v>
      </c>
      <c r="D781" s="6">
        <v>3</v>
      </c>
      <c r="E781" s="6">
        <v>2</v>
      </c>
      <c r="F781" s="10">
        <v>46034</v>
      </c>
      <c r="G781" s="6" t="str">
        <f>_xlfn.TEXTJOIN("|",TRUE,GameLog[[#This Row],[Pod]],TEXT(INT(GameLog[[#This Row],[Round]]),"yyyymmdd"),GameLog[[#This Row],[Date]])</f>
        <v>3|19000102|46034</v>
      </c>
      <c r="H781" s="6">
        <f>COUNTIF(GameLog[Pod ID],GameLog[[#This Row],[Pod ID]])</f>
        <v>4</v>
      </c>
      <c r="I781" s="6">
        <f>YEAR(GameLog[[#This Row],[Date]])</f>
        <v>2026</v>
      </c>
      <c r="J781" s="6">
        <f>MONTH(GameLog[[#This Row],[Date]])</f>
        <v>1</v>
      </c>
      <c r="K781" s="6" t="str">
        <f>IF(GameLog[[#This Row],[Date]]=MAX(GameLog[Date]),"Current","Previous")</f>
        <v>Previous</v>
      </c>
      <c r="L781" s="6"/>
      <c r="M7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1" s="6" t="str">
        <f ca="1">IF(GameLog[[#This Row],[Check]]="","",COUNTIF(GameLog[[#Headers],[Check]]:GameLog[[#This Row],[Check]],"?*")-1)</f>
        <v/>
      </c>
      <c r="O781" s="6" t="str">
        <f>IFERROR(INDEX(Players[New name],MATCH(GameLog[[#This Row],[Player]],Players[Name],0)),GameLog[[#This Row],[Player]])</f>
        <v>Isaac B</v>
      </c>
    </row>
    <row r="782" spans="1:15" x14ac:dyDescent="0.45">
      <c r="A782" s="6" t="s">
        <v>49</v>
      </c>
      <c r="B782" s="6" t="s">
        <v>90</v>
      </c>
      <c r="C782" s="6">
        <v>4</v>
      </c>
      <c r="D782" s="6">
        <v>3</v>
      </c>
      <c r="E782" s="6">
        <v>2</v>
      </c>
      <c r="F782" s="10">
        <v>46034</v>
      </c>
      <c r="G782" s="6" t="str">
        <f>_xlfn.TEXTJOIN("|",TRUE,GameLog[[#This Row],[Pod]],TEXT(INT(GameLog[[#This Row],[Round]]),"yyyymmdd"),GameLog[[#This Row],[Date]])</f>
        <v>3|19000102|46034</v>
      </c>
      <c r="H782" s="6">
        <f>COUNTIF(GameLog[Pod ID],GameLog[[#This Row],[Pod ID]])</f>
        <v>4</v>
      </c>
      <c r="I782" s="6">
        <f>YEAR(GameLog[[#This Row],[Date]])</f>
        <v>2026</v>
      </c>
      <c r="J782" s="6">
        <f>MONTH(GameLog[[#This Row],[Date]])</f>
        <v>1</v>
      </c>
      <c r="K782" s="6" t="str">
        <f>IF(GameLog[[#This Row],[Date]]=MAX(GameLog[Date]),"Current","Previous")</f>
        <v>Previous</v>
      </c>
      <c r="L782" s="6"/>
      <c r="M7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2" s="6" t="str">
        <f ca="1">IF(GameLog[[#This Row],[Check]]="","",COUNTIF(GameLog[[#Headers],[Check]]:GameLog[[#This Row],[Check]],"?*")-1)</f>
        <v/>
      </c>
      <c r="O782" s="6" t="str">
        <f>IFERROR(INDEX(Players[New name],MATCH(GameLog[[#This Row],[Player]],Players[Name],0)),GameLog[[#This Row],[Player]])</f>
        <v>Brett R</v>
      </c>
    </row>
    <row r="783" spans="1:15" x14ac:dyDescent="0.45">
      <c r="A783" s="6" t="s">
        <v>60</v>
      </c>
      <c r="B783" s="6" t="s">
        <v>50</v>
      </c>
      <c r="C783" s="6">
        <v>1</v>
      </c>
      <c r="D783" s="6">
        <v>4</v>
      </c>
      <c r="E783" s="6">
        <v>2</v>
      </c>
      <c r="F783" s="10">
        <v>46034</v>
      </c>
      <c r="G783" s="6" t="str">
        <f>_xlfn.TEXTJOIN("|",TRUE,GameLog[[#This Row],[Pod]],TEXT(INT(GameLog[[#This Row],[Round]]),"yyyymmdd"),GameLog[[#This Row],[Date]])</f>
        <v>4|19000102|46034</v>
      </c>
      <c r="H783" s="6">
        <f>COUNTIF(GameLog[Pod ID],GameLog[[#This Row],[Pod ID]])</f>
        <v>3</v>
      </c>
      <c r="I783" s="6">
        <f>YEAR(GameLog[[#This Row],[Date]])</f>
        <v>2026</v>
      </c>
      <c r="J783" s="6">
        <f>MONTH(GameLog[[#This Row],[Date]])</f>
        <v>1</v>
      </c>
      <c r="K783" s="6" t="str">
        <f>IF(GameLog[[#This Row],[Date]]=MAX(GameLog[Date]),"Current","Previous")</f>
        <v>Previous</v>
      </c>
      <c r="L783" s="6"/>
      <c r="M7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3" s="6" t="str">
        <f ca="1">IF(GameLog[[#This Row],[Check]]="","",COUNTIF(GameLog[[#Headers],[Check]]:GameLog[[#This Row],[Check]],"?*")-1)</f>
        <v/>
      </c>
      <c r="O783" s="6" t="str">
        <f>IFERROR(INDEX(Players[New name],MATCH(GameLog[[#This Row],[Player]],Players[Name],0)),GameLog[[#This Row],[Player]])</f>
        <v>Brendan H</v>
      </c>
    </row>
    <row r="784" spans="1:15" x14ac:dyDescent="0.45">
      <c r="A784" s="6" t="s">
        <v>81</v>
      </c>
      <c r="B784" s="6" t="s">
        <v>53</v>
      </c>
      <c r="C784" s="6">
        <v>2</v>
      </c>
      <c r="D784" s="6">
        <v>4</v>
      </c>
      <c r="E784" s="6">
        <v>2</v>
      </c>
      <c r="F784" s="10">
        <v>46034</v>
      </c>
      <c r="G784" s="6" t="str">
        <f>_xlfn.TEXTJOIN("|",TRUE,GameLog[[#This Row],[Pod]],TEXT(INT(GameLog[[#This Row],[Round]]),"yyyymmdd"),GameLog[[#This Row],[Date]])</f>
        <v>4|19000102|46034</v>
      </c>
      <c r="H784" s="6">
        <f>COUNTIF(GameLog[Pod ID],GameLog[[#This Row],[Pod ID]])</f>
        <v>3</v>
      </c>
      <c r="I784" s="6">
        <f>YEAR(GameLog[[#This Row],[Date]])</f>
        <v>2026</v>
      </c>
      <c r="J784" s="6">
        <f>MONTH(GameLog[[#This Row],[Date]])</f>
        <v>1</v>
      </c>
      <c r="K784" s="6" t="str">
        <f>IF(GameLog[[#This Row],[Date]]=MAX(GameLog[Date]),"Current","Previous")</f>
        <v>Previous</v>
      </c>
      <c r="L784" s="6"/>
      <c r="M7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4" s="6" t="str">
        <f ca="1">IF(GameLog[[#This Row],[Check]]="","",COUNTIF(GameLog[[#Headers],[Check]]:GameLog[[#This Row],[Check]],"?*")-1)</f>
        <v/>
      </c>
      <c r="O784" s="6" t="str">
        <f>IFERROR(INDEX(Players[New name],MATCH(GameLog[[#This Row],[Player]],Players[Name],0)),GameLog[[#This Row],[Player]])</f>
        <v>Forrest</v>
      </c>
    </row>
    <row r="785" spans="1:15" x14ac:dyDescent="0.45">
      <c r="A785" s="6" t="s">
        <v>58</v>
      </c>
      <c r="B785" s="6" t="s">
        <v>53</v>
      </c>
      <c r="C785" s="6">
        <v>3</v>
      </c>
      <c r="D785" s="6">
        <v>4</v>
      </c>
      <c r="E785" s="6">
        <v>2</v>
      </c>
      <c r="F785" s="10">
        <v>46034</v>
      </c>
      <c r="G785" s="6" t="str">
        <f>_xlfn.TEXTJOIN("|",TRUE,GameLog[[#This Row],[Pod]],TEXT(INT(GameLog[[#This Row],[Round]]),"yyyymmdd"),GameLog[[#This Row],[Date]])</f>
        <v>4|19000102|46034</v>
      </c>
      <c r="H785" s="6">
        <f>COUNTIF(GameLog[Pod ID],GameLog[[#This Row],[Pod ID]])</f>
        <v>3</v>
      </c>
      <c r="I785" s="6">
        <f>YEAR(GameLog[[#This Row],[Date]])</f>
        <v>2026</v>
      </c>
      <c r="J785" s="6">
        <f>MONTH(GameLog[[#This Row],[Date]])</f>
        <v>1</v>
      </c>
      <c r="K785" s="6" t="str">
        <f>IF(GameLog[[#This Row],[Date]]=MAX(GameLog[Date]),"Current","Previous")</f>
        <v>Previous</v>
      </c>
      <c r="L785" s="6"/>
      <c r="M7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5" s="6" t="str">
        <f ca="1">IF(GameLog[[#This Row],[Check]]="","",COUNTIF(GameLog[[#Headers],[Check]]:GameLog[[#This Row],[Check]],"?*")-1)</f>
        <v/>
      </c>
      <c r="O785" s="6" t="str">
        <f>IFERROR(INDEX(Players[New name],MATCH(GameLog[[#This Row],[Player]],Players[Name],0)),GameLog[[#This Row],[Player]])</f>
        <v>Dakota P</v>
      </c>
    </row>
    <row r="786" spans="1:15" x14ac:dyDescent="0.45">
      <c r="A786" s="6" t="s">
        <v>74</v>
      </c>
      <c r="B786" s="6" t="s">
        <v>53</v>
      </c>
      <c r="C786" s="6">
        <v>1</v>
      </c>
      <c r="D786" s="6">
        <v>5</v>
      </c>
      <c r="E786" s="6">
        <v>2</v>
      </c>
      <c r="F786" s="10">
        <v>46034</v>
      </c>
      <c r="G786" s="6" t="str">
        <f>_xlfn.TEXTJOIN("|",TRUE,GameLog[[#This Row],[Pod]],TEXT(INT(GameLog[[#This Row],[Round]]),"yyyymmdd"),GameLog[[#This Row],[Date]])</f>
        <v>5|19000102|46034</v>
      </c>
      <c r="H786" s="6">
        <f>COUNTIF(GameLog[Pod ID],GameLog[[#This Row],[Pod ID]])</f>
        <v>4</v>
      </c>
      <c r="I786" s="6">
        <f>YEAR(GameLog[[#This Row],[Date]])</f>
        <v>2026</v>
      </c>
      <c r="J786" s="6">
        <f>MONTH(GameLog[[#This Row],[Date]])</f>
        <v>1</v>
      </c>
      <c r="K786" s="6" t="str">
        <f>IF(GameLog[[#This Row],[Date]]=MAX(GameLog[Date]),"Current","Previous")</f>
        <v>Previous</v>
      </c>
      <c r="L786" s="6"/>
      <c r="M7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6" s="6" t="str">
        <f ca="1">IF(GameLog[[#This Row],[Check]]="","",COUNTIF(GameLog[[#Headers],[Check]]:GameLog[[#This Row],[Check]],"?*")-1)</f>
        <v/>
      </c>
      <c r="O786" s="6" t="str">
        <f>IFERROR(INDEX(Players[New name],MATCH(GameLog[[#This Row],[Player]],Players[Name],0)),GameLog[[#This Row],[Player]])</f>
        <v>Jarrod O</v>
      </c>
    </row>
    <row r="787" spans="1:15" x14ac:dyDescent="0.45">
      <c r="A787" s="6" t="s">
        <v>64</v>
      </c>
      <c r="B787" s="6" t="s">
        <v>53</v>
      </c>
      <c r="C787" s="6">
        <v>2</v>
      </c>
      <c r="D787" s="6">
        <v>5</v>
      </c>
      <c r="E787" s="6">
        <v>2</v>
      </c>
      <c r="F787" s="10">
        <v>46034</v>
      </c>
      <c r="G787" s="6" t="str">
        <f>_xlfn.TEXTJOIN("|",TRUE,GameLog[[#This Row],[Pod]],TEXT(INT(GameLog[[#This Row],[Round]]),"yyyymmdd"),GameLog[[#This Row],[Date]])</f>
        <v>5|19000102|46034</v>
      </c>
      <c r="H787" s="6">
        <f>COUNTIF(GameLog[Pod ID],GameLog[[#This Row],[Pod ID]])</f>
        <v>4</v>
      </c>
      <c r="I787" s="6">
        <f>YEAR(GameLog[[#This Row],[Date]])</f>
        <v>2026</v>
      </c>
      <c r="J787" s="6">
        <f>MONTH(GameLog[[#This Row],[Date]])</f>
        <v>1</v>
      </c>
      <c r="K787" s="6" t="str">
        <f>IF(GameLog[[#This Row],[Date]]=MAX(GameLog[Date]),"Current","Previous")</f>
        <v>Previous</v>
      </c>
      <c r="L787" s="6"/>
      <c r="M7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7" s="6" t="str">
        <f ca="1">IF(GameLog[[#This Row],[Check]]="","",COUNTIF(GameLog[[#Headers],[Check]]:GameLog[[#This Row],[Check]],"?*")-1)</f>
        <v/>
      </c>
      <c r="O787" s="6" t="str">
        <f>IFERROR(INDEX(Players[New name],MATCH(GameLog[[#This Row],[Player]],Players[Name],0)),GameLog[[#This Row],[Player]])</f>
        <v>Tyler B</v>
      </c>
    </row>
    <row r="788" spans="1:15" x14ac:dyDescent="0.45">
      <c r="A788" s="6" t="s">
        <v>55</v>
      </c>
      <c r="B788" s="6" t="s">
        <v>50</v>
      </c>
      <c r="C788" s="6">
        <v>3</v>
      </c>
      <c r="D788" s="6">
        <v>5</v>
      </c>
      <c r="E788" s="6">
        <v>2</v>
      </c>
      <c r="F788" s="10">
        <v>46034</v>
      </c>
      <c r="G788" s="6" t="str">
        <f>_xlfn.TEXTJOIN("|",TRUE,GameLog[[#This Row],[Pod]],TEXT(INT(GameLog[[#This Row],[Round]]),"yyyymmdd"),GameLog[[#This Row],[Date]])</f>
        <v>5|19000102|46034</v>
      </c>
      <c r="H788" s="6">
        <f>COUNTIF(GameLog[Pod ID],GameLog[[#This Row],[Pod ID]])</f>
        <v>4</v>
      </c>
      <c r="I788" s="6">
        <f>YEAR(GameLog[[#This Row],[Date]])</f>
        <v>2026</v>
      </c>
      <c r="J788" s="6">
        <f>MONTH(GameLog[[#This Row],[Date]])</f>
        <v>1</v>
      </c>
      <c r="K788" s="6" t="str">
        <f>IF(GameLog[[#This Row],[Date]]=MAX(GameLog[Date]),"Current","Previous")</f>
        <v>Previous</v>
      </c>
      <c r="L788" s="6"/>
      <c r="M7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8" s="6" t="str">
        <f ca="1">IF(GameLog[[#This Row],[Check]]="","",COUNTIF(GameLog[[#Headers],[Check]]:GameLog[[#This Row],[Check]],"?*")-1)</f>
        <v/>
      </c>
      <c r="O788" s="6" t="str">
        <f>IFERROR(INDEX(Players[New name],MATCH(GameLog[[#This Row],[Player]],Players[Name],0)),GameLog[[#This Row],[Player]])</f>
        <v>Bryce C</v>
      </c>
    </row>
    <row r="789" spans="1:15" x14ac:dyDescent="0.45">
      <c r="A789" s="6" t="s">
        <v>77</v>
      </c>
      <c r="B789" s="6" t="s">
        <v>53</v>
      </c>
      <c r="C789" s="6">
        <v>4</v>
      </c>
      <c r="D789" s="6">
        <v>5</v>
      </c>
      <c r="E789" s="6">
        <v>2</v>
      </c>
      <c r="F789" s="10">
        <v>46034</v>
      </c>
      <c r="G789" s="6" t="str">
        <f>_xlfn.TEXTJOIN("|",TRUE,GameLog[[#This Row],[Pod]],TEXT(INT(GameLog[[#This Row],[Round]]),"yyyymmdd"),GameLog[[#This Row],[Date]])</f>
        <v>5|19000102|46034</v>
      </c>
      <c r="H789" s="6">
        <f>COUNTIF(GameLog[Pod ID],GameLog[[#This Row],[Pod ID]])</f>
        <v>4</v>
      </c>
      <c r="I789" s="6">
        <f>YEAR(GameLog[[#This Row],[Date]])</f>
        <v>2026</v>
      </c>
      <c r="J789" s="6">
        <f>MONTH(GameLog[[#This Row],[Date]])</f>
        <v>1</v>
      </c>
      <c r="K789" s="6" t="str">
        <f>IF(GameLog[[#This Row],[Date]]=MAX(GameLog[Date]),"Current","Previous")</f>
        <v>Previous</v>
      </c>
      <c r="L789" s="6"/>
      <c r="M7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89" s="6" t="str">
        <f ca="1">IF(GameLog[[#This Row],[Check]]="","",COUNTIF(GameLog[[#Headers],[Check]]:GameLog[[#This Row],[Check]],"?*")-1)</f>
        <v/>
      </c>
      <c r="O789" s="6" t="str">
        <f>IFERROR(INDEX(Players[New name],MATCH(GameLog[[#This Row],[Player]],Players[Name],0)),GameLog[[#This Row],[Player]])</f>
        <v>Dave M</v>
      </c>
    </row>
    <row r="790" spans="1:15" x14ac:dyDescent="0.45">
      <c r="A790" s="6" t="s">
        <v>61</v>
      </c>
      <c r="B790" s="6" t="s">
        <v>53</v>
      </c>
      <c r="C790" s="6">
        <v>1</v>
      </c>
      <c r="D790" s="6">
        <v>6</v>
      </c>
      <c r="E790" s="6">
        <v>2</v>
      </c>
      <c r="F790" s="10">
        <v>46034</v>
      </c>
      <c r="G790" s="6" t="str">
        <f>_xlfn.TEXTJOIN("|",TRUE,GameLog[[#This Row],[Pod]],TEXT(INT(GameLog[[#This Row],[Round]]),"yyyymmdd"),GameLog[[#This Row],[Date]])</f>
        <v>6|19000102|46034</v>
      </c>
      <c r="H790" s="6">
        <f>COUNTIF(GameLog[Pod ID],GameLog[[#This Row],[Pod ID]])</f>
        <v>4</v>
      </c>
      <c r="I790" s="6">
        <f>YEAR(GameLog[[#This Row],[Date]])</f>
        <v>2026</v>
      </c>
      <c r="J790" s="6">
        <f>MONTH(GameLog[[#This Row],[Date]])</f>
        <v>1</v>
      </c>
      <c r="K790" s="6" t="str">
        <f>IF(GameLog[[#This Row],[Date]]=MAX(GameLog[Date]),"Current","Previous")</f>
        <v>Previous</v>
      </c>
      <c r="L790" s="6"/>
      <c r="M7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0" s="6" t="str">
        <f ca="1">IF(GameLog[[#This Row],[Check]]="","",COUNTIF(GameLog[[#Headers],[Check]]:GameLog[[#This Row],[Check]],"?*")-1)</f>
        <v/>
      </c>
      <c r="O790" s="6" t="str">
        <f>IFERROR(INDEX(Players[New name],MATCH(GameLog[[#This Row],[Player]],Players[Name],0)),GameLog[[#This Row],[Player]])</f>
        <v>Trevor</v>
      </c>
    </row>
    <row r="791" spans="1:15" x14ac:dyDescent="0.45">
      <c r="A791" s="6" t="s">
        <v>52</v>
      </c>
      <c r="B791" s="6" t="s">
        <v>53</v>
      </c>
      <c r="C791" s="6">
        <v>2</v>
      </c>
      <c r="D791" s="6">
        <v>6</v>
      </c>
      <c r="E791" s="6">
        <v>2</v>
      </c>
      <c r="F791" s="10">
        <v>46034</v>
      </c>
      <c r="G791" s="6" t="str">
        <f>_xlfn.TEXTJOIN("|",TRUE,GameLog[[#This Row],[Pod]],TEXT(INT(GameLog[[#This Row],[Round]]),"yyyymmdd"),GameLog[[#This Row],[Date]])</f>
        <v>6|19000102|46034</v>
      </c>
      <c r="H791" s="6">
        <f>COUNTIF(GameLog[Pod ID],GameLog[[#This Row],[Pod ID]])</f>
        <v>4</v>
      </c>
      <c r="I791" s="6">
        <f>YEAR(GameLog[[#This Row],[Date]])</f>
        <v>2026</v>
      </c>
      <c r="J791" s="6">
        <f>MONTH(GameLog[[#This Row],[Date]])</f>
        <v>1</v>
      </c>
      <c r="K791" s="6" t="str">
        <f>IF(GameLog[[#This Row],[Date]]=MAX(GameLog[Date]),"Current","Previous")</f>
        <v>Previous</v>
      </c>
      <c r="L791" s="6"/>
      <c r="M7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1" s="6" t="str">
        <f ca="1">IF(GameLog[[#This Row],[Check]]="","",COUNTIF(GameLog[[#Headers],[Check]]:GameLog[[#This Row],[Check]],"?*")-1)</f>
        <v/>
      </c>
      <c r="O791" s="6" t="str">
        <f>IFERROR(INDEX(Players[New name],MATCH(GameLog[[#This Row],[Player]],Players[Name],0)),GameLog[[#This Row],[Player]])</f>
        <v>Unknown</v>
      </c>
    </row>
    <row r="792" spans="1:15" x14ac:dyDescent="0.45">
      <c r="A792" s="6" t="s">
        <v>92</v>
      </c>
      <c r="B792" s="6" t="s">
        <v>50</v>
      </c>
      <c r="C792" s="6">
        <v>3</v>
      </c>
      <c r="D792" s="6">
        <v>6</v>
      </c>
      <c r="E792" s="6">
        <v>2</v>
      </c>
      <c r="F792" s="10">
        <v>46034</v>
      </c>
      <c r="G792" s="6" t="str">
        <f>_xlfn.TEXTJOIN("|",TRUE,GameLog[[#This Row],[Pod]],TEXT(INT(GameLog[[#This Row],[Round]]),"yyyymmdd"),GameLog[[#This Row],[Date]])</f>
        <v>6|19000102|46034</v>
      </c>
      <c r="H792" s="6">
        <f>COUNTIF(GameLog[Pod ID],GameLog[[#This Row],[Pod ID]])</f>
        <v>4</v>
      </c>
      <c r="I792" s="6">
        <f>YEAR(GameLog[[#This Row],[Date]])</f>
        <v>2026</v>
      </c>
      <c r="J792" s="6">
        <f>MONTH(GameLog[[#This Row],[Date]])</f>
        <v>1</v>
      </c>
      <c r="K792" s="6" t="str">
        <f>IF(GameLog[[#This Row],[Date]]=MAX(GameLog[Date]),"Current","Previous")</f>
        <v>Previous</v>
      </c>
      <c r="L792" s="6"/>
      <c r="M7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2" s="6" t="str">
        <f ca="1">IF(GameLog[[#This Row],[Check]]="","",COUNTIF(GameLog[[#Headers],[Check]]:GameLog[[#This Row],[Check]],"?*")-1)</f>
        <v/>
      </c>
      <c r="O792" s="6" t="str">
        <f>IFERROR(INDEX(Players[New name],MATCH(GameLog[[#This Row],[Player]],Players[Name],0)),GameLog[[#This Row],[Player]])</f>
        <v>Harley A</v>
      </c>
    </row>
    <row r="793" spans="1:15" x14ac:dyDescent="0.45">
      <c r="A793" s="6" t="s">
        <v>86</v>
      </c>
      <c r="B793" s="6" t="s">
        <v>53</v>
      </c>
      <c r="C793" s="6">
        <v>4</v>
      </c>
      <c r="D793" s="6">
        <v>6</v>
      </c>
      <c r="E793" s="6">
        <v>2</v>
      </c>
      <c r="F793" s="10">
        <v>46034</v>
      </c>
      <c r="G793" s="6" t="str">
        <f>_xlfn.TEXTJOIN("|",TRUE,GameLog[[#This Row],[Pod]],TEXT(INT(GameLog[[#This Row],[Round]]),"yyyymmdd"),GameLog[[#This Row],[Date]])</f>
        <v>6|19000102|46034</v>
      </c>
      <c r="H793" s="6">
        <f>COUNTIF(GameLog[Pod ID],GameLog[[#This Row],[Pod ID]])</f>
        <v>4</v>
      </c>
      <c r="I793" s="6">
        <f>YEAR(GameLog[[#This Row],[Date]])</f>
        <v>2026</v>
      </c>
      <c r="J793" s="6">
        <f>MONTH(GameLog[[#This Row],[Date]])</f>
        <v>1</v>
      </c>
      <c r="K793" s="6" t="str">
        <f>IF(GameLog[[#This Row],[Date]]=MAX(GameLog[Date]),"Current","Previous")</f>
        <v>Previous</v>
      </c>
      <c r="L793" s="6"/>
      <c r="M7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3" s="6" t="str">
        <f ca="1">IF(GameLog[[#This Row],[Check]]="","",COUNTIF(GameLog[[#Headers],[Check]]:GameLog[[#This Row],[Check]],"?*")-1)</f>
        <v/>
      </c>
      <c r="O793" s="6" t="str">
        <f>IFERROR(INDEX(Players[New name],MATCH(GameLog[[#This Row],[Player]],Players[Name],0)),GameLog[[#This Row],[Player]])</f>
        <v>Steve C</v>
      </c>
    </row>
    <row r="794" spans="1:15" x14ac:dyDescent="0.45">
      <c r="A794" s="6" t="s">
        <v>59</v>
      </c>
      <c r="B794" s="6" t="s">
        <v>50</v>
      </c>
      <c r="C794" s="6">
        <v>1</v>
      </c>
      <c r="D794" s="6">
        <v>7</v>
      </c>
      <c r="E794" s="6">
        <v>2</v>
      </c>
      <c r="F794" s="10">
        <v>46034</v>
      </c>
      <c r="G794" s="6" t="str">
        <f>_xlfn.TEXTJOIN("|",TRUE,GameLog[[#This Row],[Pod]],TEXT(INT(GameLog[[#This Row],[Round]]),"yyyymmdd"),GameLog[[#This Row],[Date]])</f>
        <v>7|19000102|46034</v>
      </c>
      <c r="H794" s="6">
        <f>COUNTIF(GameLog[Pod ID],GameLog[[#This Row],[Pod ID]])</f>
        <v>4</v>
      </c>
      <c r="I794" s="6">
        <f>YEAR(GameLog[[#This Row],[Date]])</f>
        <v>2026</v>
      </c>
      <c r="J794" s="6">
        <f>MONTH(GameLog[[#This Row],[Date]])</f>
        <v>1</v>
      </c>
      <c r="K794" s="6" t="str">
        <f>IF(GameLog[[#This Row],[Date]]=MAX(GameLog[Date]),"Current","Previous")</f>
        <v>Previous</v>
      </c>
      <c r="L794" s="6"/>
      <c r="M7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4" s="6" t="str">
        <f ca="1">IF(GameLog[[#This Row],[Check]]="","",COUNTIF(GameLog[[#Headers],[Check]]:GameLog[[#This Row],[Check]],"?*")-1)</f>
        <v/>
      </c>
      <c r="O794" s="6" t="str">
        <f>IFERROR(INDEX(Players[New name],MATCH(GameLog[[#This Row],[Player]],Players[Name],0)),GameLog[[#This Row],[Player]])</f>
        <v>Zack B</v>
      </c>
    </row>
    <row r="795" spans="1:15" x14ac:dyDescent="0.45">
      <c r="A795" s="6" t="s">
        <v>88</v>
      </c>
      <c r="B795" s="6" t="s">
        <v>53</v>
      </c>
      <c r="C795" s="6">
        <v>2</v>
      </c>
      <c r="D795" s="6">
        <v>7</v>
      </c>
      <c r="E795" s="6">
        <v>2</v>
      </c>
      <c r="F795" s="10">
        <v>46034</v>
      </c>
      <c r="G795" s="6" t="str">
        <f>_xlfn.TEXTJOIN("|",TRUE,GameLog[[#This Row],[Pod]],TEXT(INT(GameLog[[#This Row],[Round]]),"yyyymmdd"),GameLog[[#This Row],[Date]])</f>
        <v>7|19000102|46034</v>
      </c>
      <c r="H795" s="6">
        <f>COUNTIF(GameLog[Pod ID],GameLog[[#This Row],[Pod ID]])</f>
        <v>4</v>
      </c>
      <c r="I795" s="6">
        <f>YEAR(GameLog[[#This Row],[Date]])</f>
        <v>2026</v>
      </c>
      <c r="J795" s="6">
        <f>MONTH(GameLog[[#This Row],[Date]])</f>
        <v>1</v>
      </c>
      <c r="K795" s="6" t="str">
        <f>IF(GameLog[[#This Row],[Date]]=MAX(GameLog[Date]),"Current","Previous")</f>
        <v>Previous</v>
      </c>
      <c r="L795" s="6"/>
      <c r="M7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5" s="6" t="str">
        <f ca="1">IF(GameLog[[#This Row],[Check]]="","",COUNTIF(GameLog[[#Headers],[Check]]:GameLog[[#This Row],[Check]],"?*")-1)</f>
        <v/>
      </c>
      <c r="O795" s="6" t="str">
        <f>IFERROR(INDEX(Players[New name],MATCH(GameLog[[#This Row],[Player]],Players[Name],0)),GameLog[[#This Row],[Player]])</f>
        <v>Andrew R</v>
      </c>
    </row>
    <row r="796" spans="1:15" x14ac:dyDescent="0.45">
      <c r="A796" s="6" t="s">
        <v>93</v>
      </c>
      <c r="B796" s="6" t="s">
        <v>53</v>
      </c>
      <c r="C796" s="6">
        <v>3</v>
      </c>
      <c r="D796" s="6">
        <v>7</v>
      </c>
      <c r="E796" s="6">
        <v>2</v>
      </c>
      <c r="F796" s="10">
        <v>46034</v>
      </c>
      <c r="G796" s="6" t="str">
        <f>_xlfn.TEXTJOIN("|",TRUE,GameLog[[#This Row],[Pod]],TEXT(INT(GameLog[[#This Row],[Round]]),"yyyymmdd"),GameLog[[#This Row],[Date]])</f>
        <v>7|19000102|46034</v>
      </c>
      <c r="H796" s="6">
        <f>COUNTIF(GameLog[Pod ID],GameLog[[#This Row],[Pod ID]])</f>
        <v>4</v>
      </c>
      <c r="I796" s="6">
        <f>YEAR(GameLog[[#This Row],[Date]])</f>
        <v>2026</v>
      </c>
      <c r="J796" s="6">
        <f>MONTH(GameLog[[#This Row],[Date]])</f>
        <v>1</v>
      </c>
      <c r="K796" s="6" t="str">
        <f>IF(GameLog[[#This Row],[Date]]=MAX(GameLog[Date]),"Current","Previous")</f>
        <v>Previous</v>
      </c>
      <c r="L796" s="6"/>
      <c r="M7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6" s="6" t="str">
        <f ca="1">IF(GameLog[[#This Row],[Check]]="","",COUNTIF(GameLog[[#Headers],[Check]]:GameLog[[#This Row],[Check]],"?*")-1)</f>
        <v/>
      </c>
      <c r="O796" s="6" t="str">
        <f>IFERROR(INDEX(Players[New name],MATCH(GameLog[[#This Row],[Player]],Players[Name],0)),GameLog[[#This Row],[Player]])</f>
        <v>John B</v>
      </c>
    </row>
    <row r="797" spans="1:15" x14ac:dyDescent="0.45">
      <c r="A797" s="6" t="s">
        <v>57</v>
      </c>
      <c r="B797" s="6" t="s">
        <v>53</v>
      </c>
      <c r="C797" s="6">
        <v>4</v>
      </c>
      <c r="D797" s="6">
        <v>7</v>
      </c>
      <c r="E797" s="6">
        <v>2</v>
      </c>
      <c r="F797" s="10">
        <v>46034</v>
      </c>
      <c r="G797" s="6" t="str">
        <f>_xlfn.TEXTJOIN("|",TRUE,GameLog[[#This Row],[Pod]],TEXT(INT(GameLog[[#This Row],[Round]]),"yyyymmdd"),GameLog[[#This Row],[Date]])</f>
        <v>7|19000102|46034</v>
      </c>
      <c r="H797" s="6">
        <f>COUNTIF(GameLog[Pod ID],GameLog[[#This Row],[Pod ID]])</f>
        <v>4</v>
      </c>
      <c r="I797" s="6">
        <f>YEAR(GameLog[[#This Row],[Date]])</f>
        <v>2026</v>
      </c>
      <c r="J797" s="6">
        <f>MONTH(GameLog[[#This Row],[Date]])</f>
        <v>1</v>
      </c>
      <c r="K797" s="6" t="str">
        <f>IF(GameLog[[#This Row],[Date]]=MAX(GameLog[Date]),"Current","Previous")</f>
        <v>Previous</v>
      </c>
      <c r="L797" s="6"/>
      <c r="M7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7" s="6" t="str">
        <f ca="1">IF(GameLog[[#This Row],[Check]]="","",COUNTIF(GameLog[[#Headers],[Check]]:GameLog[[#This Row],[Check]],"?*")-1)</f>
        <v/>
      </c>
      <c r="O797" s="6" t="str">
        <f>IFERROR(INDEX(Players[New name],MATCH(GameLog[[#This Row],[Player]],Players[Name],0)),GameLog[[#This Row],[Player]])</f>
        <v>AJ W</v>
      </c>
    </row>
    <row r="798" spans="1:15" x14ac:dyDescent="0.45">
      <c r="A798" s="6" t="s">
        <v>52</v>
      </c>
      <c r="B798" s="6" t="s">
        <v>50</v>
      </c>
      <c r="C798" s="6">
        <v>1</v>
      </c>
      <c r="D798" s="6">
        <v>1</v>
      </c>
      <c r="E798" s="6">
        <v>1</v>
      </c>
      <c r="F798" s="10">
        <v>46041</v>
      </c>
      <c r="G798" s="6" t="str">
        <f>_xlfn.TEXTJOIN("|",TRUE,GameLog[[#This Row],[Pod]],TEXT(INT(GameLog[[#This Row],[Round]]),"yyyymmdd"),GameLog[[#This Row],[Date]])</f>
        <v>1|19000101|46041</v>
      </c>
      <c r="H798" s="6">
        <f>COUNTIF(GameLog[Pod ID],GameLog[[#This Row],[Pod ID]])</f>
        <v>4</v>
      </c>
      <c r="I798" s="6">
        <f>YEAR(GameLog[[#This Row],[Date]])</f>
        <v>2026</v>
      </c>
      <c r="J798" s="6">
        <f>MONTH(GameLog[[#This Row],[Date]])</f>
        <v>1</v>
      </c>
      <c r="K798" s="6" t="str">
        <f>IF(GameLog[[#This Row],[Date]]=MAX(GameLog[Date]),"Current","Previous")</f>
        <v>Previous</v>
      </c>
      <c r="L798" s="6"/>
      <c r="M7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8" s="6" t="str">
        <f ca="1">IF(GameLog[[#This Row],[Check]]="","",COUNTIF(GameLog[[#Headers],[Check]]:GameLog[[#This Row],[Check]],"?*")-1)</f>
        <v/>
      </c>
      <c r="O798" s="6" t="str">
        <f>IFERROR(INDEX(Players[New name],MATCH(GameLog[[#This Row],[Player]],Players[Name],0)),GameLog[[#This Row],[Player]])</f>
        <v>Unknown</v>
      </c>
    </row>
    <row r="799" spans="1:15" x14ac:dyDescent="0.45">
      <c r="A799" s="6" t="s">
        <v>71</v>
      </c>
      <c r="B799" s="6" t="s">
        <v>53</v>
      </c>
      <c r="C799" s="6">
        <v>2</v>
      </c>
      <c r="D799" s="6">
        <v>1</v>
      </c>
      <c r="E799" s="6">
        <v>1</v>
      </c>
      <c r="F799" s="10">
        <v>46041</v>
      </c>
      <c r="G799" s="6" t="str">
        <f>_xlfn.TEXTJOIN("|",TRUE,GameLog[[#This Row],[Pod]],TEXT(INT(GameLog[[#This Row],[Round]]),"yyyymmdd"),GameLog[[#This Row],[Date]])</f>
        <v>1|19000101|46041</v>
      </c>
      <c r="H799" s="6">
        <f>COUNTIF(GameLog[Pod ID],GameLog[[#This Row],[Pod ID]])</f>
        <v>4</v>
      </c>
      <c r="I799" s="6">
        <f>YEAR(GameLog[[#This Row],[Date]])</f>
        <v>2026</v>
      </c>
      <c r="J799" s="6">
        <f>MONTH(GameLog[[#This Row],[Date]])</f>
        <v>1</v>
      </c>
      <c r="K799" s="6" t="str">
        <f>IF(GameLog[[#This Row],[Date]]=MAX(GameLog[Date]),"Current","Previous")</f>
        <v>Previous</v>
      </c>
      <c r="L799" s="6"/>
      <c r="M7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799" s="6" t="str">
        <f ca="1">IF(GameLog[[#This Row],[Check]]="","",COUNTIF(GameLog[[#Headers],[Check]]:GameLog[[#This Row],[Check]],"?*")-1)</f>
        <v/>
      </c>
      <c r="O799" s="6" t="str">
        <f>IFERROR(INDEX(Players[New name],MATCH(GameLog[[#This Row],[Player]],Players[Name],0)),GameLog[[#This Row],[Player]])</f>
        <v>Rodney Y</v>
      </c>
    </row>
    <row r="800" spans="1:15" x14ac:dyDescent="0.45">
      <c r="A800" s="6" t="s">
        <v>72</v>
      </c>
      <c r="B800" s="6" t="s">
        <v>53</v>
      </c>
      <c r="C800" s="6">
        <v>3</v>
      </c>
      <c r="D800" s="6">
        <v>1</v>
      </c>
      <c r="E800" s="6">
        <v>1</v>
      </c>
      <c r="F800" s="10">
        <v>46041</v>
      </c>
      <c r="G800" s="6" t="str">
        <f>_xlfn.TEXTJOIN("|",TRUE,GameLog[[#This Row],[Pod]],TEXT(INT(GameLog[[#This Row],[Round]]),"yyyymmdd"),GameLog[[#This Row],[Date]])</f>
        <v>1|19000101|46041</v>
      </c>
      <c r="H800" s="6">
        <f>COUNTIF(GameLog[Pod ID],GameLog[[#This Row],[Pod ID]])</f>
        <v>4</v>
      </c>
      <c r="I800" s="6">
        <f>YEAR(GameLog[[#This Row],[Date]])</f>
        <v>2026</v>
      </c>
      <c r="J800" s="6">
        <f>MONTH(GameLog[[#This Row],[Date]])</f>
        <v>1</v>
      </c>
      <c r="K800" s="6" t="str">
        <f>IF(GameLog[[#This Row],[Date]]=MAX(GameLog[Date]),"Current","Previous")</f>
        <v>Previous</v>
      </c>
      <c r="L800" s="6"/>
      <c r="M8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0" s="6" t="str">
        <f ca="1">IF(GameLog[[#This Row],[Check]]="","",COUNTIF(GameLog[[#Headers],[Check]]:GameLog[[#This Row],[Check]],"?*")-1)</f>
        <v/>
      </c>
      <c r="O800" s="6" t="str">
        <f>IFERROR(INDEX(Players[New name],MATCH(GameLog[[#This Row],[Player]],Players[Name],0)),GameLog[[#This Row],[Player]])</f>
        <v>Ben H</v>
      </c>
    </row>
    <row r="801" spans="1:15" x14ac:dyDescent="0.45">
      <c r="A801" s="6" t="s">
        <v>61</v>
      </c>
      <c r="B801" s="6" t="s">
        <v>53</v>
      </c>
      <c r="C801" s="6">
        <v>4</v>
      </c>
      <c r="D801" s="6">
        <v>1</v>
      </c>
      <c r="E801" s="6">
        <v>1</v>
      </c>
      <c r="F801" s="10">
        <v>46041</v>
      </c>
      <c r="G801" s="6" t="str">
        <f>_xlfn.TEXTJOIN("|",TRUE,GameLog[[#This Row],[Pod]],TEXT(INT(GameLog[[#This Row],[Round]]),"yyyymmdd"),GameLog[[#This Row],[Date]])</f>
        <v>1|19000101|46041</v>
      </c>
      <c r="H801" s="6">
        <f>COUNTIF(GameLog[Pod ID],GameLog[[#This Row],[Pod ID]])</f>
        <v>4</v>
      </c>
      <c r="I801" s="6">
        <f>YEAR(GameLog[[#This Row],[Date]])</f>
        <v>2026</v>
      </c>
      <c r="J801" s="6">
        <f>MONTH(GameLog[[#This Row],[Date]])</f>
        <v>1</v>
      </c>
      <c r="K801" s="6" t="str">
        <f>IF(GameLog[[#This Row],[Date]]=MAX(GameLog[Date]),"Current","Previous")</f>
        <v>Previous</v>
      </c>
      <c r="L801" s="6"/>
      <c r="M8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1" s="6" t="str">
        <f ca="1">IF(GameLog[[#This Row],[Check]]="","",COUNTIF(GameLog[[#Headers],[Check]]:GameLog[[#This Row],[Check]],"?*")-1)</f>
        <v/>
      </c>
      <c r="O801" s="6" t="str">
        <f>IFERROR(INDEX(Players[New name],MATCH(GameLog[[#This Row],[Player]],Players[Name],0)),GameLog[[#This Row],[Player]])</f>
        <v>Trevor</v>
      </c>
    </row>
    <row r="802" spans="1:15" x14ac:dyDescent="0.45">
      <c r="A802" s="6" t="s">
        <v>67</v>
      </c>
      <c r="B802" s="6" t="s">
        <v>53</v>
      </c>
      <c r="C802" s="6">
        <v>1</v>
      </c>
      <c r="D802" s="6">
        <v>2</v>
      </c>
      <c r="E802" s="6">
        <v>1</v>
      </c>
      <c r="F802" s="10">
        <v>46041</v>
      </c>
      <c r="G802" s="6" t="str">
        <f>_xlfn.TEXTJOIN("|",TRUE,GameLog[[#This Row],[Pod]],TEXT(INT(GameLog[[#This Row],[Round]]),"yyyymmdd"),GameLog[[#This Row],[Date]])</f>
        <v>2|19000101|46041</v>
      </c>
      <c r="H802" s="6">
        <f>COUNTIF(GameLog[Pod ID],GameLog[[#This Row],[Pod ID]])</f>
        <v>4</v>
      </c>
      <c r="I802" s="6">
        <f>YEAR(GameLog[[#This Row],[Date]])</f>
        <v>2026</v>
      </c>
      <c r="J802" s="6">
        <f>MONTH(GameLog[[#This Row],[Date]])</f>
        <v>1</v>
      </c>
      <c r="K802" s="6" t="str">
        <f>IF(GameLog[[#This Row],[Date]]=MAX(GameLog[Date]),"Current","Previous")</f>
        <v>Previous</v>
      </c>
      <c r="L802" s="6"/>
      <c r="M8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2" s="6" t="str">
        <f ca="1">IF(GameLog[[#This Row],[Check]]="","",COUNTIF(GameLog[[#Headers],[Check]]:GameLog[[#This Row],[Check]],"?*")-1)</f>
        <v/>
      </c>
      <c r="O802" s="6" t="str">
        <f>IFERROR(INDEX(Players[New name],MATCH(GameLog[[#This Row],[Player]],Players[Name],0)),GameLog[[#This Row],[Player]])</f>
        <v>Sam</v>
      </c>
    </row>
    <row r="803" spans="1:15" x14ac:dyDescent="0.45">
      <c r="A803" s="6" t="s">
        <v>64</v>
      </c>
      <c r="B803" s="6" t="s">
        <v>50</v>
      </c>
      <c r="C803" s="6">
        <v>2</v>
      </c>
      <c r="D803" s="6">
        <v>2</v>
      </c>
      <c r="E803" s="6">
        <v>1</v>
      </c>
      <c r="F803" s="10">
        <v>46041</v>
      </c>
      <c r="G803" s="6" t="str">
        <f>_xlfn.TEXTJOIN("|",TRUE,GameLog[[#This Row],[Pod]],TEXT(INT(GameLog[[#This Row],[Round]]),"yyyymmdd"),GameLog[[#This Row],[Date]])</f>
        <v>2|19000101|46041</v>
      </c>
      <c r="H803" s="6">
        <f>COUNTIF(GameLog[Pod ID],GameLog[[#This Row],[Pod ID]])</f>
        <v>4</v>
      </c>
      <c r="I803" s="6">
        <f>YEAR(GameLog[[#This Row],[Date]])</f>
        <v>2026</v>
      </c>
      <c r="J803" s="6">
        <f>MONTH(GameLog[[#This Row],[Date]])</f>
        <v>1</v>
      </c>
      <c r="K803" s="6" t="str">
        <f>IF(GameLog[[#This Row],[Date]]=MAX(GameLog[Date]),"Current","Previous")</f>
        <v>Previous</v>
      </c>
      <c r="L803" s="6"/>
      <c r="M8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3" s="6" t="str">
        <f ca="1">IF(GameLog[[#This Row],[Check]]="","",COUNTIF(GameLog[[#Headers],[Check]]:GameLog[[#This Row],[Check]],"?*")-1)</f>
        <v/>
      </c>
      <c r="O803" s="6" t="str">
        <f>IFERROR(INDEX(Players[New name],MATCH(GameLog[[#This Row],[Player]],Players[Name],0)),GameLog[[#This Row],[Player]])</f>
        <v>Tyler B</v>
      </c>
    </row>
    <row r="804" spans="1:15" x14ac:dyDescent="0.45">
      <c r="A804" s="6" t="s">
        <v>68</v>
      </c>
      <c r="B804" s="6" t="s">
        <v>53</v>
      </c>
      <c r="C804" s="6">
        <v>3</v>
      </c>
      <c r="D804" s="6">
        <v>2</v>
      </c>
      <c r="E804" s="6">
        <v>1</v>
      </c>
      <c r="F804" s="10">
        <v>46041</v>
      </c>
      <c r="G804" s="6" t="str">
        <f>_xlfn.TEXTJOIN("|",TRUE,GameLog[[#This Row],[Pod]],TEXT(INT(GameLog[[#This Row],[Round]]),"yyyymmdd"),GameLog[[#This Row],[Date]])</f>
        <v>2|19000101|46041</v>
      </c>
      <c r="H804" s="6">
        <f>COUNTIF(GameLog[Pod ID],GameLog[[#This Row],[Pod ID]])</f>
        <v>4</v>
      </c>
      <c r="I804" s="6">
        <f>YEAR(GameLog[[#This Row],[Date]])</f>
        <v>2026</v>
      </c>
      <c r="J804" s="6">
        <f>MONTH(GameLog[[#This Row],[Date]])</f>
        <v>1</v>
      </c>
      <c r="K804" s="6" t="str">
        <f>IF(GameLog[[#This Row],[Date]]=MAX(GameLog[Date]),"Current","Previous")</f>
        <v>Previous</v>
      </c>
      <c r="L804" s="6"/>
      <c r="M8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4" s="6" t="str">
        <f ca="1">IF(GameLog[[#This Row],[Check]]="","",COUNTIF(GameLog[[#Headers],[Check]]:GameLog[[#This Row],[Check]],"?*")-1)</f>
        <v/>
      </c>
      <c r="O804" s="6" t="str">
        <f>IFERROR(INDEX(Players[New name],MATCH(GameLog[[#This Row],[Player]],Players[Name],0)),GameLog[[#This Row],[Player]])</f>
        <v>Edwin M</v>
      </c>
    </row>
    <row r="805" spans="1:15" x14ac:dyDescent="0.45">
      <c r="A805" s="6" t="s">
        <v>73</v>
      </c>
      <c r="B805" s="6" t="s">
        <v>53</v>
      </c>
      <c r="C805" s="6">
        <v>4</v>
      </c>
      <c r="D805" s="6">
        <v>2</v>
      </c>
      <c r="E805" s="6">
        <v>1</v>
      </c>
      <c r="F805" s="10">
        <v>46041</v>
      </c>
      <c r="G805" s="6" t="str">
        <f>_xlfn.TEXTJOIN("|",TRUE,GameLog[[#This Row],[Pod]],TEXT(INT(GameLog[[#This Row],[Round]]),"yyyymmdd"),GameLog[[#This Row],[Date]])</f>
        <v>2|19000101|46041</v>
      </c>
      <c r="H805" s="6">
        <f>COUNTIF(GameLog[Pod ID],GameLog[[#This Row],[Pod ID]])</f>
        <v>4</v>
      </c>
      <c r="I805" s="6">
        <f>YEAR(GameLog[[#This Row],[Date]])</f>
        <v>2026</v>
      </c>
      <c r="J805" s="6">
        <f>MONTH(GameLog[[#This Row],[Date]])</f>
        <v>1</v>
      </c>
      <c r="K805" s="6" t="str">
        <f>IF(GameLog[[#This Row],[Date]]=MAX(GameLog[Date]),"Current","Previous")</f>
        <v>Previous</v>
      </c>
      <c r="L805" s="6"/>
      <c r="M8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5" s="6" t="str">
        <f ca="1">IF(GameLog[[#This Row],[Check]]="","",COUNTIF(GameLog[[#Headers],[Check]]:GameLog[[#This Row],[Check]],"?*")-1)</f>
        <v/>
      </c>
      <c r="O805" s="6" t="str">
        <f>IFERROR(INDEX(Players[New name],MATCH(GameLog[[#This Row],[Player]],Players[Name],0)),GameLog[[#This Row],[Player]])</f>
        <v>Brandon B</v>
      </c>
    </row>
    <row r="806" spans="1:15" x14ac:dyDescent="0.45">
      <c r="A806" s="6" t="s">
        <v>66</v>
      </c>
      <c r="B806" s="6" t="s">
        <v>53</v>
      </c>
      <c r="C806" s="6">
        <v>1</v>
      </c>
      <c r="D806" s="6">
        <v>3</v>
      </c>
      <c r="E806" s="6">
        <v>1</v>
      </c>
      <c r="F806" s="10">
        <v>46041</v>
      </c>
      <c r="G806" s="6" t="str">
        <f>_xlfn.TEXTJOIN("|",TRUE,GameLog[[#This Row],[Pod]],TEXT(INT(GameLog[[#This Row],[Round]]),"yyyymmdd"),GameLog[[#This Row],[Date]])</f>
        <v>3|19000101|46041</v>
      </c>
      <c r="H806" s="6">
        <f>COUNTIF(GameLog[Pod ID],GameLog[[#This Row],[Pod ID]])</f>
        <v>4</v>
      </c>
      <c r="I806" s="6">
        <f>YEAR(GameLog[[#This Row],[Date]])</f>
        <v>2026</v>
      </c>
      <c r="J806" s="6">
        <f>MONTH(GameLog[[#This Row],[Date]])</f>
        <v>1</v>
      </c>
      <c r="K806" s="6" t="str">
        <f>IF(GameLog[[#This Row],[Date]]=MAX(GameLog[Date]),"Current","Previous")</f>
        <v>Previous</v>
      </c>
      <c r="L806" s="6"/>
      <c r="M8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6" s="6" t="str">
        <f ca="1">IF(GameLog[[#This Row],[Check]]="","",COUNTIF(GameLog[[#Headers],[Check]]:GameLog[[#This Row],[Check]],"?*")-1)</f>
        <v/>
      </c>
      <c r="O806" s="6" t="str">
        <f>IFERROR(INDEX(Players[New name],MATCH(GameLog[[#This Row],[Player]],Players[Name],0)),GameLog[[#This Row],[Player]])</f>
        <v>Jack</v>
      </c>
    </row>
    <row r="807" spans="1:15" x14ac:dyDescent="0.45">
      <c r="A807" s="6" t="s">
        <v>65</v>
      </c>
      <c r="B807" s="6" t="s">
        <v>53</v>
      </c>
      <c r="C807" s="6">
        <v>2</v>
      </c>
      <c r="D807" s="6">
        <v>3</v>
      </c>
      <c r="E807" s="6">
        <v>1</v>
      </c>
      <c r="F807" s="10">
        <v>46041</v>
      </c>
      <c r="G807" s="6" t="str">
        <f>_xlfn.TEXTJOIN("|",TRUE,GameLog[[#This Row],[Pod]],TEXT(INT(GameLog[[#This Row],[Round]]),"yyyymmdd"),GameLog[[#This Row],[Date]])</f>
        <v>3|19000101|46041</v>
      </c>
      <c r="H807" s="6">
        <f>COUNTIF(GameLog[Pod ID],GameLog[[#This Row],[Pod ID]])</f>
        <v>4</v>
      </c>
      <c r="I807" s="6">
        <f>YEAR(GameLog[[#This Row],[Date]])</f>
        <v>2026</v>
      </c>
      <c r="J807" s="6">
        <f>MONTH(GameLog[[#This Row],[Date]])</f>
        <v>1</v>
      </c>
      <c r="K807" s="6" t="str">
        <f>IF(GameLog[[#This Row],[Date]]=MAX(GameLog[Date]),"Current","Previous")</f>
        <v>Previous</v>
      </c>
      <c r="L807" s="6"/>
      <c r="M8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7" s="6" t="str">
        <f ca="1">IF(GameLog[[#This Row],[Check]]="","",COUNTIF(GameLog[[#Headers],[Check]]:GameLog[[#This Row],[Check]],"?*")-1)</f>
        <v/>
      </c>
      <c r="O807" s="6" t="str">
        <f>IFERROR(INDEX(Players[New name],MATCH(GameLog[[#This Row],[Player]],Players[Name],0)),GameLog[[#This Row],[Player]])</f>
        <v>Mitch</v>
      </c>
    </row>
    <row r="808" spans="1:15" x14ac:dyDescent="0.45">
      <c r="A808" s="6" t="s">
        <v>81</v>
      </c>
      <c r="B808" s="6" t="s">
        <v>53</v>
      </c>
      <c r="C808" s="6">
        <v>3</v>
      </c>
      <c r="D808" s="6">
        <v>3</v>
      </c>
      <c r="E808" s="6">
        <v>1</v>
      </c>
      <c r="F808" s="10">
        <v>46041</v>
      </c>
      <c r="G808" s="6" t="str">
        <f>_xlfn.TEXTJOIN("|",TRUE,GameLog[[#This Row],[Pod]],TEXT(INT(GameLog[[#This Row],[Round]]),"yyyymmdd"),GameLog[[#This Row],[Date]])</f>
        <v>3|19000101|46041</v>
      </c>
      <c r="H808" s="6">
        <f>COUNTIF(GameLog[Pod ID],GameLog[[#This Row],[Pod ID]])</f>
        <v>4</v>
      </c>
      <c r="I808" s="6">
        <f>YEAR(GameLog[[#This Row],[Date]])</f>
        <v>2026</v>
      </c>
      <c r="J808" s="6">
        <f>MONTH(GameLog[[#This Row],[Date]])</f>
        <v>1</v>
      </c>
      <c r="K808" s="6" t="str">
        <f>IF(GameLog[[#This Row],[Date]]=MAX(GameLog[Date]),"Current","Previous")</f>
        <v>Previous</v>
      </c>
      <c r="L808" s="6"/>
      <c r="M8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8" s="6" t="str">
        <f ca="1">IF(GameLog[[#This Row],[Check]]="","",COUNTIF(GameLog[[#Headers],[Check]]:GameLog[[#This Row],[Check]],"?*")-1)</f>
        <v/>
      </c>
      <c r="O808" s="6" t="str">
        <f>IFERROR(INDEX(Players[New name],MATCH(GameLog[[#This Row],[Player]],Players[Name],0)),GameLog[[#This Row],[Player]])</f>
        <v>Forrest</v>
      </c>
    </row>
    <row r="809" spans="1:15" x14ac:dyDescent="0.45">
      <c r="A809" s="6" t="s">
        <v>57</v>
      </c>
      <c r="B809" s="6" t="s">
        <v>50</v>
      </c>
      <c r="C809" s="6">
        <v>4</v>
      </c>
      <c r="D809" s="6">
        <v>3</v>
      </c>
      <c r="E809" s="6">
        <v>1</v>
      </c>
      <c r="F809" s="10">
        <v>46041</v>
      </c>
      <c r="G809" s="6" t="str">
        <f>_xlfn.TEXTJOIN("|",TRUE,GameLog[[#This Row],[Pod]],TEXT(INT(GameLog[[#This Row],[Round]]),"yyyymmdd"),GameLog[[#This Row],[Date]])</f>
        <v>3|19000101|46041</v>
      </c>
      <c r="H809" s="6">
        <f>COUNTIF(GameLog[Pod ID],GameLog[[#This Row],[Pod ID]])</f>
        <v>4</v>
      </c>
      <c r="I809" s="6">
        <f>YEAR(GameLog[[#This Row],[Date]])</f>
        <v>2026</v>
      </c>
      <c r="J809" s="6">
        <f>MONTH(GameLog[[#This Row],[Date]])</f>
        <v>1</v>
      </c>
      <c r="K809" s="6" t="str">
        <f>IF(GameLog[[#This Row],[Date]]=MAX(GameLog[Date]),"Current","Previous")</f>
        <v>Previous</v>
      </c>
      <c r="L809" s="6"/>
      <c r="M8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09" s="6" t="str">
        <f ca="1">IF(GameLog[[#This Row],[Check]]="","",COUNTIF(GameLog[[#Headers],[Check]]:GameLog[[#This Row],[Check]],"?*")-1)</f>
        <v/>
      </c>
      <c r="O809" s="6" t="str">
        <f>IFERROR(INDEX(Players[New name],MATCH(GameLog[[#This Row],[Player]],Players[Name],0)),GameLog[[#This Row],[Player]])</f>
        <v>AJ W</v>
      </c>
    </row>
    <row r="810" spans="1:15" x14ac:dyDescent="0.45">
      <c r="A810" s="6" t="s">
        <v>60</v>
      </c>
      <c r="B810" s="6" t="s">
        <v>90</v>
      </c>
      <c r="C810" s="6">
        <v>1</v>
      </c>
      <c r="D810" s="6">
        <v>4</v>
      </c>
      <c r="E810" s="6">
        <v>1</v>
      </c>
      <c r="F810" s="10">
        <v>46041</v>
      </c>
      <c r="G810" s="6" t="str">
        <f>_xlfn.TEXTJOIN("|",TRUE,GameLog[[#This Row],[Pod]],TEXT(INT(GameLog[[#This Row],[Round]]),"yyyymmdd"),GameLog[[#This Row],[Date]])</f>
        <v>4|19000101|46041</v>
      </c>
      <c r="H810" s="6">
        <f>COUNTIF(GameLog[Pod ID],GameLog[[#This Row],[Pod ID]])</f>
        <v>4</v>
      </c>
      <c r="I810" s="6">
        <f>YEAR(GameLog[[#This Row],[Date]])</f>
        <v>2026</v>
      </c>
      <c r="J810" s="6">
        <f>MONTH(GameLog[[#This Row],[Date]])</f>
        <v>1</v>
      </c>
      <c r="K810" s="6" t="str">
        <f>IF(GameLog[[#This Row],[Date]]=MAX(GameLog[Date]),"Current","Previous")</f>
        <v>Previous</v>
      </c>
      <c r="L810" s="6"/>
      <c r="M8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0" s="6" t="str">
        <f ca="1">IF(GameLog[[#This Row],[Check]]="","",COUNTIF(GameLog[[#Headers],[Check]]:GameLog[[#This Row],[Check]],"?*")-1)</f>
        <v/>
      </c>
      <c r="O810" s="6" t="str">
        <f>IFERROR(INDEX(Players[New name],MATCH(GameLog[[#This Row],[Player]],Players[Name],0)),GameLog[[#This Row],[Player]])</f>
        <v>Brendan H</v>
      </c>
    </row>
    <row r="811" spans="1:15" x14ac:dyDescent="0.45">
      <c r="A811" s="6" t="s">
        <v>49</v>
      </c>
      <c r="B811" s="6" t="s">
        <v>90</v>
      </c>
      <c r="C811" s="6">
        <v>2</v>
      </c>
      <c r="D811" s="6">
        <v>4</v>
      </c>
      <c r="E811" s="6">
        <v>1</v>
      </c>
      <c r="F811" s="10">
        <v>46041</v>
      </c>
      <c r="G811" s="6" t="str">
        <f>_xlfn.TEXTJOIN("|",TRUE,GameLog[[#This Row],[Pod]],TEXT(INT(GameLog[[#This Row],[Round]]),"yyyymmdd"),GameLog[[#This Row],[Date]])</f>
        <v>4|19000101|46041</v>
      </c>
      <c r="H811" s="6">
        <f>COUNTIF(GameLog[Pod ID],GameLog[[#This Row],[Pod ID]])</f>
        <v>4</v>
      </c>
      <c r="I811" s="6">
        <f>YEAR(GameLog[[#This Row],[Date]])</f>
        <v>2026</v>
      </c>
      <c r="J811" s="6">
        <f>MONTH(GameLog[[#This Row],[Date]])</f>
        <v>1</v>
      </c>
      <c r="K811" s="6" t="str">
        <f>IF(GameLog[[#This Row],[Date]]=MAX(GameLog[Date]),"Current","Previous")</f>
        <v>Previous</v>
      </c>
      <c r="L811" s="6"/>
      <c r="M8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1" s="6" t="str">
        <f ca="1">IF(GameLog[[#This Row],[Check]]="","",COUNTIF(GameLog[[#Headers],[Check]]:GameLog[[#This Row],[Check]],"?*")-1)</f>
        <v/>
      </c>
      <c r="O811" s="6" t="str">
        <f>IFERROR(INDEX(Players[New name],MATCH(GameLog[[#This Row],[Player]],Players[Name],0)),GameLog[[#This Row],[Player]])</f>
        <v>Brett R</v>
      </c>
    </row>
    <row r="812" spans="1:15" x14ac:dyDescent="0.45">
      <c r="A812" s="6" t="s">
        <v>91</v>
      </c>
      <c r="B812" s="6" t="s">
        <v>90</v>
      </c>
      <c r="C812" s="6">
        <v>3</v>
      </c>
      <c r="D812" s="6">
        <v>4</v>
      </c>
      <c r="E812" s="6">
        <v>1</v>
      </c>
      <c r="F812" s="10">
        <v>46041</v>
      </c>
      <c r="G812" s="6" t="str">
        <f>_xlfn.TEXTJOIN("|",TRUE,GameLog[[#This Row],[Pod]],TEXT(INT(GameLog[[#This Row],[Round]]),"yyyymmdd"),GameLog[[#This Row],[Date]])</f>
        <v>4|19000101|46041</v>
      </c>
      <c r="H812" s="6">
        <f>COUNTIF(GameLog[Pod ID],GameLog[[#This Row],[Pod ID]])</f>
        <v>4</v>
      </c>
      <c r="I812" s="6">
        <f>YEAR(GameLog[[#This Row],[Date]])</f>
        <v>2026</v>
      </c>
      <c r="J812" s="6">
        <f>MONTH(GameLog[[#This Row],[Date]])</f>
        <v>1</v>
      </c>
      <c r="K812" s="6" t="str">
        <f>IF(GameLog[[#This Row],[Date]]=MAX(GameLog[Date]),"Current","Previous")</f>
        <v>Previous</v>
      </c>
      <c r="L812" s="6"/>
      <c r="M8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2" s="6" t="str">
        <f ca="1">IF(GameLog[[#This Row],[Check]]="","",COUNTIF(GameLog[[#Headers],[Check]]:GameLog[[#This Row],[Check]],"?*")-1)</f>
        <v/>
      </c>
      <c r="O812" s="6" t="str">
        <f>IFERROR(INDEX(Players[New name],MATCH(GameLog[[#This Row],[Player]],Players[Name],0)),GameLog[[#This Row],[Player]])</f>
        <v>Isaac B</v>
      </c>
    </row>
    <row r="813" spans="1:15" x14ac:dyDescent="0.45">
      <c r="A813" s="6" t="s">
        <v>55</v>
      </c>
      <c r="B813" s="6" t="s">
        <v>90</v>
      </c>
      <c r="C813" s="6">
        <v>4</v>
      </c>
      <c r="D813" s="6">
        <v>4</v>
      </c>
      <c r="E813" s="6">
        <v>1</v>
      </c>
      <c r="F813" s="10">
        <v>46041</v>
      </c>
      <c r="G813" s="6" t="str">
        <f>_xlfn.TEXTJOIN("|",TRUE,GameLog[[#This Row],[Pod]],TEXT(INT(GameLog[[#This Row],[Round]]),"yyyymmdd"),GameLog[[#This Row],[Date]])</f>
        <v>4|19000101|46041</v>
      </c>
      <c r="H813" s="6">
        <f>COUNTIF(GameLog[Pod ID],GameLog[[#This Row],[Pod ID]])</f>
        <v>4</v>
      </c>
      <c r="I813" s="6">
        <f>YEAR(GameLog[[#This Row],[Date]])</f>
        <v>2026</v>
      </c>
      <c r="J813" s="6">
        <f>MONTH(GameLog[[#This Row],[Date]])</f>
        <v>1</v>
      </c>
      <c r="K813" s="6" t="str">
        <f>IF(GameLog[[#This Row],[Date]]=MAX(GameLog[Date]),"Current","Previous")</f>
        <v>Previous</v>
      </c>
      <c r="L813" s="6"/>
      <c r="M8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3" s="6" t="str">
        <f ca="1">IF(GameLog[[#This Row],[Check]]="","",COUNTIF(GameLog[[#Headers],[Check]]:GameLog[[#This Row],[Check]],"?*")-1)</f>
        <v/>
      </c>
      <c r="O813" s="6" t="str">
        <f>IFERROR(INDEX(Players[New name],MATCH(GameLog[[#This Row],[Player]],Players[Name],0)),GameLog[[#This Row],[Player]])</f>
        <v>Bryce C</v>
      </c>
    </row>
    <row r="814" spans="1:15" x14ac:dyDescent="0.45">
      <c r="A814" s="6" t="s">
        <v>93</v>
      </c>
      <c r="B814" s="6" t="s">
        <v>50</v>
      </c>
      <c r="C814" s="6">
        <v>1</v>
      </c>
      <c r="D814" s="6">
        <v>5</v>
      </c>
      <c r="E814" s="6">
        <v>1</v>
      </c>
      <c r="F814" s="10">
        <v>46041</v>
      </c>
      <c r="G814" s="6" t="str">
        <f>_xlfn.TEXTJOIN("|",TRUE,GameLog[[#This Row],[Pod]],TEXT(INT(GameLog[[#This Row],[Round]]),"yyyymmdd"),GameLog[[#This Row],[Date]])</f>
        <v>5|19000101|46041</v>
      </c>
      <c r="H814" s="6">
        <f>COUNTIF(GameLog[Pod ID],GameLog[[#This Row],[Pod ID]])</f>
        <v>4</v>
      </c>
      <c r="I814" s="6">
        <f>YEAR(GameLog[[#This Row],[Date]])</f>
        <v>2026</v>
      </c>
      <c r="J814" s="6">
        <f>MONTH(GameLog[[#This Row],[Date]])</f>
        <v>1</v>
      </c>
      <c r="K814" s="6" t="str">
        <f>IF(GameLog[[#This Row],[Date]]=MAX(GameLog[Date]),"Current","Previous")</f>
        <v>Previous</v>
      </c>
      <c r="L814" s="6"/>
      <c r="M8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4" s="6" t="str">
        <f ca="1">IF(GameLog[[#This Row],[Check]]="","",COUNTIF(GameLog[[#Headers],[Check]]:GameLog[[#This Row],[Check]],"?*")-1)</f>
        <v/>
      </c>
      <c r="O814" s="6" t="str">
        <f>IFERROR(INDEX(Players[New name],MATCH(GameLog[[#This Row],[Player]],Players[Name],0)),GameLog[[#This Row],[Player]])</f>
        <v>John B</v>
      </c>
    </row>
    <row r="815" spans="1:15" x14ac:dyDescent="0.45">
      <c r="A815" s="6" t="s">
        <v>77</v>
      </c>
      <c r="B815" s="6" t="s">
        <v>53</v>
      </c>
      <c r="C815" s="6">
        <v>2</v>
      </c>
      <c r="D815" s="6">
        <v>5</v>
      </c>
      <c r="E815" s="6">
        <v>1</v>
      </c>
      <c r="F815" s="10">
        <v>46041</v>
      </c>
      <c r="G815" s="6" t="str">
        <f>_xlfn.TEXTJOIN("|",TRUE,GameLog[[#This Row],[Pod]],TEXT(INT(GameLog[[#This Row],[Round]]),"yyyymmdd"),GameLog[[#This Row],[Date]])</f>
        <v>5|19000101|46041</v>
      </c>
      <c r="H815" s="6">
        <f>COUNTIF(GameLog[Pod ID],GameLog[[#This Row],[Pod ID]])</f>
        <v>4</v>
      </c>
      <c r="I815" s="6">
        <f>YEAR(GameLog[[#This Row],[Date]])</f>
        <v>2026</v>
      </c>
      <c r="J815" s="6">
        <f>MONTH(GameLog[[#This Row],[Date]])</f>
        <v>1</v>
      </c>
      <c r="K815" s="6" t="str">
        <f>IF(GameLog[[#This Row],[Date]]=MAX(GameLog[Date]),"Current","Previous")</f>
        <v>Previous</v>
      </c>
      <c r="L815" s="6"/>
      <c r="M8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5" s="6" t="str">
        <f ca="1">IF(GameLog[[#This Row],[Check]]="","",COUNTIF(GameLog[[#Headers],[Check]]:GameLog[[#This Row],[Check]],"?*")-1)</f>
        <v/>
      </c>
      <c r="O815" s="6" t="str">
        <f>IFERROR(INDEX(Players[New name],MATCH(GameLog[[#This Row],[Player]],Players[Name],0)),GameLog[[#This Row],[Player]])</f>
        <v>Dave M</v>
      </c>
    </row>
    <row r="816" spans="1:15" x14ac:dyDescent="0.45">
      <c r="A816" s="6" t="s">
        <v>58</v>
      </c>
      <c r="B816" s="6" t="s">
        <v>53</v>
      </c>
      <c r="C816" s="6">
        <v>3</v>
      </c>
      <c r="D816" s="6">
        <v>5</v>
      </c>
      <c r="E816" s="6">
        <v>1</v>
      </c>
      <c r="F816" s="10">
        <v>46041</v>
      </c>
      <c r="G816" s="6" t="str">
        <f>_xlfn.TEXTJOIN("|",TRUE,GameLog[[#This Row],[Pod]],TEXT(INT(GameLog[[#This Row],[Round]]),"yyyymmdd"),GameLog[[#This Row],[Date]])</f>
        <v>5|19000101|46041</v>
      </c>
      <c r="H816" s="6">
        <f>COUNTIF(GameLog[Pod ID],GameLog[[#This Row],[Pod ID]])</f>
        <v>4</v>
      </c>
      <c r="I816" s="6">
        <f>YEAR(GameLog[[#This Row],[Date]])</f>
        <v>2026</v>
      </c>
      <c r="J816" s="6">
        <f>MONTH(GameLog[[#This Row],[Date]])</f>
        <v>1</v>
      </c>
      <c r="K816" s="6" t="str">
        <f>IF(GameLog[[#This Row],[Date]]=MAX(GameLog[Date]),"Current","Previous")</f>
        <v>Previous</v>
      </c>
      <c r="L816" s="6"/>
      <c r="M8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6" s="6" t="str">
        <f ca="1">IF(GameLog[[#This Row],[Check]]="","",COUNTIF(GameLog[[#Headers],[Check]]:GameLog[[#This Row],[Check]],"?*")-1)</f>
        <v/>
      </c>
      <c r="O816" s="6" t="str">
        <f>IFERROR(INDEX(Players[New name],MATCH(GameLog[[#This Row],[Player]],Players[Name],0)),GameLog[[#This Row],[Player]])</f>
        <v>Dakota P</v>
      </c>
    </row>
    <row r="817" spans="1:15" x14ac:dyDescent="0.45">
      <c r="A817" s="6" t="s">
        <v>59</v>
      </c>
      <c r="B817" s="6" t="s">
        <v>53</v>
      </c>
      <c r="C817" s="6">
        <v>4</v>
      </c>
      <c r="D817" s="6">
        <v>5</v>
      </c>
      <c r="E817" s="6">
        <v>1</v>
      </c>
      <c r="F817" s="10">
        <v>46041</v>
      </c>
      <c r="G817" s="6" t="str">
        <f>_xlfn.TEXTJOIN("|",TRUE,GameLog[[#This Row],[Pod]],TEXT(INT(GameLog[[#This Row],[Round]]),"yyyymmdd"),GameLog[[#This Row],[Date]])</f>
        <v>5|19000101|46041</v>
      </c>
      <c r="H817" s="6">
        <f>COUNTIF(GameLog[Pod ID],GameLog[[#This Row],[Pod ID]])</f>
        <v>4</v>
      </c>
      <c r="I817" s="6">
        <f>YEAR(GameLog[[#This Row],[Date]])</f>
        <v>2026</v>
      </c>
      <c r="J817" s="6">
        <f>MONTH(GameLog[[#This Row],[Date]])</f>
        <v>1</v>
      </c>
      <c r="K817" s="6" t="str">
        <f>IF(GameLog[[#This Row],[Date]]=MAX(GameLog[Date]),"Current","Previous")</f>
        <v>Previous</v>
      </c>
      <c r="L817" s="6"/>
      <c r="M8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7" s="6" t="str">
        <f ca="1">IF(GameLog[[#This Row],[Check]]="","",COUNTIF(GameLog[[#Headers],[Check]]:GameLog[[#This Row],[Check]],"?*")-1)</f>
        <v/>
      </c>
      <c r="O817" s="6" t="str">
        <f>IFERROR(INDEX(Players[New name],MATCH(GameLog[[#This Row],[Player]],Players[Name],0)),GameLog[[#This Row],[Player]])</f>
        <v>Zack B</v>
      </c>
    </row>
    <row r="818" spans="1:15" x14ac:dyDescent="0.45">
      <c r="A818" s="6" t="s">
        <v>57</v>
      </c>
      <c r="B818" s="6" t="s">
        <v>50</v>
      </c>
      <c r="C818" s="6">
        <v>1</v>
      </c>
      <c r="D818" s="6">
        <v>1</v>
      </c>
      <c r="E818" s="6">
        <v>2</v>
      </c>
      <c r="F818" s="10">
        <v>46041</v>
      </c>
      <c r="G818" s="6" t="str">
        <f>_xlfn.TEXTJOIN("|",TRUE,GameLog[[#This Row],[Pod]],TEXT(INT(GameLog[[#This Row],[Round]]),"yyyymmdd"),GameLog[[#This Row],[Date]])</f>
        <v>1|19000102|46041</v>
      </c>
      <c r="H818" s="6">
        <f>COUNTIF(GameLog[Pod ID],GameLog[[#This Row],[Pod ID]])</f>
        <v>4</v>
      </c>
      <c r="I818" s="6">
        <f>YEAR(GameLog[[#This Row],[Date]])</f>
        <v>2026</v>
      </c>
      <c r="J818" s="6">
        <f>MONTH(GameLog[[#This Row],[Date]])</f>
        <v>1</v>
      </c>
      <c r="K818" s="6" t="str">
        <f>IF(GameLog[[#This Row],[Date]]=MAX(GameLog[Date]),"Current","Previous")</f>
        <v>Previous</v>
      </c>
      <c r="L818" s="6"/>
      <c r="M8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8" s="6" t="str">
        <f ca="1">IF(GameLog[[#This Row],[Check]]="","",COUNTIF(GameLog[[#Headers],[Check]]:GameLog[[#This Row],[Check]],"?*")-1)</f>
        <v/>
      </c>
      <c r="O818" s="6" t="str">
        <f>IFERROR(INDEX(Players[New name],MATCH(GameLog[[#This Row],[Player]],Players[Name],0)),GameLog[[#This Row],[Player]])</f>
        <v>AJ W</v>
      </c>
    </row>
    <row r="819" spans="1:15" x14ac:dyDescent="0.45">
      <c r="A819" s="6" t="s">
        <v>64</v>
      </c>
      <c r="B819" s="6" t="s">
        <v>53</v>
      </c>
      <c r="C819" s="6">
        <v>2</v>
      </c>
      <c r="D819" s="6">
        <v>1</v>
      </c>
      <c r="E819" s="6">
        <v>2</v>
      </c>
      <c r="F819" s="10">
        <v>46041</v>
      </c>
      <c r="G819" s="6" t="str">
        <f>_xlfn.TEXTJOIN("|",TRUE,GameLog[[#This Row],[Pod]],TEXT(INT(GameLog[[#This Row],[Round]]),"yyyymmdd"),GameLog[[#This Row],[Date]])</f>
        <v>1|19000102|46041</v>
      </c>
      <c r="H819" s="6">
        <f>COUNTIF(GameLog[Pod ID],GameLog[[#This Row],[Pod ID]])</f>
        <v>4</v>
      </c>
      <c r="I819" s="6">
        <f>YEAR(GameLog[[#This Row],[Date]])</f>
        <v>2026</v>
      </c>
      <c r="J819" s="6">
        <f>MONTH(GameLog[[#This Row],[Date]])</f>
        <v>1</v>
      </c>
      <c r="K819" s="6" t="str">
        <f>IF(GameLog[[#This Row],[Date]]=MAX(GameLog[Date]),"Current","Previous")</f>
        <v>Previous</v>
      </c>
      <c r="L819" s="6"/>
      <c r="M8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19" s="6" t="str">
        <f ca="1">IF(GameLog[[#This Row],[Check]]="","",COUNTIF(GameLog[[#Headers],[Check]]:GameLog[[#This Row],[Check]],"?*")-1)</f>
        <v/>
      </c>
      <c r="O819" s="6" t="str">
        <f>IFERROR(INDEX(Players[New name],MATCH(GameLog[[#This Row],[Player]],Players[Name],0)),GameLog[[#This Row],[Player]])</f>
        <v>Tyler B</v>
      </c>
    </row>
    <row r="820" spans="1:15" x14ac:dyDescent="0.45">
      <c r="A820" s="6" t="s">
        <v>52</v>
      </c>
      <c r="B820" s="6" t="s">
        <v>53</v>
      </c>
      <c r="C820" s="6">
        <v>3</v>
      </c>
      <c r="D820" s="6">
        <v>1</v>
      </c>
      <c r="E820" s="6">
        <v>2</v>
      </c>
      <c r="F820" s="10">
        <v>46041</v>
      </c>
      <c r="G820" s="6" t="str">
        <f>_xlfn.TEXTJOIN("|",TRUE,GameLog[[#This Row],[Pod]],TEXT(INT(GameLog[[#This Row],[Round]]),"yyyymmdd"),GameLog[[#This Row],[Date]])</f>
        <v>1|19000102|46041</v>
      </c>
      <c r="H820" s="6">
        <f>COUNTIF(GameLog[Pod ID],GameLog[[#This Row],[Pod ID]])</f>
        <v>4</v>
      </c>
      <c r="I820" s="6">
        <f>YEAR(GameLog[[#This Row],[Date]])</f>
        <v>2026</v>
      </c>
      <c r="J820" s="6">
        <f>MONTH(GameLog[[#This Row],[Date]])</f>
        <v>1</v>
      </c>
      <c r="K820" s="6" t="str">
        <f>IF(GameLog[[#This Row],[Date]]=MAX(GameLog[Date]),"Current","Previous")</f>
        <v>Previous</v>
      </c>
      <c r="L820" s="6"/>
      <c r="M8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0" s="6" t="str">
        <f ca="1">IF(GameLog[[#This Row],[Check]]="","",COUNTIF(GameLog[[#Headers],[Check]]:GameLog[[#This Row],[Check]],"?*")-1)</f>
        <v/>
      </c>
      <c r="O820" s="6" t="str">
        <f>IFERROR(INDEX(Players[New name],MATCH(GameLog[[#This Row],[Player]],Players[Name],0)),GameLog[[#This Row],[Player]])</f>
        <v>Unknown</v>
      </c>
    </row>
    <row r="821" spans="1:15" x14ac:dyDescent="0.45">
      <c r="A821" s="6" t="s">
        <v>93</v>
      </c>
      <c r="B821" s="6" t="s">
        <v>53</v>
      </c>
      <c r="C821" s="6">
        <v>4</v>
      </c>
      <c r="D821" s="6">
        <v>1</v>
      </c>
      <c r="E821" s="6">
        <v>2</v>
      </c>
      <c r="F821" s="10">
        <v>46041</v>
      </c>
      <c r="G821" s="6" t="str">
        <f>_xlfn.TEXTJOIN("|",TRUE,GameLog[[#This Row],[Pod]],TEXT(INT(GameLog[[#This Row],[Round]]),"yyyymmdd"),GameLog[[#This Row],[Date]])</f>
        <v>1|19000102|46041</v>
      </c>
      <c r="H821" s="6">
        <f>COUNTIF(GameLog[Pod ID],GameLog[[#This Row],[Pod ID]])</f>
        <v>4</v>
      </c>
      <c r="I821" s="6">
        <f>YEAR(GameLog[[#This Row],[Date]])</f>
        <v>2026</v>
      </c>
      <c r="J821" s="6">
        <f>MONTH(GameLog[[#This Row],[Date]])</f>
        <v>1</v>
      </c>
      <c r="K821" s="6" t="str">
        <f>IF(GameLog[[#This Row],[Date]]=MAX(GameLog[Date]),"Current","Previous")</f>
        <v>Previous</v>
      </c>
      <c r="L821" s="6"/>
      <c r="M8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1" s="6" t="str">
        <f ca="1">IF(GameLog[[#This Row],[Check]]="","",COUNTIF(GameLog[[#Headers],[Check]]:GameLog[[#This Row],[Check]],"?*")-1)</f>
        <v/>
      </c>
      <c r="O821" s="6" t="str">
        <f>IFERROR(INDEX(Players[New name],MATCH(GameLog[[#This Row],[Player]],Players[Name],0)),GameLog[[#This Row],[Player]])</f>
        <v>John B</v>
      </c>
    </row>
    <row r="822" spans="1:15" x14ac:dyDescent="0.45">
      <c r="A822" s="6" t="s">
        <v>60</v>
      </c>
      <c r="B822" s="6" t="s">
        <v>50</v>
      </c>
      <c r="C822" s="6">
        <v>1</v>
      </c>
      <c r="D822" s="6">
        <v>2</v>
      </c>
      <c r="E822" s="6">
        <v>2</v>
      </c>
      <c r="F822" s="10">
        <v>46041</v>
      </c>
      <c r="G822" s="6" t="str">
        <f>_xlfn.TEXTJOIN("|",TRUE,GameLog[[#This Row],[Pod]],TEXT(INT(GameLog[[#This Row],[Round]]),"yyyymmdd"),GameLog[[#This Row],[Date]])</f>
        <v>2|19000102|46041</v>
      </c>
      <c r="H822" s="6">
        <f>COUNTIF(GameLog[Pod ID],GameLog[[#This Row],[Pod ID]])</f>
        <v>4</v>
      </c>
      <c r="I822" s="6">
        <f>YEAR(GameLog[[#This Row],[Date]])</f>
        <v>2026</v>
      </c>
      <c r="J822" s="6">
        <f>MONTH(GameLog[[#This Row],[Date]])</f>
        <v>1</v>
      </c>
      <c r="K822" s="6" t="str">
        <f>IF(GameLog[[#This Row],[Date]]=MAX(GameLog[Date]),"Current","Previous")</f>
        <v>Previous</v>
      </c>
      <c r="L822" s="6"/>
      <c r="M8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2" s="6" t="str">
        <f ca="1">IF(GameLog[[#This Row],[Check]]="","",COUNTIF(GameLog[[#Headers],[Check]]:GameLog[[#This Row],[Check]],"?*")-1)</f>
        <v/>
      </c>
      <c r="O822" s="6" t="str">
        <f>IFERROR(INDEX(Players[New name],MATCH(GameLog[[#This Row],[Player]],Players[Name],0)),GameLog[[#This Row],[Player]])</f>
        <v>Brendan H</v>
      </c>
    </row>
    <row r="823" spans="1:15" x14ac:dyDescent="0.45">
      <c r="A823" s="6" t="s">
        <v>68</v>
      </c>
      <c r="B823" s="6" t="s">
        <v>53</v>
      </c>
      <c r="C823" s="6">
        <v>2</v>
      </c>
      <c r="D823" s="6">
        <v>2</v>
      </c>
      <c r="E823" s="6">
        <v>2</v>
      </c>
      <c r="F823" s="10">
        <v>46041</v>
      </c>
      <c r="G823" s="6" t="str">
        <f>_xlfn.TEXTJOIN("|",TRUE,GameLog[[#This Row],[Pod]],TEXT(INT(GameLog[[#This Row],[Round]]),"yyyymmdd"),GameLog[[#This Row],[Date]])</f>
        <v>2|19000102|46041</v>
      </c>
      <c r="H823" s="6">
        <f>COUNTIF(GameLog[Pod ID],GameLog[[#This Row],[Pod ID]])</f>
        <v>4</v>
      </c>
      <c r="I823" s="6">
        <f>YEAR(GameLog[[#This Row],[Date]])</f>
        <v>2026</v>
      </c>
      <c r="J823" s="6">
        <f>MONTH(GameLog[[#This Row],[Date]])</f>
        <v>1</v>
      </c>
      <c r="K823" s="6" t="str">
        <f>IF(GameLog[[#This Row],[Date]]=MAX(GameLog[Date]),"Current","Previous")</f>
        <v>Previous</v>
      </c>
      <c r="L823" s="6"/>
      <c r="M8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3" s="6" t="str">
        <f ca="1">IF(GameLog[[#This Row],[Check]]="","",COUNTIF(GameLog[[#Headers],[Check]]:GameLog[[#This Row],[Check]],"?*")-1)</f>
        <v/>
      </c>
      <c r="O823" s="6" t="str">
        <f>IFERROR(INDEX(Players[New name],MATCH(GameLog[[#This Row],[Player]],Players[Name],0)),GameLog[[#This Row],[Player]])</f>
        <v>Edwin M</v>
      </c>
    </row>
    <row r="824" spans="1:15" x14ac:dyDescent="0.45">
      <c r="A824" s="6" t="s">
        <v>77</v>
      </c>
      <c r="B824" s="6" t="s">
        <v>53</v>
      </c>
      <c r="C824" s="6">
        <v>3</v>
      </c>
      <c r="D824" s="6">
        <v>2</v>
      </c>
      <c r="E824" s="6">
        <v>2</v>
      </c>
      <c r="F824" s="10">
        <v>46041</v>
      </c>
      <c r="G824" s="6" t="str">
        <f>_xlfn.TEXTJOIN("|",TRUE,GameLog[[#This Row],[Pod]],TEXT(INT(GameLog[[#This Row],[Round]]),"yyyymmdd"),GameLog[[#This Row],[Date]])</f>
        <v>2|19000102|46041</v>
      </c>
      <c r="H824" s="6">
        <f>COUNTIF(GameLog[Pod ID],GameLog[[#This Row],[Pod ID]])</f>
        <v>4</v>
      </c>
      <c r="I824" s="6">
        <f>YEAR(GameLog[[#This Row],[Date]])</f>
        <v>2026</v>
      </c>
      <c r="J824" s="6">
        <f>MONTH(GameLog[[#This Row],[Date]])</f>
        <v>1</v>
      </c>
      <c r="K824" s="6" t="str">
        <f>IF(GameLog[[#This Row],[Date]]=MAX(GameLog[Date]),"Current","Previous")</f>
        <v>Previous</v>
      </c>
      <c r="L824" s="6"/>
      <c r="M8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4" s="6" t="str">
        <f ca="1">IF(GameLog[[#This Row],[Check]]="","",COUNTIF(GameLog[[#Headers],[Check]]:GameLog[[#This Row],[Check]],"?*")-1)</f>
        <v/>
      </c>
      <c r="O824" s="6" t="str">
        <f>IFERROR(INDEX(Players[New name],MATCH(GameLog[[#This Row],[Player]],Players[Name],0)),GameLog[[#This Row],[Player]])</f>
        <v>Dave M</v>
      </c>
    </row>
    <row r="825" spans="1:15" x14ac:dyDescent="0.45">
      <c r="A825" s="6" t="s">
        <v>66</v>
      </c>
      <c r="B825" s="6" t="s">
        <v>53</v>
      </c>
      <c r="C825" s="6">
        <v>4</v>
      </c>
      <c r="D825" s="6">
        <v>2</v>
      </c>
      <c r="E825" s="6">
        <v>2</v>
      </c>
      <c r="F825" s="10">
        <v>46041</v>
      </c>
      <c r="G825" s="6" t="str">
        <f>_xlfn.TEXTJOIN("|",TRUE,GameLog[[#This Row],[Pod]],TEXT(INT(GameLog[[#This Row],[Round]]),"yyyymmdd"),GameLog[[#This Row],[Date]])</f>
        <v>2|19000102|46041</v>
      </c>
      <c r="H825" s="6">
        <f>COUNTIF(GameLog[Pod ID],GameLog[[#This Row],[Pod ID]])</f>
        <v>4</v>
      </c>
      <c r="I825" s="6">
        <f>YEAR(GameLog[[#This Row],[Date]])</f>
        <v>2026</v>
      </c>
      <c r="J825" s="6">
        <f>MONTH(GameLog[[#This Row],[Date]])</f>
        <v>1</v>
      </c>
      <c r="K825" s="6" t="str">
        <f>IF(GameLog[[#This Row],[Date]]=MAX(GameLog[Date]),"Current","Previous")</f>
        <v>Previous</v>
      </c>
      <c r="L825" s="6"/>
      <c r="M8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5" s="6" t="str">
        <f ca="1">IF(GameLog[[#This Row],[Check]]="","",COUNTIF(GameLog[[#Headers],[Check]]:GameLog[[#This Row],[Check]],"?*")-1)</f>
        <v/>
      </c>
      <c r="O825" s="6" t="str">
        <f>IFERROR(INDEX(Players[New name],MATCH(GameLog[[#This Row],[Player]],Players[Name],0)),GameLog[[#This Row],[Player]])</f>
        <v>Jack</v>
      </c>
    </row>
    <row r="826" spans="1:15" x14ac:dyDescent="0.45">
      <c r="A826" s="6" t="s">
        <v>72</v>
      </c>
      <c r="B826" s="6" t="s">
        <v>90</v>
      </c>
      <c r="C826" s="6">
        <v>1</v>
      </c>
      <c r="D826" s="6">
        <v>3</v>
      </c>
      <c r="E826" s="6">
        <v>2</v>
      </c>
      <c r="F826" s="10">
        <v>46041</v>
      </c>
      <c r="G826" s="6" t="str">
        <f>_xlfn.TEXTJOIN("|",TRUE,GameLog[[#This Row],[Pod]],TEXT(INT(GameLog[[#This Row],[Round]]),"yyyymmdd"),GameLog[[#This Row],[Date]])</f>
        <v>3|19000102|46041</v>
      </c>
      <c r="H826" s="6">
        <f>COUNTIF(GameLog[Pod ID],GameLog[[#This Row],[Pod ID]])</f>
        <v>4</v>
      </c>
      <c r="I826" s="6">
        <f>YEAR(GameLog[[#This Row],[Date]])</f>
        <v>2026</v>
      </c>
      <c r="J826" s="6">
        <f>MONTH(GameLog[[#This Row],[Date]])</f>
        <v>1</v>
      </c>
      <c r="K826" s="6" t="str">
        <f>IF(GameLog[[#This Row],[Date]]=MAX(GameLog[Date]),"Current","Previous")</f>
        <v>Previous</v>
      </c>
      <c r="L826" s="6"/>
      <c r="M8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6" s="6" t="str">
        <f ca="1">IF(GameLog[[#This Row],[Check]]="","",COUNTIF(GameLog[[#Headers],[Check]]:GameLog[[#This Row],[Check]],"?*")-1)</f>
        <v/>
      </c>
      <c r="O826" s="6" t="str">
        <f>IFERROR(INDEX(Players[New name],MATCH(GameLog[[#This Row],[Player]],Players[Name],0)),GameLog[[#This Row],[Player]])</f>
        <v>Ben H</v>
      </c>
    </row>
    <row r="827" spans="1:15" x14ac:dyDescent="0.45">
      <c r="A827" s="6" t="s">
        <v>65</v>
      </c>
      <c r="B827" s="6" t="s">
        <v>90</v>
      </c>
      <c r="C827" s="6">
        <v>2</v>
      </c>
      <c r="D827" s="6">
        <v>3</v>
      </c>
      <c r="E827" s="6">
        <v>2</v>
      </c>
      <c r="F827" s="10">
        <v>46041</v>
      </c>
      <c r="G827" s="6" t="str">
        <f>_xlfn.TEXTJOIN("|",TRUE,GameLog[[#This Row],[Pod]],TEXT(INT(GameLog[[#This Row],[Round]]),"yyyymmdd"),GameLog[[#This Row],[Date]])</f>
        <v>3|19000102|46041</v>
      </c>
      <c r="H827" s="6">
        <f>COUNTIF(GameLog[Pod ID],GameLog[[#This Row],[Pod ID]])</f>
        <v>4</v>
      </c>
      <c r="I827" s="6">
        <f>YEAR(GameLog[[#This Row],[Date]])</f>
        <v>2026</v>
      </c>
      <c r="J827" s="6">
        <f>MONTH(GameLog[[#This Row],[Date]])</f>
        <v>1</v>
      </c>
      <c r="K827" s="6" t="str">
        <f>IF(GameLog[[#This Row],[Date]]=MAX(GameLog[Date]),"Current","Previous")</f>
        <v>Previous</v>
      </c>
      <c r="L827" s="6"/>
      <c r="M8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7" s="6" t="str">
        <f ca="1">IF(GameLog[[#This Row],[Check]]="","",COUNTIF(GameLog[[#Headers],[Check]]:GameLog[[#This Row],[Check]],"?*")-1)</f>
        <v/>
      </c>
      <c r="O827" s="6" t="str">
        <f>IFERROR(INDEX(Players[New name],MATCH(GameLog[[#This Row],[Player]],Players[Name],0)),GameLog[[#This Row],[Player]])</f>
        <v>Mitch</v>
      </c>
    </row>
    <row r="828" spans="1:15" x14ac:dyDescent="0.45">
      <c r="A828" s="6" t="s">
        <v>49</v>
      </c>
      <c r="B828" s="6" t="s">
        <v>90</v>
      </c>
      <c r="C828" s="6">
        <v>3</v>
      </c>
      <c r="D828" s="6">
        <v>3</v>
      </c>
      <c r="E828" s="6">
        <v>2</v>
      </c>
      <c r="F828" s="10">
        <v>46041</v>
      </c>
      <c r="G828" s="6" t="str">
        <f>_xlfn.TEXTJOIN("|",TRUE,GameLog[[#This Row],[Pod]],TEXT(INT(GameLog[[#This Row],[Round]]),"yyyymmdd"),GameLog[[#This Row],[Date]])</f>
        <v>3|19000102|46041</v>
      </c>
      <c r="H828" s="6">
        <f>COUNTIF(GameLog[Pod ID],GameLog[[#This Row],[Pod ID]])</f>
        <v>4</v>
      </c>
      <c r="I828" s="6">
        <f>YEAR(GameLog[[#This Row],[Date]])</f>
        <v>2026</v>
      </c>
      <c r="J828" s="6">
        <f>MONTH(GameLog[[#This Row],[Date]])</f>
        <v>1</v>
      </c>
      <c r="K828" s="6" t="str">
        <f>IF(GameLog[[#This Row],[Date]]=MAX(GameLog[Date]),"Current","Previous")</f>
        <v>Previous</v>
      </c>
      <c r="L828" s="6"/>
      <c r="M8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8" s="6" t="str">
        <f ca="1">IF(GameLog[[#This Row],[Check]]="","",COUNTIF(GameLog[[#Headers],[Check]]:GameLog[[#This Row],[Check]],"?*")-1)</f>
        <v/>
      </c>
      <c r="O828" s="6" t="str">
        <f>IFERROR(INDEX(Players[New name],MATCH(GameLog[[#This Row],[Player]],Players[Name],0)),GameLog[[#This Row],[Player]])</f>
        <v>Brett R</v>
      </c>
    </row>
    <row r="829" spans="1:15" x14ac:dyDescent="0.45">
      <c r="A829" s="6" t="s">
        <v>73</v>
      </c>
      <c r="B829" s="6" t="s">
        <v>90</v>
      </c>
      <c r="C829" s="6">
        <v>4</v>
      </c>
      <c r="D829" s="6">
        <v>3</v>
      </c>
      <c r="E829" s="6">
        <v>2</v>
      </c>
      <c r="F829" s="10">
        <v>46041</v>
      </c>
      <c r="G829" s="6" t="str">
        <f>_xlfn.TEXTJOIN("|",TRUE,GameLog[[#This Row],[Pod]],TEXT(INT(GameLog[[#This Row],[Round]]),"yyyymmdd"),GameLog[[#This Row],[Date]])</f>
        <v>3|19000102|46041</v>
      </c>
      <c r="H829" s="6">
        <f>COUNTIF(GameLog[Pod ID],GameLog[[#This Row],[Pod ID]])</f>
        <v>4</v>
      </c>
      <c r="I829" s="6">
        <f>YEAR(GameLog[[#This Row],[Date]])</f>
        <v>2026</v>
      </c>
      <c r="J829" s="6">
        <f>MONTH(GameLog[[#This Row],[Date]])</f>
        <v>1</v>
      </c>
      <c r="K829" s="6" t="str">
        <f>IF(GameLog[[#This Row],[Date]]=MAX(GameLog[Date]),"Current","Previous")</f>
        <v>Previous</v>
      </c>
      <c r="L829" s="6"/>
      <c r="M8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29" s="6" t="str">
        <f ca="1">IF(GameLog[[#This Row],[Check]]="","",COUNTIF(GameLog[[#Headers],[Check]]:GameLog[[#This Row],[Check]],"?*")-1)</f>
        <v/>
      </c>
      <c r="O829" s="6" t="str">
        <f>IFERROR(INDEX(Players[New name],MATCH(GameLog[[#This Row],[Player]],Players[Name],0)),GameLog[[#This Row],[Player]])</f>
        <v>Brandon B</v>
      </c>
    </row>
    <row r="830" spans="1:15" x14ac:dyDescent="0.45">
      <c r="A830" s="6" t="s">
        <v>58</v>
      </c>
      <c r="B830" s="6" t="s">
        <v>53</v>
      </c>
      <c r="C830" s="6">
        <v>1</v>
      </c>
      <c r="D830" s="6">
        <v>4</v>
      </c>
      <c r="E830" s="6">
        <v>2</v>
      </c>
      <c r="F830" s="10">
        <v>46041</v>
      </c>
      <c r="G830" s="6" t="str">
        <f>_xlfn.TEXTJOIN("|",TRUE,GameLog[[#This Row],[Pod]],TEXT(INT(GameLog[[#This Row],[Round]]),"yyyymmdd"),GameLog[[#This Row],[Date]])</f>
        <v>4|19000102|46041</v>
      </c>
      <c r="H830" s="6">
        <f>COUNTIF(GameLog[Pod ID],GameLog[[#This Row],[Pod ID]])</f>
        <v>4</v>
      </c>
      <c r="I830" s="6">
        <f>YEAR(GameLog[[#This Row],[Date]])</f>
        <v>2026</v>
      </c>
      <c r="J830" s="6">
        <f>MONTH(GameLog[[#This Row],[Date]])</f>
        <v>1</v>
      </c>
      <c r="K830" s="6" t="str">
        <f>IF(GameLog[[#This Row],[Date]]=MAX(GameLog[Date]),"Current","Previous")</f>
        <v>Previous</v>
      </c>
      <c r="L830" s="6"/>
      <c r="M8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0" s="6" t="str">
        <f ca="1">IF(GameLog[[#This Row],[Check]]="","",COUNTIF(GameLog[[#Headers],[Check]]:GameLog[[#This Row],[Check]],"?*")-1)</f>
        <v/>
      </c>
      <c r="O830" s="6" t="str">
        <f>IFERROR(INDEX(Players[New name],MATCH(GameLog[[#This Row],[Player]],Players[Name],0)),GameLog[[#This Row],[Player]])</f>
        <v>Dakota P</v>
      </c>
    </row>
    <row r="831" spans="1:15" x14ac:dyDescent="0.45">
      <c r="A831" s="6" t="s">
        <v>61</v>
      </c>
      <c r="B831" s="6" t="s">
        <v>53</v>
      </c>
      <c r="C831" s="6">
        <v>2</v>
      </c>
      <c r="D831" s="6">
        <v>4</v>
      </c>
      <c r="E831" s="6">
        <v>2</v>
      </c>
      <c r="F831" s="10">
        <v>46041</v>
      </c>
      <c r="G831" s="6" t="str">
        <f>_xlfn.TEXTJOIN("|",TRUE,GameLog[[#This Row],[Pod]],TEXT(INT(GameLog[[#This Row],[Round]]),"yyyymmdd"),GameLog[[#This Row],[Date]])</f>
        <v>4|19000102|46041</v>
      </c>
      <c r="H831" s="6">
        <f>COUNTIF(GameLog[Pod ID],GameLog[[#This Row],[Pod ID]])</f>
        <v>4</v>
      </c>
      <c r="I831" s="6">
        <f>YEAR(GameLog[[#This Row],[Date]])</f>
        <v>2026</v>
      </c>
      <c r="J831" s="6">
        <f>MONTH(GameLog[[#This Row],[Date]])</f>
        <v>1</v>
      </c>
      <c r="K831" s="6" t="str">
        <f>IF(GameLog[[#This Row],[Date]]=MAX(GameLog[Date]),"Current","Previous")</f>
        <v>Previous</v>
      </c>
      <c r="L831" s="6"/>
      <c r="M8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1" s="6" t="str">
        <f ca="1">IF(GameLog[[#This Row],[Check]]="","",COUNTIF(GameLog[[#Headers],[Check]]:GameLog[[#This Row],[Check]],"?*")-1)</f>
        <v/>
      </c>
      <c r="O831" s="6" t="str">
        <f>IFERROR(INDEX(Players[New name],MATCH(GameLog[[#This Row],[Player]],Players[Name],0)),GameLog[[#This Row],[Player]])</f>
        <v>Trevor</v>
      </c>
    </row>
    <row r="832" spans="1:15" x14ac:dyDescent="0.45">
      <c r="A832" s="6" t="s">
        <v>91</v>
      </c>
      <c r="B832" s="6" t="s">
        <v>50</v>
      </c>
      <c r="C832" s="6">
        <v>3</v>
      </c>
      <c r="D832" s="6">
        <v>4</v>
      </c>
      <c r="E832" s="6">
        <v>2</v>
      </c>
      <c r="F832" s="10">
        <v>46041</v>
      </c>
      <c r="G832" s="6" t="str">
        <f>_xlfn.TEXTJOIN("|",TRUE,GameLog[[#This Row],[Pod]],TEXT(INT(GameLog[[#This Row],[Round]]),"yyyymmdd"),GameLog[[#This Row],[Date]])</f>
        <v>4|19000102|46041</v>
      </c>
      <c r="H832" s="6">
        <f>COUNTIF(GameLog[Pod ID],GameLog[[#This Row],[Pod ID]])</f>
        <v>4</v>
      </c>
      <c r="I832" s="6">
        <f>YEAR(GameLog[[#This Row],[Date]])</f>
        <v>2026</v>
      </c>
      <c r="J832" s="6">
        <f>MONTH(GameLog[[#This Row],[Date]])</f>
        <v>1</v>
      </c>
      <c r="K832" s="6" t="str">
        <f>IF(GameLog[[#This Row],[Date]]=MAX(GameLog[Date]),"Current","Previous")</f>
        <v>Previous</v>
      </c>
      <c r="L832" s="6"/>
      <c r="M8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2" s="6" t="str">
        <f ca="1">IF(GameLog[[#This Row],[Check]]="","",COUNTIF(GameLog[[#Headers],[Check]]:GameLog[[#This Row],[Check]],"?*")-1)</f>
        <v/>
      </c>
      <c r="O832" s="6" t="str">
        <f>IFERROR(INDEX(Players[New name],MATCH(GameLog[[#This Row],[Player]],Players[Name],0)),GameLog[[#This Row],[Player]])</f>
        <v>Isaac B</v>
      </c>
    </row>
    <row r="833" spans="1:15" x14ac:dyDescent="0.45">
      <c r="A833" s="6" t="s">
        <v>67</v>
      </c>
      <c r="B833" s="6" t="s">
        <v>53</v>
      </c>
      <c r="C833" s="6">
        <v>4</v>
      </c>
      <c r="D833" s="6">
        <v>4</v>
      </c>
      <c r="E833" s="6">
        <v>2</v>
      </c>
      <c r="F833" s="10">
        <v>46041</v>
      </c>
      <c r="G833" s="6" t="str">
        <f>_xlfn.TEXTJOIN("|",TRUE,GameLog[[#This Row],[Pod]],TEXT(INT(GameLog[[#This Row],[Round]]),"yyyymmdd"),GameLog[[#This Row],[Date]])</f>
        <v>4|19000102|46041</v>
      </c>
      <c r="H833" s="6">
        <f>COUNTIF(GameLog[Pod ID],GameLog[[#This Row],[Pod ID]])</f>
        <v>4</v>
      </c>
      <c r="I833" s="6">
        <f>YEAR(GameLog[[#This Row],[Date]])</f>
        <v>2026</v>
      </c>
      <c r="J833" s="6">
        <f>MONTH(GameLog[[#This Row],[Date]])</f>
        <v>1</v>
      </c>
      <c r="K833" s="6" t="str">
        <f>IF(GameLog[[#This Row],[Date]]=MAX(GameLog[Date]),"Current","Previous")</f>
        <v>Previous</v>
      </c>
      <c r="L833" s="6"/>
      <c r="M8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3" s="6" t="str">
        <f ca="1">IF(GameLog[[#This Row],[Check]]="","",COUNTIF(GameLog[[#Headers],[Check]]:GameLog[[#This Row],[Check]],"?*")-1)</f>
        <v/>
      </c>
      <c r="O833" s="6" t="str">
        <f>IFERROR(INDEX(Players[New name],MATCH(GameLog[[#This Row],[Player]],Players[Name],0)),GameLog[[#This Row],[Player]])</f>
        <v>Sam</v>
      </c>
    </row>
    <row r="834" spans="1:15" x14ac:dyDescent="0.45">
      <c r="A834" s="6" t="s">
        <v>59</v>
      </c>
      <c r="B834" s="6" t="s">
        <v>53</v>
      </c>
      <c r="C834" s="6">
        <v>1</v>
      </c>
      <c r="D834" s="6">
        <v>5</v>
      </c>
      <c r="E834" s="6">
        <v>2</v>
      </c>
      <c r="F834" s="10">
        <v>46041</v>
      </c>
      <c r="G834" s="6" t="str">
        <f>_xlfn.TEXTJOIN("|",TRUE,GameLog[[#This Row],[Pod]],TEXT(INT(GameLog[[#This Row],[Round]]),"yyyymmdd"),GameLog[[#This Row],[Date]])</f>
        <v>5|19000102|46041</v>
      </c>
      <c r="H834" s="6">
        <f>COUNTIF(GameLog[Pod ID],GameLog[[#This Row],[Pod ID]])</f>
        <v>4</v>
      </c>
      <c r="I834" s="6">
        <f>YEAR(GameLog[[#This Row],[Date]])</f>
        <v>2026</v>
      </c>
      <c r="J834" s="6">
        <f>MONTH(GameLog[[#This Row],[Date]])</f>
        <v>1</v>
      </c>
      <c r="K834" s="6" t="str">
        <f>IF(GameLog[[#This Row],[Date]]=MAX(GameLog[Date]),"Current","Previous")</f>
        <v>Previous</v>
      </c>
      <c r="L834" s="6"/>
      <c r="M8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4" s="6" t="str">
        <f ca="1">IF(GameLog[[#This Row],[Check]]="","",COUNTIF(GameLog[[#Headers],[Check]]:GameLog[[#This Row],[Check]],"?*")-1)</f>
        <v/>
      </c>
      <c r="O834" s="6" t="str">
        <f>IFERROR(INDEX(Players[New name],MATCH(GameLog[[#This Row],[Player]],Players[Name],0)),GameLog[[#This Row],[Player]])</f>
        <v>Zack B</v>
      </c>
    </row>
    <row r="835" spans="1:15" x14ac:dyDescent="0.45">
      <c r="A835" s="6" t="s">
        <v>55</v>
      </c>
      <c r="B835" s="6" t="s">
        <v>53</v>
      </c>
      <c r="C835" s="6">
        <v>2</v>
      </c>
      <c r="D835" s="6">
        <v>5</v>
      </c>
      <c r="E835" s="6">
        <v>2</v>
      </c>
      <c r="F835" s="10">
        <v>46041</v>
      </c>
      <c r="G835" s="6" t="str">
        <f>_xlfn.TEXTJOIN("|",TRUE,GameLog[[#This Row],[Pod]],TEXT(INT(GameLog[[#This Row],[Round]]),"yyyymmdd"),GameLog[[#This Row],[Date]])</f>
        <v>5|19000102|46041</v>
      </c>
      <c r="H835" s="6">
        <f>COUNTIF(GameLog[Pod ID],GameLog[[#This Row],[Pod ID]])</f>
        <v>4</v>
      </c>
      <c r="I835" s="6">
        <f>YEAR(GameLog[[#This Row],[Date]])</f>
        <v>2026</v>
      </c>
      <c r="J835" s="6">
        <f>MONTH(GameLog[[#This Row],[Date]])</f>
        <v>1</v>
      </c>
      <c r="K835" s="6" t="str">
        <f>IF(GameLog[[#This Row],[Date]]=MAX(GameLog[Date]),"Current","Previous")</f>
        <v>Previous</v>
      </c>
      <c r="L835" s="6"/>
      <c r="M8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5" s="6" t="str">
        <f ca="1">IF(GameLog[[#This Row],[Check]]="","",COUNTIF(GameLog[[#Headers],[Check]]:GameLog[[#This Row],[Check]],"?*")-1)</f>
        <v/>
      </c>
      <c r="O835" s="6" t="str">
        <f>IFERROR(INDEX(Players[New name],MATCH(GameLog[[#This Row],[Player]],Players[Name],0)),GameLog[[#This Row],[Player]])</f>
        <v>Bryce C</v>
      </c>
    </row>
    <row r="836" spans="1:15" x14ac:dyDescent="0.45">
      <c r="A836" s="6" t="s">
        <v>81</v>
      </c>
      <c r="B836" s="6" t="s">
        <v>53</v>
      </c>
      <c r="C836" s="6">
        <v>3</v>
      </c>
      <c r="D836" s="6">
        <v>5</v>
      </c>
      <c r="E836" s="6">
        <v>2</v>
      </c>
      <c r="F836" s="10">
        <v>46041</v>
      </c>
      <c r="G836" s="6" t="str">
        <f>_xlfn.TEXTJOIN("|",TRUE,GameLog[[#This Row],[Pod]],TEXT(INT(GameLog[[#This Row],[Round]]),"yyyymmdd"),GameLog[[#This Row],[Date]])</f>
        <v>5|19000102|46041</v>
      </c>
      <c r="H836" s="6">
        <f>COUNTIF(GameLog[Pod ID],GameLog[[#This Row],[Pod ID]])</f>
        <v>4</v>
      </c>
      <c r="I836" s="6">
        <f>YEAR(GameLog[[#This Row],[Date]])</f>
        <v>2026</v>
      </c>
      <c r="J836" s="6">
        <f>MONTH(GameLog[[#This Row],[Date]])</f>
        <v>1</v>
      </c>
      <c r="K836" s="6" t="str">
        <f>IF(GameLog[[#This Row],[Date]]=MAX(GameLog[Date]),"Current","Previous")</f>
        <v>Previous</v>
      </c>
      <c r="L836" s="6"/>
      <c r="M8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6" s="6" t="str">
        <f ca="1">IF(GameLog[[#This Row],[Check]]="","",COUNTIF(GameLog[[#Headers],[Check]]:GameLog[[#This Row],[Check]],"?*")-1)</f>
        <v/>
      </c>
      <c r="O836" s="6" t="str">
        <f>IFERROR(INDEX(Players[New name],MATCH(GameLog[[#This Row],[Player]],Players[Name],0)),GameLog[[#This Row],[Player]])</f>
        <v>Forrest</v>
      </c>
    </row>
    <row r="837" spans="1:15" x14ac:dyDescent="0.45">
      <c r="A837" s="6" t="s">
        <v>71</v>
      </c>
      <c r="B837" s="6" t="s">
        <v>50</v>
      </c>
      <c r="C837" s="6">
        <v>4</v>
      </c>
      <c r="D837" s="6">
        <v>5</v>
      </c>
      <c r="E837" s="6">
        <v>2</v>
      </c>
      <c r="F837" s="10">
        <v>46041</v>
      </c>
      <c r="G837" s="6" t="str">
        <f>_xlfn.TEXTJOIN("|",TRUE,GameLog[[#This Row],[Pod]],TEXT(INT(GameLog[[#This Row],[Round]]),"yyyymmdd"),GameLog[[#This Row],[Date]])</f>
        <v>5|19000102|46041</v>
      </c>
      <c r="H837" s="6">
        <f>COUNTIF(GameLog[Pod ID],GameLog[[#This Row],[Pod ID]])</f>
        <v>4</v>
      </c>
      <c r="I837" s="6">
        <f>YEAR(GameLog[[#This Row],[Date]])</f>
        <v>2026</v>
      </c>
      <c r="J837" s="6">
        <f>MONTH(GameLog[[#This Row],[Date]])</f>
        <v>1</v>
      </c>
      <c r="K837" s="6" t="str">
        <f>IF(GameLog[[#This Row],[Date]]=MAX(GameLog[Date]),"Current","Previous")</f>
        <v>Previous</v>
      </c>
      <c r="L837" s="6"/>
      <c r="M8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7" s="6" t="str">
        <f ca="1">IF(GameLog[[#This Row],[Check]]="","",COUNTIF(GameLog[[#Headers],[Check]]:GameLog[[#This Row],[Check]],"?*")-1)</f>
        <v/>
      </c>
      <c r="O837" s="6" t="str">
        <f>IFERROR(INDEX(Players[New name],MATCH(GameLog[[#This Row],[Player]],Players[Name],0)),GameLog[[#This Row],[Player]])</f>
        <v>Rodney Y</v>
      </c>
    </row>
    <row r="838" spans="1:15" x14ac:dyDescent="0.45">
      <c r="A838" s="6" t="s">
        <v>74</v>
      </c>
      <c r="B838" s="6" t="s">
        <v>90</v>
      </c>
      <c r="C838" s="6">
        <v>1</v>
      </c>
      <c r="D838" s="6">
        <v>1</v>
      </c>
      <c r="E838" s="6">
        <v>1</v>
      </c>
      <c r="F838" s="10">
        <v>46048</v>
      </c>
      <c r="G838" s="6" t="str">
        <f>_xlfn.TEXTJOIN("|",TRUE,GameLog[[#This Row],[Pod]],TEXT(INT(GameLog[[#This Row],[Round]]),"yyyymmdd"),GameLog[[#This Row],[Date]])</f>
        <v>1|19000101|46048</v>
      </c>
      <c r="H838" s="6">
        <f>COUNTIF(GameLog[Pod ID],GameLog[[#This Row],[Pod ID]])</f>
        <v>4</v>
      </c>
      <c r="I838" s="6">
        <f>YEAR(GameLog[[#This Row],[Date]])</f>
        <v>2026</v>
      </c>
      <c r="J838" s="6">
        <f>MONTH(GameLog[[#This Row],[Date]])</f>
        <v>1</v>
      </c>
      <c r="K838" s="6" t="str">
        <f>IF(GameLog[[#This Row],[Date]]=MAX(GameLog[Date]),"Current","Previous")</f>
        <v>Previous</v>
      </c>
      <c r="L838" s="6"/>
      <c r="M8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8" s="6" t="str">
        <f ca="1">IF(GameLog[[#This Row],[Check]]="","",COUNTIF(GameLog[[#Headers],[Check]]:GameLog[[#This Row],[Check]],"?*")-1)</f>
        <v/>
      </c>
      <c r="O838" s="6" t="str">
        <f>IFERROR(INDEX(Players[New name],MATCH(GameLog[[#This Row],[Player]],Players[Name],0)),GameLog[[#This Row],[Player]])</f>
        <v>Jarrod O</v>
      </c>
    </row>
    <row r="839" spans="1:15" x14ac:dyDescent="0.45">
      <c r="A839" s="6" t="s">
        <v>71</v>
      </c>
      <c r="B839" s="6" t="s">
        <v>90</v>
      </c>
      <c r="C839" s="6">
        <v>2</v>
      </c>
      <c r="D839" s="6">
        <v>1</v>
      </c>
      <c r="E839" s="6">
        <v>1</v>
      </c>
      <c r="F839" s="10">
        <v>46048</v>
      </c>
      <c r="G839" s="6" t="str">
        <f>_xlfn.TEXTJOIN("|",TRUE,GameLog[[#This Row],[Pod]],TEXT(INT(GameLog[[#This Row],[Round]]),"yyyymmdd"),GameLog[[#This Row],[Date]])</f>
        <v>1|19000101|46048</v>
      </c>
      <c r="H839" s="6">
        <f>COUNTIF(GameLog[Pod ID],GameLog[[#This Row],[Pod ID]])</f>
        <v>4</v>
      </c>
      <c r="I839" s="6">
        <f>YEAR(GameLog[[#This Row],[Date]])</f>
        <v>2026</v>
      </c>
      <c r="J839" s="6">
        <f>MONTH(GameLog[[#This Row],[Date]])</f>
        <v>1</v>
      </c>
      <c r="K839" s="6" t="str">
        <f>IF(GameLog[[#This Row],[Date]]=MAX(GameLog[Date]),"Current","Previous")</f>
        <v>Previous</v>
      </c>
      <c r="L839" s="6"/>
      <c r="M8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39" s="6" t="str">
        <f ca="1">IF(GameLog[[#This Row],[Check]]="","",COUNTIF(GameLog[[#Headers],[Check]]:GameLog[[#This Row],[Check]],"?*")-1)</f>
        <v/>
      </c>
      <c r="O839" s="6" t="str">
        <f>IFERROR(INDEX(Players[New name],MATCH(GameLog[[#This Row],[Player]],Players[Name],0)),GameLog[[#This Row],[Player]])</f>
        <v>Rodney Y</v>
      </c>
    </row>
    <row r="840" spans="1:15" x14ac:dyDescent="0.45">
      <c r="A840" s="6" t="s">
        <v>91</v>
      </c>
      <c r="B840" s="6" t="s">
        <v>90</v>
      </c>
      <c r="C840" s="6">
        <v>3</v>
      </c>
      <c r="D840" s="6">
        <v>1</v>
      </c>
      <c r="E840" s="6">
        <v>1</v>
      </c>
      <c r="F840" s="10">
        <v>46048</v>
      </c>
      <c r="G840" s="6" t="str">
        <f>_xlfn.TEXTJOIN("|",TRUE,GameLog[[#This Row],[Pod]],TEXT(INT(GameLog[[#This Row],[Round]]),"yyyymmdd"),GameLog[[#This Row],[Date]])</f>
        <v>1|19000101|46048</v>
      </c>
      <c r="H840" s="6">
        <f>COUNTIF(GameLog[Pod ID],GameLog[[#This Row],[Pod ID]])</f>
        <v>4</v>
      </c>
      <c r="I840" s="6">
        <f>YEAR(GameLog[[#This Row],[Date]])</f>
        <v>2026</v>
      </c>
      <c r="J840" s="6">
        <f>MONTH(GameLog[[#This Row],[Date]])</f>
        <v>1</v>
      </c>
      <c r="K840" s="6" t="str">
        <f>IF(GameLog[[#This Row],[Date]]=MAX(GameLog[Date]),"Current","Previous")</f>
        <v>Previous</v>
      </c>
      <c r="L840" s="6"/>
      <c r="M8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0" s="6" t="str">
        <f ca="1">IF(GameLog[[#This Row],[Check]]="","",COUNTIF(GameLog[[#Headers],[Check]]:GameLog[[#This Row],[Check]],"?*")-1)</f>
        <v/>
      </c>
      <c r="O840" s="6" t="str">
        <f>IFERROR(INDEX(Players[New name],MATCH(GameLog[[#This Row],[Player]],Players[Name],0)),GameLog[[#This Row],[Player]])</f>
        <v>Isaac B</v>
      </c>
    </row>
    <row r="841" spans="1:15" x14ac:dyDescent="0.45">
      <c r="A841" s="6" t="s">
        <v>64</v>
      </c>
      <c r="B841" s="6" t="s">
        <v>90</v>
      </c>
      <c r="C841" s="6">
        <v>4</v>
      </c>
      <c r="D841" s="6">
        <v>1</v>
      </c>
      <c r="E841" s="6">
        <v>1</v>
      </c>
      <c r="F841" s="10">
        <v>46048</v>
      </c>
      <c r="G841" s="6" t="str">
        <f>_xlfn.TEXTJOIN("|",TRUE,GameLog[[#This Row],[Pod]],TEXT(INT(GameLog[[#This Row],[Round]]),"yyyymmdd"),GameLog[[#This Row],[Date]])</f>
        <v>1|19000101|46048</v>
      </c>
      <c r="H841" s="6">
        <f>COUNTIF(GameLog[Pod ID],GameLog[[#This Row],[Pod ID]])</f>
        <v>4</v>
      </c>
      <c r="I841" s="6">
        <f>YEAR(GameLog[[#This Row],[Date]])</f>
        <v>2026</v>
      </c>
      <c r="J841" s="6">
        <f>MONTH(GameLog[[#This Row],[Date]])</f>
        <v>1</v>
      </c>
      <c r="K841" s="6" t="str">
        <f>IF(GameLog[[#This Row],[Date]]=MAX(GameLog[Date]),"Current","Previous")</f>
        <v>Previous</v>
      </c>
      <c r="L841" s="6"/>
      <c r="M8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1" s="6" t="str">
        <f ca="1">IF(GameLog[[#This Row],[Check]]="","",COUNTIF(GameLog[[#Headers],[Check]]:GameLog[[#This Row],[Check]],"?*")-1)</f>
        <v/>
      </c>
      <c r="O841" s="6" t="str">
        <f>IFERROR(INDEX(Players[New name],MATCH(GameLog[[#This Row],[Player]],Players[Name],0)),GameLog[[#This Row],[Player]])</f>
        <v>Tyler B</v>
      </c>
    </row>
    <row r="842" spans="1:15" x14ac:dyDescent="0.45">
      <c r="A842" s="6" t="s">
        <v>70</v>
      </c>
      <c r="B842" s="6" t="s">
        <v>50</v>
      </c>
      <c r="C842" s="6">
        <v>1</v>
      </c>
      <c r="D842" s="6">
        <v>2</v>
      </c>
      <c r="E842" s="6">
        <v>1</v>
      </c>
      <c r="F842" s="10">
        <v>46048</v>
      </c>
      <c r="G842" s="6" t="str">
        <f>_xlfn.TEXTJOIN("|",TRUE,GameLog[[#This Row],[Pod]],TEXT(INT(GameLog[[#This Row],[Round]]),"yyyymmdd"),GameLog[[#This Row],[Date]])</f>
        <v>2|19000101|46048</v>
      </c>
      <c r="H842" s="6">
        <f>COUNTIF(GameLog[Pod ID],GameLog[[#This Row],[Pod ID]])</f>
        <v>4</v>
      </c>
      <c r="I842" s="6">
        <f>YEAR(GameLog[[#This Row],[Date]])</f>
        <v>2026</v>
      </c>
      <c r="J842" s="6">
        <f>MONTH(GameLog[[#This Row],[Date]])</f>
        <v>1</v>
      </c>
      <c r="K842" s="6" t="str">
        <f>IF(GameLog[[#This Row],[Date]]=MAX(GameLog[Date]),"Current","Previous")</f>
        <v>Previous</v>
      </c>
      <c r="L842" s="6"/>
      <c r="M8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2" s="6" t="str">
        <f ca="1">IF(GameLog[[#This Row],[Check]]="","",COUNTIF(GameLog[[#Headers],[Check]]:GameLog[[#This Row],[Check]],"?*")-1)</f>
        <v/>
      </c>
      <c r="O842" s="6" t="str">
        <f>IFERROR(INDEX(Players[New name],MATCH(GameLog[[#This Row],[Player]],Players[Name],0)),GameLog[[#This Row],[Player]])</f>
        <v>Brad F</v>
      </c>
    </row>
    <row r="843" spans="1:15" x14ac:dyDescent="0.45">
      <c r="A843" s="6" t="s">
        <v>94</v>
      </c>
      <c r="B843" s="6" t="s">
        <v>53</v>
      </c>
      <c r="C843" s="6">
        <v>2</v>
      </c>
      <c r="D843" s="6">
        <v>2</v>
      </c>
      <c r="E843" s="6">
        <v>1</v>
      </c>
      <c r="F843" s="10">
        <v>46048</v>
      </c>
      <c r="G843" s="6" t="str">
        <f>_xlfn.TEXTJOIN("|",TRUE,GameLog[[#This Row],[Pod]],TEXT(INT(GameLog[[#This Row],[Round]]),"yyyymmdd"),GameLog[[#This Row],[Date]])</f>
        <v>2|19000101|46048</v>
      </c>
      <c r="H843" s="6">
        <f>COUNTIF(GameLog[Pod ID],GameLog[[#This Row],[Pod ID]])</f>
        <v>4</v>
      </c>
      <c r="I843" s="6">
        <f>YEAR(GameLog[[#This Row],[Date]])</f>
        <v>2026</v>
      </c>
      <c r="J843" s="6">
        <f>MONTH(GameLog[[#This Row],[Date]])</f>
        <v>1</v>
      </c>
      <c r="K843" s="6" t="str">
        <f>IF(GameLog[[#This Row],[Date]]=MAX(GameLog[Date]),"Current","Previous")</f>
        <v>Previous</v>
      </c>
      <c r="L843" s="6"/>
      <c r="M8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3" s="6" t="str">
        <f ca="1">IF(GameLog[[#This Row],[Check]]="","",COUNTIF(GameLog[[#Headers],[Check]]:GameLog[[#This Row],[Check]],"?*")-1)</f>
        <v/>
      </c>
      <c r="O843" s="6" t="str">
        <f>IFERROR(INDEX(Players[New name],MATCH(GameLog[[#This Row],[Player]],Players[Name],0)),GameLog[[#This Row],[Player]])</f>
        <v>Austin D</v>
      </c>
    </row>
    <row r="844" spans="1:15" x14ac:dyDescent="0.45">
      <c r="A844" s="6" t="s">
        <v>73</v>
      </c>
      <c r="B844" s="6" t="s">
        <v>53</v>
      </c>
      <c r="C844" s="6">
        <v>3</v>
      </c>
      <c r="D844" s="6">
        <v>2</v>
      </c>
      <c r="E844" s="6">
        <v>1</v>
      </c>
      <c r="F844" s="10">
        <v>46048</v>
      </c>
      <c r="G844" s="6" t="str">
        <f>_xlfn.TEXTJOIN("|",TRUE,GameLog[[#This Row],[Pod]],TEXT(INT(GameLog[[#This Row],[Round]]),"yyyymmdd"),GameLog[[#This Row],[Date]])</f>
        <v>2|19000101|46048</v>
      </c>
      <c r="H844" s="6">
        <f>COUNTIF(GameLog[Pod ID],GameLog[[#This Row],[Pod ID]])</f>
        <v>4</v>
      </c>
      <c r="I844" s="6">
        <f>YEAR(GameLog[[#This Row],[Date]])</f>
        <v>2026</v>
      </c>
      <c r="J844" s="6">
        <f>MONTH(GameLog[[#This Row],[Date]])</f>
        <v>1</v>
      </c>
      <c r="K844" s="6" t="str">
        <f>IF(GameLog[[#This Row],[Date]]=MAX(GameLog[Date]),"Current","Previous")</f>
        <v>Previous</v>
      </c>
      <c r="L844" s="6"/>
      <c r="M8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4" s="6" t="str">
        <f ca="1">IF(GameLog[[#This Row],[Check]]="","",COUNTIF(GameLog[[#Headers],[Check]]:GameLog[[#This Row],[Check]],"?*")-1)</f>
        <v/>
      </c>
      <c r="O844" s="6" t="str">
        <f>IFERROR(INDEX(Players[New name],MATCH(GameLog[[#This Row],[Player]],Players[Name],0)),GameLog[[#This Row],[Player]])</f>
        <v>Brandon B</v>
      </c>
    </row>
    <row r="845" spans="1:15" x14ac:dyDescent="0.45">
      <c r="A845" s="6" t="s">
        <v>75</v>
      </c>
      <c r="B845" s="6" t="s">
        <v>53</v>
      </c>
      <c r="C845" s="6">
        <v>4</v>
      </c>
      <c r="D845" s="6">
        <v>2</v>
      </c>
      <c r="E845" s="6">
        <v>1</v>
      </c>
      <c r="F845" s="10">
        <v>46048</v>
      </c>
      <c r="G845" s="6" t="str">
        <f>_xlfn.TEXTJOIN("|",TRUE,GameLog[[#This Row],[Pod]],TEXT(INT(GameLog[[#This Row],[Round]]),"yyyymmdd"),GameLog[[#This Row],[Date]])</f>
        <v>2|19000101|46048</v>
      </c>
      <c r="H845" s="6">
        <f>COUNTIF(GameLog[Pod ID],GameLog[[#This Row],[Pod ID]])</f>
        <v>4</v>
      </c>
      <c r="I845" s="6">
        <f>YEAR(GameLog[[#This Row],[Date]])</f>
        <v>2026</v>
      </c>
      <c r="J845" s="6">
        <f>MONTH(GameLog[[#This Row],[Date]])</f>
        <v>1</v>
      </c>
      <c r="K845" s="6" t="str">
        <f>IF(GameLog[[#This Row],[Date]]=MAX(GameLog[Date]),"Current","Previous")</f>
        <v>Previous</v>
      </c>
      <c r="L845" s="6"/>
      <c r="M8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5" s="6" t="str">
        <f ca="1">IF(GameLog[[#This Row],[Check]]="","",COUNTIF(GameLog[[#Headers],[Check]]:GameLog[[#This Row],[Check]],"?*")-1)</f>
        <v/>
      </c>
      <c r="O845" s="6" t="str">
        <f>IFERROR(INDEX(Players[New name],MATCH(GameLog[[#This Row],[Player]],Players[Name],0)),GameLog[[#This Row],[Player]])</f>
        <v>Eli T</v>
      </c>
    </row>
    <row r="846" spans="1:15" x14ac:dyDescent="0.45">
      <c r="A846" s="6" t="s">
        <v>95</v>
      </c>
      <c r="B846" s="6" t="s">
        <v>53</v>
      </c>
      <c r="C846" s="6">
        <v>1</v>
      </c>
      <c r="D846" s="6">
        <v>3</v>
      </c>
      <c r="E846" s="6">
        <v>1</v>
      </c>
      <c r="F846" s="10">
        <v>46048</v>
      </c>
      <c r="G846" s="6" t="str">
        <f>_xlfn.TEXTJOIN("|",TRUE,GameLog[[#This Row],[Pod]],TEXT(INT(GameLog[[#This Row],[Round]]),"yyyymmdd"),GameLog[[#This Row],[Date]])</f>
        <v>3|19000101|46048</v>
      </c>
      <c r="H846" s="6">
        <f>COUNTIF(GameLog[Pod ID],GameLog[[#This Row],[Pod ID]])</f>
        <v>3</v>
      </c>
      <c r="I846" s="6">
        <f>YEAR(GameLog[[#This Row],[Date]])</f>
        <v>2026</v>
      </c>
      <c r="J846" s="6">
        <f>MONTH(GameLog[[#This Row],[Date]])</f>
        <v>1</v>
      </c>
      <c r="K846" s="6" t="str">
        <f>IF(GameLog[[#This Row],[Date]]=MAX(GameLog[Date]),"Current","Previous")</f>
        <v>Previous</v>
      </c>
      <c r="L846" s="6"/>
      <c r="M8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6" s="6" t="str">
        <f ca="1">IF(GameLog[[#This Row],[Check]]="","",COUNTIF(GameLog[[#Headers],[Check]]:GameLog[[#This Row],[Check]],"?*")-1)</f>
        <v/>
      </c>
      <c r="O846" s="6" t="str">
        <f>IFERROR(INDEX(Players[New name],MATCH(GameLog[[#This Row],[Player]],Players[Name],0)),GameLog[[#This Row],[Player]])</f>
        <v>Andrew M</v>
      </c>
    </row>
    <row r="847" spans="1:15" x14ac:dyDescent="0.45">
      <c r="A847" s="6" t="s">
        <v>61</v>
      </c>
      <c r="B847" s="6" t="s">
        <v>50</v>
      </c>
      <c r="C847" s="6">
        <v>2</v>
      </c>
      <c r="D847" s="6">
        <v>3</v>
      </c>
      <c r="E847" s="6">
        <v>1</v>
      </c>
      <c r="F847" s="10">
        <v>46048</v>
      </c>
      <c r="G847" s="6" t="str">
        <f>_xlfn.TEXTJOIN("|",TRUE,GameLog[[#This Row],[Pod]],TEXT(INT(GameLog[[#This Row],[Round]]),"yyyymmdd"),GameLog[[#This Row],[Date]])</f>
        <v>3|19000101|46048</v>
      </c>
      <c r="H847" s="6">
        <f>COUNTIF(GameLog[Pod ID],GameLog[[#This Row],[Pod ID]])</f>
        <v>3</v>
      </c>
      <c r="I847" s="6">
        <f>YEAR(GameLog[[#This Row],[Date]])</f>
        <v>2026</v>
      </c>
      <c r="J847" s="6">
        <f>MONTH(GameLog[[#This Row],[Date]])</f>
        <v>1</v>
      </c>
      <c r="K847" s="6" t="str">
        <f>IF(GameLog[[#This Row],[Date]]=MAX(GameLog[Date]),"Current","Previous")</f>
        <v>Previous</v>
      </c>
      <c r="L847" s="6"/>
      <c r="M8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7" s="6" t="str">
        <f ca="1">IF(GameLog[[#This Row],[Check]]="","",COUNTIF(GameLog[[#Headers],[Check]]:GameLog[[#This Row],[Check]],"?*")-1)</f>
        <v/>
      </c>
      <c r="O847" s="6" t="str">
        <f>IFERROR(INDEX(Players[New name],MATCH(GameLog[[#This Row],[Player]],Players[Name],0)),GameLog[[#This Row],[Player]])</f>
        <v>Trevor</v>
      </c>
    </row>
    <row r="848" spans="1:15" x14ac:dyDescent="0.45">
      <c r="A848" s="6" t="s">
        <v>52</v>
      </c>
      <c r="B848" s="6" t="s">
        <v>53</v>
      </c>
      <c r="C848" s="6">
        <v>3</v>
      </c>
      <c r="D848" s="6">
        <v>3</v>
      </c>
      <c r="E848" s="6">
        <v>1</v>
      </c>
      <c r="F848" s="10">
        <v>46048</v>
      </c>
      <c r="G848" s="6" t="str">
        <f>_xlfn.TEXTJOIN("|",TRUE,GameLog[[#This Row],[Pod]],TEXT(INT(GameLog[[#This Row],[Round]]),"yyyymmdd"),GameLog[[#This Row],[Date]])</f>
        <v>3|19000101|46048</v>
      </c>
      <c r="H848" s="6">
        <f>COUNTIF(GameLog[Pod ID],GameLog[[#This Row],[Pod ID]])</f>
        <v>3</v>
      </c>
      <c r="I848" s="6">
        <f>YEAR(GameLog[[#This Row],[Date]])</f>
        <v>2026</v>
      </c>
      <c r="J848" s="6">
        <f>MONTH(GameLog[[#This Row],[Date]])</f>
        <v>1</v>
      </c>
      <c r="K848" s="6" t="str">
        <f>IF(GameLog[[#This Row],[Date]]=MAX(GameLog[Date]),"Current","Previous")</f>
        <v>Previous</v>
      </c>
      <c r="L848" s="6"/>
      <c r="M8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8" s="6" t="str">
        <f ca="1">IF(GameLog[[#This Row],[Check]]="","",COUNTIF(GameLog[[#Headers],[Check]]:GameLog[[#This Row],[Check]],"?*")-1)</f>
        <v/>
      </c>
      <c r="O848" s="6" t="str">
        <f>IFERROR(INDEX(Players[New name],MATCH(GameLog[[#This Row],[Player]],Players[Name],0)),GameLog[[#This Row],[Player]])</f>
        <v>Unknown</v>
      </c>
    </row>
    <row r="849" spans="1:15" x14ac:dyDescent="0.45">
      <c r="A849" s="6" t="s">
        <v>96</v>
      </c>
      <c r="B849" s="6" t="s">
        <v>50</v>
      </c>
      <c r="C849" s="6">
        <v>1</v>
      </c>
      <c r="D849" s="6">
        <v>4</v>
      </c>
      <c r="E849" s="6">
        <v>1</v>
      </c>
      <c r="F849" s="10">
        <v>46048</v>
      </c>
      <c r="G849" s="6" t="str">
        <f>_xlfn.TEXTJOIN("|",TRUE,GameLog[[#This Row],[Pod]],TEXT(INT(GameLog[[#This Row],[Round]]),"yyyymmdd"),GameLog[[#This Row],[Date]])</f>
        <v>4|19000101|46048</v>
      </c>
      <c r="H849" s="6">
        <f>COUNTIF(GameLog[Pod ID],GameLog[[#This Row],[Pod ID]])</f>
        <v>3</v>
      </c>
      <c r="I849" s="6">
        <f>YEAR(GameLog[[#This Row],[Date]])</f>
        <v>2026</v>
      </c>
      <c r="J849" s="6">
        <f>MONTH(GameLog[[#This Row],[Date]])</f>
        <v>1</v>
      </c>
      <c r="K849" s="6" t="str">
        <f>IF(GameLog[[#This Row],[Date]]=MAX(GameLog[Date]),"Current","Previous")</f>
        <v>Previous</v>
      </c>
      <c r="L849" s="6"/>
      <c r="M8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49" s="6" t="str">
        <f ca="1">IF(GameLog[[#This Row],[Check]]="","",COUNTIF(GameLog[[#Headers],[Check]]:GameLog[[#This Row],[Check]],"?*")-1)</f>
        <v/>
      </c>
      <c r="O849" s="6" t="str">
        <f>IFERROR(INDEX(Players[New name],MATCH(GameLog[[#This Row],[Player]],Players[Name],0)),GameLog[[#This Row],[Player]])</f>
        <v>Brandon A</v>
      </c>
    </row>
    <row r="850" spans="1:15" x14ac:dyDescent="0.45">
      <c r="A850" s="6" t="s">
        <v>76</v>
      </c>
      <c r="B850" s="6" t="s">
        <v>53</v>
      </c>
      <c r="C850" s="6">
        <v>2</v>
      </c>
      <c r="D850" s="6">
        <v>4</v>
      </c>
      <c r="E850" s="6">
        <v>1</v>
      </c>
      <c r="F850" s="10">
        <v>46048</v>
      </c>
      <c r="G850" s="6" t="str">
        <f>_xlfn.TEXTJOIN("|",TRUE,GameLog[[#This Row],[Pod]],TEXT(INT(GameLog[[#This Row],[Round]]),"yyyymmdd"),GameLog[[#This Row],[Date]])</f>
        <v>4|19000101|46048</v>
      </c>
      <c r="H850" s="6">
        <f>COUNTIF(GameLog[Pod ID],GameLog[[#This Row],[Pod ID]])</f>
        <v>3</v>
      </c>
      <c r="I850" s="6">
        <f>YEAR(GameLog[[#This Row],[Date]])</f>
        <v>2026</v>
      </c>
      <c r="J850" s="6">
        <f>MONTH(GameLog[[#This Row],[Date]])</f>
        <v>1</v>
      </c>
      <c r="K850" s="6" t="str">
        <f>IF(GameLog[[#This Row],[Date]]=MAX(GameLog[Date]),"Current","Previous")</f>
        <v>Previous</v>
      </c>
      <c r="L850" s="6"/>
      <c r="M8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0" s="6" t="str">
        <f ca="1">IF(GameLog[[#This Row],[Check]]="","",COUNTIF(GameLog[[#Headers],[Check]]:GameLog[[#This Row],[Check]],"?*")-1)</f>
        <v/>
      </c>
      <c r="O850" s="6" t="str">
        <f>IFERROR(INDEX(Players[New name],MATCH(GameLog[[#This Row],[Player]],Players[Name],0)),GameLog[[#This Row],[Player]])</f>
        <v>Jon M</v>
      </c>
    </row>
    <row r="851" spans="1:15" x14ac:dyDescent="0.45">
      <c r="A851" s="6" t="s">
        <v>58</v>
      </c>
      <c r="B851" s="6" t="s">
        <v>53</v>
      </c>
      <c r="C851" s="6">
        <v>3</v>
      </c>
      <c r="D851" s="6">
        <v>4</v>
      </c>
      <c r="E851" s="6">
        <v>1</v>
      </c>
      <c r="F851" s="10">
        <v>46048</v>
      </c>
      <c r="G851" s="6" t="str">
        <f>_xlfn.TEXTJOIN("|",TRUE,GameLog[[#This Row],[Pod]],TEXT(INT(GameLog[[#This Row],[Round]]),"yyyymmdd"),GameLog[[#This Row],[Date]])</f>
        <v>4|19000101|46048</v>
      </c>
      <c r="H851" s="6">
        <f>COUNTIF(GameLog[Pod ID],GameLog[[#This Row],[Pod ID]])</f>
        <v>3</v>
      </c>
      <c r="I851" s="6">
        <f>YEAR(GameLog[[#This Row],[Date]])</f>
        <v>2026</v>
      </c>
      <c r="J851" s="6">
        <f>MONTH(GameLog[[#This Row],[Date]])</f>
        <v>1</v>
      </c>
      <c r="K851" s="6" t="str">
        <f>IF(GameLog[[#This Row],[Date]]=MAX(GameLog[Date]),"Current","Previous")</f>
        <v>Previous</v>
      </c>
      <c r="L851" s="6"/>
      <c r="M8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1" s="6" t="str">
        <f ca="1">IF(GameLog[[#This Row],[Check]]="","",COUNTIF(GameLog[[#Headers],[Check]]:GameLog[[#This Row],[Check]],"?*")-1)</f>
        <v/>
      </c>
      <c r="O851" s="6" t="str">
        <f>IFERROR(INDEX(Players[New name],MATCH(GameLog[[#This Row],[Player]],Players[Name],0)),GameLog[[#This Row],[Player]])</f>
        <v>Dakota P</v>
      </c>
    </row>
    <row r="852" spans="1:15" x14ac:dyDescent="0.45">
      <c r="A852" s="6" t="s">
        <v>82</v>
      </c>
      <c r="B852" s="6" t="s">
        <v>53</v>
      </c>
      <c r="C852" s="6">
        <v>1</v>
      </c>
      <c r="D852" s="6">
        <v>5</v>
      </c>
      <c r="E852" s="6">
        <v>1</v>
      </c>
      <c r="F852" s="10">
        <v>46048</v>
      </c>
      <c r="G852" s="6" t="str">
        <f>_xlfn.TEXTJOIN("|",TRUE,GameLog[[#This Row],[Pod]],TEXT(INT(GameLog[[#This Row],[Round]]),"yyyymmdd"),GameLog[[#This Row],[Date]])</f>
        <v>5|19000101|46048</v>
      </c>
      <c r="H852" s="6">
        <f>COUNTIF(GameLog[Pod ID],GameLog[[#This Row],[Pod ID]])</f>
        <v>4</v>
      </c>
      <c r="I852" s="6">
        <f>YEAR(GameLog[[#This Row],[Date]])</f>
        <v>2026</v>
      </c>
      <c r="J852" s="6">
        <f>MONTH(GameLog[[#This Row],[Date]])</f>
        <v>1</v>
      </c>
      <c r="K852" s="6" t="str">
        <f>IF(GameLog[[#This Row],[Date]]=MAX(GameLog[Date]),"Current","Previous")</f>
        <v>Previous</v>
      </c>
      <c r="L852" s="6"/>
      <c r="M8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2" s="6" t="str">
        <f ca="1">IF(GameLog[[#This Row],[Check]]="","",COUNTIF(GameLog[[#Headers],[Check]]:GameLog[[#This Row],[Check]],"?*")-1)</f>
        <v/>
      </c>
      <c r="O852" s="6" t="str">
        <f>IFERROR(INDEX(Players[New name],MATCH(GameLog[[#This Row],[Player]],Players[Name],0)),GameLog[[#This Row],[Player]])</f>
        <v>Nick D</v>
      </c>
    </row>
    <row r="853" spans="1:15" x14ac:dyDescent="0.45">
      <c r="A853" s="6" t="s">
        <v>78</v>
      </c>
      <c r="B853" s="6" t="s">
        <v>53</v>
      </c>
      <c r="C853" s="6">
        <v>2</v>
      </c>
      <c r="D853" s="6">
        <v>5</v>
      </c>
      <c r="E853" s="6">
        <v>1</v>
      </c>
      <c r="F853" s="10">
        <v>46048</v>
      </c>
      <c r="G853" s="6" t="str">
        <f>_xlfn.TEXTJOIN("|",TRUE,GameLog[[#This Row],[Pod]],TEXT(INT(GameLog[[#This Row],[Round]]),"yyyymmdd"),GameLog[[#This Row],[Date]])</f>
        <v>5|19000101|46048</v>
      </c>
      <c r="H853" s="6">
        <f>COUNTIF(GameLog[Pod ID],GameLog[[#This Row],[Pod ID]])</f>
        <v>4</v>
      </c>
      <c r="I853" s="6">
        <f>YEAR(GameLog[[#This Row],[Date]])</f>
        <v>2026</v>
      </c>
      <c r="J853" s="6">
        <f>MONTH(GameLog[[#This Row],[Date]])</f>
        <v>1</v>
      </c>
      <c r="K853" s="6" t="str">
        <f>IF(GameLog[[#This Row],[Date]]=MAX(GameLog[Date]),"Current","Previous")</f>
        <v>Previous</v>
      </c>
      <c r="L853" s="6"/>
      <c r="M8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3" s="6" t="str">
        <f ca="1">IF(GameLog[[#This Row],[Check]]="","",COUNTIF(GameLog[[#Headers],[Check]]:GameLog[[#This Row],[Check]],"?*")-1)</f>
        <v/>
      </c>
      <c r="O853" s="6" t="str">
        <f>IFERROR(INDEX(Players[New name],MATCH(GameLog[[#This Row],[Player]],Players[Name],0)),GameLog[[#This Row],[Player]])</f>
        <v>Justin M</v>
      </c>
    </row>
    <row r="854" spans="1:15" x14ac:dyDescent="0.45">
      <c r="A854" s="6" t="s">
        <v>49</v>
      </c>
      <c r="B854" s="6" t="s">
        <v>53</v>
      </c>
      <c r="C854" s="6">
        <v>3</v>
      </c>
      <c r="D854" s="6">
        <v>5</v>
      </c>
      <c r="E854" s="6">
        <v>1</v>
      </c>
      <c r="F854" s="10">
        <v>46048</v>
      </c>
      <c r="G854" s="6" t="str">
        <f>_xlfn.TEXTJOIN("|",TRUE,GameLog[[#This Row],[Pod]],TEXT(INT(GameLog[[#This Row],[Round]]),"yyyymmdd"),GameLog[[#This Row],[Date]])</f>
        <v>5|19000101|46048</v>
      </c>
      <c r="H854" s="6">
        <f>COUNTIF(GameLog[Pod ID],GameLog[[#This Row],[Pod ID]])</f>
        <v>4</v>
      </c>
      <c r="I854" s="6">
        <f>YEAR(GameLog[[#This Row],[Date]])</f>
        <v>2026</v>
      </c>
      <c r="J854" s="6">
        <f>MONTH(GameLog[[#This Row],[Date]])</f>
        <v>1</v>
      </c>
      <c r="K854" s="6" t="str">
        <f>IF(GameLog[[#This Row],[Date]]=MAX(GameLog[Date]),"Current","Previous")</f>
        <v>Previous</v>
      </c>
      <c r="L854" s="6"/>
      <c r="M8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4" s="6" t="str">
        <f ca="1">IF(GameLog[[#This Row],[Check]]="","",COUNTIF(GameLog[[#Headers],[Check]]:GameLog[[#This Row],[Check]],"?*")-1)</f>
        <v/>
      </c>
      <c r="O854" s="6" t="str">
        <f>IFERROR(INDEX(Players[New name],MATCH(GameLog[[#This Row],[Player]],Players[Name],0)),GameLog[[#This Row],[Player]])</f>
        <v>Brett R</v>
      </c>
    </row>
    <row r="855" spans="1:15" x14ac:dyDescent="0.45">
      <c r="A855" s="6" t="s">
        <v>57</v>
      </c>
      <c r="B855" s="6" t="s">
        <v>50</v>
      </c>
      <c r="C855" s="6">
        <v>4</v>
      </c>
      <c r="D855" s="6">
        <v>5</v>
      </c>
      <c r="E855" s="6">
        <v>1</v>
      </c>
      <c r="F855" s="10">
        <v>46048</v>
      </c>
      <c r="G855" s="6" t="str">
        <f>_xlfn.TEXTJOIN("|",TRUE,GameLog[[#This Row],[Pod]],TEXT(INT(GameLog[[#This Row],[Round]]),"yyyymmdd"),GameLog[[#This Row],[Date]])</f>
        <v>5|19000101|46048</v>
      </c>
      <c r="H855" s="6">
        <f>COUNTIF(GameLog[Pod ID],GameLog[[#This Row],[Pod ID]])</f>
        <v>4</v>
      </c>
      <c r="I855" s="6">
        <f>YEAR(GameLog[[#This Row],[Date]])</f>
        <v>2026</v>
      </c>
      <c r="J855" s="6">
        <f>MONTH(GameLog[[#This Row],[Date]])</f>
        <v>1</v>
      </c>
      <c r="K855" s="6" t="str">
        <f>IF(GameLog[[#This Row],[Date]]=MAX(GameLog[Date]),"Current","Previous")</f>
        <v>Previous</v>
      </c>
      <c r="L855" s="6"/>
      <c r="M8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5" s="6" t="str">
        <f ca="1">IF(GameLog[[#This Row],[Check]]="","",COUNTIF(GameLog[[#Headers],[Check]]:GameLog[[#This Row],[Check]],"?*")-1)</f>
        <v/>
      </c>
      <c r="O855" s="6" t="str">
        <f>IFERROR(INDEX(Players[New name],MATCH(GameLog[[#This Row],[Player]],Players[Name],0)),GameLog[[#This Row],[Player]])</f>
        <v>AJ W</v>
      </c>
    </row>
    <row r="856" spans="1:15" x14ac:dyDescent="0.45">
      <c r="A856" s="6" t="s">
        <v>92</v>
      </c>
      <c r="B856" s="6" t="s">
        <v>53</v>
      </c>
      <c r="C856" s="6">
        <v>1</v>
      </c>
      <c r="D856" s="6">
        <v>6</v>
      </c>
      <c r="E856" s="6">
        <v>1</v>
      </c>
      <c r="F856" s="10">
        <v>46048</v>
      </c>
      <c r="G856" s="6" t="str">
        <f>_xlfn.TEXTJOIN("|",TRUE,GameLog[[#This Row],[Pod]],TEXT(INT(GameLog[[#This Row],[Round]]),"yyyymmdd"),GameLog[[#This Row],[Date]])</f>
        <v>6|19000101|46048</v>
      </c>
      <c r="H856" s="6">
        <f>COUNTIF(GameLog[Pod ID],GameLog[[#This Row],[Pod ID]])</f>
        <v>4</v>
      </c>
      <c r="I856" s="6">
        <f>YEAR(GameLog[[#This Row],[Date]])</f>
        <v>2026</v>
      </c>
      <c r="J856" s="6">
        <f>MONTH(GameLog[[#This Row],[Date]])</f>
        <v>1</v>
      </c>
      <c r="K856" s="6" t="str">
        <f>IF(GameLog[[#This Row],[Date]]=MAX(GameLog[Date]),"Current","Previous")</f>
        <v>Previous</v>
      </c>
      <c r="L856" s="6"/>
      <c r="M8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6" s="6" t="str">
        <f ca="1">IF(GameLog[[#This Row],[Check]]="","",COUNTIF(GameLog[[#Headers],[Check]]:GameLog[[#This Row],[Check]],"?*")-1)</f>
        <v/>
      </c>
      <c r="O856" s="6" t="str">
        <f>IFERROR(INDEX(Players[New name],MATCH(GameLog[[#This Row],[Player]],Players[Name],0)),GameLog[[#This Row],[Player]])</f>
        <v>Harley A</v>
      </c>
    </row>
    <row r="857" spans="1:15" x14ac:dyDescent="0.45">
      <c r="A857" s="6" t="s">
        <v>77</v>
      </c>
      <c r="B857" s="6" t="s">
        <v>50</v>
      </c>
      <c r="C857" s="6">
        <v>2</v>
      </c>
      <c r="D857" s="6">
        <v>6</v>
      </c>
      <c r="E857" s="6">
        <v>1</v>
      </c>
      <c r="F857" s="10">
        <v>46048</v>
      </c>
      <c r="G857" s="6" t="str">
        <f>_xlfn.TEXTJOIN("|",TRUE,GameLog[[#This Row],[Pod]],TEXT(INT(GameLog[[#This Row],[Round]]),"yyyymmdd"),GameLog[[#This Row],[Date]])</f>
        <v>6|19000101|46048</v>
      </c>
      <c r="H857" s="6">
        <f>COUNTIF(GameLog[Pod ID],GameLog[[#This Row],[Pod ID]])</f>
        <v>4</v>
      </c>
      <c r="I857" s="6">
        <f>YEAR(GameLog[[#This Row],[Date]])</f>
        <v>2026</v>
      </c>
      <c r="J857" s="6">
        <f>MONTH(GameLog[[#This Row],[Date]])</f>
        <v>1</v>
      </c>
      <c r="K857" s="6" t="str">
        <f>IF(GameLog[[#This Row],[Date]]=MAX(GameLog[Date]),"Current","Previous")</f>
        <v>Previous</v>
      </c>
      <c r="L857" s="6"/>
      <c r="M8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7" s="6" t="str">
        <f ca="1">IF(GameLog[[#This Row],[Check]]="","",COUNTIF(GameLog[[#Headers],[Check]]:GameLog[[#This Row],[Check]],"?*")-1)</f>
        <v/>
      </c>
      <c r="O857" s="6" t="str">
        <f>IFERROR(INDEX(Players[New name],MATCH(GameLog[[#This Row],[Player]],Players[Name],0)),GameLog[[#This Row],[Player]])</f>
        <v>Dave M</v>
      </c>
    </row>
    <row r="858" spans="1:15" x14ac:dyDescent="0.45">
      <c r="A858" s="6" t="s">
        <v>68</v>
      </c>
      <c r="B858" s="6" t="s">
        <v>53</v>
      </c>
      <c r="C858" s="6">
        <v>3</v>
      </c>
      <c r="D858" s="6">
        <v>6</v>
      </c>
      <c r="E858" s="6">
        <v>1</v>
      </c>
      <c r="F858" s="10">
        <v>46048</v>
      </c>
      <c r="G858" s="6" t="str">
        <f>_xlfn.TEXTJOIN("|",TRUE,GameLog[[#This Row],[Pod]],TEXT(INT(GameLog[[#This Row],[Round]]),"yyyymmdd"),GameLog[[#This Row],[Date]])</f>
        <v>6|19000101|46048</v>
      </c>
      <c r="H858" s="6">
        <f>COUNTIF(GameLog[Pod ID],GameLog[[#This Row],[Pod ID]])</f>
        <v>4</v>
      </c>
      <c r="I858" s="6">
        <f>YEAR(GameLog[[#This Row],[Date]])</f>
        <v>2026</v>
      </c>
      <c r="J858" s="6">
        <f>MONTH(GameLog[[#This Row],[Date]])</f>
        <v>1</v>
      </c>
      <c r="K858" s="6" t="str">
        <f>IF(GameLog[[#This Row],[Date]]=MAX(GameLog[Date]),"Current","Previous")</f>
        <v>Previous</v>
      </c>
      <c r="L858" s="6"/>
      <c r="M8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8" s="6" t="str">
        <f ca="1">IF(GameLog[[#This Row],[Check]]="","",COUNTIF(GameLog[[#Headers],[Check]]:GameLog[[#This Row],[Check]],"?*")-1)</f>
        <v/>
      </c>
      <c r="O858" s="6" t="str">
        <f>IFERROR(INDEX(Players[New name],MATCH(GameLog[[#This Row],[Player]],Players[Name],0)),GameLog[[#This Row],[Player]])</f>
        <v>Edwin M</v>
      </c>
    </row>
    <row r="859" spans="1:15" x14ac:dyDescent="0.45">
      <c r="A859" s="6" t="s">
        <v>63</v>
      </c>
      <c r="B859" s="6" t="s">
        <v>53</v>
      </c>
      <c r="C859" s="6">
        <v>4</v>
      </c>
      <c r="D859" s="6">
        <v>6</v>
      </c>
      <c r="E859" s="6">
        <v>1</v>
      </c>
      <c r="F859" s="10">
        <v>46048</v>
      </c>
      <c r="G859" s="6" t="str">
        <f>_xlfn.TEXTJOIN("|",TRUE,GameLog[[#This Row],[Pod]],TEXT(INT(GameLog[[#This Row],[Round]]),"yyyymmdd"),GameLog[[#This Row],[Date]])</f>
        <v>6|19000101|46048</v>
      </c>
      <c r="H859" s="6">
        <f>COUNTIF(GameLog[Pod ID],GameLog[[#This Row],[Pod ID]])</f>
        <v>4</v>
      </c>
      <c r="I859" s="6">
        <f>YEAR(GameLog[[#This Row],[Date]])</f>
        <v>2026</v>
      </c>
      <c r="J859" s="6">
        <f>MONTH(GameLog[[#This Row],[Date]])</f>
        <v>1</v>
      </c>
      <c r="K859" s="6" t="str">
        <f>IF(GameLog[[#This Row],[Date]]=MAX(GameLog[Date]),"Current","Previous")</f>
        <v>Previous</v>
      </c>
      <c r="L859" s="6"/>
      <c r="M8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59" s="6" t="str">
        <f ca="1">IF(GameLog[[#This Row],[Check]]="","",COUNTIF(GameLog[[#Headers],[Check]]:GameLog[[#This Row],[Check]],"?*")-1)</f>
        <v/>
      </c>
      <c r="O859" s="6" t="str">
        <f>IFERROR(INDEX(Players[New name],MATCH(GameLog[[#This Row],[Player]],Players[Name],0)),GameLog[[#This Row],[Player]])</f>
        <v>Jake D</v>
      </c>
    </row>
    <row r="860" spans="1:15" x14ac:dyDescent="0.45">
      <c r="A860" s="6" t="s">
        <v>81</v>
      </c>
      <c r="B860" s="6" t="s">
        <v>90</v>
      </c>
      <c r="C860" s="6">
        <v>1</v>
      </c>
      <c r="D860" s="6">
        <v>7</v>
      </c>
      <c r="E860" s="6">
        <v>1</v>
      </c>
      <c r="F860" s="10">
        <v>46048</v>
      </c>
      <c r="G860" s="6" t="str">
        <f>_xlfn.TEXTJOIN("|",TRUE,GameLog[[#This Row],[Pod]],TEXT(INT(GameLog[[#This Row],[Round]]),"yyyymmdd"),GameLog[[#This Row],[Date]])</f>
        <v>7|19000101|46048</v>
      </c>
      <c r="H860" s="6">
        <f>COUNTIF(GameLog[Pod ID],GameLog[[#This Row],[Pod ID]])</f>
        <v>3</v>
      </c>
      <c r="I860" s="6">
        <f>YEAR(GameLog[[#This Row],[Date]])</f>
        <v>2026</v>
      </c>
      <c r="J860" s="6">
        <f>MONTH(GameLog[[#This Row],[Date]])</f>
        <v>1</v>
      </c>
      <c r="K860" s="6" t="str">
        <f>IF(GameLog[[#This Row],[Date]]=MAX(GameLog[Date]),"Current","Previous")</f>
        <v>Previous</v>
      </c>
      <c r="L860" s="6"/>
      <c r="M8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0" s="6" t="str">
        <f ca="1">IF(GameLog[[#This Row],[Check]]="","",COUNTIF(GameLog[[#Headers],[Check]]:GameLog[[#This Row],[Check]],"?*")-1)</f>
        <v/>
      </c>
      <c r="O860" s="6" t="str">
        <f>IFERROR(INDEX(Players[New name],MATCH(GameLog[[#This Row],[Player]],Players[Name],0)),GameLog[[#This Row],[Player]])</f>
        <v>Forrest</v>
      </c>
    </row>
    <row r="861" spans="1:15" x14ac:dyDescent="0.45">
      <c r="A861" s="6" t="s">
        <v>60</v>
      </c>
      <c r="B861" s="6" t="s">
        <v>90</v>
      </c>
      <c r="C861" s="6">
        <v>2</v>
      </c>
      <c r="D861" s="6">
        <v>7</v>
      </c>
      <c r="E861" s="6">
        <v>1</v>
      </c>
      <c r="F861" s="10">
        <v>46048</v>
      </c>
      <c r="G861" s="6" t="str">
        <f>_xlfn.TEXTJOIN("|",TRUE,GameLog[[#This Row],[Pod]],TEXT(INT(GameLog[[#This Row],[Round]]),"yyyymmdd"),GameLog[[#This Row],[Date]])</f>
        <v>7|19000101|46048</v>
      </c>
      <c r="H861" s="6">
        <f>COUNTIF(GameLog[Pod ID],GameLog[[#This Row],[Pod ID]])</f>
        <v>3</v>
      </c>
      <c r="I861" s="6">
        <f>YEAR(GameLog[[#This Row],[Date]])</f>
        <v>2026</v>
      </c>
      <c r="J861" s="6">
        <f>MONTH(GameLog[[#This Row],[Date]])</f>
        <v>1</v>
      </c>
      <c r="K861" s="6" t="str">
        <f>IF(GameLog[[#This Row],[Date]]=MAX(GameLog[Date]),"Current","Previous")</f>
        <v>Previous</v>
      </c>
      <c r="L861" s="6"/>
      <c r="M8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1" s="6" t="str">
        <f ca="1">IF(GameLog[[#This Row],[Check]]="","",COUNTIF(GameLog[[#Headers],[Check]]:GameLog[[#This Row],[Check]],"?*")-1)</f>
        <v/>
      </c>
      <c r="O861" s="6" t="str">
        <f>IFERROR(INDEX(Players[New name],MATCH(GameLog[[#This Row],[Player]],Players[Name],0)),GameLog[[#This Row],[Player]])</f>
        <v>Brendan H</v>
      </c>
    </row>
    <row r="862" spans="1:15" x14ac:dyDescent="0.45">
      <c r="A862" s="6" t="s">
        <v>55</v>
      </c>
      <c r="B862" s="6" t="s">
        <v>90</v>
      </c>
      <c r="C862" s="6">
        <v>3</v>
      </c>
      <c r="D862" s="6">
        <v>7</v>
      </c>
      <c r="E862" s="6">
        <v>1</v>
      </c>
      <c r="F862" s="10">
        <v>46048</v>
      </c>
      <c r="G862" s="6" t="str">
        <f>_xlfn.TEXTJOIN("|",TRUE,GameLog[[#This Row],[Pod]],TEXT(INT(GameLog[[#This Row],[Round]]),"yyyymmdd"),GameLog[[#This Row],[Date]])</f>
        <v>7|19000101|46048</v>
      </c>
      <c r="H862" s="6">
        <f>COUNTIF(GameLog[Pod ID],GameLog[[#This Row],[Pod ID]])</f>
        <v>3</v>
      </c>
      <c r="I862" s="6">
        <f>YEAR(GameLog[[#This Row],[Date]])</f>
        <v>2026</v>
      </c>
      <c r="J862" s="6">
        <f>MONTH(GameLog[[#This Row],[Date]])</f>
        <v>1</v>
      </c>
      <c r="K862" s="6" t="str">
        <f>IF(GameLog[[#This Row],[Date]]=MAX(GameLog[Date]),"Current","Previous")</f>
        <v>Previous</v>
      </c>
      <c r="L862" s="6"/>
      <c r="M8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2" s="6" t="str">
        <f ca="1">IF(GameLog[[#This Row],[Check]]="","",COUNTIF(GameLog[[#Headers],[Check]]:GameLog[[#This Row],[Check]],"?*")-1)</f>
        <v/>
      </c>
      <c r="O862" s="6" t="str">
        <f>IFERROR(INDEX(Players[New name],MATCH(GameLog[[#This Row],[Player]],Players[Name],0)),GameLog[[#This Row],[Player]])</f>
        <v>Bryce C</v>
      </c>
    </row>
    <row r="863" spans="1:15" x14ac:dyDescent="0.45">
      <c r="A863" s="6" t="s">
        <v>71</v>
      </c>
      <c r="B863" s="6" t="s">
        <v>53</v>
      </c>
      <c r="C863" s="6">
        <v>1</v>
      </c>
      <c r="D863" s="6">
        <v>1</v>
      </c>
      <c r="E863" s="6">
        <v>2</v>
      </c>
      <c r="F863" s="10">
        <v>46048</v>
      </c>
      <c r="G863" s="6" t="str">
        <f>_xlfn.TEXTJOIN("|",TRUE,GameLog[[#This Row],[Pod]],TEXT(INT(GameLog[[#This Row],[Round]]),"yyyymmdd"),GameLog[[#This Row],[Date]])</f>
        <v>1|19000102|46048</v>
      </c>
      <c r="H863" s="6">
        <f>COUNTIF(GameLog[Pod ID],GameLog[[#This Row],[Pod ID]])</f>
        <v>4</v>
      </c>
      <c r="I863" s="6">
        <f>YEAR(GameLog[[#This Row],[Date]])</f>
        <v>2026</v>
      </c>
      <c r="J863" s="6">
        <f>MONTH(GameLog[[#This Row],[Date]])</f>
        <v>1</v>
      </c>
      <c r="K863" s="6" t="str">
        <f>IF(GameLog[[#This Row],[Date]]=MAX(GameLog[Date]),"Current","Previous")</f>
        <v>Previous</v>
      </c>
      <c r="L863" s="6"/>
      <c r="M8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3" s="6" t="str">
        <f ca="1">IF(GameLog[[#This Row],[Check]]="","",COUNTIF(GameLog[[#Headers],[Check]]:GameLog[[#This Row],[Check]],"?*")-1)</f>
        <v/>
      </c>
      <c r="O863" s="6" t="str">
        <f>IFERROR(INDEX(Players[New name],MATCH(GameLog[[#This Row],[Player]],Players[Name],0)),GameLog[[#This Row],[Player]])</f>
        <v>Rodney Y</v>
      </c>
    </row>
    <row r="864" spans="1:15" x14ac:dyDescent="0.45">
      <c r="A864" s="6" t="s">
        <v>60</v>
      </c>
      <c r="B864" s="6" t="s">
        <v>50</v>
      </c>
      <c r="C864" s="6">
        <v>2</v>
      </c>
      <c r="D864" s="6">
        <v>1</v>
      </c>
      <c r="E864" s="6">
        <v>2</v>
      </c>
      <c r="F864" s="10">
        <v>46048</v>
      </c>
      <c r="G864" s="6" t="str">
        <f>_xlfn.TEXTJOIN("|",TRUE,GameLog[[#This Row],[Pod]],TEXT(INT(GameLog[[#This Row],[Round]]),"yyyymmdd"),GameLog[[#This Row],[Date]])</f>
        <v>1|19000102|46048</v>
      </c>
      <c r="H864" s="6">
        <f>COUNTIF(GameLog[Pod ID],GameLog[[#This Row],[Pod ID]])</f>
        <v>4</v>
      </c>
      <c r="I864" s="6">
        <f>YEAR(GameLog[[#This Row],[Date]])</f>
        <v>2026</v>
      </c>
      <c r="J864" s="6">
        <f>MONTH(GameLog[[#This Row],[Date]])</f>
        <v>1</v>
      </c>
      <c r="K864" s="6" t="str">
        <f>IF(GameLog[[#This Row],[Date]]=MAX(GameLog[Date]),"Current","Previous")</f>
        <v>Previous</v>
      </c>
      <c r="L864" s="6"/>
      <c r="M8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4" s="6" t="str">
        <f ca="1">IF(GameLog[[#This Row],[Check]]="","",COUNTIF(GameLog[[#Headers],[Check]]:GameLog[[#This Row],[Check]],"?*")-1)</f>
        <v/>
      </c>
      <c r="O864" s="6" t="str">
        <f>IFERROR(INDEX(Players[New name],MATCH(GameLog[[#This Row],[Player]],Players[Name],0)),GameLog[[#This Row],[Player]])</f>
        <v>Brendan H</v>
      </c>
    </row>
    <row r="865" spans="1:15" x14ac:dyDescent="0.45">
      <c r="A865" s="6" t="s">
        <v>96</v>
      </c>
      <c r="B865" s="6" t="s">
        <v>53</v>
      </c>
      <c r="C865" s="6">
        <v>3</v>
      </c>
      <c r="D865" s="6">
        <v>1</v>
      </c>
      <c r="E865" s="6">
        <v>2</v>
      </c>
      <c r="F865" s="10">
        <v>46048</v>
      </c>
      <c r="G865" s="6" t="str">
        <f>_xlfn.TEXTJOIN("|",TRUE,GameLog[[#This Row],[Pod]],TEXT(INT(GameLog[[#This Row],[Round]]),"yyyymmdd"),GameLog[[#This Row],[Date]])</f>
        <v>1|19000102|46048</v>
      </c>
      <c r="H865" s="6">
        <f>COUNTIF(GameLog[Pod ID],GameLog[[#This Row],[Pod ID]])</f>
        <v>4</v>
      </c>
      <c r="I865" s="6">
        <f>YEAR(GameLog[[#This Row],[Date]])</f>
        <v>2026</v>
      </c>
      <c r="J865" s="6">
        <f>MONTH(GameLog[[#This Row],[Date]])</f>
        <v>1</v>
      </c>
      <c r="K865" s="6" t="str">
        <f>IF(GameLog[[#This Row],[Date]]=MAX(GameLog[Date]),"Current","Previous")</f>
        <v>Previous</v>
      </c>
      <c r="L865" s="6"/>
      <c r="M8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5" s="6" t="str">
        <f ca="1">IF(GameLog[[#This Row],[Check]]="","",COUNTIF(GameLog[[#Headers],[Check]]:GameLog[[#This Row],[Check]],"?*")-1)</f>
        <v/>
      </c>
      <c r="O865" s="6" t="str">
        <f>IFERROR(INDEX(Players[New name],MATCH(GameLog[[#This Row],[Player]],Players[Name],0)),GameLog[[#This Row],[Player]])</f>
        <v>Brandon A</v>
      </c>
    </row>
    <row r="866" spans="1:15" x14ac:dyDescent="0.45">
      <c r="A866" s="6" t="s">
        <v>52</v>
      </c>
      <c r="B866" s="6" t="s">
        <v>53</v>
      </c>
      <c r="C866" s="6">
        <v>4</v>
      </c>
      <c r="D866" s="6">
        <v>1</v>
      </c>
      <c r="E866" s="6">
        <v>2</v>
      </c>
      <c r="F866" s="10">
        <v>46048</v>
      </c>
      <c r="G866" s="6" t="str">
        <f>_xlfn.TEXTJOIN("|",TRUE,GameLog[[#This Row],[Pod]],TEXT(INT(GameLog[[#This Row],[Round]]),"yyyymmdd"),GameLog[[#This Row],[Date]])</f>
        <v>1|19000102|46048</v>
      </c>
      <c r="H866" s="6">
        <f>COUNTIF(GameLog[Pod ID],GameLog[[#This Row],[Pod ID]])</f>
        <v>4</v>
      </c>
      <c r="I866" s="6">
        <f>YEAR(GameLog[[#This Row],[Date]])</f>
        <v>2026</v>
      </c>
      <c r="J866" s="6">
        <f>MONTH(GameLog[[#This Row],[Date]])</f>
        <v>1</v>
      </c>
      <c r="K866" s="6" t="str">
        <f>IF(GameLog[[#This Row],[Date]]=MAX(GameLog[Date]),"Current","Previous")</f>
        <v>Previous</v>
      </c>
      <c r="L866" s="6"/>
      <c r="M8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6" s="6" t="str">
        <f ca="1">IF(GameLog[[#This Row],[Check]]="","",COUNTIF(GameLog[[#Headers],[Check]]:GameLog[[#This Row],[Check]],"?*")-1)</f>
        <v/>
      </c>
      <c r="O866" s="6" t="str">
        <f>IFERROR(INDEX(Players[New name],MATCH(GameLog[[#This Row],[Player]],Players[Name],0)),GameLog[[#This Row],[Player]])</f>
        <v>Unknown</v>
      </c>
    </row>
    <row r="867" spans="1:15" x14ac:dyDescent="0.45">
      <c r="A867" s="6" t="s">
        <v>91</v>
      </c>
      <c r="B867" s="6" t="s">
        <v>50</v>
      </c>
      <c r="C867" s="6">
        <v>1</v>
      </c>
      <c r="D867" s="6">
        <v>2</v>
      </c>
      <c r="E867" s="6">
        <v>2</v>
      </c>
      <c r="F867" s="10">
        <v>46048</v>
      </c>
      <c r="G867" s="6" t="str">
        <f>_xlfn.TEXTJOIN("|",TRUE,GameLog[[#This Row],[Pod]],TEXT(INT(GameLog[[#This Row],[Round]]),"yyyymmdd"),GameLog[[#This Row],[Date]])</f>
        <v>2|19000102|46048</v>
      </c>
      <c r="H867" s="6">
        <f>COUNTIF(GameLog[Pod ID],GameLog[[#This Row],[Pod ID]])</f>
        <v>4</v>
      </c>
      <c r="I867" s="6">
        <f>YEAR(GameLog[[#This Row],[Date]])</f>
        <v>2026</v>
      </c>
      <c r="J867" s="6">
        <f>MONTH(GameLog[[#This Row],[Date]])</f>
        <v>1</v>
      </c>
      <c r="K867" s="6" t="str">
        <f>IF(GameLog[[#This Row],[Date]]=MAX(GameLog[Date]),"Current","Previous")</f>
        <v>Previous</v>
      </c>
      <c r="L867" s="6"/>
      <c r="M8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7" s="6" t="str">
        <f ca="1">IF(GameLog[[#This Row],[Check]]="","",COUNTIF(GameLog[[#Headers],[Check]]:GameLog[[#This Row],[Check]],"?*")-1)</f>
        <v/>
      </c>
      <c r="O867" s="6" t="str">
        <f>IFERROR(INDEX(Players[New name],MATCH(GameLog[[#This Row],[Player]],Players[Name],0)),GameLog[[#This Row],[Player]])</f>
        <v>Isaac B</v>
      </c>
    </row>
    <row r="868" spans="1:15" x14ac:dyDescent="0.45">
      <c r="A868" s="6" t="s">
        <v>81</v>
      </c>
      <c r="B868" s="6" t="s">
        <v>53</v>
      </c>
      <c r="C868" s="6">
        <v>2</v>
      </c>
      <c r="D868" s="6">
        <v>2</v>
      </c>
      <c r="E868" s="6">
        <v>2</v>
      </c>
      <c r="F868" s="10">
        <v>46048</v>
      </c>
      <c r="G868" s="6" t="str">
        <f>_xlfn.TEXTJOIN("|",TRUE,GameLog[[#This Row],[Pod]],TEXT(INT(GameLog[[#This Row],[Round]]),"yyyymmdd"),GameLog[[#This Row],[Date]])</f>
        <v>2|19000102|46048</v>
      </c>
      <c r="H868" s="6">
        <f>COUNTIF(GameLog[Pod ID],GameLog[[#This Row],[Pod ID]])</f>
        <v>4</v>
      </c>
      <c r="I868" s="6">
        <f>YEAR(GameLog[[#This Row],[Date]])</f>
        <v>2026</v>
      </c>
      <c r="J868" s="6">
        <f>MONTH(GameLog[[#This Row],[Date]])</f>
        <v>1</v>
      </c>
      <c r="K868" s="6" t="str">
        <f>IF(GameLog[[#This Row],[Date]]=MAX(GameLog[Date]),"Current","Previous")</f>
        <v>Previous</v>
      </c>
      <c r="L868" s="6"/>
      <c r="M8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8" s="6" t="str">
        <f ca="1">IF(GameLog[[#This Row],[Check]]="","",COUNTIF(GameLog[[#Headers],[Check]]:GameLog[[#This Row],[Check]],"?*")-1)</f>
        <v/>
      </c>
      <c r="O868" s="6" t="str">
        <f>IFERROR(INDEX(Players[New name],MATCH(GameLog[[#This Row],[Player]],Players[Name],0)),GameLog[[#This Row],[Player]])</f>
        <v>Forrest</v>
      </c>
    </row>
    <row r="869" spans="1:15" x14ac:dyDescent="0.45">
      <c r="A869" s="6" t="s">
        <v>95</v>
      </c>
      <c r="B869" s="6" t="s">
        <v>53</v>
      </c>
      <c r="C869" s="6">
        <v>3</v>
      </c>
      <c r="D869" s="6">
        <v>2</v>
      </c>
      <c r="E869" s="6">
        <v>2</v>
      </c>
      <c r="F869" s="10">
        <v>46048</v>
      </c>
      <c r="G869" s="6" t="str">
        <f>_xlfn.TEXTJOIN("|",TRUE,GameLog[[#This Row],[Pod]],TEXT(INT(GameLog[[#This Row],[Round]]),"yyyymmdd"),GameLog[[#This Row],[Date]])</f>
        <v>2|19000102|46048</v>
      </c>
      <c r="H869" s="6">
        <f>COUNTIF(GameLog[Pod ID],GameLog[[#This Row],[Pod ID]])</f>
        <v>4</v>
      </c>
      <c r="I869" s="6">
        <f>YEAR(GameLog[[#This Row],[Date]])</f>
        <v>2026</v>
      </c>
      <c r="J869" s="6">
        <f>MONTH(GameLog[[#This Row],[Date]])</f>
        <v>1</v>
      </c>
      <c r="K869" s="6" t="str">
        <f>IF(GameLog[[#This Row],[Date]]=MAX(GameLog[Date]),"Current","Previous")</f>
        <v>Previous</v>
      </c>
      <c r="L869" s="6"/>
      <c r="M8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69" s="6" t="str">
        <f ca="1">IF(GameLog[[#This Row],[Check]]="","",COUNTIF(GameLog[[#Headers],[Check]]:GameLog[[#This Row],[Check]],"?*")-1)</f>
        <v/>
      </c>
      <c r="O869" s="6" t="str">
        <f>IFERROR(INDEX(Players[New name],MATCH(GameLog[[#This Row],[Player]],Players[Name],0)),GameLog[[#This Row],[Player]])</f>
        <v>Andrew M</v>
      </c>
    </row>
    <row r="870" spans="1:15" x14ac:dyDescent="0.45">
      <c r="A870" s="6" t="s">
        <v>70</v>
      </c>
      <c r="B870" s="6" t="s">
        <v>53</v>
      </c>
      <c r="C870" s="6">
        <v>4</v>
      </c>
      <c r="D870" s="6">
        <v>2</v>
      </c>
      <c r="E870" s="6">
        <v>2</v>
      </c>
      <c r="F870" s="10">
        <v>46048</v>
      </c>
      <c r="G870" s="6" t="str">
        <f>_xlfn.TEXTJOIN("|",TRUE,GameLog[[#This Row],[Pod]],TEXT(INT(GameLog[[#This Row],[Round]]),"yyyymmdd"),GameLog[[#This Row],[Date]])</f>
        <v>2|19000102|46048</v>
      </c>
      <c r="H870" s="6">
        <f>COUNTIF(GameLog[Pod ID],GameLog[[#This Row],[Pod ID]])</f>
        <v>4</v>
      </c>
      <c r="I870" s="6">
        <f>YEAR(GameLog[[#This Row],[Date]])</f>
        <v>2026</v>
      </c>
      <c r="J870" s="6">
        <f>MONTH(GameLog[[#This Row],[Date]])</f>
        <v>1</v>
      </c>
      <c r="K870" s="6" t="str">
        <f>IF(GameLog[[#This Row],[Date]]=MAX(GameLog[Date]),"Current","Previous")</f>
        <v>Previous</v>
      </c>
      <c r="L870" s="6"/>
      <c r="M8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0" s="6" t="str">
        <f ca="1">IF(GameLog[[#This Row],[Check]]="","",COUNTIF(GameLog[[#Headers],[Check]]:GameLog[[#This Row],[Check]],"?*")-1)</f>
        <v/>
      </c>
      <c r="O870" s="6" t="str">
        <f>IFERROR(INDEX(Players[New name],MATCH(GameLog[[#This Row],[Player]],Players[Name],0)),GameLog[[#This Row],[Player]])</f>
        <v>Brad F</v>
      </c>
    </row>
    <row r="871" spans="1:15" x14ac:dyDescent="0.45">
      <c r="A871" s="6" t="s">
        <v>73</v>
      </c>
      <c r="B871" s="6" t="s">
        <v>53</v>
      </c>
      <c r="C871" s="6">
        <v>1</v>
      </c>
      <c r="D871" s="6">
        <v>3</v>
      </c>
      <c r="E871" s="6">
        <v>2</v>
      </c>
      <c r="F871" s="10">
        <v>46048</v>
      </c>
      <c r="G871" s="6" t="str">
        <f>_xlfn.TEXTJOIN("|",TRUE,GameLog[[#This Row],[Pod]],TEXT(INT(GameLog[[#This Row],[Round]]),"yyyymmdd"),GameLog[[#This Row],[Date]])</f>
        <v>3|19000102|46048</v>
      </c>
      <c r="H871" s="6">
        <f>COUNTIF(GameLog[Pod ID],GameLog[[#This Row],[Pod ID]])</f>
        <v>3</v>
      </c>
      <c r="I871" s="6">
        <f>YEAR(GameLog[[#This Row],[Date]])</f>
        <v>2026</v>
      </c>
      <c r="J871" s="6">
        <f>MONTH(GameLog[[#This Row],[Date]])</f>
        <v>1</v>
      </c>
      <c r="K871" s="6" t="str">
        <f>IF(GameLog[[#This Row],[Date]]=MAX(GameLog[Date]),"Current","Previous")</f>
        <v>Previous</v>
      </c>
      <c r="L871" s="6"/>
      <c r="M8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1" s="6" t="str">
        <f ca="1">IF(GameLog[[#This Row],[Check]]="","",COUNTIF(GameLog[[#Headers],[Check]]:GameLog[[#This Row],[Check]],"?*")-1)</f>
        <v/>
      </c>
      <c r="O871" s="6" t="str">
        <f>IFERROR(INDEX(Players[New name],MATCH(GameLog[[#This Row],[Player]],Players[Name],0)),GameLog[[#This Row],[Player]])</f>
        <v>Brandon B</v>
      </c>
    </row>
    <row r="872" spans="1:15" x14ac:dyDescent="0.45">
      <c r="A872" s="6" t="s">
        <v>77</v>
      </c>
      <c r="B872" s="6" t="s">
        <v>50</v>
      </c>
      <c r="C872" s="6">
        <v>2</v>
      </c>
      <c r="D872" s="6">
        <v>3</v>
      </c>
      <c r="E872" s="6">
        <v>2</v>
      </c>
      <c r="F872" s="10">
        <v>46048</v>
      </c>
      <c r="G872" s="6" t="str">
        <f>_xlfn.TEXTJOIN("|",TRUE,GameLog[[#This Row],[Pod]],TEXT(INT(GameLog[[#This Row],[Round]]),"yyyymmdd"),GameLog[[#This Row],[Date]])</f>
        <v>3|19000102|46048</v>
      </c>
      <c r="H872" s="6">
        <f>COUNTIF(GameLog[Pod ID],GameLog[[#This Row],[Pod ID]])</f>
        <v>3</v>
      </c>
      <c r="I872" s="6">
        <f>YEAR(GameLog[[#This Row],[Date]])</f>
        <v>2026</v>
      </c>
      <c r="J872" s="6">
        <f>MONTH(GameLog[[#This Row],[Date]])</f>
        <v>1</v>
      </c>
      <c r="K872" s="6" t="str">
        <f>IF(GameLog[[#This Row],[Date]]=MAX(GameLog[Date]),"Current","Previous")</f>
        <v>Previous</v>
      </c>
      <c r="L872" s="6"/>
      <c r="M8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2" s="6" t="str">
        <f ca="1">IF(GameLog[[#This Row],[Check]]="","",COUNTIF(GameLog[[#Headers],[Check]]:GameLog[[#This Row],[Check]],"?*")-1)</f>
        <v/>
      </c>
      <c r="O872" s="6" t="str">
        <f>IFERROR(INDEX(Players[New name],MATCH(GameLog[[#This Row],[Player]],Players[Name],0)),GameLog[[#This Row],[Player]])</f>
        <v>Dave M</v>
      </c>
    </row>
    <row r="873" spans="1:15" x14ac:dyDescent="0.45">
      <c r="A873" s="6" t="s">
        <v>82</v>
      </c>
      <c r="B873" s="6" t="s">
        <v>53</v>
      </c>
      <c r="C873" s="6">
        <v>3</v>
      </c>
      <c r="D873" s="6">
        <v>3</v>
      </c>
      <c r="E873" s="6">
        <v>2</v>
      </c>
      <c r="F873" s="10">
        <v>46048</v>
      </c>
      <c r="G873" s="6" t="str">
        <f>_xlfn.TEXTJOIN("|",TRUE,GameLog[[#This Row],[Pod]],TEXT(INT(GameLog[[#This Row],[Round]]),"yyyymmdd"),GameLog[[#This Row],[Date]])</f>
        <v>3|19000102|46048</v>
      </c>
      <c r="H873" s="6">
        <f>COUNTIF(GameLog[Pod ID],GameLog[[#This Row],[Pod ID]])</f>
        <v>3</v>
      </c>
      <c r="I873" s="6">
        <f>YEAR(GameLog[[#This Row],[Date]])</f>
        <v>2026</v>
      </c>
      <c r="J873" s="6">
        <f>MONTH(GameLog[[#This Row],[Date]])</f>
        <v>1</v>
      </c>
      <c r="K873" s="6" t="str">
        <f>IF(GameLog[[#This Row],[Date]]=MAX(GameLog[Date]),"Current","Previous")</f>
        <v>Previous</v>
      </c>
      <c r="L873" s="6"/>
      <c r="M8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3" s="6" t="str">
        <f ca="1">IF(GameLog[[#This Row],[Check]]="","",COUNTIF(GameLog[[#Headers],[Check]]:GameLog[[#This Row],[Check]],"?*")-1)</f>
        <v/>
      </c>
      <c r="O873" s="6" t="str">
        <f>IFERROR(INDEX(Players[New name],MATCH(GameLog[[#This Row],[Player]],Players[Name],0)),GameLog[[#This Row],[Player]])</f>
        <v>Nick D</v>
      </c>
    </row>
    <row r="874" spans="1:15" x14ac:dyDescent="0.45">
      <c r="A874" s="6" t="s">
        <v>75</v>
      </c>
      <c r="B874" s="6" t="s">
        <v>53</v>
      </c>
      <c r="C874" s="6">
        <v>1</v>
      </c>
      <c r="D874" s="6">
        <v>4</v>
      </c>
      <c r="E874" s="6">
        <v>2</v>
      </c>
      <c r="F874" s="10">
        <v>46048</v>
      </c>
      <c r="G874" s="6" t="str">
        <f>_xlfn.TEXTJOIN("|",TRUE,GameLog[[#This Row],[Pod]],TEXT(INT(GameLog[[#This Row],[Round]]),"yyyymmdd"),GameLog[[#This Row],[Date]])</f>
        <v>4|19000102|46048</v>
      </c>
      <c r="H874" s="6">
        <f>COUNTIF(GameLog[Pod ID],GameLog[[#This Row],[Pod ID]])</f>
        <v>3</v>
      </c>
      <c r="I874" s="6">
        <f>YEAR(GameLog[[#This Row],[Date]])</f>
        <v>2026</v>
      </c>
      <c r="J874" s="6">
        <f>MONTH(GameLog[[#This Row],[Date]])</f>
        <v>1</v>
      </c>
      <c r="K874" s="6" t="str">
        <f>IF(GameLog[[#This Row],[Date]]=MAX(GameLog[Date]),"Current","Previous")</f>
        <v>Previous</v>
      </c>
      <c r="L874" s="6"/>
      <c r="M8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4" s="6" t="str">
        <f ca="1">IF(GameLog[[#This Row],[Check]]="","",COUNTIF(GameLog[[#Headers],[Check]]:GameLog[[#This Row],[Check]],"?*")-1)</f>
        <v/>
      </c>
      <c r="O874" s="6" t="str">
        <f>IFERROR(INDEX(Players[New name],MATCH(GameLog[[#This Row],[Player]],Players[Name],0)),GameLog[[#This Row],[Player]])</f>
        <v>Eli T</v>
      </c>
    </row>
    <row r="875" spans="1:15" x14ac:dyDescent="0.45">
      <c r="A875" s="6" t="s">
        <v>49</v>
      </c>
      <c r="B875" s="6" t="s">
        <v>53</v>
      </c>
      <c r="C875" s="6">
        <v>2</v>
      </c>
      <c r="D875" s="6">
        <v>4</v>
      </c>
      <c r="E875" s="6">
        <v>2</v>
      </c>
      <c r="F875" s="10">
        <v>46048</v>
      </c>
      <c r="G875" s="6" t="str">
        <f>_xlfn.TEXTJOIN("|",TRUE,GameLog[[#This Row],[Pod]],TEXT(INT(GameLog[[#This Row],[Round]]),"yyyymmdd"),GameLog[[#This Row],[Date]])</f>
        <v>4|19000102|46048</v>
      </c>
      <c r="H875" s="6">
        <f>COUNTIF(GameLog[Pod ID],GameLog[[#This Row],[Pod ID]])</f>
        <v>3</v>
      </c>
      <c r="I875" s="6">
        <f>YEAR(GameLog[[#This Row],[Date]])</f>
        <v>2026</v>
      </c>
      <c r="J875" s="6">
        <f>MONTH(GameLog[[#This Row],[Date]])</f>
        <v>1</v>
      </c>
      <c r="K875" s="6" t="str">
        <f>IF(GameLog[[#This Row],[Date]]=MAX(GameLog[Date]),"Current","Previous")</f>
        <v>Previous</v>
      </c>
      <c r="L875" s="6"/>
      <c r="M8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5" s="6" t="str">
        <f ca="1">IF(GameLog[[#This Row],[Check]]="","",COUNTIF(GameLog[[#Headers],[Check]]:GameLog[[#This Row],[Check]],"?*")-1)</f>
        <v/>
      </c>
      <c r="O875" s="6" t="str">
        <f>IFERROR(INDEX(Players[New name],MATCH(GameLog[[#This Row],[Player]],Players[Name],0)),GameLog[[#This Row],[Player]])</f>
        <v>Brett R</v>
      </c>
    </row>
    <row r="876" spans="1:15" x14ac:dyDescent="0.45">
      <c r="A876" s="6" t="s">
        <v>92</v>
      </c>
      <c r="B876" s="6" t="s">
        <v>50</v>
      </c>
      <c r="C876" s="6">
        <v>3</v>
      </c>
      <c r="D876" s="6">
        <v>4</v>
      </c>
      <c r="E876" s="6">
        <v>2</v>
      </c>
      <c r="F876" s="10">
        <v>46048</v>
      </c>
      <c r="G876" s="6" t="str">
        <f>_xlfn.TEXTJOIN("|",TRUE,GameLog[[#This Row],[Pod]],TEXT(INT(GameLog[[#This Row],[Round]]),"yyyymmdd"),GameLog[[#This Row],[Date]])</f>
        <v>4|19000102|46048</v>
      </c>
      <c r="H876" s="6">
        <f>COUNTIF(GameLog[Pod ID],GameLog[[#This Row],[Pod ID]])</f>
        <v>3</v>
      </c>
      <c r="I876" s="6">
        <f>YEAR(GameLog[[#This Row],[Date]])</f>
        <v>2026</v>
      </c>
      <c r="J876" s="6">
        <f>MONTH(GameLog[[#This Row],[Date]])</f>
        <v>1</v>
      </c>
      <c r="K876" s="6" t="str">
        <f>IF(GameLog[[#This Row],[Date]]=MAX(GameLog[Date]),"Current","Previous")</f>
        <v>Previous</v>
      </c>
      <c r="L876" s="6"/>
      <c r="M8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6" s="6" t="str">
        <f ca="1">IF(GameLog[[#This Row],[Check]]="","",COUNTIF(GameLog[[#Headers],[Check]]:GameLog[[#This Row],[Check]],"?*")-1)</f>
        <v/>
      </c>
      <c r="O876" s="6" t="str">
        <f>IFERROR(INDEX(Players[New name],MATCH(GameLog[[#This Row],[Player]],Players[Name],0)),GameLog[[#This Row],[Player]])</f>
        <v>Harley A</v>
      </c>
    </row>
    <row r="877" spans="1:15" x14ac:dyDescent="0.45">
      <c r="A877" s="6" t="s">
        <v>58</v>
      </c>
      <c r="B877" s="6" t="s">
        <v>53</v>
      </c>
      <c r="C877" s="6">
        <v>1</v>
      </c>
      <c r="D877" s="6">
        <v>5</v>
      </c>
      <c r="E877" s="6">
        <v>2</v>
      </c>
      <c r="F877" s="10">
        <v>46048</v>
      </c>
      <c r="G877" s="6" t="str">
        <f>_xlfn.TEXTJOIN("|",TRUE,GameLog[[#This Row],[Pod]],TEXT(INT(GameLog[[#This Row],[Round]]),"yyyymmdd"),GameLog[[#This Row],[Date]])</f>
        <v>5|19000102|46048</v>
      </c>
      <c r="H877" s="6">
        <f>COUNTIF(GameLog[Pod ID],GameLog[[#This Row],[Pod ID]])</f>
        <v>4</v>
      </c>
      <c r="I877" s="6">
        <f>YEAR(GameLog[[#This Row],[Date]])</f>
        <v>2026</v>
      </c>
      <c r="J877" s="6">
        <f>MONTH(GameLog[[#This Row],[Date]])</f>
        <v>1</v>
      </c>
      <c r="K877" s="6" t="str">
        <f>IF(GameLog[[#This Row],[Date]]=MAX(GameLog[Date]),"Current","Previous")</f>
        <v>Previous</v>
      </c>
      <c r="L877" s="6"/>
      <c r="M8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7" s="6" t="str">
        <f ca="1">IF(GameLog[[#This Row],[Check]]="","",COUNTIF(GameLog[[#Headers],[Check]]:GameLog[[#This Row],[Check]],"?*")-1)</f>
        <v/>
      </c>
      <c r="O877" s="6" t="str">
        <f>IFERROR(INDEX(Players[New name],MATCH(GameLog[[#This Row],[Player]],Players[Name],0)),GameLog[[#This Row],[Player]])</f>
        <v>Dakota P</v>
      </c>
    </row>
    <row r="878" spans="1:15" x14ac:dyDescent="0.45">
      <c r="A878" s="6" t="s">
        <v>64</v>
      </c>
      <c r="B878" s="6" t="s">
        <v>50</v>
      </c>
      <c r="C878" s="6">
        <v>2</v>
      </c>
      <c r="D878" s="6">
        <v>5</v>
      </c>
      <c r="E878" s="6">
        <v>2</v>
      </c>
      <c r="F878" s="10">
        <v>46048</v>
      </c>
      <c r="G878" s="6" t="str">
        <f>_xlfn.TEXTJOIN("|",TRUE,GameLog[[#This Row],[Pod]],TEXT(INT(GameLog[[#This Row],[Round]]),"yyyymmdd"),GameLog[[#This Row],[Date]])</f>
        <v>5|19000102|46048</v>
      </c>
      <c r="H878" s="6">
        <f>COUNTIF(GameLog[Pod ID],GameLog[[#This Row],[Pod ID]])</f>
        <v>4</v>
      </c>
      <c r="I878" s="6">
        <f>YEAR(GameLog[[#This Row],[Date]])</f>
        <v>2026</v>
      </c>
      <c r="J878" s="6">
        <f>MONTH(GameLog[[#This Row],[Date]])</f>
        <v>1</v>
      </c>
      <c r="K878" s="6" t="str">
        <f>IF(GameLog[[#This Row],[Date]]=MAX(GameLog[Date]),"Current","Previous")</f>
        <v>Previous</v>
      </c>
      <c r="L878" s="6"/>
      <c r="M8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8" s="6" t="str">
        <f ca="1">IF(GameLog[[#This Row],[Check]]="","",COUNTIF(GameLog[[#Headers],[Check]]:GameLog[[#This Row],[Check]],"?*")-1)</f>
        <v/>
      </c>
      <c r="O878" s="6" t="str">
        <f>IFERROR(INDEX(Players[New name],MATCH(GameLog[[#This Row],[Player]],Players[Name],0)),GameLog[[#This Row],[Player]])</f>
        <v>Tyler B</v>
      </c>
    </row>
    <row r="879" spans="1:15" x14ac:dyDescent="0.45">
      <c r="A879" s="6" t="s">
        <v>61</v>
      </c>
      <c r="B879" s="6" t="s">
        <v>53</v>
      </c>
      <c r="C879" s="6">
        <v>3</v>
      </c>
      <c r="D879" s="6">
        <v>5</v>
      </c>
      <c r="E879" s="6">
        <v>2</v>
      </c>
      <c r="F879" s="10">
        <v>46048</v>
      </c>
      <c r="G879" s="6" t="str">
        <f>_xlfn.TEXTJOIN("|",TRUE,GameLog[[#This Row],[Pod]],TEXT(INT(GameLog[[#This Row],[Round]]),"yyyymmdd"),GameLog[[#This Row],[Date]])</f>
        <v>5|19000102|46048</v>
      </c>
      <c r="H879" s="6">
        <f>COUNTIF(GameLog[Pod ID],GameLog[[#This Row],[Pod ID]])</f>
        <v>4</v>
      </c>
      <c r="I879" s="6">
        <f>YEAR(GameLog[[#This Row],[Date]])</f>
        <v>2026</v>
      </c>
      <c r="J879" s="6">
        <f>MONTH(GameLog[[#This Row],[Date]])</f>
        <v>1</v>
      </c>
      <c r="K879" s="6" t="str">
        <f>IF(GameLog[[#This Row],[Date]]=MAX(GameLog[Date]),"Current","Previous")</f>
        <v>Previous</v>
      </c>
      <c r="L879" s="6"/>
      <c r="M8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79" s="6" t="str">
        <f ca="1">IF(GameLog[[#This Row],[Check]]="","",COUNTIF(GameLog[[#Headers],[Check]]:GameLog[[#This Row],[Check]],"?*")-1)</f>
        <v/>
      </c>
      <c r="O879" s="6" t="str">
        <f>IFERROR(INDEX(Players[New name],MATCH(GameLog[[#This Row],[Player]],Players[Name],0)),GameLog[[#This Row],[Player]])</f>
        <v>Trevor</v>
      </c>
    </row>
    <row r="880" spans="1:15" x14ac:dyDescent="0.45">
      <c r="A880" s="6" t="s">
        <v>55</v>
      </c>
      <c r="B880" s="6" t="s">
        <v>53</v>
      </c>
      <c r="C880" s="6">
        <v>4</v>
      </c>
      <c r="D880" s="6">
        <v>5</v>
      </c>
      <c r="E880" s="6">
        <v>2</v>
      </c>
      <c r="F880" s="10">
        <v>46048</v>
      </c>
      <c r="G880" s="6" t="str">
        <f>_xlfn.TEXTJOIN("|",TRUE,GameLog[[#This Row],[Pod]],TEXT(INT(GameLog[[#This Row],[Round]]),"yyyymmdd"),GameLog[[#This Row],[Date]])</f>
        <v>5|19000102|46048</v>
      </c>
      <c r="H880" s="6">
        <f>COUNTIF(GameLog[Pod ID],GameLog[[#This Row],[Pod ID]])</f>
        <v>4</v>
      </c>
      <c r="I880" s="6">
        <f>YEAR(GameLog[[#This Row],[Date]])</f>
        <v>2026</v>
      </c>
      <c r="J880" s="6">
        <f>MONTH(GameLog[[#This Row],[Date]])</f>
        <v>1</v>
      </c>
      <c r="K880" s="6" t="str">
        <f>IF(GameLog[[#This Row],[Date]]=MAX(GameLog[Date]),"Current","Previous")</f>
        <v>Previous</v>
      </c>
      <c r="L880" s="6"/>
      <c r="M8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0" s="6" t="str">
        <f ca="1">IF(GameLog[[#This Row],[Check]]="","",COUNTIF(GameLog[[#Headers],[Check]]:GameLog[[#This Row],[Check]],"?*")-1)</f>
        <v/>
      </c>
      <c r="O880" s="6" t="str">
        <f>IFERROR(INDEX(Players[New name],MATCH(GameLog[[#This Row],[Player]],Players[Name],0)),GameLog[[#This Row],[Player]])</f>
        <v>Bryce C</v>
      </c>
    </row>
    <row r="881" spans="1:15" x14ac:dyDescent="0.45">
      <c r="A881" s="6" t="s">
        <v>57</v>
      </c>
      <c r="B881" s="6" t="s">
        <v>53</v>
      </c>
      <c r="C881" s="6">
        <v>1</v>
      </c>
      <c r="D881" s="6">
        <v>6</v>
      </c>
      <c r="E881" s="6">
        <v>2</v>
      </c>
      <c r="F881" s="10">
        <v>46048</v>
      </c>
      <c r="G881" s="6" t="str">
        <f>_xlfn.TEXTJOIN("|",TRUE,GameLog[[#This Row],[Pod]],TEXT(INT(GameLog[[#This Row],[Round]]),"yyyymmdd"),GameLog[[#This Row],[Date]])</f>
        <v>6|19000102|46048</v>
      </c>
      <c r="H881" s="6">
        <f>COUNTIF(GameLog[Pod ID],GameLog[[#This Row],[Pod ID]])</f>
        <v>4</v>
      </c>
      <c r="I881" s="6">
        <f>YEAR(GameLog[[#This Row],[Date]])</f>
        <v>2026</v>
      </c>
      <c r="J881" s="6">
        <f>MONTH(GameLog[[#This Row],[Date]])</f>
        <v>1</v>
      </c>
      <c r="K881" s="6" t="str">
        <f>IF(GameLog[[#This Row],[Date]]=MAX(GameLog[Date]),"Current","Previous")</f>
        <v>Previous</v>
      </c>
      <c r="L881" s="6"/>
      <c r="M8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1" s="6" t="str">
        <f ca="1">IF(GameLog[[#This Row],[Check]]="","",COUNTIF(GameLog[[#Headers],[Check]]:GameLog[[#This Row],[Check]],"?*")-1)</f>
        <v/>
      </c>
      <c r="O881" s="6" t="str">
        <f>IFERROR(INDEX(Players[New name],MATCH(GameLog[[#This Row],[Player]],Players[Name],0)),GameLog[[#This Row],[Player]])</f>
        <v>AJ W</v>
      </c>
    </row>
    <row r="882" spans="1:15" x14ac:dyDescent="0.45">
      <c r="A882" s="6" t="s">
        <v>68</v>
      </c>
      <c r="B882" s="6" t="s">
        <v>53</v>
      </c>
      <c r="C882" s="6">
        <v>2</v>
      </c>
      <c r="D882" s="6">
        <v>6</v>
      </c>
      <c r="E882" s="6">
        <v>2</v>
      </c>
      <c r="F882" s="10">
        <v>46048</v>
      </c>
      <c r="G882" s="6" t="str">
        <f>_xlfn.TEXTJOIN("|",TRUE,GameLog[[#This Row],[Pod]],TEXT(INT(GameLog[[#This Row],[Round]]),"yyyymmdd"),GameLog[[#This Row],[Date]])</f>
        <v>6|19000102|46048</v>
      </c>
      <c r="H882" s="6">
        <f>COUNTIF(GameLog[Pod ID],GameLog[[#This Row],[Pod ID]])</f>
        <v>4</v>
      </c>
      <c r="I882" s="6">
        <f>YEAR(GameLog[[#This Row],[Date]])</f>
        <v>2026</v>
      </c>
      <c r="J882" s="6">
        <f>MONTH(GameLog[[#This Row],[Date]])</f>
        <v>1</v>
      </c>
      <c r="K882" s="6" t="str">
        <f>IF(GameLog[[#This Row],[Date]]=MAX(GameLog[Date]),"Current","Previous")</f>
        <v>Previous</v>
      </c>
      <c r="L882" s="6"/>
      <c r="M8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2" s="6" t="str">
        <f ca="1">IF(GameLog[[#This Row],[Check]]="","",COUNTIF(GameLog[[#Headers],[Check]]:GameLog[[#This Row],[Check]],"?*")-1)</f>
        <v/>
      </c>
      <c r="O882" s="6" t="str">
        <f>IFERROR(INDEX(Players[New name],MATCH(GameLog[[#This Row],[Player]],Players[Name],0)),GameLog[[#This Row],[Player]])</f>
        <v>Edwin M</v>
      </c>
    </row>
    <row r="883" spans="1:15" x14ac:dyDescent="0.45">
      <c r="A883" s="6" t="s">
        <v>76</v>
      </c>
      <c r="B883" s="6" t="s">
        <v>50</v>
      </c>
      <c r="C883" s="6">
        <v>3</v>
      </c>
      <c r="D883" s="6">
        <v>6</v>
      </c>
      <c r="E883" s="6">
        <v>2</v>
      </c>
      <c r="F883" s="10">
        <v>46048</v>
      </c>
      <c r="G883" s="6" t="str">
        <f>_xlfn.TEXTJOIN("|",TRUE,GameLog[[#This Row],[Pod]],TEXT(INT(GameLog[[#This Row],[Round]]),"yyyymmdd"),GameLog[[#This Row],[Date]])</f>
        <v>6|19000102|46048</v>
      </c>
      <c r="H883" s="6">
        <f>COUNTIF(GameLog[Pod ID],GameLog[[#This Row],[Pod ID]])</f>
        <v>4</v>
      </c>
      <c r="I883" s="6">
        <f>YEAR(GameLog[[#This Row],[Date]])</f>
        <v>2026</v>
      </c>
      <c r="J883" s="6">
        <f>MONTH(GameLog[[#This Row],[Date]])</f>
        <v>1</v>
      </c>
      <c r="K883" s="6" t="str">
        <f>IF(GameLog[[#This Row],[Date]]=MAX(GameLog[Date]),"Current","Previous")</f>
        <v>Previous</v>
      </c>
      <c r="L883" s="6"/>
      <c r="M8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3" s="6" t="str">
        <f ca="1">IF(GameLog[[#This Row],[Check]]="","",COUNTIF(GameLog[[#Headers],[Check]]:GameLog[[#This Row],[Check]],"?*")-1)</f>
        <v/>
      </c>
      <c r="O883" s="6" t="str">
        <f>IFERROR(INDEX(Players[New name],MATCH(GameLog[[#This Row],[Player]],Players[Name],0)),GameLog[[#This Row],[Player]])</f>
        <v>Jon M</v>
      </c>
    </row>
    <row r="884" spans="1:15" x14ac:dyDescent="0.45">
      <c r="A884" s="6" t="s">
        <v>74</v>
      </c>
      <c r="B884" s="6" t="s">
        <v>53</v>
      </c>
      <c r="C884" s="6">
        <v>4</v>
      </c>
      <c r="D884" s="6">
        <v>6</v>
      </c>
      <c r="E884" s="6">
        <v>2</v>
      </c>
      <c r="F884" s="10">
        <v>46048</v>
      </c>
      <c r="G884" s="6" t="str">
        <f>_xlfn.TEXTJOIN("|",TRUE,GameLog[[#This Row],[Pod]],TEXT(INT(GameLog[[#This Row],[Round]]),"yyyymmdd"),GameLog[[#This Row],[Date]])</f>
        <v>6|19000102|46048</v>
      </c>
      <c r="H884" s="6">
        <f>COUNTIF(GameLog[Pod ID],GameLog[[#This Row],[Pod ID]])</f>
        <v>4</v>
      </c>
      <c r="I884" s="6">
        <f>YEAR(GameLog[[#This Row],[Date]])</f>
        <v>2026</v>
      </c>
      <c r="J884" s="6">
        <f>MONTH(GameLog[[#This Row],[Date]])</f>
        <v>1</v>
      </c>
      <c r="K884" s="6" t="str">
        <f>IF(GameLog[[#This Row],[Date]]=MAX(GameLog[Date]),"Current","Previous")</f>
        <v>Previous</v>
      </c>
      <c r="L884" s="6"/>
      <c r="M8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4" s="6" t="str">
        <f ca="1">IF(GameLog[[#This Row],[Check]]="","",COUNTIF(GameLog[[#Headers],[Check]]:GameLog[[#This Row],[Check]],"?*")-1)</f>
        <v/>
      </c>
      <c r="O884" s="6" t="str">
        <f>IFERROR(INDEX(Players[New name],MATCH(GameLog[[#This Row],[Player]],Players[Name],0)),GameLog[[#This Row],[Player]])</f>
        <v>Jarrod O</v>
      </c>
    </row>
    <row r="885" spans="1:15" x14ac:dyDescent="0.45">
      <c r="A885" s="6" t="s">
        <v>63</v>
      </c>
      <c r="B885" s="6" t="s">
        <v>50</v>
      </c>
      <c r="C885" s="6">
        <v>1</v>
      </c>
      <c r="D885" s="6">
        <v>7</v>
      </c>
      <c r="E885" s="6">
        <v>2</v>
      </c>
      <c r="F885" s="10">
        <v>46048</v>
      </c>
      <c r="G885" s="6" t="str">
        <f>_xlfn.TEXTJOIN("|",TRUE,GameLog[[#This Row],[Pod]],TEXT(INT(GameLog[[#This Row],[Round]]),"yyyymmdd"),GameLog[[#This Row],[Date]])</f>
        <v>7|19000102|46048</v>
      </c>
      <c r="H885" s="6">
        <f>COUNTIF(GameLog[Pod ID],GameLog[[#This Row],[Pod ID]])</f>
        <v>3</v>
      </c>
      <c r="I885" s="6">
        <f>YEAR(GameLog[[#This Row],[Date]])</f>
        <v>2026</v>
      </c>
      <c r="J885" s="6">
        <f>MONTH(GameLog[[#This Row],[Date]])</f>
        <v>1</v>
      </c>
      <c r="K885" s="6" t="str">
        <f>IF(GameLog[[#This Row],[Date]]=MAX(GameLog[Date]),"Current","Previous")</f>
        <v>Previous</v>
      </c>
      <c r="L885" s="6"/>
      <c r="M8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5" s="6" t="str">
        <f ca="1">IF(GameLog[[#This Row],[Check]]="","",COUNTIF(GameLog[[#Headers],[Check]]:GameLog[[#This Row],[Check]],"?*")-1)</f>
        <v/>
      </c>
      <c r="O885" s="6" t="str">
        <f>IFERROR(INDEX(Players[New name],MATCH(GameLog[[#This Row],[Player]],Players[Name],0)),GameLog[[#This Row],[Player]])</f>
        <v>Jake D</v>
      </c>
    </row>
    <row r="886" spans="1:15" x14ac:dyDescent="0.45">
      <c r="A886" s="6" t="s">
        <v>78</v>
      </c>
      <c r="B886" s="6" t="s">
        <v>53</v>
      </c>
      <c r="C886" s="6">
        <v>2</v>
      </c>
      <c r="D886" s="6">
        <v>7</v>
      </c>
      <c r="E886" s="6">
        <v>2</v>
      </c>
      <c r="F886" s="10">
        <v>46048</v>
      </c>
      <c r="G886" s="6" t="str">
        <f>_xlfn.TEXTJOIN("|",TRUE,GameLog[[#This Row],[Pod]],TEXT(INT(GameLog[[#This Row],[Round]]),"yyyymmdd"),GameLog[[#This Row],[Date]])</f>
        <v>7|19000102|46048</v>
      </c>
      <c r="H886" s="6">
        <f>COUNTIF(GameLog[Pod ID],GameLog[[#This Row],[Pod ID]])</f>
        <v>3</v>
      </c>
      <c r="I886" s="6">
        <f>YEAR(GameLog[[#This Row],[Date]])</f>
        <v>2026</v>
      </c>
      <c r="J886" s="6">
        <f>MONTH(GameLog[[#This Row],[Date]])</f>
        <v>1</v>
      </c>
      <c r="K886" s="6" t="str">
        <f>IF(GameLog[[#This Row],[Date]]=MAX(GameLog[Date]),"Current","Previous")</f>
        <v>Previous</v>
      </c>
      <c r="L886" s="6"/>
      <c r="M8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6" s="6" t="str">
        <f ca="1">IF(GameLog[[#This Row],[Check]]="","",COUNTIF(GameLog[[#Headers],[Check]]:GameLog[[#This Row],[Check]],"?*")-1)</f>
        <v/>
      </c>
      <c r="O886" s="6" t="str">
        <f>IFERROR(INDEX(Players[New name],MATCH(GameLog[[#This Row],[Player]],Players[Name],0)),GameLog[[#This Row],[Player]])</f>
        <v>Justin M</v>
      </c>
    </row>
    <row r="887" spans="1:15" x14ac:dyDescent="0.45">
      <c r="A887" s="6" t="s">
        <v>94</v>
      </c>
      <c r="B887" s="6" t="s">
        <v>53</v>
      </c>
      <c r="C887" s="6">
        <v>3</v>
      </c>
      <c r="D887" s="6">
        <v>7</v>
      </c>
      <c r="E887" s="6">
        <v>2</v>
      </c>
      <c r="F887" s="10">
        <v>46048</v>
      </c>
      <c r="G887" s="6" t="str">
        <f>_xlfn.TEXTJOIN("|",TRUE,GameLog[[#This Row],[Pod]],TEXT(INT(GameLog[[#This Row],[Round]]),"yyyymmdd"),GameLog[[#This Row],[Date]])</f>
        <v>7|19000102|46048</v>
      </c>
      <c r="H887" s="6">
        <f>COUNTIF(GameLog[Pod ID],GameLog[[#This Row],[Pod ID]])</f>
        <v>3</v>
      </c>
      <c r="I887" s="6">
        <f>YEAR(GameLog[[#This Row],[Date]])</f>
        <v>2026</v>
      </c>
      <c r="J887" s="6">
        <f>MONTH(GameLog[[#This Row],[Date]])</f>
        <v>1</v>
      </c>
      <c r="K887" s="6" t="str">
        <f>IF(GameLog[[#This Row],[Date]]=MAX(GameLog[Date]),"Current","Previous")</f>
        <v>Previous</v>
      </c>
      <c r="L887" s="6"/>
      <c r="M8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7" s="6" t="str">
        <f ca="1">IF(GameLog[[#This Row],[Check]]="","",COUNTIF(GameLog[[#Headers],[Check]]:GameLog[[#This Row],[Check]],"?*")-1)</f>
        <v/>
      </c>
      <c r="O887" s="6" t="str">
        <f>IFERROR(INDEX(Players[New name],MATCH(GameLog[[#This Row],[Player]],Players[Name],0)),GameLog[[#This Row],[Player]])</f>
        <v>Austin D</v>
      </c>
    </row>
    <row r="888" spans="1:15" x14ac:dyDescent="0.45">
      <c r="A888" s="6" t="s">
        <v>96</v>
      </c>
      <c r="B888" s="6" t="s">
        <v>90</v>
      </c>
      <c r="C888" s="6">
        <v>1</v>
      </c>
      <c r="D888" s="6">
        <v>1</v>
      </c>
      <c r="E888" s="6">
        <v>1</v>
      </c>
      <c r="F888" s="10">
        <v>46055</v>
      </c>
      <c r="G888" s="6" t="str">
        <f>_xlfn.TEXTJOIN("|",TRUE,GameLog[[#This Row],[Pod]],TEXT(INT(GameLog[[#This Row],[Round]]),"yyyymmdd"),GameLog[[#This Row],[Date]])</f>
        <v>1|19000101|46055</v>
      </c>
      <c r="H888" s="6">
        <f>COUNTIF(GameLog[Pod ID],GameLog[[#This Row],[Pod ID]])</f>
        <v>4</v>
      </c>
      <c r="I888" s="6">
        <f>YEAR(GameLog[[#This Row],[Date]])</f>
        <v>2026</v>
      </c>
      <c r="J888" s="6">
        <f>MONTH(GameLog[[#This Row],[Date]])</f>
        <v>2</v>
      </c>
      <c r="K888" s="6" t="str">
        <f>IF(GameLog[[#This Row],[Date]]=MAX(GameLog[Date]),"Current","Previous")</f>
        <v>Previous</v>
      </c>
      <c r="L888" s="6"/>
      <c r="M8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8" s="6" t="str">
        <f ca="1">IF(GameLog[[#This Row],[Check]]="","",COUNTIF(GameLog[[#Headers],[Check]]:GameLog[[#This Row],[Check]],"?*")-1)</f>
        <v/>
      </c>
      <c r="O888" s="6" t="str">
        <f>IFERROR(INDEX(Players[New name],MATCH(GameLog[[#This Row],[Player]],Players[Name],0)),GameLog[[#This Row],[Player]])</f>
        <v>Brandon A</v>
      </c>
    </row>
    <row r="889" spans="1:15" x14ac:dyDescent="0.45">
      <c r="A889" s="6" t="s">
        <v>73</v>
      </c>
      <c r="B889" s="6" t="s">
        <v>90</v>
      </c>
      <c r="C889" s="6">
        <v>2</v>
      </c>
      <c r="D889" s="6">
        <v>1</v>
      </c>
      <c r="E889" s="6">
        <v>1</v>
      </c>
      <c r="F889" s="10">
        <v>46055</v>
      </c>
      <c r="G889" s="6" t="str">
        <f>_xlfn.TEXTJOIN("|",TRUE,GameLog[[#This Row],[Pod]],TEXT(INT(GameLog[[#This Row],[Round]]),"yyyymmdd"),GameLog[[#This Row],[Date]])</f>
        <v>1|19000101|46055</v>
      </c>
      <c r="H889" s="6">
        <f>COUNTIF(GameLog[Pod ID],GameLog[[#This Row],[Pod ID]])</f>
        <v>4</v>
      </c>
      <c r="I889" s="6">
        <f>YEAR(GameLog[[#This Row],[Date]])</f>
        <v>2026</v>
      </c>
      <c r="J889" s="6">
        <f>MONTH(GameLog[[#This Row],[Date]])</f>
        <v>2</v>
      </c>
      <c r="K889" s="6" t="str">
        <f>IF(GameLog[[#This Row],[Date]]=MAX(GameLog[Date]),"Current","Previous")</f>
        <v>Previous</v>
      </c>
      <c r="L889" s="6"/>
      <c r="M8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89" s="6" t="str">
        <f ca="1">IF(GameLog[[#This Row],[Check]]="","",COUNTIF(GameLog[[#Headers],[Check]]:GameLog[[#This Row],[Check]],"?*")-1)</f>
        <v/>
      </c>
      <c r="O889" s="6" t="str">
        <f>IFERROR(INDEX(Players[New name],MATCH(GameLog[[#This Row],[Player]],Players[Name],0)),GameLog[[#This Row],[Player]])</f>
        <v>Brandon B</v>
      </c>
    </row>
    <row r="890" spans="1:15" x14ac:dyDescent="0.45">
      <c r="A890" s="6" t="s">
        <v>77</v>
      </c>
      <c r="B890" s="6" t="s">
        <v>90</v>
      </c>
      <c r="C890" s="6">
        <v>3</v>
      </c>
      <c r="D890" s="6">
        <v>1</v>
      </c>
      <c r="E890" s="6">
        <v>1</v>
      </c>
      <c r="F890" s="10">
        <v>46055</v>
      </c>
      <c r="G890" s="6" t="str">
        <f>_xlfn.TEXTJOIN("|",TRUE,GameLog[[#This Row],[Pod]],TEXT(INT(GameLog[[#This Row],[Round]]),"yyyymmdd"),GameLog[[#This Row],[Date]])</f>
        <v>1|19000101|46055</v>
      </c>
      <c r="H890" s="6">
        <f>COUNTIF(GameLog[Pod ID],GameLog[[#This Row],[Pod ID]])</f>
        <v>4</v>
      </c>
      <c r="I890" s="6">
        <f>YEAR(GameLog[[#This Row],[Date]])</f>
        <v>2026</v>
      </c>
      <c r="J890" s="6">
        <f>MONTH(GameLog[[#This Row],[Date]])</f>
        <v>2</v>
      </c>
      <c r="K890" s="6" t="str">
        <f>IF(GameLog[[#This Row],[Date]]=MAX(GameLog[Date]),"Current","Previous")</f>
        <v>Previous</v>
      </c>
      <c r="L890" s="6"/>
      <c r="M8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0" s="6" t="str">
        <f ca="1">IF(GameLog[[#This Row],[Check]]="","",COUNTIF(GameLog[[#Headers],[Check]]:GameLog[[#This Row],[Check]],"?*")-1)</f>
        <v/>
      </c>
      <c r="O890" s="6" t="str">
        <f>IFERROR(INDEX(Players[New name],MATCH(GameLog[[#This Row],[Player]],Players[Name],0)),GameLog[[#This Row],[Player]])</f>
        <v>Dave M</v>
      </c>
    </row>
    <row r="891" spans="1:15" x14ac:dyDescent="0.45">
      <c r="A891" s="6" t="s">
        <v>71</v>
      </c>
      <c r="B891" s="6" t="s">
        <v>90</v>
      </c>
      <c r="C891" s="6">
        <v>4</v>
      </c>
      <c r="D891" s="6">
        <v>1</v>
      </c>
      <c r="E891" s="6">
        <v>1</v>
      </c>
      <c r="F891" s="10">
        <v>46055</v>
      </c>
      <c r="G891" s="6" t="str">
        <f>_xlfn.TEXTJOIN("|",TRUE,GameLog[[#This Row],[Pod]],TEXT(INT(GameLog[[#This Row],[Round]]),"yyyymmdd"),GameLog[[#This Row],[Date]])</f>
        <v>1|19000101|46055</v>
      </c>
      <c r="H891" s="6">
        <f>COUNTIF(GameLog[Pod ID],GameLog[[#This Row],[Pod ID]])</f>
        <v>4</v>
      </c>
      <c r="I891" s="6">
        <f>YEAR(GameLog[[#This Row],[Date]])</f>
        <v>2026</v>
      </c>
      <c r="J891" s="6">
        <f>MONTH(GameLog[[#This Row],[Date]])</f>
        <v>2</v>
      </c>
      <c r="K891" s="6" t="str">
        <f>IF(GameLog[[#This Row],[Date]]=MAX(GameLog[Date]),"Current","Previous")</f>
        <v>Previous</v>
      </c>
      <c r="L891" s="6"/>
      <c r="M8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1" s="6" t="str">
        <f ca="1">IF(GameLog[[#This Row],[Check]]="","",COUNTIF(GameLog[[#Headers],[Check]]:GameLog[[#This Row],[Check]],"?*")-1)</f>
        <v/>
      </c>
      <c r="O891" s="6" t="str">
        <f>IFERROR(INDEX(Players[New name],MATCH(GameLog[[#This Row],[Player]],Players[Name],0)),GameLog[[#This Row],[Player]])</f>
        <v>Rodney Y</v>
      </c>
    </row>
    <row r="892" spans="1:15" x14ac:dyDescent="0.45">
      <c r="A892" s="6" t="s">
        <v>63</v>
      </c>
      <c r="B892" s="6" t="s">
        <v>53</v>
      </c>
      <c r="C892" s="6">
        <v>1</v>
      </c>
      <c r="D892" s="6">
        <v>2</v>
      </c>
      <c r="E892" s="6">
        <v>1</v>
      </c>
      <c r="F892" s="10">
        <v>46055</v>
      </c>
      <c r="G892" s="6" t="str">
        <f>_xlfn.TEXTJOIN("|",TRUE,GameLog[[#This Row],[Pod]],TEXT(INT(GameLog[[#This Row],[Round]]),"yyyymmdd"),GameLog[[#This Row],[Date]])</f>
        <v>2|19000101|46055</v>
      </c>
      <c r="H892" s="6">
        <f>COUNTIF(GameLog[Pod ID],GameLog[[#This Row],[Pod ID]])</f>
        <v>4</v>
      </c>
      <c r="I892" s="6">
        <f>YEAR(GameLog[[#This Row],[Date]])</f>
        <v>2026</v>
      </c>
      <c r="J892" s="6">
        <f>MONTH(GameLog[[#This Row],[Date]])</f>
        <v>2</v>
      </c>
      <c r="K892" s="6" t="str">
        <f>IF(GameLog[[#This Row],[Date]]=MAX(GameLog[Date]),"Current","Previous")</f>
        <v>Previous</v>
      </c>
      <c r="L892" s="6"/>
      <c r="M8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2" s="6" t="str">
        <f ca="1">IF(GameLog[[#This Row],[Check]]="","",COUNTIF(GameLog[[#Headers],[Check]]:GameLog[[#This Row],[Check]],"?*")-1)</f>
        <v/>
      </c>
      <c r="O892" s="6" t="str">
        <f>IFERROR(INDEX(Players[New name],MATCH(GameLog[[#This Row],[Player]],Players[Name],0)),GameLog[[#This Row],[Player]])</f>
        <v>Jake D</v>
      </c>
    </row>
    <row r="893" spans="1:15" x14ac:dyDescent="0.45">
      <c r="A893" s="6" t="s">
        <v>61</v>
      </c>
      <c r="B893" s="6" t="s">
        <v>50</v>
      </c>
      <c r="C893" s="6">
        <v>2</v>
      </c>
      <c r="D893" s="6">
        <v>2</v>
      </c>
      <c r="E893" s="6">
        <v>1</v>
      </c>
      <c r="F893" s="10">
        <v>46055</v>
      </c>
      <c r="G893" s="6" t="str">
        <f>_xlfn.TEXTJOIN("|",TRUE,GameLog[[#This Row],[Pod]],TEXT(INT(GameLog[[#This Row],[Round]]),"yyyymmdd"),GameLog[[#This Row],[Date]])</f>
        <v>2|19000101|46055</v>
      </c>
      <c r="H893" s="6">
        <f>COUNTIF(GameLog[Pod ID],GameLog[[#This Row],[Pod ID]])</f>
        <v>4</v>
      </c>
      <c r="I893" s="6">
        <f>YEAR(GameLog[[#This Row],[Date]])</f>
        <v>2026</v>
      </c>
      <c r="J893" s="6">
        <f>MONTH(GameLog[[#This Row],[Date]])</f>
        <v>2</v>
      </c>
      <c r="K893" s="6" t="str">
        <f>IF(GameLog[[#This Row],[Date]]=MAX(GameLog[Date]),"Current","Previous")</f>
        <v>Previous</v>
      </c>
      <c r="L893" s="6"/>
      <c r="M8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3" s="6" t="str">
        <f ca="1">IF(GameLog[[#This Row],[Check]]="","",COUNTIF(GameLog[[#Headers],[Check]]:GameLog[[#This Row],[Check]],"?*")-1)</f>
        <v/>
      </c>
      <c r="O893" s="6" t="str">
        <f>IFERROR(INDEX(Players[New name],MATCH(GameLog[[#This Row],[Player]],Players[Name],0)),GameLog[[#This Row],[Player]])</f>
        <v>Trevor</v>
      </c>
    </row>
    <row r="894" spans="1:15" x14ac:dyDescent="0.45">
      <c r="A894" s="6" t="s">
        <v>74</v>
      </c>
      <c r="B894" s="6" t="s">
        <v>53</v>
      </c>
      <c r="C894" s="6">
        <v>3</v>
      </c>
      <c r="D894" s="6">
        <v>2</v>
      </c>
      <c r="E894" s="6">
        <v>1</v>
      </c>
      <c r="F894" s="10">
        <v>46055</v>
      </c>
      <c r="G894" s="6" t="str">
        <f>_xlfn.TEXTJOIN("|",TRUE,GameLog[[#This Row],[Pod]],TEXT(INT(GameLog[[#This Row],[Round]]),"yyyymmdd"),GameLog[[#This Row],[Date]])</f>
        <v>2|19000101|46055</v>
      </c>
      <c r="H894" s="6">
        <f>COUNTIF(GameLog[Pod ID],GameLog[[#This Row],[Pod ID]])</f>
        <v>4</v>
      </c>
      <c r="I894" s="6">
        <f>YEAR(GameLog[[#This Row],[Date]])</f>
        <v>2026</v>
      </c>
      <c r="J894" s="6">
        <f>MONTH(GameLog[[#This Row],[Date]])</f>
        <v>2</v>
      </c>
      <c r="K894" s="6" t="str">
        <f>IF(GameLog[[#This Row],[Date]]=MAX(GameLog[Date]),"Current","Previous")</f>
        <v>Previous</v>
      </c>
      <c r="L894" s="6"/>
      <c r="M8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4" s="6" t="str">
        <f ca="1">IF(GameLog[[#This Row],[Check]]="","",COUNTIF(GameLog[[#Headers],[Check]]:GameLog[[#This Row],[Check]],"?*")-1)</f>
        <v/>
      </c>
      <c r="O894" s="6" t="str">
        <f>IFERROR(INDEX(Players[New name],MATCH(GameLog[[#This Row],[Player]],Players[Name],0)),GameLog[[#This Row],[Player]])</f>
        <v>Jarrod O</v>
      </c>
    </row>
    <row r="895" spans="1:15" x14ac:dyDescent="0.45">
      <c r="A895" s="6" t="s">
        <v>64</v>
      </c>
      <c r="B895" s="6" t="s">
        <v>53</v>
      </c>
      <c r="C895" s="6">
        <v>4</v>
      </c>
      <c r="D895" s="6">
        <v>2</v>
      </c>
      <c r="E895" s="6">
        <v>1</v>
      </c>
      <c r="F895" s="10">
        <v>46055</v>
      </c>
      <c r="G895" s="6" t="str">
        <f>_xlfn.TEXTJOIN("|",TRUE,GameLog[[#This Row],[Pod]],TEXT(INT(GameLog[[#This Row],[Round]]),"yyyymmdd"),GameLog[[#This Row],[Date]])</f>
        <v>2|19000101|46055</v>
      </c>
      <c r="H895" s="6">
        <f>COUNTIF(GameLog[Pod ID],GameLog[[#This Row],[Pod ID]])</f>
        <v>4</v>
      </c>
      <c r="I895" s="6">
        <f>YEAR(GameLog[[#This Row],[Date]])</f>
        <v>2026</v>
      </c>
      <c r="J895" s="6">
        <f>MONTH(GameLog[[#This Row],[Date]])</f>
        <v>2</v>
      </c>
      <c r="K895" s="6" t="str">
        <f>IF(GameLog[[#This Row],[Date]]=MAX(GameLog[Date]),"Current","Previous")</f>
        <v>Previous</v>
      </c>
      <c r="L895" s="6"/>
      <c r="M8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5" s="6" t="str">
        <f ca="1">IF(GameLog[[#This Row],[Check]]="","",COUNTIF(GameLog[[#Headers],[Check]]:GameLog[[#This Row],[Check]],"?*")-1)</f>
        <v/>
      </c>
      <c r="O895" s="6" t="str">
        <f>IFERROR(INDEX(Players[New name],MATCH(GameLog[[#This Row],[Player]],Players[Name],0)),GameLog[[#This Row],[Player]])</f>
        <v>Tyler B</v>
      </c>
    </row>
    <row r="896" spans="1:15" x14ac:dyDescent="0.45">
      <c r="A896" s="6" t="s">
        <v>58</v>
      </c>
      <c r="B896" s="6" t="s">
        <v>50</v>
      </c>
      <c r="C896" s="6">
        <v>1</v>
      </c>
      <c r="D896" s="6">
        <v>3</v>
      </c>
      <c r="E896" s="6">
        <v>1</v>
      </c>
      <c r="F896" s="10">
        <v>46055</v>
      </c>
      <c r="G896" s="6" t="str">
        <f>_xlfn.TEXTJOIN("|",TRUE,GameLog[[#This Row],[Pod]],TEXT(INT(GameLog[[#This Row],[Round]]),"yyyymmdd"),GameLog[[#This Row],[Date]])</f>
        <v>3|19000101|46055</v>
      </c>
      <c r="H896" s="6">
        <f>COUNTIF(GameLog[Pod ID],GameLog[[#This Row],[Pod ID]])</f>
        <v>4</v>
      </c>
      <c r="I896" s="6">
        <f>YEAR(GameLog[[#This Row],[Date]])</f>
        <v>2026</v>
      </c>
      <c r="J896" s="6">
        <f>MONTH(GameLog[[#This Row],[Date]])</f>
        <v>2</v>
      </c>
      <c r="K896" s="6" t="str">
        <f>IF(GameLog[[#This Row],[Date]]=MAX(GameLog[Date]),"Current","Previous")</f>
        <v>Previous</v>
      </c>
      <c r="L896" s="6"/>
      <c r="M8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6" s="6" t="str">
        <f ca="1">IF(GameLog[[#This Row],[Check]]="","",COUNTIF(GameLog[[#Headers],[Check]]:GameLog[[#This Row],[Check]],"?*")-1)</f>
        <v/>
      </c>
      <c r="O896" s="6" t="str">
        <f>IFERROR(INDEX(Players[New name],MATCH(GameLog[[#This Row],[Player]],Players[Name],0)),GameLog[[#This Row],[Player]])</f>
        <v>Dakota P</v>
      </c>
    </row>
    <row r="897" spans="1:15" x14ac:dyDescent="0.45">
      <c r="A897" s="6" t="s">
        <v>57</v>
      </c>
      <c r="B897" s="6" t="s">
        <v>53</v>
      </c>
      <c r="C897" s="6">
        <v>2</v>
      </c>
      <c r="D897" s="6">
        <v>3</v>
      </c>
      <c r="E897" s="6">
        <v>1</v>
      </c>
      <c r="F897" s="10">
        <v>46055</v>
      </c>
      <c r="G897" s="6" t="str">
        <f>_xlfn.TEXTJOIN("|",TRUE,GameLog[[#This Row],[Pod]],TEXT(INT(GameLog[[#This Row],[Round]]),"yyyymmdd"),GameLog[[#This Row],[Date]])</f>
        <v>3|19000101|46055</v>
      </c>
      <c r="H897" s="6">
        <f>COUNTIF(GameLog[Pod ID],GameLog[[#This Row],[Pod ID]])</f>
        <v>4</v>
      </c>
      <c r="I897" s="6">
        <f>YEAR(GameLog[[#This Row],[Date]])</f>
        <v>2026</v>
      </c>
      <c r="J897" s="6">
        <f>MONTH(GameLog[[#This Row],[Date]])</f>
        <v>2</v>
      </c>
      <c r="K897" s="6" t="str">
        <f>IF(GameLog[[#This Row],[Date]]=MAX(GameLog[Date]),"Current","Previous")</f>
        <v>Previous</v>
      </c>
      <c r="L897" s="6"/>
      <c r="M8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7" s="6" t="str">
        <f ca="1">IF(GameLog[[#This Row],[Check]]="","",COUNTIF(GameLog[[#Headers],[Check]]:GameLog[[#This Row],[Check]],"?*")-1)</f>
        <v/>
      </c>
      <c r="O897" s="6" t="str">
        <f>IFERROR(INDEX(Players[New name],MATCH(GameLog[[#This Row],[Player]],Players[Name],0)),GameLog[[#This Row],[Player]])</f>
        <v>AJ W</v>
      </c>
    </row>
    <row r="898" spans="1:15" x14ac:dyDescent="0.45">
      <c r="A898" s="6" t="s">
        <v>70</v>
      </c>
      <c r="B898" s="6" t="s">
        <v>53</v>
      </c>
      <c r="C898" s="6">
        <v>3</v>
      </c>
      <c r="D898" s="6">
        <v>3</v>
      </c>
      <c r="E898" s="6">
        <v>1</v>
      </c>
      <c r="F898" s="10">
        <v>46055</v>
      </c>
      <c r="G898" s="6" t="str">
        <f>_xlfn.TEXTJOIN("|",TRUE,GameLog[[#This Row],[Pod]],TEXT(INT(GameLog[[#This Row],[Round]]),"yyyymmdd"),GameLog[[#This Row],[Date]])</f>
        <v>3|19000101|46055</v>
      </c>
      <c r="H898" s="6">
        <f>COUNTIF(GameLog[Pod ID],GameLog[[#This Row],[Pod ID]])</f>
        <v>4</v>
      </c>
      <c r="I898" s="6">
        <f>YEAR(GameLog[[#This Row],[Date]])</f>
        <v>2026</v>
      </c>
      <c r="J898" s="6">
        <f>MONTH(GameLog[[#This Row],[Date]])</f>
        <v>2</v>
      </c>
      <c r="K898" s="6" t="str">
        <f>IF(GameLog[[#This Row],[Date]]=MAX(GameLog[Date]),"Current","Previous")</f>
        <v>Previous</v>
      </c>
      <c r="L898" s="6"/>
      <c r="M8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8" s="6" t="str">
        <f ca="1">IF(GameLog[[#This Row],[Check]]="","",COUNTIF(GameLog[[#Headers],[Check]]:GameLog[[#This Row],[Check]],"?*")-1)</f>
        <v/>
      </c>
      <c r="O898" s="6" t="str">
        <f>IFERROR(INDEX(Players[New name],MATCH(GameLog[[#This Row],[Player]],Players[Name],0)),GameLog[[#This Row],[Player]])</f>
        <v>Brad F</v>
      </c>
    </row>
    <row r="899" spans="1:15" x14ac:dyDescent="0.45">
      <c r="A899" s="6" t="s">
        <v>91</v>
      </c>
      <c r="B899" s="6" t="s">
        <v>53</v>
      </c>
      <c r="C899" s="6">
        <v>4</v>
      </c>
      <c r="D899" s="6">
        <v>3</v>
      </c>
      <c r="E899" s="6">
        <v>1</v>
      </c>
      <c r="F899" s="10">
        <v>46055</v>
      </c>
      <c r="G899" s="6" t="str">
        <f>_xlfn.TEXTJOIN("|",TRUE,GameLog[[#This Row],[Pod]],TEXT(INT(GameLog[[#This Row],[Round]]),"yyyymmdd"),GameLog[[#This Row],[Date]])</f>
        <v>3|19000101|46055</v>
      </c>
      <c r="H899" s="6">
        <f>COUNTIF(GameLog[Pod ID],GameLog[[#This Row],[Pod ID]])</f>
        <v>4</v>
      </c>
      <c r="I899" s="6">
        <f>YEAR(GameLog[[#This Row],[Date]])</f>
        <v>2026</v>
      </c>
      <c r="J899" s="6">
        <f>MONTH(GameLog[[#This Row],[Date]])</f>
        <v>2</v>
      </c>
      <c r="K899" s="6" t="str">
        <f>IF(GameLog[[#This Row],[Date]]=MAX(GameLog[Date]),"Current","Previous")</f>
        <v>Previous</v>
      </c>
      <c r="L899" s="6"/>
      <c r="M8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899" s="6" t="str">
        <f ca="1">IF(GameLog[[#This Row],[Check]]="","",COUNTIF(GameLog[[#Headers],[Check]]:GameLog[[#This Row],[Check]],"?*")-1)</f>
        <v/>
      </c>
      <c r="O899" s="6" t="str">
        <f>IFERROR(INDEX(Players[New name],MATCH(GameLog[[#This Row],[Player]],Players[Name],0)),GameLog[[#This Row],[Player]])</f>
        <v>Isaac B</v>
      </c>
    </row>
    <row r="900" spans="1:15" x14ac:dyDescent="0.45">
      <c r="A900" s="6" t="s">
        <v>65</v>
      </c>
      <c r="B900" s="6" t="s">
        <v>53</v>
      </c>
      <c r="C900" s="6">
        <v>1</v>
      </c>
      <c r="D900" s="6">
        <v>4</v>
      </c>
      <c r="E900" s="6">
        <v>1</v>
      </c>
      <c r="F900" s="10">
        <v>46055</v>
      </c>
      <c r="G900" s="6" t="str">
        <f>_xlfn.TEXTJOIN("|",TRUE,GameLog[[#This Row],[Pod]],TEXT(INT(GameLog[[#This Row],[Round]]),"yyyymmdd"),GameLog[[#This Row],[Date]])</f>
        <v>4|19000101|46055</v>
      </c>
      <c r="H900" s="6">
        <f>COUNTIF(GameLog[Pod ID],GameLog[[#This Row],[Pod ID]])</f>
        <v>3</v>
      </c>
      <c r="I900" s="6">
        <f>YEAR(GameLog[[#This Row],[Date]])</f>
        <v>2026</v>
      </c>
      <c r="J900" s="6">
        <f>MONTH(GameLog[[#This Row],[Date]])</f>
        <v>2</v>
      </c>
      <c r="K900" s="6" t="str">
        <f>IF(GameLog[[#This Row],[Date]]=MAX(GameLog[Date]),"Current","Previous")</f>
        <v>Previous</v>
      </c>
      <c r="L900" s="6"/>
      <c r="M9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0" s="6" t="str">
        <f ca="1">IF(GameLog[[#This Row],[Check]]="","",COUNTIF(GameLog[[#Headers],[Check]]:GameLog[[#This Row],[Check]],"?*")-1)</f>
        <v/>
      </c>
      <c r="O900" s="6" t="str">
        <f>IFERROR(INDEX(Players[New name],MATCH(GameLog[[#This Row],[Player]],Players[Name],0)),GameLog[[#This Row],[Player]])</f>
        <v>Mitch</v>
      </c>
    </row>
    <row r="901" spans="1:15" x14ac:dyDescent="0.45">
      <c r="A901" s="6" t="s">
        <v>60</v>
      </c>
      <c r="B901" s="6" t="s">
        <v>50</v>
      </c>
      <c r="C901" s="6">
        <v>2</v>
      </c>
      <c r="D901" s="6">
        <v>4</v>
      </c>
      <c r="E901" s="6">
        <v>1</v>
      </c>
      <c r="F901" s="10">
        <v>46055</v>
      </c>
      <c r="G901" s="6" t="str">
        <f>_xlfn.TEXTJOIN("|",TRUE,GameLog[[#This Row],[Pod]],TEXT(INT(GameLog[[#This Row],[Round]]),"yyyymmdd"),GameLog[[#This Row],[Date]])</f>
        <v>4|19000101|46055</v>
      </c>
      <c r="H901" s="6">
        <f>COUNTIF(GameLog[Pod ID],GameLog[[#This Row],[Pod ID]])</f>
        <v>3</v>
      </c>
      <c r="I901" s="6">
        <f>YEAR(GameLog[[#This Row],[Date]])</f>
        <v>2026</v>
      </c>
      <c r="J901" s="6">
        <f>MONTH(GameLog[[#This Row],[Date]])</f>
        <v>2</v>
      </c>
      <c r="K901" s="6" t="str">
        <f>IF(GameLog[[#This Row],[Date]]=MAX(GameLog[Date]),"Current","Previous")</f>
        <v>Previous</v>
      </c>
      <c r="L901" s="6"/>
      <c r="M9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1" s="6" t="str">
        <f ca="1">IF(GameLog[[#This Row],[Check]]="","",COUNTIF(GameLog[[#Headers],[Check]]:GameLog[[#This Row],[Check]],"?*")-1)</f>
        <v/>
      </c>
      <c r="O901" s="6" t="str">
        <f>IFERROR(INDEX(Players[New name],MATCH(GameLog[[#This Row],[Player]],Players[Name],0)),GameLog[[#This Row],[Player]])</f>
        <v>Brendan H</v>
      </c>
    </row>
    <row r="902" spans="1:15" x14ac:dyDescent="0.45">
      <c r="A902" s="6" t="s">
        <v>82</v>
      </c>
      <c r="B902" s="6" t="s">
        <v>53</v>
      </c>
      <c r="C902" s="6">
        <v>3</v>
      </c>
      <c r="D902" s="6">
        <v>4</v>
      </c>
      <c r="E902" s="6">
        <v>1</v>
      </c>
      <c r="F902" s="10">
        <v>46055</v>
      </c>
      <c r="G902" s="6" t="str">
        <f>_xlfn.TEXTJOIN("|",TRUE,GameLog[[#This Row],[Pod]],TEXT(INT(GameLog[[#This Row],[Round]]),"yyyymmdd"),GameLog[[#This Row],[Date]])</f>
        <v>4|19000101|46055</v>
      </c>
      <c r="H902" s="6">
        <f>COUNTIF(GameLog[Pod ID],GameLog[[#This Row],[Pod ID]])</f>
        <v>3</v>
      </c>
      <c r="I902" s="6">
        <f>YEAR(GameLog[[#This Row],[Date]])</f>
        <v>2026</v>
      </c>
      <c r="J902" s="6">
        <f>MONTH(GameLog[[#This Row],[Date]])</f>
        <v>2</v>
      </c>
      <c r="K902" s="6" t="str">
        <f>IF(GameLog[[#This Row],[Date]]=MAX(GameLog[Date]),"Current","Previous")</f>
        <v>Previous</v>
      </c>
      <c r="L902" s="6"/>
      <c r="M9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2" s="6" t="str">
        <f ca="1">IF(GameLog[[#This Row],[Check]]="","",COUNTIF(GameLog[[#Headers],[Check]]:GameLog[[#This Row],[Check]],"?*")-1)</f>
        <v/>
      </c>
      <c r="O902" s="6" t="str">
        <f>IFERROR(INDEX(Players[New name],MATCH(GameLog[[#This Row],[Player]],Players[Name],0)),GameLog[[#This Row],[Player]])</f>
        <v>Nick D</v>
      </c>
    </row>
    <row r="903" spans="1:15" x14ac:dyDescent="0.45">
      <c r="A903" s="6" t="s">
        <v>55</v>
      </c>
      <c r="B903" s="6" t="s">
        <v>53</v>
      </c>
      <c r="C903" s="6">
        <v>1</v>
      </c>
      <c r="D903" s="6">
        <v>5</v>
      </c>
      <c r="E903" s="6">
        <v>1</v>
      </c>
      <c r="F903" s="10">
        <v>46055</v>
      </c>
      <c r="G903" s="6" t="str">
        <f>_xlfn.TEXTJOIN("|",TRUE,GameLog[[#This Row],[Pod]],TEXT(INT(GameLog[[#This Row],[Round]]),"yyyymmdd"),GameLog[[#This Row],[Date]])</f>
        <v>5|19000101|46055</v>
      </c>
      <c r="H903" s="6">
        <f>COUNTIF(GameLog[Pod ID],GameLog[[#This Row],[Pod ID]])</f>
        <v>4</v>
      </c>
      <c r="I903" s="6">
        <f>YEAR(GameLog[[#This Row],[Date]])</f>
        <v>2026</v>
      </c>
      <c r="J903" s="6">
        <f>MONTH(GameLog[[#This Row],[Date]])</f>
        <v>2</v>
      </c>
      <c r="K903" s="6" t="str">
        <f>IF(GameLog[[#This Row],[Date]]=MAX(GameLog[Date]),"Current","Previous")</f>
        <v>Previous</v>
      </c>
      <c r="L903" s="6"/>
      <c r="M9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3" s="6" t="str">
        <f ca="1">IF(GameLog[[#This Row],[Check]]="","",COUNTIF(GameLog[[#Headers],[Check]]:GameLog[[#This Row],[Check]],"?*")-1)</f>
        <v/>
      </c>
      <c r="O903" s="6" t="str">
        <f>IFERROR(INDEX(Players[New name],MATCH(GameLog[[#This Row],[Player]],Players[Name],0)),GameLog[[#This Row],[Player]])</f>
        <v>Bryce C</v>
      </c>
    </row>
    <row r="904" spans="1:15" x14ac:dyDescent="0.45">
      <c r="A904" s="6" t="s">
        <v>81</v>
      </c>
      <c r="B904" s="6" t="s">
        <v>53</v>
      </c>
      <c r="C904" s="6">
        <v>2</v>
      </c>
      <c r="D904" s="6">
        <v>5</v>
      </c>
      <c r="E904" s="6">
        <v>1</v>
      </c>
      <c r="F904" s="10">
        <v>46055</v>
      </c>
      <c r="G904" s="6" t="str">
        <f>_xlfn.TEXTJOIN("|",TRUE,GameLog[[#This Row],[Pod]],TEXT(INT(GameLog[[#This Row],[Round]]),"yyyymmdd"),GameLog[[#This Row],[Date]])</f>
        <v>5|19000101|46055</v>
      </c>
      <c r="H904" s="6">
        <f>COUNTIF(GameLog[Pod ID],GameLog[[#This Row],[Pod ID]])</f>
        <v>4</v>
      </c>
      <c r="I904" s="6">
        <f>YEAR(GameLog[[#This Row],[Date]])</f>
        <v>2026</v>
      </c>
      <c r="J904" s="6">
        <f>MONTH(GameLog[[#This Row],[Date]])</f>
        <v>2</v>
      </c>
      <c r="K904" s="6" t="str">
        <f>IF(GameLog[[#This Row],[Date]]=MAX(GameLog[Date]),"Current","Previous")</f>
        <v>Previous</v>
      </c>
      <c r="L904" s="6"/>
      <c r="M9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4" s="6" t="str">
        <f ca="1">IF(GameLog[[#This Row],[Check]]="","",COUNTIF(GameLog[[#Headers],[Check]]:GameLog[[#This Row],[Check]],"?*")-1)</f>
        <v/>
      </c>
      <c r="O904" s="6" t="str">
        <f>IFERROR(INDEX(Players[New name],MATCH(GameLog[[#This Row],[Player]],Players[Name],0)),GameLog[[#This Row],[Player]])</f>
        <v>Forrest</v>
      </c>
    </row>
    <row r="905" spans="1:15" x14ac:dyDescent="0.45">
      <c r="A905" s="6" t="s">
        <v>68</v>
      </c>
      <c r="B905" s="6" t="s">
        <v>53</v>
      </c>
      <c r="C905" s="6">
        <v>3</v>
      </c>
      <c r="D905" s="6">
        <v>5</v>
      </c>
      <c r="E905" s="6">
        <v>1</v>
      </c>
      <c r="F905" s="10">
        <v>46055</v>
      </c>
      <c r="G905" s="6" t="str">
        <f>_xlfn.TEXTJOIN("|",TRUE,GameLog[[#This Row],[Pod]],TEXT(INT(GameLog[[#This Row],[Round]]),"yyyymmdd"),GameLog[[#This Row],[Date]])</f>
        <v>5|19000101|46055</v>
      </c>
      <c r="H905" s="6">
        <f>COUNTIF(GameLog[Pod ID],GameLog[[#This Row],[Pod ID]])</f>
        <v>4</v>
      </c>
      <c r="I905" s="6">
        <f>YEAR(GameLog[[#This Row],[Date]])</f>
        <v>2026</v>
      </c>
      <c r="J905" s="6">
        <f>MONTH(GameLog[[#This Row],[Date]])</f>
        <v>2</v>
      </c>
      <c r="K905" s="6" t="str">
        <f>IF(GameLog[[#This Row],[Date]]=MAX(GameLog[Date]),"Current","Previous")</f>
        <v>Previous</v>
      </c>
      <c r="L905" s="6"/>
      <c r="M9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5" s="6" t="str">
        <f ca="1">IF(GameLog[[#This Row],[Check]]="","",COUNTIF(GameLog[[#Headers],[Check]]:GameLog[[#This Row],[Check]],"?*")-1)</f>
        <v/>
      </c>
      <c r="O905" s="6" t="str">
        <f>IFERROR(INDEX(Players[New name],MATCH(GameLog[[#This Row],[Player]],Players[Name],0)),GameLog[[#This Row],[Player]])</f>
        <v>Edwin M</v>
      </c>
    </row>
    <row r="906" spans="1:15" x14ac:dyDescent="0.45">
      <c r="A906" s="6" t="s">
        <v>49</v>
      </c>
      <c r="B906" s="6" t="s">
        <v>50</v>
      </c>
      <c r="C906" s="6">
        <v>4</v>
      </c>
      <c r="D906" s="6">
        <v>5</v>
      </c>
      <c r="E906" s="6">
        <v>1</v>
      </c>
      <c r="F906" s="10">
        <v>46055</v>
      </c>
      <c r="G906" s="6" t="str">
        <f>_xlfn.TEXTJOIN("|",TRUE,GameLog[[#This Row],[Pod]],TEXT(INT(GameLog[[#This Row],[Round]]),"yyyymmdd"),GameLog[[#This Row],[Date]])</f>
        <v>5|19000101|46055</v>
      </c>
      <c r="H906" s="6">
        <f>COUNTIF(GameLog[Pod ID],GameLog[[#This Row],[Pod ID]])</f>
        <v>4</v>
      </c>
      <c r="I906" s="6">
        <f>YEAR(GameLog[[#This Row],[Date]])</f>
        <v>2026</v>
      </c>
      <c r="J906" s="6">
        <f>MONTH(GameLog[[#This Row],[Date]])</f>
        <v>2</v>
      </c>
      <c r="K906" s="6" t="str">
        <f>IF(GameLog[[#This Row],[Date]]=MAX(GameLog[Date]),"Current","Previous")</f>
        <v>Previous</v>
      </c>
      <c r="L906" s="6"/>
      <c r="M9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6" s="6" t="str">
        <f ca="1">IF(GameLog[[#This Row],[Check]]="","",COUNTIF(GameLog[[#Headers],[Check]]:GameLog[[#This Row],[Check]],"?*")-1)</f>
        <v/>
      </c>
      <c r="O906" s="6" t="str">
        <f>IFERROR(INDEX(Players[New name],MATCH(GameLog[[#This Row],[Player]],Players[Name],0)),GameLog[[#This Row],[Player]])</f>
        <v>Brett R</v>
      </c>
    </row>
    <row r="907" spans="1:15" x14ac:dyDescent="0.45">
      <c r="A907" s="6" t="s">
        <v>49</v>
      </c>
      <c r="B907" s="6" t="s">
        <v>53</v>
      </c>
      <c r="C907" s="6">
        <v>1</v>
      </c>
      <c r="D907" s="6">
        <v>1</v>
      </c>
      <c r="E907" s="6">
        <v>2</v>
      </c>
      <c r="F907" s="10">
        <v>46055</v>
      </c>
      <c r="G907" s="6" t="str">
        <f>_xlfn.TEXTJOIN("|",TRUE,GameLog[[#This Row],[Pod]],TEXT(INT(GameLog[[#This Row],[Round]]),"yyyymmdd"),GameLog[[#This Row],[Date]])</f>
        <v>1|19000102|46055</v>
      </c>
      <c r="H907" s="6">
        <f>COUNTIF(GameLog[Pod ID],GameLog[[#This Row],[Pod ID]])</f>
        <v>4</v>
      </c>
      <c r="I907" s="6">
        <f>YEAR(GameLog[[#This Row],[Date]])</f>
        <v>2026</v>
      </c>
      <c r="J907" s="6">
        <f>MONTH(GameLog[[#This Row],[Date]])</f>
        <v>2</v>
      </c>
      <c r="K907" s="6" t="str">
        <f>IF(GameLog[[#This Row],[Date]]=MAX(GameLog[Date]),"Current","Previous")</f>
        <v>Previous</v>
      </c>
      <c r="L907" s="6"/>
      <c r="M9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7" s="6" t="str">
        <f ca="1">IF(GameLog[[#This Row],[Check]]="","",COUNTIF(GameLog[[#Headers],[Check]]:GameLog[[#This Row],[Check]],"?*")-1)</f>
        <v/>
      </c>
      <c r="O907" s="6" t="str">
        <f>IFERROR(INDEX(Players[New name],MATCH(GameLog[[#This Row],[Player]],Players[Name],0)),GameLog[[#This Row],[Player]])</f>
        <v>Brett R</v>
      </c>
    </row>
    <row r="908" spans="1:15" x14ac:dyDescent="0.45">
      <c r="A908" s="6" t="s">
        <v>60</v>
      </c>
      <c r="B908" s="6" t="s">
        <v>50</v>
      </c>
      <c r="C908" s="6">
        <v>2</v>
      </c>
      <c r="D908" s="6">
        <v>1</v>
      </c>
      <c r="E908" s="6">
        <v>2</v>
      </c>
      <c r="F908" s="10">
        <v>46055</v>
      </c>
      <c r="G908" s="6" t="str">
        <f>_xlfn.TEXTJOIN("|",TRUE,GameLog[[#This Row],[Pod]],TEXT(INT(GameLog[[#This Row],[Round]]),"yyyymmdd"),GameLog[[#This Row],[Date]])</f>
        <v>1|19000102|46055</v>
      </c>
      <c r="H908" s="6">
        <f>COUNTIF(GameLog[Pod ID],GameLog[[#This Row],[Pod ID]])</f>
        <v>4</v>
      </c>
      <c r="I908" s="6">
        <f>YEAR(GameLog[[#This Row],[Date]])</f>
        <v>2026</v>
      </c>
      <c r="J908" s="6">
        <f>MONTH(GameLog[[#This Row],[Date]])</f>
        <v>2</v>
      </c>
      <c r="K908" s="6" t="str">
        <f>IF(GameLog[[#This Row],[Date]]=MAX(GameLog[Date]),"Current","Previous")</f>
        <v>Previous</v>
      </c>
      <c r="L908" s="6"/>
      <c r="M9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8" s="6" t="str">
        <f ca="1">IF(GameLog[[#This Row],[Check]]="","",COUNTIF(GameLog[[#Headers],[Check]]:GameLog[[#This Row],[Check]],"?*")-1)</f>
        <v/>
      </c>
      <c r="O908" s="6" t="str">
        <f>IFERROR(INDEX(Players[New name],MATCH(GameLog[[#This Row],[Player]],Players[Name],0)),GameLog[[#This Row],[Player]])</f>
        <v>Brendan H</v>
      </c>
    </row>
    <row r="909" spans="1:15" x14ac:dyDescent="0.45">
      <c r="A909" s="6" t="s">
        <v>58</v>
      </c>
      <c r="B909" s="6" t="s">
        <v>53</v>
      </c>
      <c r="C909" s="6">
        <v>3</v>
      </c>
      <c r="D909" s="6">
        <v>1</v>
      </c>
      <c r="E909" s="6">
        <v>2</v>
      </c>
      <c r="F909" s="10">
        <v>46055</v>
      </c>
      <c r="G909" s="6" t="str">
        <f>_xlfn.TEXTJOIN("|",TRUE,GameLog[[#This Row],[Pod]],TEXT(INT(GameLog[[#This Row],[Round]]),"yyyymmdd"),GameLog[[#This Row],[Date]])</f>
        <v>1|19000102|46055</v>
      </c>
      <c r="H909" s="6">
        <f>COUNTIF(GameLog[Pod ID],GameLog[[#This Row],[Pod ID]])</f>
        <v>4</v>
      </c>
      <c r="I909" s="6">
        <f>YEAR(GameLog[[#This Row],[Date]])</f>
        <v>2026</v>
      </c>
      <c r="J909" s="6">
        <f>MONTH(GameLog[[#This Row],[Date]])</f>
        <v>2</v>
      </c>
      <c r="K909" s="6" t="str">
        <f>IF(GameLog[[#This Row],[Date]]=MAX(GameLog[Date]),"Current","Previous")</f>
        <v>Previous</v>
      </c>
      <c r="L909" s="6"/>
      <c r="M9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09" s="6" t="str">
        <f ca="1">IF(GameLog[[#This Row],[Check]]="","",COUNTIF(GameLog[[#Headers],[Check]]:GameLog[[#This Row],[Check]],"?*")-1)</f>
        <v/>
      </c>
      <c r="O909" s="6" t="str">
        <f>IFERROR(INDEX(Players[New name],MATCH(GameLog[[#This Row],[Player]],Players[Name],0)),GameLog[[#This Row],[Player]])</f>
        <v>Dakota P</v>
      </c>
    </row>
    <row r="910" spans="1:15" x14ac:dyDescent="0.45">
      <c r="A910" s="6" t="s">
        <v>61</v>
      </c>
      <c r="B910" s="6" t="s">
        <v>53</v>
      </c>
      <c r="C910" s="6">
        <v>4</v>
      </c>
      <c r="D910" s="6">
        <v>1</v>
      </c>
      <c r="E910" s="6">
        <v>2</v>
      </c>
      <c r="F910" s="10">
        <v>46055</v>
      </c>
      <c r="G910" s="6" t="str">
        <f>_xlfn.TEXTJOIN("|",TRUE,GameLog[[#This Row],[Pod]],TEXT(INT(GameLog[[#This Row],[Round]]),"yyyymmdd"),GameLog[[#This Row],[Date]])</f>
        <v>1|19000102|46055</v>
      </c>
      <c r="H910" s="6">
        <f>COUNTIF(GameLog[Pod ID],GameLog[[#This Row],[Pod ID]])</f>
        <v>4</v>
      </c>
      <c r="I910" s="6">
        <f>YEAR(GameLog[[#This Row],[Date]])</f>
        <v>2026</v>
      </c>
      <c r="J910" s="6">
        <f>MONTH(GameLog[[#This Row],[Date]])</f>
        <v>2</v>
      </c>
      <c r="K910" s="6" t="str">
        <f>IF(GameLog[[#This Row],[Date]]=MAX(GameLog[Date]),"Current","Previous")</f>
        <v>Previous</v>
      </c>
      <c r="L910" s="6"/>
      <c r="M9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0" s="6" t="str">
        <f ca="1">IF(GameLog[[#This Row],[Check]]="","",COUNTIF(GameLog[[#Headers],[Check]]:GameLog[[#This Row],[Check]],"?*")-1)</f>
        <v/>
      </c>
      <c r="O910" s="6" t="str">
        <f>IFERROR(INDEX(Players[New name],MATCH(GameLog[[#This Row],[Player]],Players[Name],0)),GameLog[[#This Row],[Player]])</f>
        <v>Trevor</v>
      </c>
    </row>
    <row r="911" spans="1:15" x14ac:dyDescent="0.45">
      <c r="A911" s="6" t="s">
        <v>91</v>
      </c>
      <c r="B911" s="6" t="s">
        <v>50</v>
      </c>
      <c r="C911" s="6">
        <v>1</v>
      </c>
      <c r="D911" s="6">
        <v>2</v>
      </c>
      <c r="E911" s="6">
        <v>2</v>
      </c>
      <c r="F911" s="10">
        <v>46055</v>
      </c>
      <c r="G911" s="6" t="str">
        <f>_xlfn.TEXTJOIN("|",TRUE,GameLog[[#This Row],[Pod]],TEXT(INT(GameLog[[#This Row],[Round]]),"yyyymmdd"),GameLog[[#This Row],[Date]])</f>
        <v>2|19000102|46055</v>
      </c>
      <c r="H911" s="6">
        <f>COUNTIF(GameLog[Pod ID],GameLog[[#This Row],[Pod ID]])</f>
        <v>4</v>
      </c>
      <c r="I911" s="6">
        <f>YEAR(GameLog[[#This Row],[Date]])</f>
        <v>2026</v>
      </c>
      <c r="J911" s="6">
        <f>MONTH(GameLog[[#This Row],[Date]])</f>
        <v>2</v>
      </c>
      <c r="K911" s="6" t="str">
        <f>IF(GameLog[[#This Row],[Date]]=MAX(GameLog[Date]),"Current","Previous")</f>
        <v>Previous</v>
      </c>
      <c r="L911" s="6"/>
      <c r="M9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1" s="6" t="str">
        <f ca="1">IF(GameLog[[#This Row],[Check]]="","",COUNTIF(GameLog[[#Headers],[Check]]:GameLog[[#This Row],[Check]],"?*")-1)</f>
        <v/>
      </c>
      <c r="O911" s="6" t="str">
        <f>IFERROR(INDEX(Players[New name],MATCH(GameLog[[#This Row],[Player]],Players[Name],0)),GameLog[[#This Row],[Player]])</f>
        <v>Isaac B</v>
      </c>
    </row>
    <row r="912" spans="1:15" x14ac:dyDescent="0.45">
      <c r="A912" s="6" t="s">
        <v>65</v>
      </c>
      <c r="B912" s="6" t="s">
        <v>53</v>
      </c>
      <c r="C912" s="6">
        <v>2</v>
      </c>
      <c r="D912" s="6">
        <v>2</v>
      </c>
      <c r="E912" s="6">
        <v>2</v>
      </c>
      <c r="F912" s="10">
        <v>46055</v>
      </c>
      <c r="G912" s="6" t="str">
        <f>_xlfn.TEXTJOIN("|",TRUE,GameLog[[#This Row],[Pod]],TEXT(INT(GameLog[[#This Row],[Round]]),"yyyymmdd"),GameLog[[#This Row],[Date]])</f>
        <v>2|19000102|46055</v>
      </c>
      <c r="H912" s="6">
        <f>COUNTIF(GameLog[Pod ID],GameLog[[#This Row],[Pod ID]])</f>
        <v>4</v>
      </c>
      <c r="I912" s="6">
        <f>YEAR(GameLog[[#This Row],[Date]])</f>
        <v>2026</v>
      </c>
      <c r="J912" s="6">
        <f>MONTH(GameLog[[#This Row],[Date]])</f>
        <v>2</v>
      </c>
      <c r="K912" s="6" t="str">
        <f>IF(GameLog[[#This Row],[Date]]=MAX(GameLog[Date]),"Current","Previous")</f>
        <v>Previous</v>
      </c>
      <c r="L912" s="6"/>
      <c r="M9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2" s="6" t="str">
        <f ca="1">IF(GameLog[[#This Row],[Check]]="","",COUNTIF(GameLog[[#Headers],[Check]]:GameLog[[#This Row],[Check]],"?*")-1)</f>
        <v/>
      </c>
      <c r="O912" s="6" t="str">
        <f>IFERROR(INDEX(Players[New name],MATCH(GameLog[[#This Row],[Player]],Players[Name],0)),GameLog[[#This Row],[Player]])</f>
        <v>Mitch</v>
      </c>
    </row>
    <row r="913" spans="1:15" x14ac:dyDescent="0.45">
      <c r="A913" s="6" t="s">
        <v>73</v>
      </c>
      <c r="B913" s="6" t="s">
        <v>53</v>
      </c>
      <c r="C913" s="6">
        <v>3</v>
      </c>
      <c r="D913" s="6">
        <v>2</v>
      </c>
      <c r="E913" s="6">
        <v>2</v>
      </c>
      <c r="F913" s="10">
        <v>46055</v>
      </c>
      <c r="G913" s="6" t="str">
        <f>_xlfn.TEXTJOIN("|",TRUE,GameLog[[#This Row],[Pod]],TEXT(INT(GameLog[[#This Row],[Round]]),"yyyymmdd"),GameLog[[#This Row],[Date]])</f>
        <v>2|19000102|46055</v>
      </c>
      <c r="H913" s="6">
        <f>COUNTIF(GameLog[Pod ID],GameLog[[#This Row],[Pod ID]])</f>
        <v>4</v>
      </c>
      <c r="I913" s="6">
        <f>YEAR(GameLog[[#This Row],[Date]])</f>
        <v>2026</v>
      </c>
      <c r="J913" s="6">
        <f>MONTH(GameLog[[#This Row],[Date]])</f>
        <v>2</v>
      </c>
      <c r="K913" s="6" t="str">
        <f>IF(GameLog[[#This Row],[Date]]=MAX(GameLog[Date]),"Current","Previous")</f>
        <v>Previous</v>
      </c>
      <c r="L913" s="6"/>
      <c r="M9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3" s="6" t="str">
        <f ca="1">IF(GameLog[[#This Row],[Check]]="","",COUNTIF(GameLog[[#Headers],[Check]]:GameLog[[#This Row],[Check]],"?*")-1)</f>
        <v/>
      </c>
      <c r="O913" s="6" t="str">
        <f>IFERROR(INDEX(Players[New name],MATCH(GameLog[[#This Row],[Player]],Players[Name],0)),GameLog[[#This Row],[Player]])</f>
        <v>Brandon B</v>
      </c>
    </row>
    <row r="914" spans="1:15" x14ac:dyDescent="0.45">
      <c r="A914" s="6" t="s">
        <v>63</v>
      </c>
      <c r="B914" s="6" t="s">
        <v>53</v>
      </c>
      <c r="C914" s="6">
        <v>4</v>
      </c>
      <c r="D914" s="6">
        <v>2</v>
      </c>
      <c r="E914" s="6">
        <v>2</v>
      </c>
      <c r="F914" s="10">
        <v>46055</v>
      </c>
      <c r="G914" s="6" t="str">
        <f>_xlfn.TEXTJOIN("|",TRUE,GameLog[[#This Row],[Pod]],TEXT(INT(GameLog[[#This Row],[Round]]),"yyyymmdd"),GameLog[[#This Row],[Date]])</f>
        <v>2|19000102|46055</v>
      </c>
      <c r="H914" s="6">
        <f>COUNTIF(GameLog[Pod ID],GameLog[[#This Row],[Pod ID]])</f>
        <v>4</v>
      </c>
      <c r="I914" s="6">
        <f>YEAR(GameLog[[#This Row],[Date]])</f>
        <v>2026</v>
      </c>
      <c r="J914" s="6">
        <f>MONTH(GameLog[[#This Row],[Date]])</f>
        <v>2</v>
      </c>
      <c r="K914" s="6" t="str">
        <f>IF(GameLog[[#This Row],[Date]]=MAX(GameLog[Date]),"Current","Previous")</f>
        <v>Previous</v>
      </c>
      <c r="L914" s="6"/>
      <c r="M9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4" s="6" t="str">
        <f ca="1">IF(GameLog[[#This Row],[Check]]="","",COUNTIF(GameLog[[#Headers],[Check]]:GameLog[[#This Row],[Check]],"?*")-1)</f>
        <v/>
      </c>
      <c r="O914" s="6" t="str">
        <f>IFERROR(INDEX(Players[New name],MATCH(GameLog[[#This Row],[Player]],Players[Name],0)),GameLog[[#This Row],[Player]])</f>
        <v>Jake D</v>
      </c>
    </row>
    <row r="915" spans="1:15" x14ac:dyDescent="0.45">
      <c r="A915" s="6" t="s">
        <v>71</v>
      </c>
      <c r="B915" s="6" t="s">
        <v>53</v>
      </c>
      <c r="C915" s="6">
        <v>1</v>
      </c>
      <c r="D915" s="6">
        <v>3</v>
      </c>
      <c r="E915" s="6">
        <v>2</v>
      </c>
      <c r="F915" s="10">
        <v>46055</v>
      </c>
      <c r="G915" s="6" t="str">
        <f>_xlfn.TEXTJOIN("|",TRUE,GameLog[[#This Row],[Pod]],TEXT(INT(GameLog[[#This Row],[Round]]),"yyyymmdd"),GameLog[[#This Row],[Date]])</f>
        <v>3|19000102|46055</v>
      </c>
      <c r="H915" s="6">
        <f>COUNTIF(GameLog[Pod ID],GameLog[[#This Row],[Pod ID]])</f>
        <v>4</v>
      </c>
      <c r="I915" s="6">
        <f>YEAR(GameLog[[#This Row],[Date]])</f>
        <v>2026</v>
      </c>
      <c r="J915" s="6">
        <f>MONTH(GameLog[[#This Row],[Date]])</f>
        <v>2</v>
      </c>
      <c r="K915" s="6" t="str">
        <f>IF(GameLog[[#This Row],[Date]]=MAX(GameLog[Date]),"Current","Previous")</f>
        <v>Previous</v>
      </c>
      <c r="L915" s="6"/>
      <c r="M9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5" s="6" t="str">
        <f ca="1">IF(GameLog[[#This Row],[Check]]="","",COUNTIF(GameLog[[#Headers],[Check]]:GameLog[[#This Row],[Check]],"?*")-1)</f>
        <v/>
      </c>
      <c r="O915" s="6" t="str">
        <f>IFERROR(INDEX(Players[New name],MATCH(GameLog[[#This Row],[Player]],Players[Name],0)),GameLog[[#This Row],[Player]])</f>
        <v>Rodney Y</v>
      </c>
    </row>
    <row r="916" spans="1:15" x14ac:dyDescent="0.45">
      <c r="A916" s="6" t="s">
        <v>81</v>
      </c>
      <c r="B916" s="6" t="s">
        <v>53</v>
      </c>
      <c r="C916" s="6">
        <v>2</v>
      </c>
      <c r="D916" s="6">
        <v>3</v>
      </c>
      <c r="E916" s="6">
        <v>2</v>
      </c>
      <c r="F916" s="10">
        <v>46055</v>
      </c>
      <c r="G916" s="6" t="str">
        <f>_xlfn.TEXTJOIN("|",TRUE,GameLog[[#This Row],[Pod]],TEXT(INT(GameLog[[#This Row],[Round]]),"yyyymmdd"),GameLog[[#This Row],[Date]])</f>
        <v>3|19000102|46055</v>
      </c>
      <c r="H916" s="6">
        <f>COUNTIF(GameLog[Pod ID],GameLog[[#This Row],[Pod ID]])</f>
        <v>4</v>
      </c>
      <c r="I916" s="6">
        <f>YEAR(GameLog[[#This Row],[Date]])</f>
        <v>2026</v>
      </c>
      <c r="J916" s="6">
        <f>MONTH(GameLog[[#This Row],[Date]])</f>
        <v>2</v>
      </c>
      <c r="K916" s="6" t="str">
        <f>IF(GameLog[[#This Row],[Date]]=MAX(GameLog[Date]),"Current","Previous")</f>
        <v>Previous</v>
      </c>
      <c r="L916" s="6"/>
      <c r="M9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6" s="6" t="str">
        <f ca="1">IF(GameLog[[#This Row],[Check]]="","",COUNTIF(GameLog[[#Headers],[Check]]:GameLog[[#This Row],[Check]],"?*")-1)</f>
        <v/>
      </c>
      <c r="O916" s="6" t="str">
        <f>IFERROR(INDEX(Players[New name],MATCH(GameLog[[#This Row],[Player]],Players[Name],0)),GameLog[[#This Row],[Player]])</f>
        <v>Forrest</v>
      </c>
    </row>
    <row r="917" spans="1:15" x14ac:dyDescent="0.45">
      <c r="A917" s="6" t="s">
        <v>57</v>
      </c>
      <c r="B917" s="6" t="s">
        <v>50</v>
      </c>
      <c r="C917" s="6">
        <v>3</v>
      </c>
      <c r="D917" s="6">
        <v>3</v>
      </c>
      <c r="E917" s="6">
        <v>2</v>
      </c>
      <c r="F917" s="10">
        <v>46055</v>
      </c>
      <c r="G917" s="6" t="str">
        <f>_xlfn.TEXTJOIN("|",TRUE,GameLog[[#This Row],[Pod]],TEXT(INT(GameLog[[#This Row],[Round]]),"yyyymmdd"),GameLog[[#This Row],[Date]])</f>
        <v>3|19000102|46055</v>
      </c>
      <c r="H917" s="6">
        <f>COUNTIF(GameLog[Pod ID],GameLog[[#This Row],[Pod ID]])</f>
        <v>4</v>
      </c>
      <c r="I917" s="6">
        <f>YEAR(GameLog[[#This Row],[Date]])</f>
        <v>2026</v>
      </c>
      <c r="J917" s="6">
        <f>MONTH(GameLog[[#This Row],[Date]])</f>
        <v>2</v>
      </c>
      <c r="K917" s="6" t="str">
        <f>IF(GameLog[[#This Row],[Date]]=MAX(GameLog[Date]),"Current","Previous")</f>
        <v>Previous</v>
      </c>
      <c r="L917" s="6"/>
      <c r="M9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7" s="6" t="str">
        <f ca="1">IF(GameLog[[#This Row],[Check]]="","",COUNTIF(GameLog[[#Headers],[Check]]:GameLog[[#This Row],[Check]],"?*")-1)</f>
        <v/>
      </c>
      <c r="O917" s="6" t="str">
        <f>IFERROR(INDEX(Players[New name],MATCH(GameLog[[#This Row],[Player]],Players[Name],0)),GameLog[[#This Row],[Player]])</f>
        <v>AJ W</v>
      </c>
    </row>
    <row r="918" spans="1:15" x14ac:dyDescent="0.45">
      <c r="A918" s="6" t="s">
        <v>64</v>
      </c>
      <c r="B918" s="6" t="s">
        <v>53</v>
      </c>
      <c r="C918" s="6">
        <v>4</v>
      </c>
      <c r="D918" s="6">
        <v>3</v>
      </c>
      <c r="E918" s="6">
        <v>2</v>
      </c>
      <c r="F918" s="10">
        <v>46055</v>
      </c>
      <c r="G918" s="6" t="str">
        <f>_xlfn.TEXTJOIN("|",TRUE,GameLog[[#This Row],[Pod]],TEXT(INT(GameLog[[#This Row],[Round]]),"yyyymmdd"),GameLog[[#This Row],[Date]])</f>
        <v>3|19000102|46055</v>
      </c>
      <c r="H918" s="6">
        <f>COUNTIF(GameLog[Pod ID],GameLog[[#This Row],[Pod ID]])</f>
        <v>4</v>
      </c>
      <c r="I918" s="6">
        <f>YEAR(GameLog[[#This Row],[Date]])</f>
        <v>2026</v>
      </c>
      <c r="J918" s="6">
        <f>MONTH(GameLog[[#This Row],[Date]])</f>
        <v>2</v>
      </c>
      <c r="K918" s="6" t="str">
        <f>IF(GameLog[[#This Row],[Date]]=MAX(GameLog[Date]),"Current","Previous")</f>
        <v>Previous</v>
      </c>
      <c r="L918" s="6"/>
      <c r="M9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8" s="6" t="str">
        <f ca="1">IF(GameLog[[#This Row],[Check]]="","",COUNTIF(GameLog[[#Headers],[Check]]:GameLog[[#This Row],[Check]],"?*")-1)</f>
        <v/>
      </c>
      <c r="O918" s="6" t="str">
        <f>IFERROR(INDEX(Players[New name],MATCH(GameLog[[#This Row],[Player]],Players[Name],0)),GameLog[[#This Row],[Player]])</f>
        <v>Tyler B</v>
      </c>
    </row>
    <row r="919" spans="1:15" x14ac:dyDescent="0.45">
      <c r="A919" s="6" t="s">
        <v>96</v>
      </c>
      <c r="B919" s="6" t="s">
        <v>50</v>
      </c>
      <c r="C919" s="6">
        <v>1</v>
      </c>
      <c r="D919" s="6">
        <v>4</v>
      </c>
      <c r="E919" s="6">
        <v>2</v>
      </c>
      <c r="F919" s="10">
        <v>46055</v>
      </c>
      <c r="G919" s="6" t="str">
        <f>_xlfn.TEXTJOIN("|",TRUE,GameLog[[#This Row],[Pod]],TEXT(INT(GameLog[[#This Row],[Round]]),"yyyymmdd"),GameLog[[#This Row],[Date]])</f>
        <v>4|19000102|46055</v>
      </c>
      <c r="H919" s="6">
        <f>COUNTIF(GameLog[Pod ID],GameLog[[#This Row],[Pod ID]])</f>
        <v>4</v>
      </c>
      <c r="I919" s="6">
        <f>YEAR(GameLog[[#This Row],[Date]])</f>
        <v>2026</v>
      </c>
      <c r="J919" s="6">
        <f>MONTH(GameLog[[#This Row],[Date]])</f>
        <v>2</v>
      </c>
      <c r="K919" s="6" t="str">
        <f>IF(GameLog[[#This Row],[Date]]=MAX(GameLog[Date]),"Current","Previous")</f>
        <v>Previous</v>
      </c>
      <c r="L919" s="6"/>
      <c r="M9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19" s="6" t="str">
        <f ca="1">IF(GameLog[[#This Row],[Check]]="","",COUNTIF(GameLog[[#Headers],[Check]]:GameLog[[#This Row],[Check]],"?*")-1)</f>
        <v/>
      </c>
      <c r="O919" s="6" t="str">
        <f>IFERROR(INDEX(Players[New name],MATCH(GameLog[[#This Row],[Player]],Players[Name],0)),GameLog[[#This Row],[Player]])</f>
        <v>Brandon A</v>
      </c>
    </row>
    <row r="920" spans="1:15" x14ac:dyDescent="0.45">
      <c r="A920" s="6" t="s">
        <v>82</v>
      </c>
      <c r="B920" s="6" t="s">
        <v>53</v>
      </c>
      <c r="C920" s="6">
        <v>2</v>
      </c>
      <c r="D920" s="6">
        <v>4</v>
      </c>
      <c r="E920" s="6">
        <v>2</v>
      </c>
      <c r="F920" s="10">
        <v>46055</v>
      </c>
      <c r="G920" s="6" t="str">
        <f>_xlfn.TEXTJOIN("|",TRUE,GameLog[[#This Row],[Pod]],TEXT(INT(GameLog[[#This Row],[Round]]),"yyyymmdd"),GameLog[[#This Row],[Date]])</f>
        <v>4|19000102|46055</v>
      </c>
      <c r="H920" s="6">
        <f>COUNTIF(GameLog[Pod ID],GameLog[[#This Row],[Pod ID]])</f>
        <v>4</v>
      </c>
      <c r="I920" s="6">
        <f>YEAR(GameLog[[#This Row],[Date]])</f>
        <v>2026</v>
      </c>
      <c r="J920" s="6">
        <f>MONTH(GameLog[[#This Row],[Date]])</f>
        <v>2</v>
      </c>
      <c r="K920" s="6" t="str">
        <f>IF(GameLog[[#This Row],[Date]]=MAX(GameLog[Date]),"Current","Previous")</f>
        <v>Previous</v>
      </c>
      <c r="L920" s="6"/>
      <c r="M9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0" s="6" t="str">
        <f ca="1">IF(GameLog[[#This Row],[Check]]="","",COUNTIF(GameLog[[#Headers],[Check]]:GameLog[[#This Row],[Check]],"?*")-1)</f>
        <v/>
      </c>
      <c r="O920" s="6" t="str">
        <f>IFERROR(INDEX(Players[New name],MATCH(GameLog[[#This Row],[Player]],Players[Name],0)),GameLog[[#This Row],[Player]])</f>
        <v>Nick D</v>
      </c>
    </row>
    <row r="921" spans="1:15" x14ac:dyDescent="0.45">
      <c r="A921" s="6" t="s">
        <v>68</v>
      </c>
      <c r="B921" s="6" t="s">
        <v>53</v>
      </c>
      <c r="C921" s="6">
        <v>3</v>
      </c>
      <c r="D921" s="6">
        <v>4</v>
      </c>
      <c r="E921" s="6">
        <v>2</v>
      </c>
      <c r="F921" s="10">
        <v>46055</v>
      </c>
      <c r="G921" s="6" t="str">
        <f>_xlfn.TEXTJOIN("|",TRUE,GameLog[[#This Row],[Pod]],TEXT(INT(GameLog[[#This Row],[Round]]),"yyyymmdd"),GameLog[[#This Row],[Date]])</f>
        <v>4|19000102|46055</v>
      </c>
      <c r="H921" s="6">
        <f>COUNTIF(GameLog[Pod ID],GameLog[[#This Row],[Pod ID]])</f>
        <v>4</v>
      </c>
      <c r="I921" s="6">
        <f>YEAR(GameLog[[#This Row],[Date]])</f>
        <v>2026</v>
      </c>
      <c r="J921" s="6">
        <f>MONTH(GameLog[[#This Row],[Date]])</f>
        <v>2</v>
      </c>
      <c r="K921" s="6" t="str">
        <f>IF(GameLog[[#This Row],[Date]]=MAX(GameLog[Date]),"Current","Previous")</f>
        <v>Previous</v>
      </c>
      <c r="L921" s="6"/>
      <c r="M9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1" s="6" t="str">
        <f ca="1">IF(GameLog[[#This Row],[Check]]="","",COUNTIF(GameLog[[#Headers],[Check]]:GameLog[[#This Row],[Check]],"?*")-1)</f>
        <v/>
      </c>
      <c r="O921" s="6" t="str">
        <f>IFERROR(INDEX(Players[New name],MATCH(GameLog[[#This Row],[Player]],Players[Name],0)),GameLog[[#This Row],[Player]])</f>
        <v>Edwin M</v>
      </c>
    </row>
    <row r="922" spans="1:15" x14ac:dyDescent="0.45">
      <c r="A922" s="6" t="s">
        <v>74</v>
      </c>
      <c r="B922" s="6" t="s">
        <v>53</v>
      </c>
      <c r="C922" s="6">
        <v>4</v>
      </c>
      <c r="D922" s="6">
        <v>4</v>
      </c>
      <c r="E922" s="6">
        <v>2</v>
      </c>
      <c r="F922" s="10">
        <v>46055</v>
      </c>
      <c r="G922" s="6" t="str">
        <f>_xlfn.TEXTJOIN("|",TRUE,GameLog[[#This Row],[Pod]],TEXT(INT(GameLog[[#This Row],[Round]]),"yyyymmdd"),GameLog[[#This Row],[Date]])</f>
        <v>4|19000102|46055</v>
      </c>
      <c r="H922" s="6">
        <f>COUNTIF(GameLog[Pod ID],GameLog[[#This Row],[Pod ID]])</f>
        <v>4</v>
      </c>
      <c r="I922" s="6">
        <f>YEAR(GameLog[[#This Row],[Date]])</f>
        <v>2026</v>
      </c>
      <c r="J922" s="6">
        <f>MONTH(GameLog[[#This Row],[Date]])</f>
        <v>2</v>
      </c>
      <c r="K922" s="6" t="str">
        <f>IF(GameLog[[#This Row],[Date]]=MAX(GameLog[Date]),"Current","Previous")</f>
        <v>Previous</v>
      </c>
      <c r="L922" s="6"/>
      <c r="M9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2" s="6" t="str">
        <f ca="1">IF(GameLog[[#This Row],[Check]]="","",COUNTIF(GameLog[[#Headers],[Check]]:GameLog[[#This Row],[Check]],"?*")-1)</f>
        <v/>
      </c>
      <c r="O922" s="6" t="str">
        <f>IFERROR(INDEX(Players[New name],MATCH(GameLog[[#This Row],[Player]],Players[Name],0)),GameLog[[#This Row],[Player]])</f>
        <v>Jarrod O</v>
      </c>
    </row>
    <row r="923" spans="1:15" x14ac:dyDescent="0.45">
      <c r="A923" s="6" t="s">
        <v>70</v>
      </c>
      <c r="B923" s="6" t="s">
        <v>53</v>
      </c>
      <c r="C923" s="6">
        <v>1</v>
      </c>
      <c r="D923" s="6">
        <v>5</v>
      </c>
      <c r="E923" s="6">
        <v>2</v>
      </c>
      <c r="F923" s="10">
        <v>46055</v>
      </c>
      <c r="G923" s="6" t="str">
        <f>_xlfn.TEXTJOIN("|",TRUE,GameLog[[#This Row],[Pod]],TEXT(INT(GameLog[[#This Row],[Round]]),"yyyymmdd"),GameLog[[#This Row],[Date]])</f>
        <v>5|19000102|46055</v>
      </c>
      <c r="H923" s="6">
        <f>COUNTIF(GameLog[Pod ID],GameLog[[#This Row],[Pod ID]])</f>
        <v>3</v>
      </c>
      <c r="I923" s="6">
        <f>YEAR(GameLog[[#This Row],[Date]])</f>
        <v>2026</v>
      </c>
      <c r="J923" s="6">
        <f>MONTH(GameLog[[#This Row],[Date]])</f>
        <v>2</v>
      </c>
      <c r="K923" s="6" t="str">
        <f>IF(GameLog[[#This Row],[Date]]=MAX(GameLog[Date]),"Current","Previous")</f>
        <v>Previous</v>
      </c>
      <c r="L923" s="6"/>
      <c r="M9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3" s="6" t="str">
        <f ca="1">IF(GameLog[[#This Row],[Check]]="","",COUNTIF(GameLog[[#Headers],[Check]]:GameLog[[#This Row],[Check]],"?*")-1)</f>
        <v/>
      </c>
      <c r="O923" s="6" t="str">
        <f>IFERROR(INDEX(Players[New name],MATCH(GameLog[[#This Row],[Player]],Players[Name],0)),GameLog[[#This Row],[Player]])</f>
        <v>Brad F</v>
      </c>
    </row>
    <row r="924" spans="1:15" x14ac:dyDescent="0.45">
      <c r="A924" s="6" t="s">
        <v>77</v>
      </c>
      <c r="B924" s="6" t="s">
        <v>53</v>
      </c>
      <c r="C924" s="6">
        <v>2</v>
      </c>
      <c r="D924" s="6">
        <v>5</v>
      </c>
      <c r="E924" s="6">
        <v>2</v>
      </c>
      <c r="F924" s="10">
        <v>46055</v>
      </c>
      <c r="G924" s="6" t="str">
        <f>_xlfn.TEXTJOIN("|",TRUE,GameLog[[#This Row],[Pod]],TEXT(INT(GameLog[[#This Row],[Round]]),"yyyymmdd"),GameLog[[#This Row],[Date]])</f>
        <v>5|19000102|46055</v>
      </c>
      <c r="H924" s="6">
        <f>COUNTIF(GameLog[Pod ID],GameLog[[#This Row],[Pod ID]])</f>
        <v>3</v>
      </c>
      <c r="I924" s="6">
        <f>YEAR(GameLog[[#This Row],[Date]])</f>
        <v>2026</v>
      </c>
      <c r="J924" s="6">
        <f>MONTH(GameLog[[#This Row],[Date]])</f>
        <v>2</v>
      </c>
      <c r="K924" s="6" t="str">
        <f>IF(GameLog[[#This Row],[Date]]=MAX(GameLog[Date]),"Current","Previous")</f>
        <v>Previous</v>
      </c>
      <c r="L924" s="6"/>
      <c r="M9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4" s="6" t="str">
        <f ca="1">IF(GameLog[[#This Row],[Check]]="","",COUNTIF(GameLog[[#Headers],[Check]]:GameLog[[#This Row],[Check]],"?*")-1)</f>
        <v/>
      </c>
      <c r="O924" s="6" t="str">
        <f>IFERROR(INDEX(Players[New name],MATCH(GameLog[[#This Row],[Player]],Players[Name],0)),GameLog[[#This Row],[Player]])</f>
        <v>Dave M</v>
      </c>
    </row>
    <row r="925" spans="1:15" x14ac:dyDescent="0.45">
      <c r="A925" s="6" t="s">
        <v>55</v>
      </c>
      <c r="B925" s="6" t="s">
        <v>50</v>
      </c>
      <c r="C925" s="6">
        <v>3</v>
      </c>
      <c r="D925" s="6">
        <v>5</v>
      </c>
      <c r="E925" s="6">
        <v>2</v>
      </c>
      <c r="F925" s="10">
        <v>46055</v>
      </c>
      <c r="G925" s="6" t="str">
        <f>_xlfn.TEXTJOIN("|",TRUE,GameLog[[#This Row],[Pod]],TEXT(INT(GameLog[[#This Row],[Round]]),"yyyymmdd"),GameLog[[#This Row],[Date]])</f>
        <v>5|19000102|46055</v>
      </c>
      <c r="H925" s="6">
        <f>COUNTIF(GameLog[Pod ID],GameLog[[#This Row],[Pod ID]])</f>
        <v>3</v>
      </c>
      <c r="I925" s="6">
        <f>YEAR(GameLog[[#This Row],[Date]])</f>
        <v>2026</v>
      </c>
      <c r="J925" s="6">
        <f>MONTH(GameLog[[#This Row],[Date]])</f>
        <v>2</v>
      </c>
      <c r="K925" s="6" t="str">
        <f>IF(GameLog[[#This Row],[Date]]=MAX(GameLog[Date]),"Current","Previous")</f>
        <v>Previous</v>
      </c>
      <c r="L925" s="6"/>
      <c r="M9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5" s="6" t="str">
        <f ca="1">IF(GameLog[[#This Row],[Check]]="","",COUNTIF(GameLog[[#Headers],[Check]]:GameLog[[#This Row],[Check]],"?*")-1)</f>
        <v/>
      </c>
      <c r="O925" s="6" t="str">
        <f>IFERROR(INDEX(Players[New name],MATCH(GameLog[[#This Row],[Player]],Players[Name],0)),GameLog[[#This Row],[Player]])</f>
        <v>Bryce C</v>
      </c>
    </row>
    <row r="926" spans="1:15" x14ac:dyDescent="0.45">
      <c r="A926" s="6" t="s">
        <v>61</v>
      </c>
      <c r="B926" s="6" t="s">
        <v>90</v>
      </c>
      <c r="C926" s="6">
        <v>1</v>
      </c>
      <c r="D926" s="6">
        <v>1</v>
      </c>
      <c r="E926" s="6">
        <v>1</v>
      </c>
      <c r="F926" s="10">
        <v>46062</v>
      </c>
      <c r="G926" s="6" t="str">
        <f>_xlfn.TEXTJOIN("|",TRUE,GameLog[[#This Row],[Pod]],TEXT(INT(GameLog[[#This Row],[Round]]),"yyyymmdd"),GameLog[[#This Row],[Date]])</f>
        <v>1|19000101|46062</v>
      </c>
      <c r="H926" s="6">
        <f>COUNTIF(GameLog[Pod ID],GameLog[[#This Row],[Pod ID]])</f>
        <v>4</v>
      </c>
      <c r="I926" s="6">
        <f>YEAR(GameLog[[#This Row],[Date]])</f>
        <v>2026</v>
      </c>
      <c r="J926" s="6">
        <f>MONTH(GameLog[[#This Row],[Date]])</f>
        <v>2</v>
      </c>
      <c r="K926" s="6" t="str">
        <f>IF(GameLog[[#This Row],[Date]]=MAX(GameLog[Date]),"Current","Previous")</f>
        <v>Previous</v>
      </c>
      <c r="L926" s="6"/>
      <c r="M9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6" s="6" t="str">
        <f ca="1">IF(GameLog[[#This Row],[Check]]="","",COUNTIF(GameLog[[#Headers],[Check]]:GameLog[[#This Row],[Check]],"?*")-1)</f>
        <v/>
      </c>
      <c r="O926" s="6" t="str">
        <f>IFERROR(INDEX(Players[New name],MATCH(GameLog[[#This Row],[Player]],Players[Name],0)),GameLog[[#This Row],[Player]])</f>
        <v>Trevor</v>
      </c>
    </row>
    <row r="927" spans="1:15" x14ac:dyDescent="0.45">
      <c r="A927" s="6" t="s">
        <v>60</v>
      </c>
      <c r="B927" s="6" t="s">
        <v>90</v>
      </c>
      <c r="C927" s="6">
        <v>2</v>
      </c>
      <c r="D927" s="6">
        <v>1</v>
      </c>
      <c r="E927" s="6">
        <v>1</v>
      </c>
      <c r="F927" s="10">
        <v>46062</v>
      </c>
      <c r="G927" s="6" t="str">
        <f>_xlfn.TEXTJOIN("|",TRUE,GameLog[[#This Row],[Pod]],TEXT(INT(GameLog[[#This Row],[Round]]),"yyyymmdd"),GameLog[[#This Row],[Date]])</f>
        <v>1|19000101|46062</v>
      </c>
      <c r="H927" s="6">
        <f>COUNTIF(GameLog[Pod ID],GameLog[[#This Row],[Pod ID]])</f>
        <v>4</v>
      </c>
      <c r="I927" s="6">
        <f>YEAR(GameLog[[#This Row],[Date]])</f>
        <v>2026</v>
      </c>
      <c r="J927" s="6">
        <f>MONTH(GameLog[[#This Row],[Date]])</f>
        <v>2</v>
      </c>
      <c r="K927" s="6" t="str">
        <f>IF(GameLog[[#This Row],[Date]]=MAX(GameLog[Date]),"Current","Previous")</f>
        <v>Previous</v>
      </c>
      <c r="L927" s="6"/>
      <c r="M9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7" s="6" t="str">
        <f ca="1">IF(GameLog[[#This Row],[Check]]="","",COUNTIF(GameLog[[#Headers],[Check]]:GameLog[[#This Row],[Check]],"?*")-1)</f>
        <v/>
      </c>
      <c r="O927" s="6" t="str">
        <f>IFERROR(INDEX(Players[New name],MATCH(GameLog[[#This Row],[Player]],Players[Name],0)),GameLog[[#This Row],[Player]])</f>
        <v>Brendan H</v>
      </c>
    </row>
    <row r="928" spans="1:15" x14ac:dyDescent="0.45">
      <c r="A928" s="6" t="s">
        <v>57</v>
      </c>
      <c r="B928" s="6" t="s">
        <v>90</v>
      </c>
      <c r="C928" s="6">
        <v>3</v>
      </c>
      <c r="D928" s="6">
        <v>1</v>
      </c>
      <c r="E928" s="6">
        <v>1</v>
      </c>
      <c r="F928" s="10">
        <v>46062</v>
      </c>
      <c r="G928" s="6" t="str">
        <f>_xlfn.TEXTJOIN("|",TRUE,GameLog[[#This Row],[Pod]],TEXT(INT(GameLog[[#This Row],[Round]]),"yyyymmdd"),GameLog[[#This Row],[Date]])</f>
        <v>1|19000101|46062</v>
      </c>
      <c r="H928" s="6">
        <f>COUNTIF(GameLog[Pod ID],GameLog[[#This Row],[Pod ID]])</f>
        <v>4</v>
      </c>
      <c r="I928" s="6">
        <f>YEAR(GameLog[[#This Row],[Date]])</f>
        <v>2026</v>
      </c>
      <c r="J928" s="6">
        <f>MONTH(GameLog[[#This Row],[Date]])</f>
        <v>2</v>
      </c>
      <c r="K928" s="6" t="str">
        <f>IF(GameLog[[#This Row],[Date]]=MAX(GameLog[Date]),"Current","Previous")</f>
        <v>Previous</v>
      </c>
      <c r="L928" s="6"/>
      <c r="M9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8" s="6" t="str">
        <f ca="1">IF(GameLog[[#This Row],[Check]]="","",COUNTIF(GameLog[[#Headers],[Check]]:GameLog[[#This Row],[Check]],"?*")-1)</f>
        <v/>
      </c>
      <c r="O928" s="6" t="str">
        <f>IFERROR(INDEX(Players[New name],MATCH(GameLog[[#This Row],[Player]],Players[Name],0)),GameLog[[#This Row],[Player]])</f>
        <v>AJ W</v>
      </c>
    </row>
    <row r="929" spans="1:15" x14ac:dyDescent="0.45">
      <c r="A929" s="6" t="s">
        <v>97</v>
      </c>
      <c r="B929" s="6" t="s">
        <v>90</v>
      </c>
      <c r="C929" s="6">
        <v>4</v>
      </c>
      <c r="D929" s="6">
        <v>1</v>
      </c>
      <c r="E929" s="6">
        <v>1</v>
      </c>
      <c r="F929" s="10">
        <v>46062</v>
      </c>
      <c r="G929" s="6" t="str">
        <f>_xlfn.TEXTJOIN("|",TRUE,GameLog[[#This Row],[Pod]],TEXT(INT(GameLog[[#This Row],[Round]]),"yyyymmdd"),GameLog[[#This Row],[Date]])</f>
        <v>1|19000101|46062</v>
      </c>
      <c r="H929" s="6">
        <f>COUNTIF(GameLog[Pod ID],GameLog[[#This Row],[Pod ID]])</f>
        <v>4</v>
      </c>
      <c r="I929" s="6">
        <f>YEAR(GameLog[[#This Row],[Date]])</f>
        <v>2026</v>
      </c>
      <c r="J929" s="6">
        <f>MONTH(GameLog[[#This Row],[Date]])</f>
        <v>2</v>
      </c>
      <c r="K929" s="6" t="str">
        <f>IF(GameLog[[#This Row],[Date]]=MAX(GameLog[Date]),"Current","Previous")</f>
        <v>Previous</v>
      </c>
      <c r="L929" s="6"/>
      <c r="M9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29" s="6" t="str">
        <f ca="1">IF(GameLog[[#This Row],[Check]]="","",COUNTIF(GameLog[[#Headers],[Check]]:GameLog[[#This Row],[Check]],"?*")-1)</f>
        <v/>
      </c>
      <c r="O929" s="6" t="str">
        <f>IFERROR(INDEX(Players[New name],MATCH(GameLog[[#This Row],[Player]],Players[Name],0)),GameLog[[#This Row],[Player]])</f>
        <v>Arman H</v>
      </c>
    </row>
    <row r="930" spans="1:15" x14ac:dyDescent="0.45">
      <c r="A930" s="6" t="s">
        <v>74</v>
      </c>
      <c r="B930" s="6" t="s">
        <v>53</v>
      </c>
      <c r="C930" s="6">
        <v>1</v>
      </c>
      <c r="D930" s="6">
        <v>2</v>
      </c>
      <c r="E930" s="6">
        <v>1</v>
      </c>
      <c r="F930" s="10">
        <v>46062</v>
      </c>
      <c r="G930" s="6" t="str">
        <f>_xlfn.TEXTJOIN("|",TRUE,GameLog[[#This Row],[Pod]],TEXT(INT(GameLog[[#This Row],[Round]]),"yyyymmdd"),GameLog[[#This Row],[Date]])</f>
        <v>2|19000101|46062</v>
      </c>
      <c r="H930" s="6">
        <f>COUNTIF(GameLog[Pod ID],GameLog[[#This Row],[Pod ID]])</f>
        <v>4</v>
      </c>
      <c r="I930" s="6">
        <f>YEAR(GameLog[[#This Row],[Date]])</f>
        <v>2026</v>
      </c>
      <c r="J930" s="6">
        <f>MONTH(GameLog[[#This Row],[Date]])</f>
        <v>2</v>
      </c>
      <c r="K930" s="6" t="str">
        <f>IF(GameLog[[#This Row],[Date]]=MAX(GameLog[Date]),"Current","Previous")</f>
        <v>Previous</v>
      </c>
      <c r="L930" s="6"/>
      <c r="M9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0" s="6" t="str">
        <f ca="1">IF(GameLog[[#This Row],[Check]]="","",COUNTIF(GameLog[[#Headers],[Check]]:GameLog[[#This Row],[Check]],"?*")-1)</f>
        <v/>
      </c>
      <c r="O930" s="6" t="str">
        <f>IFERROR(INDEX(Players[New name],MATCH(GameLog[[#This Row],[Player]],Players[Name],0)),GameLog[[#This Row],[Player]])</f>
        <v>Jarrod O</v>
      </c>
    </row>
    <row r="931" spans="1:15" x14ac:dyDescent="0.45">
      <c r="A931" s="6" t="s">
        <v>70</v>
      </c>
      <c r="B931" s="6" t="s">
        <v>50</v>
      </c>
      <c r="C931" s="6">
        <v>2</v>
      </c>
      <c r="D931" s="6">
        <v>2</v>
      </c>
      <c r="E931" s="6">
        <v>1</v>
      </c>
      <c r="F931" s="10">
        <v>46062</v>
      </c>
      <c r="G931" s="6" t="str">
        <f>_xlfn.TEXTJOIN("|",TRUE,GameLog[[#This Row],[Pod]],TEXT(INT(GameLog[[#This Row],[Round]]),"yyyymmdd"),GameLog[[#This Row],[Date]])</f>
        <v>2|19000101|46062</v>
      </c>
      <c r="H931" s="6">
        <f>COUNTIF(GameLog[Pod ID],GameLog[[#This Row],[Pod ID]])</f>
        <v>4</v>
      </c>
      <c r="I931" s="6">
        <f>YEAR(GameLog[[#This Row],[Date]])</f>
        <v>2026</v>
      </c>
      <c r="J931" s="6">
        <f>MONTH(GameLog[[#This Row],[Date]])</f>
        <v>2</v>
      </c>
      <c r="K931" s="6" t="str">
        <f>IF(GameLog[[#This Row],[Date]]=MAX(GameLog[Date]),"Current","Previous")</f>
        <v>Previous</v>
      </c>
      <c r="L931" s="6"/>
      <c r="M9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1" s="6" t="str">
        <f ca="1">IF(GameLog[[#This Row],[Check]]="","",COUNTIF(GameLog[[#Headers],[Check]]:GameLog[[#This Row],[Check]],"?*")-1)</f>
        <v/>
      </c>
      <c r="O931" s="6" t="str">
        <f>IFERROR(INDEX(Players[New name],MATCH(GameLog[[#This Row],[Player]],Players[Name],0)),GameLog[[#This Row],[Player]])</f>
        <v>Brad F</v>
      </c>
    </row>
    <row r="932" spans="1:15" x14ac:dyDescent="0.45">
      <c r="A932" s="6" t="s">
        <v>59</v>
      </c>
      <c r="B932" s="6" t="s">
        <v>53</v>
      </c>
      <c r="C932" s="6">
        <v>3</v>
      </c>
      <c r="D932" s="6">
        <v>2</v>
      </c>
      <c r="E932" s="6">
        <v>1</v>
      </c>
      <c r="F932" s="10">
        <v>46062</v>
      </c>
      <c r="G932" s="6" t="str">
        <f>_xlfn.TEXTJOIN("|",TRUE,GameLog[[#This Row],[Pod]],TEXT(INT(GameLog[[#This Row],[Round]]),"yyyymmdd"),GameLog[[#This Row],[Date]])</f>
        <v>2|19000101|46062</v>
      </c>
      <c r="H932" s="6">
        <f>COUNTIF(GameLog[Pod ID],GameLog[[#This Row],[Pod ID]])</f>
        <v>4</v>
      </c>
      <c r="I932" s="6">
        <f>YEAR(GameLog[[#This Row],[Date]])</f>
        <v>2026</v>
      </c>
      <c r="J932" s="6">
        <f>MONTH(GameLog[[#This Row],[Date]])</f>
        <v>2</v>
      </c>
      <c r="K932" s="6" t="str">
        <f>IF(GameLog[[#This Row],[Date]]=MAX(GameLog[Date]),"Current","Previous")</f>
        <v>Previous</v>
      </c>
      <c r="L932" s="6"/>
      <c r="M9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2" s="6" t="str">
        <f ca="1">IF(GameLog[[#This Row],[Check]]="","",COUNTIF(GameLog[[#Headers],[Check]]:GameLog[[#This Row],[Check]],"?*")-1)</f>
        <v/>
      </c>
      <c r="O932" s="6" t="str">
        <f>IFERROR(INDEX(Players[New name],MATCH(GameLog[[#This Row],[Player]],Players[Name],0)),GameLog[[#This Row],[Player]])</f>
        <v>Zack B</v>
      </c>
    </row>
    <row r="933" spans="1:15" x14ac:dyDescent="0.45">
      <c r="A933" s="6" t="s">
        <v>77</v>
      </c>
      <c r="B933" s="6" t="s">
        <v>53</v>
      </c>
      <c r="C933" s="6">
        <v>4</v>
      </c>
      <c r="D933" s="6">
        <v>2</v>
      </c>
      <c r="E933" s="6">
        <v>1</v>
      </c>
      <c r="F933" s="10">
        <v>46062</v>
      </c>
      <c r="G933" s="6" t="str">
        <f>_xlfn.TEXTJOIN("|",TRUE,GameLog[[#This Row],[Pod]],TEXT(INT(GameLog[[#This Row],[Round]]),"yyyymmdd"),GameLog[[#This Row],[Date]])</f>
        <v>2|19000101|46062</v>
      </c>
      <c r="H933" s="6">
        <f>COUNTIF(GameLog[Pod ID],GameLog[[#This Row],[Pod ID]])</f>
        <v>4</v>
      </c>
      <c r="I933" s="6">
        <f>YEAR(GameLog[[#This Row],[Date]])</f>
        <v>2026</v>
      </c>
      <c r="J933" s="6">
        <f>MONTH(GameLog[[#This Row],[Date]])</f>
        <v>2</v>
      </c>
      <c r="K933" s="6" t="str">
        <f>IF(GameLog[[#This Row],[Date]]=MAX(GameLog[Date]),"Current","Previous")</f>
        <v>Previous</v>
      </c>
      <c r="L933" s="6"/>
      <c r="M9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3" s="6" t="str">
        <f ca="1">IF(GameLog[[#This Row],[Check]]="","",COUNTIF(GameLog[[#Headers],[Check]]:GameLog[[#This Row],[Check]],"?*")-1)</f>
        <v/>
      </c>
      <c r="O933" s="6" t="str">
        <f>IFERROR(INDEX(Players[New name],MATCH(GameLog[[#This Row],[Player]],Players[Name],0)),GameLog[[#This Row],[Player]])</f>
        <v>Dave M</v>
      </c>
    </row>
    <row r="934" spans="1:15" x14ac:dyDescent="0.45">
      <c r="A934" s="6" t="s">
        <v>91</v>
      </c>
      <c r="B934" s="6" t="s">
        <v>90</v>
      </c>
      <c r="C934" s="6">
        <v>1</v>
      </c>
      <c r="D934" s="6">
        <v>3</v>
      </c>
      <c r="E934" s="6">
        <v>1</v>
      </c>
      <c r="F934" s="10">
        <v>46062</v>
      </c>
      <c r="G934" s="6" t="str">
        <f>_xlfn.TEXTJOIN("|",TRUE,GameLog[[#This Row],[Pod]],TEXT(INT(GameLog[[#This Row],[Round]]),"yyyymmdd"),GameLog[[#This Row],[Date]])</f>
        <v>3|19000101|46062</v>
      </c>
      <c r="H934" s="6">
        <f>COUNTIF(GameLog[Pod ID],GameLog[[#This Row],[Pod ID]])</f>
        <v>4</v>
      </c>
      <c r="I934" s="6">
        <f>YEAR(GameLog[[#This Row],[Date]])</f>
        <v>2026</v>
      </c>
      <c r="J934" s="6">
        <f>MONTH(GameLog[[#This Row],[Date]])</f>
        <v>2</v>
      </c>
      <c r="K934" s="6" t="str">
        <f>IF(GameLog[[#This Row],[Date]]=MAX(GameLog[Date]),"Current","Previous")</f>
        <v>Previous</v>
      </c>
      <c r="L934" s="6"/>
      <c r="M9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4" s="6" t="str">
        <f ca="1">IF(GameLog[[#This Row],[Check]]="","",COUNTIF(GameLog[[#Headers],[Check]]:GameLog[[#This Row],[Check]],"?*")-1)</f>
        <v/>
      </c>
      <c r="O934" s="6" t="str">
        <f>IFERROR(INDEX(Players[New name],MATCH(GameLog[[#This Row],[Player]],Players[Name],0)),GameLog[[#This Row],[Player]])</f>
        <v>Isaac B</v>
      </c>
    </row>
    <row r="935" spans="1:15" x14ac:dyDescent="0.45">
      <c r="A935" s="6" t="s">
        <v>64</v>
      </c>
      <c r="B935" s="6" t="s">
        <v>90</v>
      </c>
      <c r="C935" s="6">
        <v>2</v>
      </c>
      <c r="D935" s="6">
        <v>3</v>
      </c>
      <c r="E935" s="6">
        <v>1</v>
      </c>
      <c r="F935" s="10">
        <v>46062</v>
      </c>
      <c r="G935" s="6" t="str">
        <f>_xlfn.TEXTJOIN("|",TRUE,GameLog[[#This Row],[Pod]],TEXT(INT(GameLog[[#This Row],[Round]]),"yyyymmdd"),GameLog[[#This Row],[Date]])</f>
        <v>3|19000101|46062</v>
      </c>
      <c r="H935" s="6">
        <f>COUNTIF(GameLog[Pod ID],GameLog[[#This Row],[Pod ID]])</f>
        <v>4</v>
      </c>
      <c r="I935" s="6">
        <f>YEAR(GameLog[[#This Row],[Date]])</f>
        <v>2026</v>
      </c>
      <c r="J935" s="6">
        <f>MONTH(GameLog[[#This Row],[Date]])</f>
        <v>2</v>
      </c>
      <c r="K935" s="6" t="str">
        <f>IF(GameLog[[#This Row],[Date]]=MAX(GameLog[Date]),"Current","Previous")</f>
        <v>Previous</v>
      </c>
      <c r="L935" s="6"/>
      <c r="M9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5" s="6" t="str">
        <f ca="1">IF(GameLog[[#This Row],[Check]]="","",COUNTIF(GameLog[[#Headers],[Check]]:GameLog[[#This Row],[Check]],"?*")-1)</f>
        <v/>
      </c>
      <c r="O935" s="6" t="str">
        <f>IFERROR(INDEX(Players[New name],MATCH(GameLog[[#This Row],[Player]],Players[Name],0)),GameLog[[#This Row],[Player]])</f>
        <v>Tyler B</v>
      </c>
    </row>
    <row r="936" spans="1:15" x14ac:dyDescent="0.45">
      <c r="A936" s="6" t="s">
        <v>52</v>
      </c>
      <c r="B936" s="6" t="s">
        <v>90</v>
      </c>
      <c r="C936" s="6">
        <v>3</v>
      </c>
      <c r="D936" s="6">
        <v>3</v>
      </c>
      <c r="E936" s="6">
        <v>1</v>
      </c>
      <c r="F936" s="10">
        <v>46062</v>
      </c>
      <c r="G936" s="6" t="str">
        <f>_xlfn.TEXTJOIN("|",TRUE,GameLog[[#This Row],[Pod]],TEXT(INT(GameLog[[#This Row],[Round]]),"yyyymmdd"),GameLog[[#This Row],[Date]])</f>
        <v>3|19000101|46062</v>
      </c>
      <c r="H936" s="6">
        <f>COUNTIF(GameLog[Pod ID],GameLog[[#This Row],[Pod ID]])</f>
        <v>4</v>
      </c>
      <c r="I936" s="6">
        <f>YEAR(GameLog[[#This Row],[Date]])</f>
        <v>2026</v>
      </c>
      <c r="J936" s="6">
        <f>MONTH(GameLog[[#This Row],[Date]])</f>
        <v>2</v>
      </c>
      <c r="K936" s="6" t="str">
        <f>IF(GameLog[[#This Row],[Date]]=MAX(GameLog[Date]),"Current","Previous")</f>
        <v>Previous</v>
      </c>
      <c r="L936" s="6"/>
      <c r="M9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6" s="6" t="str">
        <f ca="1">IF(GameLog[[#This Row],[Check]]="","",COUNTIF(GameLog[[#Headers],[Check]]:GameLog[[#This Row],[Check]],"?*")-1)</f>
        <v/>
      </c>
      <c r="O936" s="6" t="str">
        <f>IFERROR(INDEX(Players[New name],MATCH(GameLog[[#This Row],[Player]],Players[Name],0)),GameLog[[#This Row],[Player]])</f>
        <v>Unknown</v>
      </c>
    </row>
    <row r="937" spans="1:15" x14ac:dyDescent="0.45">
      <c r="A937" s="6" t="s">
        <v>55</v>
      </c>
      <c r="B937" s="6" t="s">
        <v>90</v>
      </c>
      <c r="C937" s="6">
        <v>4</v>
      </c>
      <c r="D937" s="6">
        <v>3</v>
      </c>
      <c r="E937" s="6">
        <v>1</v>
      </c>
      <c r="F937" s="10">
        <v>46062</v>
      </c>
      <c r="G937" s="6" t="str">
        <f>_xlfn.TEXTJOIN("|",TRUE,GameLog[[#This Row],[Pod]],TEXT(INT(GameLog[[#This Row],[Round]]),"yyyymmdd"),GameLog[[#This Row],[Date]])</f>
        <v>3|19000101|46062</v>
      </c>
      <c r="H937" s="6">
        <f>COUNTIF(GameLog[Pod ID],GameLog[[#This Row],[Pod ID]])</f>
        <v>4</v>
      </c>
      <c r="I937" s="6">
        <f>YEAR(GameLog[[#This Row],[Date]])</f>
        <v>2026</v>
      </c>
      <c r="J937" s="6">
        <f>MONTH(GameLog[[#This Row],[Date]])</f>
        <v>2</v>
      </c>
      <c r="K937" s="6" t="str">
        <f>IF(GameLog[[#This Row],[Date]]=MAX(GameLog[Date]),"Current","Previous")</f>
        <v>Previous</v>
      </c>
      <c r="L937" s="6"/>
      <c r="M9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7" s="6" t="str">
        <f ca="1">IF(GameLog[[#This Row],[Check]]="","",COUNTIF(GameLog[[#Headers],[Check]]:GameLog[[#This Row],[Check]],"?*")-1)</f>
        <v/>
      </c>
      <c r="O937" s="6" t="str">
        <f>IFERROR(INDEX(Players[New name],MATCH(GameLog[[#This Row],[Player]],Players[Name],0)),GameLog[[#This Row],[Player]])</f>
        <v>Bryce C</v>
      </c>
    </row>
    <row r="938" spans="1:15" x14ac:dyDescent="0.45">
      <c r="A938" s="6" t="s">
        <v>63</v>
      </c>
      <c r="B938" s="6" t="s">
        <v>50</v>
      </c>
      <c r="C938" s="6">
        <v>1</v>
      </c>
      <c r="D938" s="6">
        <v>4</v>
      </c>
      <c r="E938" s="6">
        <v>1</v>
      </c>
      <c r="F938" s="10">
        <v>46062</v>
      </c>
      <c r="G938" s="6" t="str">
        <f>_xlfn.TEXTJOIN("|",TRUE,GameLog[[#This Row],[Pod]],TEXT(INT(GameLog[[#This Row],[Round]]),"yyyymmdd"),GameLog[[#This Row],[Date]])</f>
        <v>4|19000101|46062</v>
      </c>
      <c r="H938" s="6">
        <f>COUNTIF(GameLog[Pod ID],GameLog[[#This Row],[Pod ID]])</f>
        <v>4</v>
      </c>
      <c r="I938" s="6">
        <f>YEAR(GameLog[[#This Row],[Date]])</f>
        <v>2026</v>
      </c>
      <c r="J938" s="6">
        <f>MONTH(GameLog[[#This Row],[Date]])</f>
        <v>2</v>
      </c>
      <c r="K938" s="6" t="str">
        <f>IF(GameLog[[#This Row],[Date]]=MAX(GameLog[Date]),"Current","Previous")</f>
        <v>Previous</v>
      </c>
      <c r="L938" s="6"/>
      <c r="M9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8" s="6" t="str">
        <f ca="1">IF(GameLog[[#This Row],[Check]]="","",COUNTIF(GameLog[[#Headers],[Check]]:GameLog[[#This Row],[Check]],"?*")-1)</f>
        <v/>
      </c>
      <c r="O938" s="6" t="str">
        <f>IFERROR(INDEX(Players[New name],MATCH(GameLog[[#This Row],[Player]],Players[Name],0)),GameLog[[#This Row],[Player]])</f>
        <v>Jake D</v>
      </c>
    </row>
    <row r="939" spans="1:15" x14ac:dyDescent="0.45">
      <c r="A939" s="6" t="s">
        <v>68</v>
      </c>
      <c r="B939" s="6" t="s">
        <v>53</v>
      </c>
      <c r="C939" s="6">
        <v>2</v>
      </c>
      <c r="D939" s="6">
        <v>4</v>
      </c>
      <c r="E939" s="6">
        <v>1</v>
      </c>
      <c r="F939" s="10">
        <v>46062</v>
      </c>
      <c r="G939" s="6" t="str">
        <f>_xlfn.TEXTJOIN("|",TRUE,GameLog[[#This Row],[Pod]],TEXT(INT(GameLog[[#This Row],[Round]]),"yyyymmdd"),GameLog[[#This Row],[Date]])</f>
        <v>4|19000101|46062</v>
      </c>
      <c r="H939" s="6">
        <f>COUNTIF(GameLog[Pod ID],GameLog[[#This Row],[Pod ID]])</f>
        <v>4</v>
      </c>
      <c r="I939" s="6">
        <f>YEAR(GameLog[[#This Row],[Date]])</f>
        <v>2026</v>
      </c>
      <c r="J939" s="6">
        <f>MONTH(GameLog[[#This Row],[Date]])</f>
        <v>2</v>
      </c>
      <c r="K939" s="6" t="str">
        <f>IF(GameLog[[#This Row],[Date]]=MAX(GameLog[Date]),"Current","Previous")</f>
        <v>Previous</v>
      </c>
      <c r="L939" s="6"/>
      <c r="M9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39" s="6" t="str">
        <f ca="1">IF(GameLog[[#This Row],[Check]]="","",COUNTIF(GameLog[[#Headers],[Check]]:GameLog[[#This Row],[Check]],"?*")-1)</f>
        <v/>
      </c>
      <c r="O939" s="6" t="str">
        <f>IFERROR(INDEX(Players[New name],MATCH(GameLog[[#This Row],[Player]],Players[Name],0)),GameLog[[#This Row],[Player]])</f>
        <v>Edwin M</v>
      </c>
    </row>
    <row r="940" spans="1:15" x14ac:dyDescent="0.45">
      <c r="A940" s="6" t="s">
        <v>69</v>
      </c>
      <c r="B940" s="6" t="s">
        <v>53</v>
      </c>
      <c r="C940" s="6">
        <v>3</v>
      </c>
      <c r="D940" s="6">
        <v>4</v>
      </c>
      <c r="E940" s="6">
        <v>1</v>
      </c>
      <c r="F940" s="10">
        <v>46062</v>
      </c>
      <c r="G940" s="6" t="str">
        <f>_xlfn.TEXTJOIN("|",TRUE,GameLog[[#This Row],[Pod]],TEXT(INT(GameLog[[#This Row],[Round]]),"yyyymmdd"),GameLog[[#This Row],[Date]])</f>
        <v>4|19000101|46062</v>
      </c>
      <c r="H940" s="6">
        <f>COUNTIF(GameLog[Pod ID],GameLog[[#This Row],[Pod ID]])</f>
        <v>4</v>
      </c>
      <c r="I940" s="6">
        <f>YEAR(GameLog[[#This Row],[Date]])</f>
        <v>2026</v>
      </c>
      <c r="J940" s="6">
        <f>MONTH(GameLog[[#This Row],[Date]])</f>
        <v>2</v>
      </c>
      <c r="K940" s="6" t="str">
        <f>IF(GameLog[[#This Row],[Date]]=MAX(GameLog[Date]),"Current","Previous")</f>
        <v>Previous</v>
      </c>
      <c r="L940" s="6"/>
      <c r="M9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0" s="6" t="str">
        <f ca="1">IF(GameLog[[#This Row],[Check]]="","",COUNTIF(GameLog[[#Headers],[Check]]:GameLog[[#This Row],[Check]],"?*")-1)</f>
        <v/>
      </c>
      <c r="O940" s="6" t="str">
        <f>IFERROR(INDEX(Players[New name],MATCH(GameLog[[#This Row],[Player]],Players[Name],0)),GameLog[[#This Row],[Player]])</f>
        <v>Ryan T</v>
      </c>
    </row>
    <row r="941" spans="1:15" x14ac:dyDescent="0.45">
      <c r="A941" s="6" t="s">
        <v>73</v>
      </c>
      <c r="B941" s="6" t="s">
        <v>53</v>
      </c>
      <c r="C941" s="6">
        <v>4</v>
      </c>
      <c r="D941" s="6">
        <v>4</v>
      </c>
      <c r="E941" s="6">
        <v>1</v>
      </c>
      <c r="F941" s="10">
        <v>46062</v>
      </c>
      <c r="G941" s="6" t="str">
        <f>_xlfn.TEXTJOIN("|",TRUE,GameLog[[#This Row],[Pod]],TEXT(INT(GameLog[[#This Row],[Round]]),"yyyymmdd"),GameLog[[#This Row],[Date]])</f>
        <v>4|19000101|46062</v>
      </c>
      <c r="H941" s="6">
        <f>COUNTIF(GameLog[Pod ID],GameLog[[#This Row],[Pod ID]])</f>
        <v>4</v>
      </c>
      <c r="I941" s="6">
        <f>YEAR(GameLog[[#This Row],[Date]])</f>
        <v>2026</v>
      </c>
      <c r="J941" s="6">
        <f>MONTH(GameLog[[#This Row],[Date]])</f>
        <v>2</v>
      </c>
      <c r="K941" s="6" t="str">
        <f>IF(GameLog[[#This Row],[Date]]=MAX(GameLog[Date]),"Current","Previous")</f>
        <v>Previous</v>
      </c>
      <c r="L941" s="6"/>
      <c r="M9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1" s="6" t="str">
        <f ca="1">IF(GameLog[[#This Row],[Check]]="","",COUNTIF(GameLog[[#Headers],[Check]]:GameLog[[#This Row],[Check]],"?*")-1)</f>
        <v/>
      </c>
      <c r="O941" s="6" t="str">
        <f>IFERROR(INDEX(Players[New name],MATCH(GameLog[[#This Row],[Player]],Players[Name],0)),GameLog[[#This Row],[Player]])</f>
        <v>Brandon B</v>
      </c>
    </row>
    <row r="942" spans="1:15" x14ac:dyDescent="0.45">
      <c r="A942" s="6" t="s">
        <v>49</v>
      </c>
      <c r="B942" s="6" t="s">
        <v>53</v>
      </c>
      <c r="C942" s="6">
        <v>1</v>
      </c>
      <c r="D942" s="6">
        <v>5</v>
      </c>
      <c r="E942" s="6">
        <v>1</v>
      </c>
      <c r="F942" s="10">
        <v>46062</v>
      </c>
      <c r="G942" s="6" t="str">
        <f>_xlfn.TEXTJOIN("|",TRUE,GameLog[[#This Row],[Pod]],TEXT(INT(GameLog[[#This Row],[Round]]),"yyyymmdd"),GameLog[[#This Row],[Date]])</f>
        <v>5|19000101|46062</v>
      </c>
      <c r="H942" s="6">
        <f>COUNTIF(GameLog[Pod ID],GameLog[[#This Row],[Pod ID]])</f>
        <v>3</v>
      </c>
      <c r="I942" s="6">
        <f>YEAR(GameLog[[#This Row],[Date]])</f>
        <v>2026</v>
      </c>
      <c r="J942" s="6">
        <f>MONTH(GameLog[[#This Row],[Date]])</f>
        <v>2</v>
      </c>
      <c r="K942" s="6" t="str">
        <f>IF(GameLog[[#This Row],[Date]]=MAX(GameLog[Date]),"Current","Previous")</f>
        <v>Previous</v>
      </c>
      <c r="L942" s="6"/>
      <c r="M9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2" s="6" t="str">
        <f ca="1">IF(GameLog[[#This Row],[Check]]="","",COUNTIF(GameLog[[#Headers],[Check]]:GameLog[[#This Row],[Check]],"?*")-1)</f>
        <v/>
      </c>
      <c r="O942" s="6" t="str">
        <f>IFERROR(INDEX(Players[New name],MATCH(GameLog[[#This Row],[Player]],Players[Name],0)),GameLog[[#This Row],[Player]])</f>
        <v>Brett R</v>
      </c>
    </row>
    <row r="943" spans="1:15" x14ac:dyDescent="0.45">
      <c r="A943" s="6" t="s">
        <v>58</v>
      </c>
      <c r="B943" s="6" t="s">
        <v>50</v>
      </c>
      <c r="C943" s="6">
        <v>2</v>
      </c>
      <c r="D943" s="6">
        <v>5</v>
      </c>
      <c r="E943" s="6">
        <v>1</v>
      </c>
      <c r="F943" s="10">
        <v>46062</v>
      </c>
      <c r="G943" s="6" t="str">
        <f>_xlfn.TEXTJOIN("|",TRUE,GameLog[[#This Row],[Pod]],TEXT(INT(GameLog[[#This Row],[Round]]),"yyyymmdd"),GameLog[[#This Row],[Date]])</f>
        <v>5|19000101|46062</v>
      </c>
      <c r="H943" s="6">
        <f>COUNTIF(GameLog[Pod ID],GameLog[[#This Row],[Pod ID]])</f>
        <v>3</v>
      </c>
      <c r="I943" s="6">
        <f>YEAR(GameLog[[#This Row],[Date]])</f>
        <v>2026</v>
      </c>
      <c r="J943" s="6">
        <f>MONTH(GameLog[[#This Row],[Date]])</f>
        <v>2</v>
      </c>
      <c r="K943" s="6" t="str">
        <f>IF(GameLog[[#This Row],[Date]]=MAX(GameLog[Date]),"Current","Previous")</f>
        <v>Previous</v>
      </c>
      <c r="L943" s="6"/>
      <c r="M9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3" s="6" t="str">
        <f ca="1">IF(GameLog[[#This Row],[Check]]="","",COUNTIF(GameLog[[#Headers],[Check]]:GameLog[[#This Row],[Check]],"?*")-1)</f>
        <v/>
      </c>
      <c r="O943" s="6" t="str">
        <f>IFERROR(INDEX(Players[New name],MATCH(GameLog[[#This Row],[Player]],Players[Name],0)),GameLog[[#This Row],[Player]])</f>
        <v>Dakota P</v>
      </c>
    </row>
    <row r="944" spans="1:15" x14ac:dyDescent="0.45">
      <c r="A944" s="6" t="s">
        <v>76</v>
      </c>
      <c r="B944" s="6" t="s">
        <v>53</v>
      </c>
      <c r="C944" s="6">
        <v>3</v>
      </c>
      <c r="D944" s="6">
        <v>5</v>
      </c>
      <c r="E944" s="6">
        <v>1</v>
      </c>
      <c r="F944" s="10">
        <v>46062</v>
      </c>
      <c r="G944" s="6" t="str">
        <f>_xlfn.TEXTJOIN("|",TRUE,GameLog[[#This Row],[Pod]],TEXT(INT(GameLog[[#This Row],[Round]]),"yyyymmdd"),GameLog[[#This Row],[Date]])</f>
        <v>5|19000101|46062</v>
      </c>
      <c r="H944" s="6">
        <f>COUNTIF(GameLog[Pod ID],GameLog[[#This Row],[Pod ID]])</f>
        <v>3</v>
      </c>
      <c r="I944" s="6">
        <f>YEAR(GameLog[[#This Row],[Date]])</f>
        <v>2026</v>
      </c>
      <c r="J944" s="6">
        <f>MONTH(GameLog[[#This Row],[Date]])</f>
        <v>2</v>
      </c>
      <c r="K944" s="6" t="str">
        <f>IF(GameLog[[#This Row],[Date]]=MAX(GameLog[Date]),"Current","Previous")</f>
        <v>Previous</v>
      </c>
      <c r="L944" s="6"/>
      <c r="M9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4" s="6" t="str">
        <f ca="1">IF(GameLog[[#This Row],[Check]]="","",COUNTIF(GameLog[[#Headers],[Check]]:GameLog[[#This Row],[Check]],"?*")-1)</f>
        <v/>
      </c>
      <c r="O944" s="6" t="str">
        <f>IFERROR(INDEX(Players[New name],MATCH(GameLog[[#This Row],[Player]],Players[Name],0)),GameLog[[#This Row],[Player]])</f>
        <v>Jon M</v>
      </c>
    </row>
    <row r="945" spans="1:15" x14ac:dyDescent="0.45">
      <c r="A945" s="6" t="s">
        <v>57</v>
      </c>
      <c r="B945" s="6" t="s">
        <v>50</v>
      </c>
      <c r="C945" s="6">
        <v>1</v>
      </c>
      <c r="D945" s="6">
        <v>1</v>
      </c>
      <c r="E945" s="6">
        <v>2</v>
      </c>
      <c r="F945" s="10">
        <v>46062</v>
      </c>
      <c r="G945" s="6" t="str">
        <f>_xlfn.TEXTJOIN("|",TRUE,GameLog[[#This Row],[Pod]],TEXT(INT(GameLog[[#This Row],[Round]]),"yyyymmdd"),GameLog[[#This Row],[Date]])</f>
        <v>1|19000102|46062</v>
      </c>
      <c r="H945" s="6">
        <f>COUNTIF(GameLog[Pod ID],GameLog[[#This Row],[Pod ID]])</f>
        <v>4</v>
      </c>
      <c r="I945" s="6">
        <f>YEAR(GameLog[[#This Row],[Date]])</f>
        <v>2026</v>
      </c>
      <c r="J945" s="6">
        <f>MONTH(GameLog[[#This Row],[Date]])</f>
        <v>2</v>
      </c>
      <c r="K945" s="6" t="str">
        <f>IF(GameLog[[#This Row],[Date]]=MAX(GameLog[Date]),"Current","Previous")</f>
        <v>Previous</v>
      </c>
      <c r="L945" s="6"/>
      <c r="M9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5" s="6" t="str">
        <f ca="1">IF(GameLog[[#This Row],[Check]]="","",COUNTIF(GameLog[[#Headers],[Check]]:GameLog[[#This Row],[Check]],"?*")-1)</f>
        <v/>
      </c>
      <c r="O945" s="6" t="str">
        <f>IFERROR(INDEX(Players[New name],MATCH(GameLog[[#This Row],[Player]],Players[Name],0)),GameLog[[#This Row],[Player]])</f>
        <v>AJ W</v>
      </c>
    </row>
    <row r="946" spans="1:15" x14ac:dyDescent="0.45">
      <c r="A946" s="6" t="s">
        <v>58</v>
      </c>
      <c r="B946" s="6" t="s">
        <v>53</v>
      </c>
      <c r="C946" s="6">
        <v>2</v>
      </c>
      <c r="D946" s="6">
        <v>1</v>
      </c>
      <c r="E946" s="6">
        <v>2</v>
      </c>
      <c r="F946" s="10">
        <v>46062</v>
      </c>
      <c r="G946" s="6" t="str">
        <f>_xlfn.TEXTJOIN("|",TRUE,GameLog[[#This Row],[Pod]],TEXT(INT(GameLog[[#This Row],[Round]]),"yyyymmdd"),GameLog[[#This Row],[Date]])</f>
        <v>1|19000102|46062</v>
      </c>
      <c r="H946" s="6">
        <f>COUNTIF(GameLog[Pod ID],GameLog[[#This Row],[Pod ID]])</f>
        <v>4</v>
      </c>
      <c r="I946" s="6">
        <f>YEAR(GameLog[[#This Row],[Date]])</f>
        <v>2026</v>
      </c>
      <c r="J946" s="6">
        <f>MONTH(GameLog[[#This Row],[Date]])</f>
        <v>2</v>
      </c>
      <c r="K946" s="6" t="str">
        <f>IF(GameLog[[#This Row],[Date]]=MAX(GameLog[Date]),"Current","Previous")</f>
        <v>Previous</v>
      </c>
      <c r="L946" s="6"/>
      <c r="M9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6" s="6" t="str">
        <f ca="1">IF(GameLog[[#This Row],[Check]]="","",COUNTIF(GameLog[[#Headers],[Check]]:GameLog[[#This Row],[Check]],"?*")-1)</f>
        <v/>
      </c>
      <c r="O946" s="6" t="str">
        <f>IFERROR(INDEX(Players[New name],MATCH(GameLog[[#This Row],[Player]],Players[Name],0)),GameLog[[#This Row],[Player]])</f>
        <v>Dakota P</v>
      </c>
    </row>
    <row r="947" spans="1:15" x14ac:dyDescent="0.45">
      <c r="A947" s="6" t="s">
        <v>70</v>
      </c>
      <c r="B947" s="6" t="s">
        <v>53</v>
      </c>
      <c r="C947" s="6">
        <v>3</v>
      </c>
      <c r="D947" s="6">
        <v>1</v>
      </c>
      <c r="E947" s="6">
        <v>2</v>
      </c>
      <c r="F947" s="10">
        <v>46062</v>
      </c>
      <c r="G947" s="6" t="str">
        <f>_xlfn.TEXTJOIN("|",TRUE,GameLog[[#This Row],[Pod]],TEXT(INT(GameLog[[#This Row],[Round]]),"yyyymmdd"),GameLog[[#This Row],[Date]])</f>
        <v>1|19000102|46062</v>
      </c>
      <c r="H947" s="6">
        <f>COUNTIF(GameLog[Pod ID],GameLog[[#This Row],[Pod ID]])</f>
        <v>4</v>
      </c>
      <c r="I947" s="6">
        <f>YEAR(GameLog[[#This Row],[Date]])</f>
        <v>2026</v>
      </c>
      <c r="J947" s="6">
        <f>MONTH(GameLog[[#This Row],[Date]])</f>
        <v>2</v>
      </c>
      <c r="K947" s="6" t="str">
        <f>IF(GameLog[[#This Row],[Date]]=MAX(GameLog[Date]),"Current","Previous")</f>
        <v>Previous</v>
      </c>
      <c r="L947" s="6"/>
      <c r="M9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7" s="6" t="str">
        <f ca="1">IF(GameLog[[#This Row],[Check]]="","",COUNTIF(GameLog[[#Headers],[Check]]:GameLog[[#This Row],[Check]],"?*")-1)</f>
        <v/>
      </c>
      <c r="O947" s="6" t="str">
        <f>IFERROR(INDEX(Players[New name],MATCH(GameLog[[#This Row],[Player]],Players[Name],0)),GameLog[[#This Row],[Player]])</f>
        <v>Brad F</v>
      </c>
    </row>
    <row r="948" spans="1:15" x14ac:dyDescent="0.45">
      <c r="A948" s="6" t="s">
        <v>63</v>
      </c>
      <c r="B948" s="6" t="s">
        <v>53</v>
      </c>
      <c r="C948" s="6">
        <v>4</v>
      </c>
      <c r="D948" s="6">
        <v>1</v>
      </c>
      <c r="E948" s="6">
        <v>2</v>
      </c>
      <c r="F948" s="10">
        <v>46062</v>
      </c>
      <c r="G948" s="6" t="str">
        <f>_xlfn.TEXTJOIN("|",TRUE,GameLog[[#This Row],[Pod]],TEXT(INT(GameLog[[#This Row],[Round]]),"yyyymmdd"),GameLog[[#This Row],[Date]])</f>
        <v>1|19000102|46062</v>
      </c>
      <c r="H948" s="6">
        <f>COUNTIF(GameLog[Pod ID],GameLog[[#This Row],[Pod ID]])</f>
        <v>4</v>
      </c>
      <c r="I948" s="6">
        <f>YEAR(GameLog[[#This Row],[Date]])</f>
        <v>2026</v>
      </c>
      <c r="J948" s="6">
        <f>MONTH(GameLog[[#This Row],[Date]])</f>
        <v>2</v>
      </c>
      <c r="K948" s="6" t="str">
        <f>IF(GameLog[[#This Row],[Date]]=MAX(GameLog[Date]),"Current","Previous")</f>
        <v>Previous</v>
      </c>
      <c r="L948" s="6"/>
      <c r="M9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8" s="6" t="str">
        <f ca="1">IF(GameLog[[#This Row],[Check]]="","",COUNTIF(GameLog[[#Headers],[Check]]:GameLog[[#This Row],[Check]],"?*")-1)</f>
        <v/>
      </c>
      <c r="O948" s="6" t="str">
        <f>IFERROR(INDEX(Players[New name],MATCH(GameLog[[#This Row],[Player]],Players[Name],0)),GameLog[[#This Row],[Player]])</f>
        <v>Jake D</v>
      </c>
    </row>
    <row r="949" spans="1:15" x14ac:dyDescent="0.45">
      <c r="A949" s="6" t="s">
        <v>59</v>
      </c>
      <c r="B949" s="6" t="s">
        <v>50</v>
      </c>
      <c r="C949" s="6">
        <v>1</v>
      </c>
      <c r="D949" s="6">
        <v>2</v>
      </c>
      <c r="E949" s="6">
        <v>2</v>
      </c>
      <c r="F949" s="10">
        <v>46062</v>
      </c>
      <c r="G949" s="6" t="str">
        <f>_xlfn.TEXTJOIN("|",TRUE,GameLog[[#This Row],[Pod]],TEXT(INT(GameLog[[#This Row],[Round]]),"yyyymmdd"),GameLog[[#This Row],[Date]])</f>
        <v>2|19000102|46062</v>
      </c>
      <c r="H949" s="6">
        <f>COUNTIF(GameLog[Pod ID],GameLog[[#This Row],[Pod ID]])</f>
        <v>4</v>
      </c>
      <c r="I949" s="6">
        <f>YEAR(GameLog[[#This Row],[Date]])</f>
        <v>2026</v>
      </c>
      <c r="J949" s="6">
        <f>MONTH(GameLog[[#This Row],[Date]])</f>
        <v>2</v>
      </c>
      <c r="K949" s="6" t="str">
        <f>IF(GameLog[[#This Row],[Date]]=MAX(GameLog[Date]),"Current","Previous")</f>
        <v>Previous</v>
      </c>
      <c r="L949" s="6"/>
      <c r="M9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49" s="6" t="str">
        <f ca="1">IF(GameLog[[#This Row],[Check]]="","",COUNTIF(GameLog[[#Headers],[Check]]:GameLog[[#This Row],[Check]],"?*")-1)</f>
        <v/>
      </c>
      <c r="O949" s="6" t="str">
        <f>IFERROR(INDEX(Players[New name],MATCH(GameLog[[#This Row],[Player]],Players[Name],0)),GameLog[[#This Row],[Player]])</f>
        <v>Zack B</v>
      </c>
    </row>
    <row r="950" spans="1:15" x14ac:dyDescent="0.45">
      <c r="A950" s="6" t="s">
        <v>61</v>
      </c>
      <c r="B950" s="6" t="s">
        <v>53</v>
      </c>
      <c r="C950" s="6">
        <v>2</v>
      </c>
      <c r="D950" s="6">
        <v>2</v>
      </c>
      <c r="E950" s="6">
        <v>2</v>
      </c>
      <c r="F950" s="10">
        <v>46062</v>
      </c>
      <c r="G950" s="6" t="str">
        <f>_xlfn.TEXTJOIN("|",TRUE,GameLog[[#This Row],[Pod]],TEXT(INT(GameLog[[#This Row],[Round]]),"yyyymmdd"),GameLog[[#This Row],[Date]])</f>
        <v>2|19000102|46062</v>
      </c>
      <c r="H950" s="6">
        <f>COUNTIF(GameLog[Pod ID],GameLog[[#This Row],[Pod ID]])</f>
        <v>4</v>
      </c>
      <c r="I950" s="6">
        <f>YEAR(GameLog[[#This Row],[Date]])</f>
        <v>2026</v>
      </c>
      <c r="J950" s="6">
        <f>MONTH(GameLog[[#This Row],[Date]])</f>
        <v>2</v>
      </c>
      <c r="K950" s="6" t="str">
        <f>IF(GameLog[[#This Row],[Date]]=MAX(GameLog[Date]),"Current","Previous")</f>
        <v>Previous</v>
      </c>
      <c r="L950" s="6"/>
      <c r="M9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0" s="6" t="str">
        <f ca="1">IF(GameLog[[#This Row],[Check]]="","",COUNTIF(GameLog[[#Headers],[Check]]:GameLog[[#This Row],[Check]],"?*")-1)</f>
        <v/>
      </c>
      <c r="O950" s="6" t="str">
        <f>IFERROR(INDEX(Players[New name],MATCH(GameLog[[#This Row],[Player]],Players[Name],0)),GameLog[[#This Row],[Player]])</f>
        <v>Trevor</v>
      </c>
    </row>
    <row r="951" spans="1:15" x14ac:dyDescent="0.45">
      <c r="A951" s="6" t="s">
        <v>64</v>
      </c>
      <c r="B951" s="6" t="s">
        <v>53</v>
      </c>
      <c r="C951" s="6">
        <v>3</v>
      </c>
      <c r="D951" s="6">
        <v>2</v>
      </c>
      <c r="E951" s="6">
        <v>2</v>
      </c>
      <c r="F951" s="10">
        <v>46062</v>
      </c>
      <c r="G951" s="6" t="str">
        <f>_xlfn.TEXTJOIN("|",TRUE,GameLog[[#This Row],[Pod]],TEXT(INT(GameLog[[#This Row],[Round]]),"yyyymmdd"),GameLog[[#This Row],[Date]])</f>
        <v>2|19000102|46062</v>
      </c>
      <c r="H951" s="6">
        <f>COUNTIF(GameLog[Pod ID],GameLog[[#This Row],[Pod ID]])</f>
        <v>4</v>
      </c>
      <c r="I951" s="6">
        <f>YEAR(GameLog[[#This Row],[Date]])</f>
        <v>2026</v>
      </c>
      <c r="J951" s="6">
        <f>MONTH(GameLog[[#This Row],[Date]])</f>
        <v>2</v>
      </c>
      <c r="K951" s="6" t="str">
        <f>IF(GameLog[[#This Row],[Date]]=MAX(GameLog[Date]),"Current","Previous")</f>
        <v>Previous</v>
      </c>
      <c r="L951" s="6"/>
      <c r="M9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1" s="6" t="str">
        <f ca="1">IF(GameLog[[#This Row],[Check]]="","",COUNTIF(GameLog[[#Headers],[Check]]:GameLog[[#This Row],[Check]],"?*")-1)</f>
        <v/>
      </c>
      <c r="O951" s="6" t="str">
        <f>IFERROR(INDEX(Players[New name],MATCH(GameLog[[#This Row],[Player]],Players[Name],0)),GameLog[[#This Row],[Player]])</f>
        <v>Tyler B</v>
      </c>
    </row>
    <row r="952" spans="1:15" x14ac:dyDescent="0.45">
      <c r="A952" s="6" t="s">
        <v>69</v>
      </c>
      <c r="B952" s="6" t="s">
        <v>53</v>
      </c>
      <c r="C952" s="6">
        <v>4</v>
      </c>
      <c r="D952" s="6">
        <v>2</v>
      </c>
      <c r="E952" s="6">
        <v>2</v>
      </c>
      <c r="F952" s="10">
        <v>46062</v>
      </c>
      <c r="G952" s="6" t="str">
        <f>_xlfn.TEXTJOIN("|",TRUE,GameLog[[#This Row],[Pod]],TEXT(INT(GameLog[[#This Row],[Round]]),"yyyymmdd"),GameLog[[#This Row],[Date]])</f>
        <v>2|19000102|46062</v>
      </c>
      <c r="H952" s="6">
        <f>COUNTIF(GameLog[Pod ID],GameLog[[#This Row],[Pod ID]])</f>
        <v>4</v>
      </c>
      <c r="I952" s="6">
        <f>YEAR(GameLog[[#This Row],[Date]])</f>
        <v>2026</v>
      </c>
      <c r="J952" s="6">
        <f>MONTH(GameLog[[#This Row],[Date]])</f>
        <v>2</v>
      </c>
      <c r="K952" s="6" t="str">
        <f>IF(GameLog[[#This Row],[Date]]=MAX(GameLog[Date]),"Current","Previous")</f>
        <v>Previous</v>
      </c>
      <c r="L952" s="6"/>
      <c r="M9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2" s="6" t="str">
        <f ca="1">IF(GameLog[[#This Row],[Check]]="","",COUNTIF(GameLog[[#Headers],[Check]]:GameLog[[#This Row],[Check]],"?*")-1)</f>
        <v/>
      </c>
      <c r="O952" s="6" t="str">
        <f>IFERROR(INDEX(Players[New name],MATCH(GameLog[[#This Row],[Player]],Players[Name],0)),GameLog[[#This Row],[Player]])</f>
        <v>Ryan T</v>
      </c>
    </row>
    <row r="953" spans="1:15" x14ac:dyDescent="0.45">
      <c r="A953" s="6" t="s">
        <v>55</v>
      </c>
      <c r="B953" s="6" t="s">
        <v>50</v>
      </c>
      <c r="C953" s="6">
        <v>1</v>
      </c>
      <c r="D953" s="6">
        <v>3</v>
      </c>
      <c r="E953" s="6">
        <v>2</v>
      </c>
      <c r="F953" s="10">
        <v>46062</v>
      </c>
      <c r="G953" s="6" t="str">
        <f>_xlfn.TEXTJOIN("|",TRUE,GameLog[[#This Row],[Pod]],TEXT(INT(GameLog[[#This Row],[Round]]),"yyyymmdd"),GameLog[[#This Row],[Date]])</f>
        <v>3|19000102|46062</v>
      </c>
      <c r="H953" s="6">
        <f>COUNTIF(GameLog[Pod ID],GameLog[[#This Row],[Pod ID]])</f>
        <v>4</v>
      </c>
      <c r="I953" s="6">
        <f>YEAR(GameLog[[#This Row],[Date]])</f>
        <v>2026</v>
      </c>
      <c r="J953" s="6">
        <f>MONTH(GameLog[[#This Row],[Date]])</f>
        <v>2</v>
      </c>
      <c r="K953" s="6" t="str">
        <f>IF(GameLog[[#This Row],[Date]]=MAX(GameLog[Date]),"Current","Previous")</f>
        <v>Previous</v>
      </c>
      <c r="L953" s="6"/>
      <c r="M9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3" s="6" t="str">
        <f ca="1">IF(GameLog[[#This Row],[Check]]="","",COUNTIF(GameLog[[#Headers],[Check]]:GameLog[[#This Row],[Check]],"?*")-1)</f>
        <v/>
      </c>
      <c r="O953" s="6" t="str">
        <f>IFERROR(INDEX(Players[New name],MATCH(GameLog[[#This Row],[Player]],Players[Name],0)),GameLog[[#This Row],[Player]])</f>
        <v>Bryce C</v>
      </c>
    </row>
    <row r="954" spans="1:15" x14ac:dyDescent="0.45">
      <c r="A954" s="6" t="s">
        <v>49</v>
      </c>
      <c r="B954" s="6" t="s">
        <v>53</v>
      </c>
      <c r="C954" s="6">
        <v>2</v>
      </c>
      <c r="D954" s="6">
        <v>3</v>
      </c>
      <c r="E954" s="6">
        <v>2</v>
      </c>
      <c r="F954" s="10">
        <v>46062</v>
      </c>
      <c r="G954" s="6" t="str">
        <f>_xlfn.TEXTJOIN("|",TRUE,GameLog[[#This Row],[Pod]],TEXT(INT(GameLog[[#This Row],[Round]]),"yyyymmdd"),GameLog[[#This Row],[Date]])</f>
        <v>3|19000102|46062</v>
      </c>
      <c r="H954" s="6">
        <f>COUNTIF(GameLog[Pod ID],GameLog[[#This Row],[Pod ID]])</f>
        <v>4</v>
      </c>
      <c r="I954" s="6">
        <f>YEAR(GameLog[[#This Row],[Date]])</f>
        <v>2026</v>
      </c>
      <c r="J954" s="6">
        <f>MONTH(GameLog[[#This Row],[Date]])</f>
        <v>2</v>
      </c>
      <c r="K954" s="6" t="str">
        <f>IF(GameLog[[#This Row],[Date]]=MAX(GameLog[Date]),"Current","Previous")</f>
        <v>Previous</v>
      </c>
      <c r="L954" s="6"/>
      <c r="M9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4" s="6" t="str">
        <f ca="1">IF(GameLog[[#This Row],[Check]]="","",COUNTIF(GameLog[[#Headers],[Check]]:GameLog[[#This Row],[Check]],"?*")-1)</f>
        <v/>
      </c>
      <c r="O954" s="6" t="str">
        <f>IFERROR(INDEX(Players[New name],MATCH(GameLog[[#This Row],[Player]],Players[Name],0)),GameLog[[#This Row],[Player]])</f>
        <v>Brett R</v>
      </c>
    </row>
    <row r="955" spans="1:15" x14ac:dyDescent="0.45">
      <c r="A955" s="6" t="s">
        <v>97</v>
      </c>
      <c r="B955" s="6" t="s">
        <v>53</v>
      </c>
      <c r="C955" s="6">
        <v>3</v>
      </c>
      <c r="D955" s="6">
        <v>3</v>
      </c>
      <c r="E955" s="6">
        <v>2</v>
      </c>
      <c r="F955" s="10">
        <v>46062</v>
      </c>
      <c r="G955" s="6" t="str">
        <f>_xlfn.TEXTJOIN("|",TRUE,GameLog[[#This Row],[Pod]],TEXT(INT(GameLog[[#This Row],[Round]]),"yyyymmdd"),GameLog[[#This Row],[Date]])</f>
        <v>3|19000102|46062</v>
      </c>
      <c r="H955" s="6">
        <f>COUNTIF(GameLog[Pod ID],GameLog[[#This Row],[Pod ID]])</f>
        <v>4</v>
      </c>
      <c r="I955" s="6">
        <f>YEAR(GameLog[[#This Row],[Date]])</f>
        <v>2026</v>
      </c>
      <c r="J955" s="6">
        <f>MONTH(GameLog[[#This Row],[Date]])</f>
        <v>2</v>
      </c>
      <c r="K955" s="6" t="str">
        <f>IF(GameLog[[#This Row],[Date]]=MAX(GameLog[Date]),"Current","Previous")</f>
        <v>Previous</v>
      </c>
      <c r="L955" s="6"/>
      <c r="M9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5" s="6" t="str">
        <f ca="1">IF(GameLog[[#This Row],[Check]]="","",COUNTIF(GameLog[[#Headers],[Check]]:GameLog[[#This Row],[Check]],"?*")-1)</f>
        <v/>
      </c>
      <c r="O955" s="6" t="str">
        <f>IFERROR(INDEX(Players[New name],MATCH(GameLog[[#This Row],[Player]],Players[Name],0)),GameLog[[#This Row],[Player]])</f>
        <v>Arman H</v>
      </c>
    </row>
    <row r="956" spans="1:15" x14ac:dyDescent="0.45">
      <c r="A956" s="6" t="s">
        <v>77</v>
      </c>
      <c r="B956" s="6" t="s">
        <v>53</v>
      </c>
      <c r="C956" s="6">
        <v>4</v>
      </c>
      <c r="D956" s="6">
        <v>3</v>
      </c>
      <c r="E956" s="6">
        <v>2</v>
      </c>
      <c r="F956" s="10">
        <v>46062</v>
      </c>
      <c r="G956" s="6" t="str">
        <f>_xlfn.TEXTJOIN("|",TRUE,GameLog[[#This Row],[Pod]],TEXT(INT(GameLog[[#This Row],[Round]]),"yyyymmdd"),GameLog[[#This Row],[Date]])</f>
        <v>3|19000102|46062</v>
      </c>
      <c r="H956" s="6">
        <f>COUNTIF(GameLog[Pod ID],GameLog[[#This Row],[Pod ID]])</f>
        <v>4</v>
      </c>
      <c r="I956" s="6">
        <f>YEAR(GameLog[[#This Row],[Date]])</f>
        <v>2026</v>
      </c>
      <c r="J956" s="6">
        <f>MONTH(GameLog[[#This Row],[Date]])</f>
        <v>2</v>
      </c>
      <c r="K956" s="6" t="str">
        <f>IF(GameLog[[#This Row],[Date]]=MAX(GameLog[Date]),"Current","Previous")</f>
        <v>Previous</v>
      </c>
      <c r="L956" s="6"/>
      <c r="M9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6" s="6" t="str">
        <f ca="1">IF(GameLog[[#This Row],[Check]]="","",COUNTIF(GameLog[[#Headers],[Check]]:GameLog[[#This Row],[Check]],"?*")-1)</f>
        <v/>
      </c>
      <c r="O956" s="6" t="str">
        <f>IFERROR(INDEX(Players[New name],MATCH(GameLog[[#This Row],[Player]],Players[Name],0)),GameLog[[#This Row],[Player]])</f>
        <v>Dave M</v>
      </c>
    </row>
    <row r="957" spans="1:15" x14ac:dyDescent="0.45">
      <c r="A957" s="6" t="s">
        <v>76</v>
      </c>
      <c r="B957" s="6" t="s">
        <v>53</v>
      </c>
      <c r="C957" s="6">
        <v>1</v>
      </c>
      <c r="D957" s="6">
        <v>4</v>
      </c>
      <c r="E957" s="6">
        <v>2</v>
      </c>
      <c r="F957" s="10">
        <v>46062</v>
      </c>
      <c r="G957" s="6" t="str">
        <f>_xlfn.TEXTJOIN("|",TRUE,GameLog[[#This Row],[Pod]],TEXT(INT(GameLog[[#This Row],[Round]]),"yyyymmdd"),GameLog[[#This Row],[Date]])</f>
        <v>4|19000102|46062</v>
      </c>
      <c r="H957" s="6">
        <f>COUNTIF(GameLog[Pod ID],GameLog[[#This Row],[Pod ID]])</f>
        <v>4</v>
      </c>
      <c r="I957" s="6">
        <f>YEAR(GameLog[[#This Row],[Date]])</f>
        <v>2026</v>
      </c>
      <c r="J957" s="6">
        <f>MONTH(GameLog[[#This Row],[Date]])</f>
        <v>2</v>
      </c>
      <c r="K957" s="6" t="str">
        <f>IF(GameLog[[#This Row],[Date]]=MAX(GameLog[Date]),"Current","Previous")</f>
        <v>Previous</v>
      </c>
      <c r="L957" s="6"/>
      <c r="M9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7" s="6" t="str">
        <f ca="1">IF(GameLog[[#This Row],[Check]]="","",COUNTIF(GameLog[[#Headers],[Check]]:GameLog[[#This Row],[Check]],"?*")-1)</f>
        <v/>
      </c>
      <c r="O957" s="6" t="str">
        <f>IFERROR(INDEX(Players[New name],MATCH(GameLog[[#This Row],[Player]],Players[Name],0)),GameLog[[#This Row],[Player]])</f>
        <v>Jon M</v>
      </c>
    </row>
    <row r="958" spans="1:15" x14ac:dyDescent="0.45">
      <c r="A958" s="6" t="s">
        <v>73</v>
      </c>
      <c r="B958" s="6" t="s">
        <v>53</v>
      </c>
      <c r="C958" s="6">
        <v>2</v>
      </c>
      <c r="D958" s="6">
        <v>4</v>
      </c>
      <c r="E958" s="6">
        <v>2</v>
      </c>
      <c r="F958" s="10">
        <v>46062</v>
      </c>
      <c r="G958" s="6" t="str">
        <f>_xlfn.TEXTJOIN("|",TRUE,GameLog[[#This Row],[Pod]],TEXT(INT(GameLog[[#This Row],[Round]]),"yyyymmdd"),GameLog[[#This Row],[Date]])</f>
        <v>4|19000102|46062</v>
      </c>
      <c r="H958" s="6">
        <f>COUNTIF(GameLog[Pod ID],GameLog[[#This Row],[Pod ID]])</f>
        <v>4</v>
      </c>
      <c r="I958" s="6">
        <f>YEAR(GameLog[[#This Row],[Date]])</f>
        <v>2026</v>
      </c>
      <c r="J958" s="6">
        <f>MONTH(GameLog[[#This Row],[Date]])</f>
        <v>2</v>
      </c>
      <c r="K958" s="6" t="str">
        <f>IF(GameLog[[#This Row],[Date]]=MAX(GameLog[Date]),"Current","Previous")</f>
        <v>Previous</v>
      </c>
      <c r="L958" s="6"/>
      <c r="M9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8" s="6" t="str">
        <f ca="1">IF(GameLog[[#This Row],[Check]]="","",COUNTIF(GameLog[[#Headers],[Check]]:GameLog[[#This Row],[Check]],"?*")-1)</f>
        <v/>
      </c>
      <c r="O958" s="6" t="str">
        <f>IFERROR(INDEX(Players[New name],MATCH(GameLog[[#This Row],[Player]],Players[Name],0)),GameLog[[#This Row],[Player]])</f>
        <v>Brandon B</v>
      </c>
    </row>
    <row r="959" spans="1:15" x14ac:dyDescent="0.45">
      <c r="A959" s="6" t="s">
        <v>60</v>
      </c>
      <c r="B959" s="6" t="s">
        <v>50</v>
      </c>
      <c r="C959" s="6">
        <v>3</v>
      </c>
      <c r="D959" s="6">
        <v>4</v>
      </c>
      <c r="E959" s="6">
        <v>2</v>
      </c>
      <c r="F959" s="10">
        <v>46062</v>
      </c>
      <c r="G959" s="6" t="str">
        <f>_xlfn.TEXTJOIN("|",TRUE,GameLog[[#This Row],[Pod]],TEXT(INT(GameLog[[#This Row],[Round]]),"yyyymmdd"),GameLog[[#This Row],[Date]])</f>
        <v>4|19000102|46062</v>
      </c>
      <c r="H959" s="6">
        <f>COUNTIF(GameLog[Pod ID],GameLog[[#This Row],[Pod ID]])</f>
        <v>4</v>
      </c>
      <c r="I959" s="6">
        <f>YEAR(GameLog[[#This Row],[Date]])</f>
        <v>2026</v>
      </c>
      <c r="J959" s="6">
        <f>MONTH(GameLog[[#This Row],[Date]])</f>
        <v>2</v>
      </c>
      <c r="K959" s="6" t="str">
        <f>IF(GameLog[[#This Row],[Date]]=MAX(GameLog[Date]),"Current","Previous")</f>
        <v>Previous</v>
      </c>
      <c r="L959" s="6"/>
      <c r="M9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59" s="6" t="str">
        <f ca="1">IF(GameLog[[#This Row],[Check]]="","",COUNTIF(GameLog[[#Headers],[Check]]:GameLog[[#This Row],[Check]],"?*")-1)</f>
        <v/>
      </c>
      <c r="O959" s="6" t="str">
        <f>IFERROR(INDEX(Players[New name],MATCH(GameLog[[#This Row],[Player]],Players[Name],0)),GameLog[[#This Row],[Player]])</f>
        <v>Brendan H</v>
      </c>
    </row>
    <row r="960" spans="1:15" x14ac:dyDescent="0.45">
      <c r="A960" s="6" t="s">
        <v>52</v>
      </c>
      <c r="B960" s="6" t="s">
        <v>53</v>
      </c>
      <c r="C960" s="6">
        <v>4</v>
      </c>
      <c r="D960" s="6">
        <v>4</v>
      </c>
      <c r="E960" s="6">
        <v>2</v>
      </c>
      <c r="F960" s="10">
        <v>46062</v>
      </c>
      <c r="G960" s="6" t="str">
        <f>_xlfn.TEXTJOIN("|",TRUE,GameLog[[#This Row],[Pod]],TEXT(INT(GameLog[[#This Row],[Round]]),"yyyymmdd"),GameLog[[#This Row],[Date]])</f>
        <v>4|19000102|46062</v>
      </c>
      <c r="H960" s="6">
        <f>COUNTIF(GameLog[Pod ID],GameLog[[#This Row],[Pod ID]])</f>
        <v>4</v>
      </c>
      <c r="I960" s="6">
        <f>YEAR(GameLog[[#This Row],[Date]])</f>
        <v>2026</v>
      </c>
      <c r="J960" s="6">
        <f>MONTH(GameLog[[#This Row],[Date]])</f>
        <v>2</v>
      </c>
      <c r="K960" s="6" t="str">
        <f>IF(GameLog[[#This Row],[Date]]=MAX(GameLog[Date]),"Current","Previous")</f>
        <v>Previous</v>
      </c>
      <c r="L960" s="6"/>
      <c r="M9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0" s="6" t="str">
        <f ca="1">IF(GameLog[[#This Row],[Check]]="","",COUNTIF(GameLog[[#Headers],[Check]]:GameLog[[#This Row],[Check]],"?*")-1)</f>
        <v/>
      </c>
      <c r="O960" s="6" t="str">
        <f>IFERROR(INDEX(Players[New name],MATCH(GameLog[[#This Row],[Player]],Players[Name],0)),GameLog[[#This Row],[Player]])</f>
        <v>Unknown</v>
      </c>
    </row>
    <row r="961" spans="1:15" x14ac:dyDescent="0.45">
      <c r="A961" s="6" t="s">
        <v>68</v>
      </c>
      <c r="B961" s="6" t="s">
        <v>53</v>
      </c>
      <c r="C961" s="6">
        <v>1</v>
      </c>
      <c r="D961" s="6">
        <v>5</v>
      </c>
      <c r="E961" s="6">
        <v>2</v>
      </c>
      <c r="F961" s="10">
        <v>46062</v>
      </c>
      <c r="G961" s="6" t="str">
        <f>_xlfn.TEXTJOIN("|",TRUE,GameLog[[#This Row],[Pod]],TEXT(INT(GameLog[[#This Row],[Round]]),"yyyymmdd"),GameLog[[#This Row],[Date]])</f>
        <v>5|19000102|46062</v>
      </c>
      <c r="H961" s="6">
        <f>COUNTIF(GameLog[Pod ID],GameLog[[#This Row],[Pod ID]])</f>
        <v>3</v>
      </c>
      <c r="I961" s="6">
        <f>YEAR(GameLog[[#This Row],[Date]])</f>
        <v>2026</v>
      </c>
      <c r="J961" s="6">
        <f>MONTH(GameLog[[#This Row],[Date]])</f>
        <v>2</v>
      </c>
      <c r="K961" s="6" t="str">
        <f>IF(GameLog[[#This Row],[Date]]=MAX(GameLog[Date]),"Current","Previous")</f>
        <v>Previous</v>
      </c>
      <c r="L961" s="6"/>
      <c r="M9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1" s="6" t="str">
        <f ca="1">IF(GameLog[[#This Row],[Check]]="","",COUNTIF(GameLog[[#Headers],[Check]]:GameLog[[#This Row],[Check]],"?*")-1)</f>
        <v/>
      </c>
      <c r="O961" s="6" t="str">
        <f>IFERROR(INDEX(Players[New name],MATCH(GameLog[[#This Row],[Player]],Players[Name],0)),GameLog[[#This Row],[Player]])</f>
        <v>Edwin M</v>
      </c>
    </row>
    <row r="962" spans="1:15" x14ac:dyDescent="0.45">
      <c r="A962" s="6" t="s">
        <v>91</v>
      </c>
      <c r="B962" s="6" t="s">
        <v>50</v>
      </c>
      <c r="C962" s="6">
        <v>2</v>
      </c>
      <c r="D962" s="6">
        <v>5</v>
      </c>
      <c r="E962" s="6">
        <v>2</v>
      </c>
      <c r="F962" s="10">
        <v>46062</v>
      </c>
      <c r="G962" s="6" t="str">
        <f>_xlfn.TEXTJOIN("|",TRUE,GameLog[[#This Row],[Pod]],TEXT(INT(GameLog[[#This Row],[Round]]),"yyyymmdd"),GameLog[[#This Row],[Date]])</f>
        <v>5|19000102|46062</v>
      </c>
      <c r="H962" s="6">
        <f>COUNTIF(GameLog[Pod ID],GameLog[[#This Row],[Pod ID]])</f>
        <v>3</v>
      </c>
      <c r="I962" s="6">
        <f>YEAR(GameLog[[#This Row],[Date]])</f>
        <v>2026</v>
      </c>
      <c r="J962" s="6">
        <f>MONTH(GameLog[[#This Row],[Date]])</f>
        <v>2</v>
      </c>
      <c r="K962" s="6" t="str">
        <f>IF(GameLog[[#This Row],[Date]]=MAX(GameLog[Date]),"Current","Previous")</f>
        <v>Previous</v>
      </c>
      <c r="L962" s="6"/>
      <c r="M9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2" s="6" t="str">
        <f ca="1">IF(GameLog[[#This Row],[Check]]="","",COUNTIF(GameLog[[#Headers],[Check]]:GameLog[[#This Row],[Check]],"?*")-1)</f>
        <v/>
      </c>
      <c r="O962" s="6" t="str">
        <f>IFERROR(INDEX(Players[New name],MATCH(GameLog[[#This Row],[Player]],Players[Name],0)),GameLog[[#This Row],[Player]])</f>
        <v>Isaac B</v>
      </c>
    </row>
    <row r="963" spans="1:15" x14ac:dyDescent="0.45">
      <c r="A963" s="6" t="s">
        <v>74</v>
      </c>
      <c r="B963" s="6" t="s">
        <v>53</v>
      </c>
      <c r="C963" s="6">
        <v>3</v>
      </c>
      <c r="D963" s="6">
        <v>5</v>
      </c>
      <c r="E963" s="6">
        <v>2</v>
      </c>
      <c r="F963" s="10">
        <v>46062</v>
      </c>
      <c r="G963" s="6" t="str">
        <f>_xlfn.TEXTJOIN("|",TRUE,GameLog[[#This Row],[Pod]],TEXT(INT(GameLog[[#This Row],[Round]]),"yyyymmdd"),GameLog[[#This Row],[Date]])</f>
        <v>5|19000102|46062</v>
      </c>
      <c r="H963" s="6">
        <f>COUNTIF(GameLog[Pod ID],GameLog[[#This Row],[Pod ID]])</f>
        <v>3</v>
      </c>
      <c r="I963" s="6">
        <f>YEAR(GameLog[[#This Row],[Date]])</f>
        <v>2026</v>
      </c>
      <c r="J963" s="6">
        <f>MONTH(GameLog[[#This Row],[Date]])</f>
        <v>2</v>
      </c>
      <c r="K963" s="6" t="str">
        <f>IF(GameLog[[#This Row],[Date]]=MAX(GameLog[Date]),"Current","Previous")</f>
        <v>Previous</v>
      </c>
      <c r="L963" s="6"/>
      <c r="M9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3" s="6" t="str">
        <f ca="1">IF(GameLog[[#This Row],[Check]]="","",COUNTIF(GameLog[[#Headers],[Check]]:GameLog[[#This Row],[Check]],"?*")-1)</f>
        <v/>
      </c>
      <c r="O963" s="6" t="str">
        <f>IFERROR(INDEX(Players[New name],MATCH(GameLog[[#This Row],[Player]],Players[Name],0)),GameLog[[#This Row],[Player]])</f>
        <v>Jarrod O</v>
      </c>
    </row>
    <row r="964" spans="1:15" x14ac:dyDescent="0.45">
      <c r="A964" s="6" t="s">
        <v>73</v>
      </c>
      <c r="B964" s="6" t="s">
        <v>53</v>
      </c>
      <c r="C964" s="6">
        <v>1</v>
      </c>
      <c r="D964" s="6">
        <v>1</v>
      </c>
      <c r="E964" s="6">
        <v>1</v>
      </c>
      <c r="F964" s="10">
        <v>46069</v>
      </c>
      <c r="G964" s="6" t="str">
        <f>_xlfn.TEXTJOIN("|",TRUE,GameLog[[#This Row],[Pod]],TEXT(INT(GameLog[[#This Row],[Round]]),"yyyymmdd"),GameLog[[#This Row],[Date]])</f>
        <v>1|19000101|46069</v>
      </c>
      <c r="H964" s="6">
        <f>COUNTIF(GameLog[Pod ID],GameLog[[#This Row],[Pod ID]])</f>
        <v>4</v>
      </c>
      <c r="I964" s="6">
        <f>YEAR(GameLog[[#This Row],[Date]])</f>
        <v>2026</v>
      </c>
      <c r="J964" s="6">
        <f>MONTH(GameLog[[#This Row],[Date]])</f>
        <v>2</v>
      </c>
      <c r="K964" s="6" t="str">
        <f>IF(GameLog[[#This Row],[Date]]=MAX(GameLog[Date]),"Current","Previous")</f>
        <v>Previous</v>
      </c>
      <c r="L964" s="6"/>
      <c r="M9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4" s="6" t="str">
        <f ca="1">IF(GameLog[[#This Row],[Check]]="","",COUNTIF(GameLog[[#Headers],[Check]]:GameLog[[#This Row],[Check]],"?*")-1)</f>
        <v/>
      </c>
      <c r="O964" s="6" t="str">
        <f>IFERROR(INDEX(Players[New name],MATCH(GameLog[[#This Row],[Player]],Players[Name],0)),GameLog[[#This Row],[Player]])</f>
        <v>Brandon B</v>
      </c>
    </row>
    <row r="965" spans="1:15" x14ac:dyDescent="0.45">
      <c r="A965" s="6" t="s">
        <v>77</v>
      </c>
      <c r="B965" s="6" t="s">
        <v>50</v>
      </c>
      <c r="C965" s="6">
        <v>2</v>
      </c>
      <c r="D965" s="6">
        <v>1</v>
      </c>
      <c r="E965" s="6">
        <v>1</v>
      </c>
      <c r="F965" s="10">
        <v>46069</v>
      </c>
      <c r="G965" s="6" t="str">
        <f>_xlfn.TEXTJOIN("|",TRUE,GameLog[[#This Row],[Pod]],TEXT(INT(GameLog[[#This Row],[Round]]),"yyyymmdd"),GameLog[[#This Row],[Date]])</f>
        <v>1|19000101|46069</v>
      </c>
      <c r="H965" s="6">
        <f>COUNTIF(GameLog[Pod ID],GameLog[[#This Row],[Pod ID]])</f>
        <v>4</v>
      </c>
      <c r="I965" s="6">
        <f>YEAR(GameLog[[#This Row],[Date]])</f>
        <v>2026</v>
      </c>
      <c r="J965" s="6">
        <f>MONTH(GameLog[[#This Row],[Date]])</f>
        <v>2</v>
      </c>
      <c r="K965" s="6" t="str">
        <f>IF(GameLog[[#This Row],[Date]]=MAX(GameLog[Date]),"Current","Previous")</f>
        <v>Previous</v>
      </c>
      <c r="L965" s="6"/>
      <c r="M9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5" s="6" t="str">
        <f ca="1">IF(GameLog[[#This Row],[Check]]="","",COUNTIF(GameLog[[#Headers],[Check]]:GameLog[[#This Row],[Check]],"?*")-1)</f>
        <v/>
      </c>
      <c r="O965" s="6" t="str">
        <f>IFERROR(INDEX(Players[New name],MATCH(GameLog[[#This Row],[Player]],Players[Name],0)),GameLog[[#This Row],[Player]])</f>
        <v>Dave M</v>
      </c>
    </row>
    <row r="966" spans="1:15" x14ac:dyDescent="0.45">
      <c r="A966" s="6" t="s">
        <v>52</v>
      </c>
      <c r="B966" s="6" t="s">
        <v>53</v>
      </c>
      <c r="C966" s="6">
        <v>3</v>
      </c>
      <c r="D966" s="6">
        <v>1</v>
      </c>
      <c r="E966" s="6">
        <v>1</v>
      </c>
      <c r="F966" s="10">
        <v>46069</v>
      </c>
      <c r="G966" s="6" t="str">
        <f>_xlfn.TEXTJOIN("|",TRUE,GameLog[[#This Row],[Pod]],TEXT(INT(GameLog[[#This Row],[Round]]),"yyyymmdd"),GameLog[[#This Row],[Date]])</f>
        <v>1|19000101|46069</v>
      </c>
      <c r="H966" s="6">
        <f>COUNTIF(GameLog[Pod ID],GameLog[[#This Row],[Pod ID]])</f>
        <v>4</v>
      </c>
      <c r="I966" s="6">
        <f>YEAR(GameLog[[#This Row],[Date]])</f>
        <v>2026</v>
      </c>
      <c r="J966" s="6">
        <f>MONTH(GameLog[[#This Row],[Date]])</f>
        <v>2</v>
      </c>
      <c r="K966" s="6" t="str">
        <f>IF(GameLog[[#This Row],[Date]]=MAX(GameLog[Date]),"Current","Previous")</f>
        <v>Previous</v>
      </c>
      <c r="L966" s="6"/>
      <c r="M9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6" s="6" t="str">
        <f ca="1">IF(GameLog[[#This Row],[Check]]="","",COUNTIF(GameLog[[#Headers],[Check]]:GameLog[[#This Row],[Check]],"?*")-1)</f>
        <v/>
      </c>
      <c r="O966" s="6" t="str">
        <f>IFERROR(INDEX(Players[New name],MATCH(GameLog[[#This Row],[Player]],Players[Name],0)),GameLog[[#This Row],[Player]])</f>
        <v>Unknown</v>
      </c>
    </row>
    <row r="967" spans="1:15" x14ac:dyDescent="0.45">
      <c r="A967" s="6" t="s">
        <v>70</v>
      </c>
      <c r="B967" s="6" t="s">
        <v>53</v>
      </c>
      <c r="C967" s="6">
        <v>4</v>
      </c>
      <c r="D967" s="6">
        <v>1</v>
      </c>
      <c r="E967" s="6">
        <v>1</v>
      </c>
      <c r="F967" s="10">
        <v>46069</v>
      </c>
      <c r="G967" s="6" t="str">
        <f>_xlfn.TEXTJOIN("|",TRUE,GameLog[[#This Row],[Pod]],TEXT(INT(GameLog[[#This Row],[Round]]),"yyyymmdd"),GameLog[[#This Row],[Date]])</f>
        <v>1|19000101|46069</v>
      </c>
      <c r="H967" s="6">
        <f>COUNTIF(GameLog[Pod ID],GameLog[[#This Row],[Pod ID]])</f>
        <v>4</v>
      </c>
      <c r="I967" s="6">
        <f>YEAR(GameLog[[#This Row],[Date]])</f>
        <v>2026</v>
      </c>
      <c r="J967" s="6">
        <f>MONTH(GameLog[[#This Row],[Date]])</f>
        <v>2</v>
      </c>
      <c r="K967" s="6" t="str">
        <f>IF(GameLog[[#This Row],[Date]]=MAX(GameLog[Date]),"Current","Previous")</f>
        <v>Previous</v>
      </c>
      <c r="L967" s="6"/>
      <c r="M9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7" s="6" t="str">
        <f ca="1">IF(GameLog[[#This Row],[Check]]="","",COUNTIF(GameLog[[#Headers],[Check]]:GameLog[[#This Row],[Check]],"?*")-1)</f>
        <v/>
      </c>
      <c r="O967" s="6" t="str">
        <f>IFERROR(INDEX(Players[New name],MATCH(GameLog[[#This Row],[Player]],Players[Name],0)),GameLog[[#This Row],[Player]])</f>
        <v>Brad F</v>
      </c>
    </row>
    <row r="968" spans="1:15" x14ac:dyDescent="0.45">
      <c r="A968" s="6" t="s">
        <v>57</v>
      </c>
      <c r="B968" s="6" t="s">
        <v>90</v>
      </c>
      <c r="C968" s="6">
        <v>1</v>
      </c>
      <c r="D968" s="6">
        <v>2</v>
      </c>
      <c r="E968" s="6">
        <v>1</v>
      </c>
      <c r="F968" s="10">
        <v>46069</v>
      </c>
      <c r="G968" s="6" t="str">
        <f>_xlfn.TEXTJOIN("|",TRUE,GameLog[[#This Row],[Pod]],TEXT(INT(GameLog[[#This Row],[Round]]),"yyyymmdd"),GameLog[[#This Row],[Date]])</f>
        <v>2|19000101|46069</v>
      </c>
      <c r="H968" s="6">
        <f>COUNTIF(GameLog[Pod ID],GameLog[[#This Row],[Pod ID]])</f>
        <v>4</v>
      </c>
      <c r="I968" s="6">
        <f>YEAR(GameLog[[#This Row],[Date]])</f>
        <v>2026</v>
      </c>
      <c r="J968" s="6">
        <f>MONTH(GameLog[[#This Row],[Date]])</f>
        <v>2</v>
      </c>
      <c r="K968" s="6" t="str">
        <f>IF(GameLog[[#This Row],[Date]]=MAX(GameLog[Date]),"Current","Previous")</f>
        <v>Previous</v>
      </c>
      <c r="L968" s="6"/>
      <c r="M9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8" s="6" t="str">
        <f ca="1">IF(GameLog[[#This Row],[Check]]="","",COUNTIF(GameLog[[#Headers],[Check]]:GameLog[[#This Row],[Check]],"?*")-1)</f>
        <v/>
      </c>
      <c r="O968" s="6" t="str">
        <f>IFERROR(INDEX(Players[New name],MATCH(GameLog[[#This Row],[Player]],Players[Name],0)),GameLog[[#This Row],[Player]])</f>
        <v>AJ W</v>
      </c>
    </row>
    <row r="969" spans="1:15" x14ac:dyDescent="0.45">
      <c r="A969" s="6" t="s">
        <v>94</v>
      </c>
      <c r="B969" s="6" t="s">
        <v>90</v>
      </c>
      <c r="C969" s="6">
        <v>2</v>
      </c>
      <c r="D969" s="6">
        <v>2</v>
      </c>
      <c r="E969" s="6">
        <v>1</v>
      </c>
      <c r="F969" s="10">
        <v>46069</v>
      </c>
      <c r="G969" s="6" t="str">
        <f>_xlfn.TEXTJOIN("|",TRUE,GameLog[[#This Row],[Pod]],TEXT(INT(GameLog[[#This Row],[Round]]),"yyyymmdd"),GameLog[[#This Row],[Date]])</f>
        <v>2|19000101|46069</v>
      </c>
      <c r="H969" s="6">
        <f>COUNTIF(GameLog[Pod ID],GameLog[[#This Row],[Pod ID]])</f>
        <v>4</v>
      </c>
      <c r="I969" s="6">
        <f>YEAR(GameLog[[#This Row],[Date]])</f>
        <v>2026</v>
      </c>
      <c r="J969" s="6">
        <f>MONTH(GameLog[[#This Row],[Date]])</f>
        <v>2</v>
      </c>
      <c r="K969" s="6" t="str">
        <f>IF(GameLog[[#This Row],[Date]]=MAX(GameLog[Date]),"Current","Previous")</f>
        <v>Previous</v>
      </c>
      <c r="L969" s="6"/>
      <c r="M9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69" s="6" t="str">
        <f ca="1">IF(GameLog[[#This Row],[Check]]="","",COUNTIF(GameLog[[#Headers],[Check]]:GameLog[[#This Row],[Check]],"?*")-1)</f>
        <v/>
      </c>
      <c r="O969" s="6" t="str">
        <f>IFERROR(INDEX(Players[New name],MATCH(GameLog[[#This Row],[Player]],Players[Name],0)),GameLog[[#This Row],[Player]])</f>
        <v>Austin D</v>
      </c>
    </row>
    <row r="970" spans="1:15" x14ac:dyDescent="0.45">
      <c r="A970" s="6" t="s">
        <v>98</v>
      </c>
      <c r="B970" s="6" t="s">
        <v>90</v>
      </c>
      <c r="C970" s="6">
        <v>3</v>
      </c>
      <c r="D970" s="6">
        <v>2</v>
      </c>
      <c r="E970" s="6">
        <v>1</v>
      </c>
      <c r="F970" s="10">
        <v>46069</v>
      </c>
      <c r="G970" s="6" t="str">
        <f>_xlfn.TEXTJOIN("|",TRUE,GameLog[[#This Row],[Pod]],TEXT(INT(GameLog[[#This Row],[Round]]),"yyyymmdd"),GameLog[[#This Row],[Date]])</f>
        <v>2|19000101|46069</v>
      </c>
      <c r="H970" s="6">
        <f>COUNTIF(GameLog[Pod ID],GameLog[[#This Row],[Pod ID]])</f>
        <v>4</v>
      </c>
      <c r="I970" s="6">
        <f>YEAR(GameLog[[#This Row],[Date]])</f>
        <v>2026</v>
      </c>
      <c r="J970" s="6">
        <f>MONTH(GameLog[[#This Row],[Date]])</f>
        <v>2</v>
      </c>
      <c r="K970" s="6" t="str">
        <f>IF(GameLog[[#This Row],[Date]]=MAX(GameLog[Date]),"Current","Previous")</f>
        <v>Previous</v>
      </c>
      <c r="L970" s="6"/>
      <c r="M9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0" s="6" t="str">
        <f ca="1">IF(GameLog[[#This Row],[Check]]="","",COUNTIF(GameLog[[#Headers],[Check]]:GameLog[[#This Row],[Check]],"?*")-1)</f>
        <v/>
      </c>
      <c r="O970" s="6" t="str">
        <f>IFERROR(INDEX(Players[New name],MATCH(GameLog[[#This Row],[Player]],Players[Name],0)),GameLog[[#This Row],[Player]])</f>
        <v>Charlie B</v>
      </c>
    </row>
    <row r="971" spans="1:15" x14ac:dyDescent="0.45">
      <c r="A971" s="6" t="s">
        <v>68</v>
      </c>
      <c r="B971" s="6" t="s">
        <v>90</v>
      </c>
      <c r="C971" s="6">
        <v>4</v>
      </c>
      <c r="D971" s="6">
        <v>2</v>
      </c>
      <c r="E971" s="6">
        <v>1</v>
      </c>
      <c r="F971" s="10">
        <v>46069</v>
      </c>
      <c r="G971" s="6" t="str">
        <f>_xlfn.TEXTJOIN("|",TRUE,GameLog[[#This Row],[Pod]],TEXT(INT(GameLog[[#This Row],[Round]]),"yyyymmdd"),GameLog[[#This Row],[Date]])</f>
        <v>2|19000101|46069</v>
      </c>
      <c r="H971" s="6">
        <f>COUNTIF(GameLog[Pod ID],GameLog[[#This Row],[Pod ID]])</f>
        <v>4</v>
      </c>
      <c r="I971" s="6">
        <f>YEAR(GameLog[[#This Row],[Date]])</f>
        <v>2026</v>
      </c>
      <c r="J971" s="6">
        <f>MONTH(GameLog[[#This Row],[Date]])</f>
        <v>2</v>
      </c>
      <c r="K971" s="6" t="str">
        <f>IF(GameLog[[#This Row],[Date]]=MAX(GameLog[Date]),"Current","Previous")</f>
        <v>Previous</v>
      </c>
      <c r="L971" s="6"/>
      <c r="M9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1" s="6" t="str">
        <f ca="1">IF(GameLog[[#This Row],[Check]]="","",COUNTIF(GameLog[[#Headers],[Check]]:GameLog[[#This Row],[Check]],"?*")-1)</f>
        <v/>
      </c>
      <c r="O971" s="6" t="str">
        <f>IFERROR(INDEX(Players[New name],MATCH(GameLog[[#This Row],[Player]],Players[Name],0)),GameLog[[#This Row],[Player]])</f>
        <v>Edwin M</v>
      </c>
    </row>
    <row r="972" spans="1:15" x14ac:dyDescent="0.45">
      <c r="A972" s="6" t="s">
        <v>61</v>
      </c>
      <c r="B972" s="6" t="s">
        <v>53</v>
      </c>
      <c r="C972" s="6">
        <v>1</v>
      </c>
      <c r="D972" s="6">
        <v>3</v>
      </c>
      <c r="E972" s="6">
        <v>1</v>
      </c>
      <c r="F972" s="10">
        <v>46069</v>
      </c>
      <c r="G972" s="6" t="str">
        <f>_xlfn.TEXTJOIN("|",TRUE,GameLog[[#This Row],[Pod]],TEXT(INT(GameLog[[#This Row],[Round]]),"yyyymmdd"),GameLog[[#This Row],[Date]])</f>
        <v>3|19000101|46069</v>
      </c>
      <c r="H972" s="6">
        <f>COUNTIF(GameLog[Pod ID],GameLog[[#This Row],[Pod ID]])</f>
        <v>4</v>
      </c>
      <c r="I972" s="6">
        <f>YEAR(GameLog[[#This Row],[Date]])</f>
        <v>2026</v>
      </c>
      <c r="J972" s="6">
        <f>MONTH(GameLog[[#This Row],[Date]])</f>
        <v>2</v>
      </c>
      <c r="K972" s="6" t="str">
        <f>IF(GameLog[[#This Row],[Date]]=MAX(GameLog[Date]),"Current","Previous")</f>
        <v>Previous</v>
      </c>
      <c r="L972" s="6"/>
      <c r="M9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2" s="6" t="str">
        <f ca="1">IF(GameLog[[#This Row],[Check]]="","",COUNTIF(GameLog[[#Headers],[Check]]:GameLog[[#This Row],[Check]],"?*")-1)</f>
        <v/>
      </c>
      <c r="O972" s="6" t="str">
        <f>IFERROR(INDEX(Players[New name],MATCH(GameLog[[#This Row],[Player]],Players[Name],0)),GameLog[[#This Row],[Player]])</f>
        <v>Trevor</v>
      </c>
    </row>
    <row r="973" spans="1:15" x14ac:dyDescent="0.45">
      <c r="A973" s="6" t="s">
        <v>55</v>
      </c>
      <c r="B973" s="6" t="s">
        <v>50</v>
      </c>
      <c r="C973" s="6">
        <v>2</v>
      </c>
      <c r="D973" s="6">
        <v>3</v>
      </c>
      <c r="E973" s="6">
        <v>1</v>
      </c>
      <c r="F973" s="10">
        <v>46069</v>
      </c>
      <c r="G973" s="6" t="str">
        <f>_xlfn.TEXTJOIN("|",TRUE,GameLog[[#This Row],[Pod]],TEXT(INT(GameLog[[#This Row],[Round]]),"yyyymmdd"),GameLog[[#This Row],[Date]])</f>
        <v>3|19000101|46069</v>
      </c>
      <c r="H973" s="6">
        <f>COUNTIF(GameLog[Pod ID],GameLog[[#This Row],[Pod ID]])</f>
        <v>4</v>
      </c>
      <c r="I973" s="6">
        <f>YEAR(GameLog[[#This Row],[Date]])</f>
        <v>2026</v>
      </c>
      <c r="J973" s="6">
        <f>MONTH(GameLog[[#This Row],[Date]])</f>
        <v>2</v>
      </c>
      <c r="K973" s="6" t="str">
        <f>IF(GameLog[[#This Row],[Date]]=MAX(GameLog[Date]),"Current","Previous")</f>
        <v>Previous</v>
      </c>
      <c r="L973" s="6"/>
      <c r="M9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3" s="6" t="str">
        <f ca="1">IF(GameLog[[#This Row],[Check]]="","",COUNTIF(GameLog[[#Headers],[Check]]:GameLog[[#This Row],[Check]],"?*")-1)</f>
        <v/>
      </c>
      <c r="O973" s="6" t="str">
        <f>IFERROR(INDEX(Players[New name],MATCH(GameLog[[#This Row],[Player]],Players[Name],0)),GameLog[[#This Row],[Player]])</f>
        <v>Bryce C</v>
      </c>
    </row>
    <row r="974" spans="1:15" x14ac:dyDescent="0.45">
      <c r="A974" s="6" t="s">
        <v>67</v>
      </c>
      <c r="B974" s="6" t="s">
        <v>53</v>
      </c>
      <c r="C974" s="6">
        <v>3</v>
      </c>
      <c r="D974" s="6">
        <v>3</v>
      </c>
      <c r="E974" s="6">
        <v>1</v>
      </c>
      <c r="F974" s="10">
        <v>46069</v>
      </c>
      <c r="G974" s="6" t="str">
        <f>_xlfn.TEXTJOIN("|",TRUE,GameLog[[#This Row],[Pod]],TEXT(INT(GameLog[[#This Row],[Round]]),"yyyymmdd"),GameLog[[#This Row],[Date]])</f>
        <v>3|19000101|46069</v>
      </c>
      <c r="H974" s="6">
        <f>COUNTIF(GameLog[Pod ID],GameLog[[#This Row],[Pod ID]])</f>
        <v>4</v>
      </c>
      <c r="I974" s="6">
        <f>YEAR(GameLog[[#This Row],[Date]])</f>
        <v>2026</v>
      </c>
      <c r="J974" s="6">
        <f>MONTH(GameLog[[#This Row],[Date]])</f>
        <v>2</v>
      </c>
      <c r="K974" s="6" t="str">
        <f>IF(GameLog[[#This Row],[Date]]=MAX(GameLog[Date]),"Current","Previous")</f>
        <v>Previous</v>
      </c>
      <c r="L974" s="6"/>
      <c r="M9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4" s="6" t="str">
        <f ca="1">IF(GameLog[[#This Row],[Check]]="","",COUNTIF(GameLog[[#Headers],[Check]]:GameLog[[#This Row],[Check]],"?*")-1)</f>
        <v/>
      </c>
      <c r="O974" s="6" t="str">
        <f>IFERROR(INDEX(Players[New name],MATCH(GameLog[[#This Row],[Player]],Players[Name],0)),GameLog[[#This Row],[Player]])</f>
        <v>Sam</v>
      </c>
    </row>
    <row r="975" spans="1:15" x14ac:dyDescent="0.45">
      <c r="A975" s="6" t="s">
        <v>97</v>
      </c>
      <c r="B975" s="6" t="s">
        <v>53</v>
      </c>
      <c r="C975" s="6">
        <v>4</v>
      </c>
      <c r="D975" s="6">
        <v>3</v>
      </c>
      <c r="E975" s="6">
        <v>1</v>
      </c>
      <c r="F975" s="10">
        <v>46069</v>
      </c>
      <c r="G975" s="6" t="str">
        <f>_xlfn.TEXTJOIN("|",TRUE,GameLog[[#This Row],[Pod]],TEXT(INT(GameLog[[#This Row],[Round]]),"yyyymmdd"),GameLog[[#This Row],[Date]])</f>
        <v>3|19000101|46069</v>
      </c>
      <c r="H975" s="6">
        <f>COUNTIF(GameLog[Pod ID],GameLog[[#This Row],[Pod ID]])</f>
        <v>4</v>
      </c>
      <c r="I975" s="6">
        <f>YEAR(GameLog[[#This Row],[Date]])</f>
        <v>2026</v>
      </c>
      <c r="J975" s="6">
        <f>MONTH(GameLog[[#This Row],[Date]])</f>
        <v>2</v>
      </c>
      <c r="K975" s="6" t="str">
        <f>IF(GameLog[[#This Row],[Date]]=MAX(GameLog[Date]),"Current","Previous")</f>
        <v>Previous</v>
      </c>
      <c r="L975" s="6"/>
      <c r="M9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5" s="6" t="str">
        <f ca="1">IF(GameLog[[#This Row],[Check]]="","",COUNTIF(GameLog[[#Headers],[Check]]:GameLog[[#This Row],[Check]],"?*")-1)</f>
        <v/>
      </c>
      <c r="O975" s="6" t="str">
        <f>IFERROR(INDEX(Players[New name],MATCH(GameLog[[#This Row],[Player]],Players[Name],0)),GameLog[[#This Row],[Player]])</f>
        <v>Arman H</v>
      </c>
    </row>
    <row r="976" spans="1:15" x14ac:dyDescent="0.45">
      <c r="A976" s="6" t="s">
        <v>49</v>
      </c>
      <c r="B976" s="6" t="s">
        <v>50</v>
      </c>
      <c r="C976" s="6">
        <v>1</v>
      </c>
      <c r="D976" s="6">
        <v>4</v>
      </c>
      <c r="E976" s="6">
        <v>1</v>
      </c>
      <c r="F976" s="10">
        <v>46069</v>
      </c>
      <c r="G976" s="6" t="str">
        <f>_xlfn.TEXTJOIN("|",TRUE,GameLog[[#This Row],[Pod]],TEXT(INT(GameLog[[#This Row],[Round]]),"yyyymmdd"),GameLog[[#This Row],[Date]])</f>
        <v>4|19000101|46069</v>
      </c>
      <c r="H976" s="6">
        <f>COUNTIF(GameLog[Pod ID],GameLog[[#This Row],[Pod ID]])</f>
        <v>4</v>
      </c>
      <c r="I976" s="6">
        <f>YEAR(GameLog[[#This Row],[Date]])</f>
        <v>2026</v>
      </c>
      <c r="J976" s="6">
        <f>MONTH(GameLog[[#This Row],[Date]])</f>
        <v>2</v>
      </c>
      <c r="K976" s="6" t="str">
        <f>IF(GameLog[[#This Row],[Date]]=MAX(GameLog[Date]),"Current","Previous")</f>
        <v>Previous</v>
      </c>
      <c r="L976" s="6"/>
      <c r="M9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6" s="6" t="str">
        <f ca="1">IF(GameLog[[#This Row],[Check]]="","",COUNTIF(GameLog[[#Headers],[Check]]:GameLog[[#This Row],[Check]],"?*")-1)</f>
        <v/>
      </c>
      <c r="O976" s="6" t="str">
        <f>IFERROR(INDEX(Players[New name],MATCH(GameLog[[#This Row],[Player]],Players[Name],0)),GameLog[[#This Row],[Player]])</f>
        <v>Brett R</v>
      </c>
    </row>
    <row r="977" spans="1:15" x14ac:dyDescent="0.45">
      <c r="A977" s="6" t="s">
        <v>65</v>
      </c>
      <c r="B977" s="6" t="s">
        <v>53</v>
      </c>
      <c r="C977" s="6">
        <v>2</v>
      </c>
      <c r="D977" s="6">
        <v>4</v>
      </c>
      <c r="E977" s="6">
        <v>1</v>
      </c>
      <c r="F977" s="10">
        <v>46069</v>
      </c>
      <c r="G977" s="6" t="str">
        <f>_xlfn.TEXTJOIN("|",TRUE,GameLog[[#This Row],[Pod]],TEXT(INT(GameLog[[#This Row],[Round]]),"yyyymmdd"),GameLog[[#This Row],[Date]])</f>
        <v>4|19000101|46069</v>
      </c>
      <c r="H977" s="6">
        <f>COUNTIF(GameLog[Pod ID],GameLog[[#This Row],[Pod ID]])</f>
        <v>4</v>
      </c>
      <c r="I977" s="6">
        <f>YEAR(GameLog[[#This Row],[Date]])</f>
        <v>2026</v>
      </c>
      <c r="J977" s="6">
        <f>MONTH(GameLog[[#This Row],[Date]])</f>
        <v>2</v>
      </c>
      <c r="K977" s="6" t="str">
        <f>IF(GameLog[[#This Row],[Date]]=MAX(GameLog[Date]),"Current","Previous")</f>
        <v>Previous</v>
      </c>
      <c r="L977" s="6"/>
      <c r="M9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7" s="6" t="str">
        <f ca="1">IF(GameLog[[#This Row],[Check]]="","",COUNTIF(GameLog[[#Headers],[Check]]:GameLog[[#This Row],[Check]],"?*")-1)</f>
        <v/>
      </c>
      <c r="O977" s="6" t="str">
        <f>IFERROR(INDEX(Players[New name],MATCH(GameLog[[#This Row],[Player]],Players[Name],0)),GameLog[[#This Row],[Player]])</f>
        <v>Mitch</v>
      </c>
    </row>
    <row r="978" spans="1:15" x14ac:dyDescent="0.45">
      <c r="A978" s="6" t="s">
        <v>71</v>
      </c>
      <c r="B978" s="6" t="s">
        <v>53</v>
      </c>
      <c r="C978" s="6">
        <v>3</v>
      </c>
      <c r="D978" s="6">
        <v>4</v>
      </c>
      <c r="E978" s="6">
        <v>1</v>
      </c>
      <c r="F978" s="10">
        <v>46069</v>
      </c>
      <c r="G978" s="6" t="str">
        <f>_xlfn.TEXTJOIN("|",TRUE,GameLog[[#This Row],[Pod]],TEXT(INT(GameLog[[#This Row],[Round]]),"yyyymmdd"),GameLog[[#This Row],[Date]])</f>
        <v>4|19000101|46069</v>
      </c>
      <c r="H978" s="6">
        <f>COUNTIF(GameLog[Pod ID],GameLog[[#This Row],[Pod ID]])</f>
        <v>4</v>
      </c>
      <c r="I978" s="6">
        <f>YEAR(GameLog[[#This Row],[Date]])</f>
        <v>2026</v>
      </c>
      <c r="J978" s="6">
        <f>MONTH(GameLog[[#This Row],[Date]])</f>
        <v>2</v>
      </c>
      <c r="K978" s="6" t="str">
        <f>IF(GameLog[[#This Row],[Date]]=MAX(GameLog[Date]),"Current","Previous")</f>
        <v>Previous</v>
      </c>
      <c r="L978" s="6"/>
      <c r="M9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8" s="6" t="str">
        <f ca="1">IF(GameLog[[#This Row],[Check]]="","",COUNTIF(GameLog[[#Headers],[Check]]:GameLog[[#This Row],[Check]],"?*")-1)</f>
        <v/>
      </c>
      <c r="O978" s="6" t="str">
        <f>IFERROR(INDEX(Players[New name],MATCH(GameLog[[#This Row],[Player]],Players[Name],0)),GameLog[[#This Row],[Player]])</f>
        <v>Rodney Y</v>
      </c>
    </row>
    <row r="979" spans="1:15" x14ac:dyDescent="0.45">
      <c r="A979" s="6" t="s">
        <v>60</v>
      </c>
      <c r="B979" s="6" t="s">
        <v>53</v>
      </c>
      <c r="C979" s="6">
        <v>4</v>
      </c>
      <c r="D979" s="6">
        <v>4</v>
      </c>
      <c r="E979" s="6">
        <v>1</v>
      </c>
      <c r="F979" s="10">
        <v>46069</v>
      </c>
      <c r="G979" s="6" t="str">
        <f>_xlfn.TEXTJOIN("|",TRUE,GameLog[[#This Row],[Pod]],TEXT(INT(GameLog[[#This Row],[Round]]),"yyyymmdd"),GameLog[[#This Row],[Date]])</f>
        <v>4|19000101|46069</v>
      </c>
      <c r="H979" s="6">
        <f>COUNTIF(GameLog[Pod ID],GameLog[[#This Row],[Pod ID]])</f>
        <v>4</v>
      </c>
      <c r="I979" s="6">
        <f>YEAR(GameLog[[#This Row],[Date]])</f>
        <v>2026</v>
      </c>
      <c r="J979" s="6">
        <f>MONTH(GameLog[[#This Row],[Date]])</f>
        <v>2</v>
      </c>
      <c r="K979" s="6" t="str">
        <f>IF(GameLog[[#This Row],[Date]]=MAX(GameLog[Date]),"Current","Previous")</f>
        <v>Previous</v>
      </c>
      <c r="L979" s="6"/>
      <c r="M9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79" s="6" t="str">
        <f ca="1">IF(GameLog[[#This Row],[Check]]="","",COUNTIF(GameLog[[#Headers],[Check]]:GameLog[[#This Row],[Check]],"?*")-1)</f>
        <v/>
      </c>
      <c r="O979" s="6" t="str">
        <f>IFERROR(INDEX(Players[New name],MATCH(GameLog[[#This Row],[Player]],Players[Name],0)),GameLog[[#This Row],[Player]])</f>
        <v>Brendan H</v>
      </c>
    </row>
    <row r="980" spans="1:15" x14ac:dyDescent="0.45">
      <c r="A980" s="6" t="s">
        <v>91</v>
      </c>
      <c r="B980" s="6" t="s">
        <v>53</v>
      </c>
      <c r="C980" s="6">
        <v>1</v>
      </c>
      <c r="D980" s="6">
        <v>5</v>
      </c>
      <c r="E980" s="6">
        <v>1</v>
      </c>
      <c r="F980" s="10">
        <v>46069</v>
      </c>
      <c r="G980" s="6" t="str">
        <f>_xlfn.TEXTJOIN("|",TRUE,GameLog[[#This Row],[Pod]],TEXT(INT(GameLog[[#This Row],[Round]]),"yyyymmdd"),GameLog[[#This Row],[Date]])</f>
        <v>5|19000101|46069</v>
      </c>
      <c r="H980" s="6">
        <f>COUNTIF(GameLog[Pod ID],GameLog[[#This Row],[Pod ID]])</f>
        <v>3</v>
      </c>
      <c r="I980" s="6">
        <f>YEAR(GameLog[[#This Row],[Date]])</f>
        <v>2026</v>
      </c>
      <c r="J980" s="6">
        <f>MONTH(GameLog[[#This Row],[Date]])</f>
        <v>2</v>
      </c>
      <c r="K980" s="6" t="str">
        <f>IF(GameLog[[#This Row],[Date]]=MAX(GameLog[Date]),"Current","Previous")</f>
        <v>Previous</v>
      </c>
      <c r="L980" s="6"/>
      <c r="M9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0" s="6" t="str">
        <f ca="1">IF(GameLog[[#This Row],[Check]]="","",COUNTIF(GameLog[[#Headers],[Check]]:GameLog[[#This Row],[Check]],"?*")-1)</f>
        <v/>
      </c>
      <c r="O980" s="6" t="str">
        <f>IFERROR(INDEX(Players[New name],MATCH(GameLog[[#This Row],[Player]],Players[Name],0)),GameLog[[#This Row],[Player]])</f>
        <v>Isaac B</v>
      </c>
    </row>
    <row r="981" spans="1:15" x14ac:dyDescent="0.45">
      <c r="A981" s="6" t="s">
        <v>99</v>
      </c>
      <c r="B981" s="6" t="s">
        <v>50</v>
      </c>
      <c r="C981" s="6">
        <v>2</v>
      </c>
      <c r="D981" s="6">
        <v>5</v>
      </c>
      <c r="E981" s="6">
        <v>1</v>
      </c>
      <c r="F981" s="10">
        <v>46069</v>
      </c>
      <c r="G981" s="6" t="str">
        <f>_xlfn.TEXTJOIN("|",TRUE,GameLog[[#This Row],[Pod]],TEXT(INT(GameLog[[#This Row],[Round]]),"yyyymmdd"),GameLog[[#This Row],[Date]])</f>
        <v>5|19000101|46069</v>
      </c>
      <c r="H981" s="6">
        <f>COUNTIF(GameLog[Pod ID],GameLog[[#This Row],[Pod ID]])</f>
        <v>3</v>
      </c>
      <c r="I981" s="6">
        <f>YEAR(GameLog[[#This Row],[Date]])</f>
        <v>2026</v>
      </c>
      <c r="J981" s="6">
        <f>MONTH(GameLog[[#This Row],[Date]])</f>
        <v>2</v>
      </c>
      <c r="K981" s="6" t="str">
        <f>IF(GameLog[[#This Row],[Date]]=MAX(GameLog[Date]),"Current","Previous")</f>
        <v>Previous</v>
      </c>
      <c r="L981" s="6"/>
      <c r="M9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1" s="6" t="str">
        <f ca="1">IF(GameLog[[#This Row],[Check]]="","",COUNTIF(GameLog[[#Headers],[Check]]:GameLog[[#This Row],[Check]],"?*")-1)</f>
        <v/>
      </c>
      <c r="O981" s="6" t="str">
        <f>IFERROR(INDEX(Players[New name],MATCH(GameLog[[#This Row],[Player]],Players[Name],0)),GameLog[[#This Row],[Player]])</f>
        <v>Steve A-G</v>
      </c>
    </row>
    <row r="982" spans="1:15" x14ac:dyDescent="0.45">
      <c r="A982" s="6" t="s">
        <v>96</v>
      </c>
      <c r="B982" s="6" t="s">
        <v>53</v>
      </c>
      <c r="C982" s="6">
        <v>3</v>
      </c>
      <c r="D982" s="6">
        <v>5</v>
      </c>
      <c r="E982" s="6">
        <v>1</v>
      </c>
      <c r="F982" s="10">
        <v>46069</v>
      </c>
      <c r="G982" s="6" t="str">
        <f>_xlfn.TEXTJOIN("|",TRUE,GameLog[[#This Row],[Pod]],TEXT(INT(GameLog[[#This Row],[Round]]),"yyyymmdd"),GameLog[[#This Row],[Date]])</f>
        <v>5|19000101|46069</v>
      </c>
      <c r="H982" s="6">
        <f>COUNTIF(GameLog[Pod ID],GameLog[[#This Row],[Pod ID]])</f>
        <v>3</v>
      </c>
      <c r="I982" s="6">
        <f>YEAR(GameLog[[#This Row],[Date]])</f>
        <v>2026</v>
      </c>
      <c r="J982" s="6">
        <f>MONTH(GameLog[[#This Row],[Date]])</f>
        <v>2</v>
      </c>
      <c r="K982" s="6" t="str">
        <f>IF(GameLog[[#This Row],[Date]]=MAX(GameLog[Date]),"Current","Previous")</f>
        <v>Previous</v>
      </c>
      <c r="L982" s="6"/>
      <c r="M9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2" s="6" t="str">
        <f ca="1">IF(GameLog[[#This Row],[Check]]="","",COUNTIF(GameLog[[#Headers],[Check]]:GameLog[[#This Row],[Check]],"?*")-1)</f>
        <v/>
      </c>
      <c r="O982" s="6" t="str">
        <f>IFERROR(INDEX(Players[New name],MATCH(GameLog[[#This Row],[Player]],Players[Name],0)),GameLog[[#This Row],[Player]])</f>
        <v>Brandon A</v>
      </c>
    </row>
    <row r="983" spans="1:15" x14ac:dyDescent="0.45">
      <c r="A983" s="6" t="s">
        <v>99</v>
      </c>
      <c r="B983" s="6" t="s">
        <v>53</v>
      </c>
      <c r="C983" s="6">
        <v>1</v>
      </c>
      <c r="D983" s="6">
        <v>1</v>
      </c>
      <c r="E983" s="6">
        <v>2</v>
      </c>
      <c r="F983" s="10">
        <v>46069</v>
      </c>
      <c r="G983" s="6" t="str">
        <f>_xlfn.TEXTJOIN("|",TRUE,GameLog[[#This Row],[Pod]],TEXT(INT(GameLog[[#This Row],[Round]]),"yyyymmdd"),GameLog[[#This Row],[Date]])</f>
        <v>1|19000102|46069</v>
      </c>
      <c r="H983" s="6">
        <f>COUNTIF(GameLog[Pod ID],GameLog[[#This Row],[Pod ID]])</f>
        <v>4</v>
      </c>
      <c r="I983" s="6">
        <f>YEAR(GameLog[[#This Row],[Date]])</f>
        <v>2026</v>
      </c>
      <c r="J983" s="6">
        <f>MONTH(GameLog[[#This Row],[Date]])</f>
        <v>2</v>
      </c>
      <c r="K983" s="6" t="str">
        <f>IF(GameLog[[#This Row],[Date]]=MAX(GameLog[Date]),"Current","Previous")</f>
        <v>Previous</v>
      </c>
      <c r="L983" s="6"/>
      <c r="M9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3" s="6" t="str">
        <f ca="1">IF(GameLog[[#This Row],[Check]]="","",COUNTIF(GameLog[[#Headers],[Check]]:GameLog[[#This Row],[Check]],"?*")-1)</f>
        <v/>
      </c>
      <c r="O983" s="6" t="str">
        <f>IFERROR(INDEX(Players[New name],MATCH(GameLog[[#This Row],[Player]],Players[Name],0)),GameLog[[#This Row],[Player]])</f>
        <v>Steve A-G</v>
      </c>
    </row>
    <row r="984" spans="1:15" x14ac:dyDescent="0.45">
      <c r="A984" s="6" t="s">
        <v>55</v>
      </c>
      <c r="B984" s="6" t="s">
        <v>53</v>
      </c>
      <c r="C984" s="6">
        <v>2</v>
      </c>
      <c r="D984" s="6">
        <v>1</v>
      </c>
      <c r="E984" s="6">
        <v>2</v>
      </c>
      <c r="F984" s="10">
        <v>46069</v>
      </c>
      <c r="G984" s="6" t="str">
        <f>_xlfn.TEXTJOIN("|",TRUE,GameLog[[#This Row],[Pod]],TEXT(INT(GameLog[[#This Row],[Round]]),"yyyymmdd"),GameLog[[#This Row],[Date]])</f>
        <v>1|19000102|46069</v>
      </c>
      <c r="H984" s="6">
        <f>COUNTIF(GameLog[Pod ID],GameLog[[#This Row],[Pod ID]])</f>
        <v>4</v>
      </c>
      <c r="I984" s="6">
        <f>YEAR(GameLog[[#This Row],[Date]])</f>
        <v>2026</v>
      </c>
      <c r="J984" s="6">
        <f>MONTH(GameLog[[#This Row],[Date]])</f>
        <v>2</v>
      </c>
      <c r="K984" s="6" t="str">
        <f>IF(GameLog[[#This Row],[Date]]=MAX(GameLog[Date]),"Current","Previous")</f>
        <v>Previous</v>
      </c>
      <c r="L984" s="6"/>
      <c r="M9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4" s="6" t="str">
        <f ca="1">IF(GameLog[[#This Row],[Check]]="","",COUNTIF(GameLog[[#Headers],[Check]]:GameLog[[#This Row],[Check]],"?*")-1)</f>
        <v/>
      </c>
      <c r="O984" s="6" t="str">
        <f>IFERROR(INDEX(Players[New name],MATCH(GameLog[[#This Row],[Player]],Players[Name],0)),GameLog[[#This Row],[Player]])</f>
        <v>Bryce C</v>
      </c>
    </row>
    <row r="985" spans="1:15" x14ac:dyDescent="0.45">
      <c r="A985" s="6" t="s">
        <v>77</v>
      </c>
      <c r="B985" s="6" t="s">
        <v>53</v>
      </c>
      <c r="C985" s="6">
        <v>3</v>
      </c>
      <c r="D985" s="6">
        <v>1</v>
      </c>
      <c r="E985" s="6">
        <v>2</v>
      </c>
      <c r="F985" s="10">
        <v>46069</v>
      </c>
      <c r="G985" s="6" t="str">
        <f>_xlfn.TEXTJOIN("|",TRUE,GameLog[[#This Row],[Pod]],TEXT(INT(GameLog[[#This Row],[Round]]),"yyyymmdd"),GameLog[[#This Row],[Date]])</f>
        <v>1|19000102|46069</v>
      </c>
      <c r="H985" s="6">
        <f>COUNTIF(GameLog[Pod ID],GameLog[[#This Row],[Pod ID]])</f>
        <v>4</v>
      </c>
      <c r="I985" s="6">
        <f>YEAR(GameLog[[#This Row],[Date]])</f>
        <v>2026</v>
      </c>
      <c r="J985" s="6">
        <f>MONTH(GameLog[[#This Row],[Date]])</f>
        <v>2</v>
      </c>
      <c r="K985" s="6" t="str">
        <f>IF(GameLog[[#This Row],[Date]]=MAX(GameLog[Date]),"Current","Previous")</f>
        <v>Previous</v>
      </c>
      <c r="L985" s="6"/>
      <c r="M9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5" s="6" t="str">
        <f ca="1">IF(GameLog[[#This Row],[Check]]="","",COUNTIF(GameLog[[#Headers],[Check]]:GameLog[[#This Row],[Check]],"?*")-1)</f>
        <v/>
      </c>
      <c r="O985" s="6" t="str">
        <f>IFERROR(INDEX(Players[New name],MATCH(GameLog[[#This Row],[Player]],Players[Name],0)),GameLog[[#This Row],[Player]])</f>
        <v>Dave M</v>
      </c>
    </row>
    <row r="986" spans="1:15" x14ac:dyDescent="0.45">
      <c r="A986" s="6" t="s">
        <v>49</v>
      </c>
      <c r="B986" s="6" t="s">
        <v>50</v>
      </c>
      <c r="C986" s="6">
        <v>4</v>
      </c>
      <c r="D986" s="6">
        <v>1</v>
      </c>
      <c r="E986" s="6">
        <v>2</v>
      </c>
      <c r="F986" s="10">
        <v>46069</v>
      </c>
      <c r="G986" s="6" t="str">
        <f>_xlfn.TEXTJOIN("|",TRUE,GameLog[[#This Row],[Pod]],TEXT(INT(GameLog[[#This Row],[Round]]),"yyyymmdd"),GameLog[[#This Row],[Date]])</f>
        <v>1|19000102|46069</v>
      </c>
      <c r="H986" s="6">
        <f>COUNTIF(GameLog[Pod ID],GameLog[[#This Row],[Pod ID]])</f>
        <v>4</v>
      </c>
      <c r="I986" s="6">
        <f>YEAR(GameLog[[#This Row],[Date]])</f>
        <v>2026</v>
      </c>
      <c r="J986" s="6">
        <f>MONTH(GameLog[[#This Row],[Date]])</f>
        <v>2</v>
      </c>
      <c r="K986" s="6" t="str">
        <f>IF(GameLog[[#This Row],[Date]]=MAX(GameLog[Date]),"Current","Previous")</f>
        <v>Previous</v>
      </c>
      <c r="L986" s="6"/>
      <c r="M9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6" s="6" t="str">
        <f ca="1">IF(GameLog[[#This Row],[Check]]="","",COUNTIF(GameLog[[#Headers],[Check]]:GameLog[[#This Row],[Check]],"?*")-1)</f>
        <v/>
      </c>
      <c r="O986" s="6" t="str">
        <f>IFERROR(INDEX(Players[New name],MATCH(GameLog[[#This Row],[Player]],Players[Name],0)),GameLog[[#This Row],[Player]])</f>
        <v>Brett R</v>
      </c>
    </row>
    <row r="987" spans="1:15" x14ac:dyDescent="0.45">
      <c r="A987" s="6" t="s">
        <v>70</v>
      </c>
      <c r="B987" s="6" t="s">
        <v>53</v>
      </c>
      <c r="C987" s="6">
        <v>1</v>
      </c>
      <c r="D987" s="6">
        <v>2</v>
      </c>
      <c r="E987" s="6">
        <v>2</v>
      </c>
      <c r="F987" s="10">
        <v>46069</v>
      </c>
      <c r="G987" s="6" t="str">
        <f>_xlfn.TEXTJOIN("|",TRUE,GameLog[[#This Row],[Pod]],TEXT(INT(GameLog[[#This Row],[Round]]),"yyyymmdd"),GameLog[[#This Row],[Date]])</f>
        <v>2|19000102|46069</v>
      </c>
      <c r="H987" s="6">
        <f>COUNTIF(GameLog[Pod ID],GameLog[[#This Row],[Pod ID]])</f>
        <v>4</v>
      </c>
      <c r="I987" s="6">
        <f>YEAR(GameLog[[#This Row],[Date]])</f>
        <v>2026</v>
      </c>
      <c r="J987" s="6">
        <f>MONTH(GameLog[[#This Row],[Date]])</f>
        <v>2</v>
      </c>
      <c r="K987" s="6" t="str">
        <f>IF(GameLog[[#This Row],[Date]]=MAX(GameLog[Date]),"Current","Previous")</f>
        <v>Previous</v>
      </c>
      <c r="L987" s="6"/>
      <c r="M9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7" s="6" t="str">
        <f ca="1">IF(GameLog[[#This Row],[Check]]="","",COUNTIF(GameLog[[#Headers],[Check]]:GameLog[[#This Row],[Check]],"?*")-1)</f>
        <v/>
      </c>
      <c r="O987" s="6" t="str">
        <f>IFERROR(INDEX(Players[New name],MATCH(GameLog[[#This Row],[Player]],Players[Name],0)),GameLog[[#This Row],[Player]])</f>
        <v>Brad F</v>
      </c>
    </row>
    <row r="988" spans="1:15" x14ac:dyDescent="0.45">
      <c r="A988" s="6" t="s">
        <v>94</v>
      </c>
      <c r="B988" s="6" t="s">
        <v>53</v>
      </c>
      <c r="C988" s="6">
        <v>2</v>
      </c>
      <c r="D988" s="6">
        <v>2</v>
      </c>
      <c r="E988" s="6">
        <v>2</v>
      </c>
      <c r="F988" s="10">
        <v>46069</v>
      </c>
      <c r="G988" s="6" t="str">
        <f>_xlfn.TEXTJOIN("|",TRUE,GameLog[[#This Row],[Pod]],TEXT(INT(GameLog[[#This Row],[Round]]),"yyyymmdd"),GameLog[[#This Row],[Date]])</f>
        <v>2|19000102|46069</v>
      </c>
      <c r="H988" s="6">
        <f>COUNTIF(GameLog[Pod ID],GameLog[[#This Row],[Pod ID]])</f>
        <v>4</v>
      </c>
      <c r="I988" s="6">
        <f>YEAR(GameLog[[#This Row],[Date]])</f>
        <v>2026</v>
      </c>
      <c r="J988" s="6">
        <f>MONTH(GameLog[[#This Row],[Date]])</f>
        <v>2</v>
      </c>
      <c r="K988" s="6" t="str">
        <f>IF(GameLog[[#This Row],[Date]]=MAX(GameLog[Date]),"Current","Previous")</f>
        <v>Previous</v>
      </c>
      <c r="L988" s="6"/>
      <c r="M9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8" s="6" t="str">
        <f ca="1">IF(GameLog[[#This Row],[Check]]="","",COUNTIF(GameLog[[#Headers],[Check]]:GameLog[[#This Row],[Check]],"?*")-1)</f>
        <v/>
      </c>
      <c r="O988" s="6" t="str">
        <f>IFERROR(INDEX(Players[New name],MATCH(GameLog[[#This Row],[Player]],Players[Name],0)),GameLog[[#This Row],[Player]])</f>
        <v>Austin D</v>
      </c>
    </row>
    <row r="989" spans="1:15" x14ac:dyDescent="0.45">
      <c r="A989" s="6" t="s">
        <v>71</v>
      </c>
      <c r="B989" s="6" t="s">
        <v>50</v>
      </c>
      <c r="C989" s="6">
        <v>3</v>
      </c>
      <c r="D989" s="6">
        <v>2</v>
      </c>
      <c r="E989" s="6">
        <v>2</v>
      </c>
      <c r="F989" s="10">
        <v>46069</v>
      </c>
      <c r="G989" s="6" t="str">
        <f>_xlfn.TEXTJOIN("|",TRUE,GameLog[[#This Row],[Pod]],TEXT(INT(GameLog[[#This Row],[Round]]),"yyyymmdd"),GameLog[[#This Row],[Date]])</f>
        <v>2|19000102|46069</v>
      </c>
      <c r="H989" s="6">
        <f>COUNTIF(GameLog[Pod ID],GameLog[[#This Row],[Pod ID]])</f>
        <v>4</v>
      </c>
      <c r="I989" s="6">
        <f>YEAR(GameLog[[#This Row],[Date]])</f>
        <v>2026</v>
      </c>
      <c r="J989" s="6">
        <f>MONTH(GameLog[[#This Row],[Date]])</f>
        <v>2</v>
      </c>
      <c r="K989" s="6" t="str">
        <f>IF(GameLog[[#This Row],[Date]]=MAX(GameLog[Date]),"Current","Previous")</f>
        <v>Previous</v>
      </c>
      <c r="L989" s="6"/>
      <c r="M9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89" s="6" t="str">
        <f ca="1">IF(GameLog[[#This Row],[Check]]="","",COUNTIF(GameLog[[#Headers],[Check]]:GameLog[[#This Row],[Check]],"?*")-1)</f>
        <v/>
      </c>
      <c r="O989" s="6" t="str">
        <f>IFERROR(INDEX(Players[New name],MATCH(GameLog[[#This Row],[Player]],Players[Name],0)),GameLog[[#This Row],[Player]])</f>
        <v>Rodney Y</v>
      </c>
    </row>
    <row r="990" spans="1:15" x14ac:dyDescent="0.45">
      <c r="A990" s="6" t="s">
        <v>67</v>
      </c>
      <c r="B990" s="6" t="s">
        <v>53</v>
      </c>
      <c r="C990" s="6">
        <v>4</v>
      </c>
      <c r="D990" s="6">
        <v>2</v>
      </c>
      <c r="E990" s="6">
        <v>2</v>
      </c>
      <c r="F990" s="10">
        <v>46069</v>
      </c>
      <c r="G990" s="6" t="str">
        <f>_xlfn.TEXTJOIN("|",TRUE,GameLog[[#This Row],[Pod]],TEXT(INT(GameLog[[#This Row],[Round]]),"yyyymmdd"),GameLog[[#This Row],[Date]])</f>
        <v>2|19000102|46069</v>
      </c>
      <c r="H990" s="6">
        <f>COUNTIF(GameLog[Pod ID],GameLog[[#This Row],[Pod ID]])</f>
        <v>4</v>
      </c>
      <c r="I990" s="6">
        <f>YEAR(GameLog[[#This Row],[Date]])</f>
        <v>2026</v>
      </c>
      <c r="J990" s="6">
        <f>MONTH(GameLog[[#This Row],[Date]])</f>
        <v>2</v>
      </c>
      <c r="K990" s="6" t="str">
        <f>IF(GameLog[[#This Row],[Date]]=MAX(GameLog[Date]),"Current","Previous")</f>
        <v>Previous</v>
      </c>
      <c r="L990" s="6"/>
      <c r="M9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0" s="6" t="str">
        <f ca="1">IF(GameLog[[#This Row],[Check]]="","",COUNTIF(GameLog[[#Headers],[Check]]:GameLog[[#This Row],[Check]],"?*")-1)</f>
        <v/>
      </c>
      <c r="O990" s="6" t="str">
        <f>IFERROR(INDEX(Players[New name],MATCH(GameLog[[#This Row],[Player]],Players[Name],0)),GameLog[[#This Row],[Player]])</f>
        <v>Sam</v>
      </c>
    </row>
    <row r="991" spans="1:15" x14ac:dyDescent="0.45">
      <c r="A991" s="6" t="s">
        <v>98</v>
      </c>
      <c r="B991" s="6" t="s">
        <v>90</v>
      </c>
      <c r="C991" s="6">
        <v>1</v>
      </c>
      <c r="D991" s="6">
        <v>3</v>
      </c>
      <c r="E991" s="6">
        <v>2</v>
      </c>
      <c r="F991" s="10">
        <v>46069</v>
      </c>
      <c r="G991" s="6" t="str">
        <f>_xlfn.TEXTJOIN("|",TRUE,GameLog[[#This Row],[Pod]],TEXT(INT(GameLog[[#This Row],[Round]]),"yyyymmdd"),GameLog[[#This Row],[Date]])</f>
        <v>3|19000102|46069</v>
      </c>
      <c r="H991" s="6">
        <f>COUNTIF(GameLog[Pod ID],GameLog[[#This Row],[Pod ID]])</f>
        <v>4</v>
      </c>
      <c r="I991" s="6">
        <f>YEAR(GameLog[[#This Row],[Date]])</f>
        <v>2026</v>
      </c>
      <c r="J991" s="6">
        <f>MONTH(GameLog[[#This Row],[Date]])</f>
        <v>2</v>
      </c>
      <c r="K991" s="6" t="str">
        <f>IF(GameLog[[#This Row],[Date]]=MAX(GameLog[Date]),"Current","Previous")</f>
        <v>Previous</v>
      </c>
      <c r="L991" s="6"/>
      <c r="M9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1" s="6" t="str">
        <f ca="1">IF(GameLog[[#This Row],[Check]]="","",COUNTIF(GameLog[[#Headers],[Check]]:GameLog[[#This Row],[Check]],"?*")-1)</f>
        <v/>
      </c>
      <c r="O991" s="6" t="str">
        <f>IFERROR(INDEX(Players[New name],MATCH(GameLog[[#This Row],[Player]],Players[Name],0)),GameLog[[#This Row],[Player]])</f>
        <v>Charlie B</v>
      </c>
    </row>
    <row r="992" spans="1:15" x14ac:dyDescent="0.45">
      <c r="A992" s="6" t="s">
        <v>60</v>
      </c>
      <c r="B992" s="6" t="s">
        <v>90</v>
      </c>
      <c r="C992" s="6">
        <v>2</v>
      </c>
      <c r="D992" s="6">
        <v>3</v>
      </c>
      <c r="E992" s="6">
        <v>2</v>
      </c>
      <c r="F992" s="10">
        <v>46069</v>
      </c>
      <c r="G992" s="6" t="str">
        <f>_xlfn.TEXTJOIN("|",TRUE,GameLog[[#This Row],[Pod]],TEXT(INT(GameLog[[#This Row],[Round]]),"yyyymmdd"),GameLog[[#This Row],[Date]])</f>
        <v>3|19000102|46069</v>
      </c>
      <c r="H992" s="6">
        <f>COUNTIF(GameLog[Pod ID],GameLog[[#This Row],[Pod ID]])</f>
        <v>4</v>
      </c>
      <c r="I992" s="6">
        <f>YEAR(GameLog[[#This Row],[Date]])</f>
        <v>2026</v>
      </c>
      <c r="J992" s="6">
        <f>MONTH(GameLog[[#This Row],[Date]])</f>
        <v>2</v>
      </c>
      <c r="K992" s="6" t="str">
        <f>IF(GameLog[[#This Row],[Date]]=MAX(GameLog[Date]),"Current","Previous")</f>
        <v>Previous</v>
      </c>
      <c r="L992" s="6"/>
      <c r="M9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2" s="6" t="str">
        <f ca="1">IF(GameLog[[#This Row],[Check]]="","",COUNTIF(GameLog[[#Headers],[Check]]:GameLog[[#This Row],[Check]],"?*")-1)</f>
        <v/>
      </c>
      <c r="O992" s="6" t="str">
        <f>IFERROR(INDEX(Players[New name],MATCH(GameLog[[#This Row],[Player]],Players[Name],0)),GameLog[[#This Row],[Player]])</f>
        <v>Brendan H</v>
      </c>
    </row>
    <row r="993" spans="1:15" x14ac:dyDescent="0.45">
      <c r="A993" s="6" t="s">
        <v>61</v>
      </c>
      <c r="B993" s="6" t="s">
        <v>90</v>
      </c>
      <c r="C993" s="6">
        <v>3</v>
      </c>
      <c r="D993" s="6">
        <v>3</v>
      </c>
      <c r="E993" s="6">
        <v>2</v>
      </c>
      <c r="F993" s="10">
        <v>46069</v>
      </c>
      <c r="G993" s="6" t="str">
        <f>_xlfn.TEXTJOIN("|",TRUE,GameLog[[#This Row],[Pod]],TEXT(INT(GameLog[[#This Row],[Round]]),"yyyymmdd"),GameLog[[#This Row],[Date]])</f>
        <v>3|19000102|46069</v>
      </c>
      <c r="H993" s="6">
        <f>COUNTIF(GameLog[Pod ID],GameLog[[#This Row],[Pod ID]])</f>
        <v>4</v>
      </c>
      <c r="I993" s="6">
        <f>YEAR(GameLog[[#This Row],[Date]])</f>
        <v>2026</v>
      </c>
      <c r="J993" s="6">
        <f>MONTH(GameLog[[#This Row],[Date]])</f>
        <v>2</v>
      </c>
      <c r="K993" s="6" t="str">
        <f>IF(GameLog[[#This Row],[Date]]=MAX(GameLog[Date]),"Current","Previous")</f>
        <v>Previous</v>
      </c>
      <c r="L993" s="6"/>
      <c r="M9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3" s="6" t="str">
        <f ca="1">IF(GameLog[[#This Row],[Check]]="","",COUNTIF(GameLog[[#Headers],[Check]]:GameLog[[#This Row],[Check]],"?*")-1)</f>
        <v/>
      </c>
      <c r="O993" s="6" t="str">
        <f>IFERROR(INDEX(Players[New name],MATCH(GameLog[[#This Row],[Player]],Players[Name],0)),GameLog[[#This Row],[Player]])</f>
        <v>Trevor</v>
      </c>
    </row>
    <row r="994" spans="1:15" x14ac:dyDescent="0.45">
      <c r="A994" s="6" t="s">
        <v>52</v>
      </c>
      <c r="B994" s="6" t="s">
        <v>90</v>
      </c>
      <c r="C994" s="6">
        <v>4</v>
      </c>
      <c r="D994" s="6">
        <v>3</v>
      </c>
      <c r="E994" s="6">
        <v>2</v>
      </c>
      <c r="F994" s="10">
        <v>46069</v>
      </c>
      <c r="G994" s="6" t="str">
        <f>_xlfn.TEXTJOIN("|",TRUE,GameLog[[#This Row],[Pod]],TEXT(INT(GameLog[[#This Row],[Round]]),"yyyymmdd"),GameLog[[#This Row],[Date]])</f>
        <v>3|19000102|46069</v>
      </c>
      <c r="H994" s="6">
        <f>COUNTIF(GameLog[Pod ID],GameLog[[#This Row],[Pod ID]])</f>
        <v>4</v>
      </c>
      <c r="I994" s="6">
        <f>YEAR(GameLog[[#This Row],[Date]])</f>
        <v>2026</v>
      </c>
      <c r="J994" s="6">
        <f>MONTH(GameLog[[#This Row],[Date]])</f>
        <v>2</v>
      </c>
      <c r="K994" s="6" t="str">
        <f>IF(GameLog[[#This Row],[Date]]=MAX(GameLog[Date]),"Current","Previous")</f>
        <v>Previous</v>
      </c>
      <c r="L994" s="6"/>
      <c r="M9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4" s="6" t="str">
        <f ca="1">IF(GameLog[[#This Row],[Check]]="","",COUNTIF(GameLog[[#Headers],[Check]]:GameLog[[#This Row],[Check]],"?*")-1)</f>
        <v/>
      </c>
      <c r="O994" s="6" t="str">
        <f>IFERROR(INDEX(Players[New name],MATCH(GameLog[[#This Row],[Player]],Players[Name],0)),GameLog[[#This Row],[Player]])</f>
        <v>Unknown</v>
      </c>
    </row>
    <row r="995" spans="1:15" x14ac:dyDescent="0.45">
      <c r="A995" s="6" t="s">
        <v>91</v>
      </c>
      <c r="B995" s="6" t="s">
        <v>53</v>
      </c>
      <c r="C995" s="6">
        <v>1</v>
      </c>
      <c r="D995" s="6">
        <v>4</v>
      </c>
      <c r="E995" s="6">
        <v>2</v>
      </c>
      <c r="F995" s="10">
        <v>46069</v>
      </c>
      <c r="G995" s="6" t="str">
        <f>_xlfn.TEXTJOIN("|",TRUE,GameLog[[#This Row],[Pod]],TEXT(INT(GameLog[[#This Row],[Round]]),"yyyymmdd"),GameLog[[#This Row],[Date]])</f>
        <v>4|19000102|46069</v>
      </c>
      <c r="H995" s="6">
        <f>COUNTIF(GameLog[Pod ID],GameLog[[#This Row],[Pod ID]])</f>
        <v>4</v>
      </c>
      <c r="I995" s="6">
        <f>YEAR(GameLog[[#This Row],[Date]])</f>
        <v>2026</v>
      </c>
      <c r="J995" s="6">
        <f>MONTH(GameLog[[#This Row],[Date]])</f>
        <v>2</v>
      </c>
      <c r="K995" s="6" t="str">
        <f>IF(GameLog[[#This Row],[Date]]=MAX(GameLog[Date]),"Current","Previous")</f>
        <v>Previous</v>
      </c>
      <c r="L995" s="6"/>
      <c r="M9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5" s="6" t="str">
        <f ca="1">IF(GameLog[[#This Row],[Check]]="","",COUNTIF(GameLog[[#Headers],[Check]]:GameLog[[#This Row],[Check]],"?*")-1)</f>
        <v/>
      </c>
      <c r="O995" s="6" t="str">
        <f>IFERROR(INDEX(Players[New name],MATCH(GameLog[[#This Row],[Player]],Players[Name],0)),GameLog[[#This Row],[Player]])</f>
        <v>Isaac B</v>
      </c>
    </row>
    <row r="996" spans="1:15" x14ac:dyDescent="0.45">
      <c r="A996" s="6" t="s">
        <v>97</v>
      </c>
      <c r="B996" s="6" t="s">
        <v>53</v>
      </c>
      <c r="C996" s="6">
        <v>2</v>
      </c>
      <c r="D996" s="6">
        <v>4</v>
      </c>
      <c r="E996" s="6">
        <v>2</v>
      </c>
      <c r="F996" s="10">
        <v>46069</v>
      </c>
      <c r="G996" s="6" t="str">
        <f>_xlfn.TEXTJOIN("|",TRUE,GameLog[[#This Row],[Pod]],TEXT(INT(GameLog[[#This Row],[Round]]),"yyyymmdd"),GameLog[[#This Row],[Date]])</f>
        <v>4|19000102|46069</v>
      </c>
      <c r="H996" s="6">
        <f>COUNTIF(GameLog[Pod ID],GameLog[[#This Row],[Pod ID]])</f>
        <v>4</v>
      </c>
      <c r="I996" s="6">
        <f>YEAR(GameLog[[#This Row],[Date]])</f>
        <v>2026</v>
      </c>
      <c r="J996" s="6">
        <f>MONTH(GameLog[[#This Row],[Date]])</f>
        <v>2</v>
      </c>
      <c r="K996" s="6" t="str">
        <f>IF(GameLog[[#This Row],[Date]]=MAX(GameLog[Date]),"Current","Previous")</f>
        <v>Previous</v>
      </c>
      <c r="L996" s="6"/>
      <c r="M9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6" s="6" t="str">
        <f ca="1">IF(GameLog[[#This Row],[Check]]="","",COUNTIF(GameLog[[#Headers],[Check]]:GameLog[[#This Row],[Check]],"?*")-1)</f>
        <v/>
      </c>
      <c r="O996" s="6" t="str">
        <f>IFERROR(INDEX(Players[New name],MATCH(GameLog[[#This Row],[Player]],Players[Name],0)),GameLog[[#This Row],[Player]])</f>
        <v>Arman H</v>
      </c>
    </row>
    <row r="997" spans="1:15" x14ac:dyDescent="0.45">
      <c r="A997" s="6" t="s">
        <v>68</v>
      </c>
      <c r="B997" s="6" t="s">
        <v>50</v>
      </c>
      <c r="C997" s="6">
        <v>3</v>
      </c>
      <c r="D997" s="6">
        <v>4</v>
      </c>
      <c r="E997" s="6">
        <v>2</v>
      </c>
      <c r="F997" s="10">
        <v>46069</v>
      </c>
      <c r="G997" s="6" t="str">
        <f>_xlfn.TEXTJOIN("|",TRUE,GameLog[[#This Row],[Pod]],TEXT(INT(GameLog[[#This Row],[Round]]),"yyyymmdd"),GameLog[[#This Row],[Date]])</f>
        <v>4|19000102|46069</v>
      </c>
      <c r="H997" s="6">
        <f>COUNTIF(GameLog[Pod ID],GameLog[[#This Row],[Pod ID]])</f>
        <v>4</v>
      </c>
      <c r="I997" s="6">
        <f>YEAR(GameLog[[#This Row],[Date]])</f>
        <v>2026</v>
      </c>
      <c r="J997" s="6">
        <f>MONTH(GameLog[[#This Row],[Date]])</f>
        <v>2</v>
      </c>
      <c r="K997" s="6" t="str">
        <f>IF(GameLog[[#This Row],[Date]]=MAX(GameLog[Date]),"Current","Previous")</f>
        <v>Previous</v>
      </c>
      <c r="L997" s="6"/>
      <c r="M9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7" s="6" t="str">
        <f ca="1">IF(GameLog[[#This Row],[Check]]="","",COUNTIF(GameLog[[#Headers],[Check]]:GameLog[[#This Row],[Check]],"?*")-1)</f>
        <v/>
      </c>
      <c r="O997" s="6" t="str">
        <f>IFERROR(INDEX(Players[New name],MATCH(GameLog[[#This Row],[Player]],Players[Name],0)),GameLog[[#This Row],[Player]])</f>
        <v>Edwin M</v>
      </c>
    </row>
    <row r="998" spans="1:15" x14ac:dyDescent="0.45">
      <c r="A998" s="6" t="s">
        <v>73</v>
      </c>
      <c r="B998" s="6" t="s">
        <v>53</v>
      </c>
      <c r="C998" s="6">
        <v>4</v>
      </c>
      <c r="D998" s="6">
        <v>4</v>
      </c>
      <c r="E998" s="6">
        <v>2</v>
      </c>
      <c r="F998" s="10">
        <v>46069</v>
      </c>
      <c r="G998" s="6" t="str">
        <f>_xlfn.TEXTJOIN("|",TRUE,GameLog[[#This Row],[Pod]],TEXT(INT(GameLog[[#This Row],[Round]]),"yyyymmdd"),GameLog[[#This Row],[Date]])</f>
        <v>4|19000102|46069</v>
      </c>
      <c r="H998" s="6">
        <f>COUNTIF(GameLog[Pod ID],GameLog[[#This Row],[Pod ID]])</f>
        <v>4</v>
      </c>
      <c r="I998" s="6">
        <f>YEAR(GameLog[[#This Row],[Date]])</f>
        <v>2026</v>
      </c>
      <c r="J998" s="6">
        <f>MONTH(GameLog[[#This Row],[Date]])</f>
        <v>2</v>
      </c>
      <c r="K998" s="6" t="str">
        <f>IF(GameLog[[#This Row],[Date]]=MAX(GameLog[Date]),"Current","Previous")</f>
        <v>Previous</v>
      </c>
      <c r="L998" s="6"/>
      <c r="M9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8" s="6" t="str">
        <f ca="1">IF(GameLog[[#This Row],[Check]]="","",COUNTIF(GameLog[[#Headers],[Check]]:GameLog[[#This Row],[Check]],"?*")-1)</f>
        <v/>
      </c>
      <c r="O998" s="6" t="str">
        <f>IFERROR(INDEX(Players[New name],MATCH(GameLog[[#This Row],[Player]],Players[Name],0)),GameLog[[#This Row],[Player]])</f>
        <v>Brandon B</v>
      </c>
    </row>
    <row r="999" spans="1:15" x14ac:dyDescent="0.45">
      <c r="A999" s="6" t="s">
        <v>96</v>
      </c>
      <c r="B999" s="6" t="s">
        <v>50</v>
      </c>
      <c r="C999" s="6">
        <v>1</v>
      </c>
      <c r="D999" s="6">
        <v>5</v>
      </c>
      <c r="E999" s="6">
        <v>2</v>
      </c>
      <c r="F999" s="10">
        <v>46069</v>
      </c>
      <c r="G999" s="6" t="str">
        <f>_xlfn.TEXTJOIN("|",TRUE,GameLog[[#This Row],[Pod]],TEXT(INT(GameLog[[#This Row],[Round]]),"yyyymmdd"),GameLog[[#This Row],[Date]])</f>
        <v>5|19000102|46069</v>
      </c>
      <c r="H999" s="6">
        <f>COUNTIF(GameLog[Pod ID],GameLog[[#This Row],[Pod ID]])</f>
        <v>3</v>
      </c>
      <c r="I999" s="6">
        <f>YEAR(GameLog[[#This Row],[Date]])</f>
        <v>2026</v>
      </c>
      <c r="J999" s="6">
        <f>MONTH(GameLog[[#This Row],[Date]])</f>
        <v>2</v>
      </c>
      <c r="K999" s="6" t="str">
        <f>IF(GameLog[[#This Row],[Date]]=MAX(GameLog[Date]),"Current","Previous")</f>
        <v>Previous</v>
      </c>
      <c r="L999" s="6"/>
      <c r="M9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999" s="6" t="str">
        <f ca="1">IF(GameLog[[#This Row],[Check]]="","",COUNTIF(GameLog[[#Headers],[Check]]:GameLog[[#This Row],[Check]],"?*")-1)</f>
        <v/>
      </c>
      <c r="O999" s="6" t="str">
        <f>IFERROR(INDEX(Players[New name],MATCH(GameLog[[#This Row],[Player]],Players[Name],0)),GameLog[[#This Row],[Player]])</f>
        <v>Brandon A</v>
      </c>
    </row>
    <row r="1000" spans="1:15" x14ac:dyDescent="0.45">
      <c r="A1000" s="6" t="s">
        <v>65</v>
      </c>
      <c r="B1000" s="6" t="s">
        <v>53</v>
      </c>
      <c r="C1000" s="6">
        <v>2</v>
      </c>
      <c r="D1000" s="6">
        <v>5</v>
      </c>
      <c r="E1000" s="6">
        <v>2</v>
      </c>
      <c r="F1000" s="10">
        <v>46069</v>
      </c>
      <c r="G1000" s="6" t="str">
        <f>_xlfn.TEXTJOIN("|",TRUE,GameLog[[#This Row],[Pod]],TEXT(INT(GameLog[[#This Row],[Round]]),"yyyymmdd"),GameLog[[#This Row],[Date]])</f>
        <v>5|19000102|46069</v>
      </c>
      <c r="H1000" s="6">
        <f>COUNTIF(GameLog[Pod ID],GameLog[[#This Row],[Pod ID]])</f>
        <v>3</v>
      </c>
      <c r="I1000" s="6">
        <f>YEAR(GameLog[[#This Row],[Date]])</f>
        <v>2026</v>
      </c>
      <c r="J1000" s="6">
        <f>MONTH(GameLog[[#This Row],[Date]])</f>
        <v>2</v>
      </c>
      <c r="K1000" s="6" t="str">
        <f>IF(GameLog[[#This Row],[Date]]=MAX(GameLog[Date]),"Current","Previous")</f>
        <v>Previous</v>
      </c>
      <c r="L1000" s="6"/>
      <c r="M10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0" s="6" t="str">
        <f ca="1">IF(GameLog[[#This Row],[Check]]="","",COUNTIF(GameLog[[#Headers],[Check]]:GameLog[[#This Row],[Check]],"?*")-1)</f>
        <v/>
      </c>
      <c r="O1000" s="6" t="str">
        <f>IFERROR(INDEX(Players[New name],MATCH(GameLog[[#This Row],[Player]],Players[Name],0)),GameLog[[#This Row],[Player]])</f>
        <v>Mitch</v>
      </c>
    </row>
    <row r="1001" spans="1:15" x14ac:dyDescent="0.45">
      <c r="A1001" s="6" t="s">
        <v>57</v>
      </c>
      <c r="B1001" s="6" t="s">
        <v>53</v>
      </c>
      <c r="C1001" s="6">
        <v>3</v>
      </c>
      <c r="D1001" s="6">
        <v>5</v>
      </c>
      <c r="E1001" s="6">
        <v>2</v>
      </c>
      <c r="F1001" s="10">
        <v>46069</v>
      </c>
      <c r="G1001" s="6" t="str">
        <f>_xlfn.TEXTJOIN("|",TRUE,GameLog[[#This Row],[Pod]],TEXT(INT(GameLog[[#This Row],[Round]]),"yyyymmdd"),GameLog[[#This Row],[Date]])</f>
        <v>5|19000102|46069</v>
      </c>
      <c r="H1001" s="6">
        <f>COUNTIF(GameLog[Pod ID],GameLog[[#This Row],[Pod ID]])</f>
        <v>3</v>
      </c>
      <c r="I1001" s="6">
        <f>YEAR(GameLog[[#This Row],[Date]])</f>
        <v>2026</v>
      </c>
      <c r="J1001" s="6">
        <f>MONTH(GameLog[[#This Row],[Date]])</f>
        <v>2</v>
      </c>
      <c r="K1001" s="6" t="str">
        <f>IF(GameLog[[#This Row],[Date]]=MAX(GameLog[Date]),"Current","Previous")</f>
        <v>Previous</v>
      </c>
      <c r="L1001" s="6"/>
      <c r="M10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1" s="6" t="str">
        <f ca="1">IF(GameLog[[#This Row],[Check]]="","",COUNTIF(GameLog[[#Headers],[Check]]:GameLog[[#This Row],[Check]],"?*")-1)</f>
        <v/>
      </c>
      <c r="O1001" s="6" t="str">
        <f>IFERROR(INDEX(Players[New name],MATCH(GameLog[[#This Row],[Player]],Players[Name],0)),GameLog[[#This Row],[Player]])</f>
        <v>AJ W</v>
      </c>
    </row>
    <row r="1002" spans="1:15" x14ac:dyDescent="0.45">
      <c r="A1002" s="6" t="s">
        <v>58</v>
      </c>
      <c r="B1002" s="6" t="s">
        <v>50</v>
      </c>
      <c r="C1002" s="6">
        <v>1</v>
      </c>
      <c r="D1002" s="6">
        <v>1</v>
      </c>
      <c r="E1002" s="6">
        <v>1</v>
      </c>
      <c r="F1002" s="10">
        <v>46076</v>
      </c>
      <c r="G1002" s="6" t="str">
        <f>_xlfn.TEXTJOIN("|",TRUE,GameLog[[#This Row],[Pod]],TEXT(INT(GameLog[[#This Row],[Round]]),"yyyymmdd"),GameLog[[#This Row],[Date]])</f>
        <v>1|19000101|46076</v>
      </c>
      <c r="H1002" s="6">
        <f>COUNTIF(GameLog[Pod ID],GameLog[[#This Row],[Pod ID]])</f>
        <v>4</v>
      </c>
      <c r="I1002" s="6">
        <f>YEAR(GameLog[[#This Row],[Date]])</f>
        <v>2026</v>
      </c>
      <c r="J1002" s="6">
        <f>MONTH(GameLog[[#This Row],[Date]])</f>
        <v>2</v>
      </c>
      <c r="K1002" s="6" t="str">
        <f>IF(GameLog[[#This Row],[Date]]=MAX(GameLog[Date]),"Current","Previous")</f>
        <v>Previous</v>
      </c>
      <c r="L1002" s="6"/>
      <c r="M10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2" s="6" t="str">
        <f ca="1">IF(GameLog[[#This Row],[Check]]="","",COUNTIF(GameLog[[#Headers],[Check]]:GameLog[[#This Row],[Check]],"?*")-1)</f>
        <v/>
      </c>
      <c r="O1002" s="6" t="str">
        <f>IFERROR(INDEX(Players[New name],MATCH(GameLog[[#This Row],[Player]],Players[Name],0)),GameLog[[#This Row],[Player]])</f>
        <v>Dakota P</v>
      </c>
    </row>
    <row r="1003" spans="1:15" x14ac:dyDescent="0.45">
      <c r="A1003" s="6" t="s">
        <v>60</v>
      </c>
      <c r="B1003" s="6" t="s">
        <v>53</v>
      </c>
      <c r="C1003" s="6">
        <v>2</v>
      </c>
      <c r="D1003" s="6">
        <v>1</v>
      </c>
      <c r="E1003" s="6">
        <v>1</v>
      </c>
      <c r="F1003" s="10">
        <v>46076</v>
      </c>
      <c r="G1003" s="6" t="str">
        <f>_xlfn.TEXTJOIN("|",TRUE,GameLog[[#This Row],[Pod]],TEXT(INT(GameLog[[#This Row],[Round]]),"yyyymmdd"),GameLog[[#This Row],[Date]])</f>
        <v>1|19000101|46076</v>
      </c>
      <c r="H1003" s="6">
        <f>COUNTIF(GameLog[Pod ID],GameLog[[#This Row],[Pod ID]])</f>
        <v>4</v>
      </c>
      <c r="I1003" s="6">
        <f>YEAR(GameLog[[#This Row],[Date]])</f>
        <v>2026</v>
      </c>
      <c r="J1003" s="6">
        <f>MONTH(GameLog[[#This Row],[Date]])</f>
        <v>2</v>
      </c>
      <c r="K1003" s="6" t="str">
        <f>IF(GameLog[[#This Row],[Date]]=MAX(GameLog[Date]),"Current","Previous")</f>
        <v>Previous</v>
      </c>
      <c r="L1003" s="6"/>
      <c r="M10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3" s="6" t="str">
        <f ca="1">IF(GameLog[[#This Row],[Check]]="","",COUNTIF(GameLog[[#Headers],[Check]]:GameLog[[#This Row],[Check]],"?*")-1)</f>
        <v/>
      </c>
      <c r="O1003" s="6" t="str">
        <f>IFERROR(INDEX(Players[New name],MATCH(GameLog[[#This Row],[Player]],Players[Name],0)),GameLog[[#This Row],[Player]])</f>
        <v>Brendan H</v>
      </c>
    </row>
    <row r="1004" spans="1:15" x14ac:dyDescent="0.45">
      <c r="A1004" s="6" t="s">
        <v>49</v>
      </c>
      <c r="B1004" s="6" t="s">
        <v>53</v>
      </c>
      <c r="C1004" s="6">
        <v>3</v>
      </c>
      <c r="D1004" s="6">
        <v>1</v>
      </c>
      <c r="E1004" s="6">
        <v>1</v>
      </c>
      <c r="F1004" s="10">
        <v>46076</v>
      </c>
      <c r="G1004" s="6" t="str">
        <f>_xlfn.TEXTJOIN("|",TRUE,GameLog[[#This Row],[Pod]],TEXT(INT(GameLog[[#This Row],[Round]]),"yyyymmdd"),GameLog[[#This Row],[Date]])</f>
        <v>1|19000101|46076</v>
      </c>
      <c r="H1004" s="6">
        <f>COUNTIF(GameLog[Pod ID],GameLog[[#This Row],[Pod ID]])</f>
        <v>4</v>
      </c>
      <c r="I1004" s="6">
        <f>YEAR(GameLog[[#This Row],[Date]])</f>
        <v>2026</v>
      </c>
      <c r="J1004" s="6">
        <f>MONTH(GameLog[[#This Row],[Date]])</f>
        <v>2</v>
      </c>
      <c r="K1004" s="6" t="str">
        <f>IF(GameLog[[#This Row],[Date]]=MAX(GameLog[Date]),"Current","Previous")</f>
        <v>Previous</v>
      </c>
      <c r="L1004" s="6"/>
      <c r="M10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4" s="6" t="str">
        <f ca="1">IF(GameLog[[#This Row],[Check]]="","",COUNTIF(GameLog[[#Headers],[Check]]:GameLog[[#This Row],[Check]],"?*")-1)</f>
        <v/>
      </c>
      <c r="O1004" s="6" t="str">
        <f>IFERROR(INDEX(Players[New name],MATCH(GameLog[[#This Row],[Player]],Players[Name],0)),GameLog[[#This Row],[Player]])</f>
        <v>Brett R</v>
      </c>
    </row>
    <row r="1005" spans="1:15" x14ac:dyDescent="0.45">
      <c r="A1005" s="6" t="s">
        <v>82</v>
      </c>
      <c r="B1005" s="6" t="s">
        <v>53</v>
      </c>
      <c r="C1005" s="6">
        <v>4</v>
      </c>
      <c r="D1005" s="6">
        <v>1</v>
      </c>
      <c r="E1005" s="6">
        <v>1</v>
      </c>
      <c r="F1005" s="10">
        <v>46076</v>
      </c>
      <c r="G1005" s="6" t="str">
        <f>_xlfn.TEXTJOIN("|",TRUE,GameLog[[#This Row],[Pod]],TEXT(INT(GameLog[[#This Row],[Round]]),"yyyymmdd"),GameLog[[#This Row],[Date]])</f>
        <v>1|19000101|46076</v>
      </c>
      <c r="H1005" s="6">
        <f>COUNTIF(GameLog[Pod ID],GameLog[[#This Row],[Pod ID]])</f>
        <v>4</v>
      </c>
      <c r="I1005" s="6">
        <f>YEAR(GameLog[[#This Row],[Date]])</f>
        <v>2026</v>
      </c>
      <c r="J1005" s="6">
        <f>MONTH(GameLog[[#This Row],[Date]])</f>
        <v>2</v>
      </c>
      <c r="K1005" s="6" t="str">
        <f>IF(GameLog[[#This Row],[Date]]=MAX(GameLog[Date]),"Current","Previous")</f>
        <v>Previous</v>
      </c>
      <c r="L1005" s="6"/>
      <c r="M10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5" s="6" t="str">
        <f ca="1">IF(GameLog[[#This Row],[Check]]="","",COUNTIF(GameLog[[#Headers],[Check]]:GameLog[[#This Row],[Check]],"?*")-1)</f>
        <v/>
      </c>
      <c r="O1005" s="6" t="str">
        <f>IFERROR(INDEX(Players[New name],MATCH(GameLog[[#This Row],[Player]],Players[Name],0)),GameLog[[#This Row],[Player]])</f>
        <v>Nick D</v>
      </c>
    </row>
    <row r="1006" spans="1:15" x14ac:dyDescent="0.45">
      <c r="A1006" s="6" t="s">
        <v>64</v>
      </c>
      <c r="B1006" s="6" t="s">
        <v>50</v>
      </c>
      <c r="C1006" s="6">
        <v>1</v>
      </c>
      <c r="D1006" s="6">
        <v>2</v>
      </c>
      <c r="E1006" s="6">
        <v>1</v>
      </c>
      <c r="F1006" s="10">
        <v>46076</v>
      </c>
      <c r="G1006" s="6" t="str">
        <f>_xlfn.TEXTJOIN("|",TRUE,GameLog[[#This Row],[Pod]],TEXT(INT(GameLog[[#This Row],[Round]]),"yyyymmdd"),GameLog[[#This Row],[Date]])</f>
        <v>2|19000101|46076</v>
      </c>
      <c r="H1006" s="6">
        <f>COUNTIF(GameLog[Pod ID],GameLog[[#This Row],[Pod ID]])</f>
        <v>4</v>
      </c>
      <c r="I1006" s="6">
        <f>YEAR(GameLog[[#This Row],[Date]])</f>
        <v>2026</v>
      </c>
      <c r="J1006" s="6">
        <f>MONTH(GameLog[[#This Row],[Date]])</f>
        <v>2</v>
      </c>
      <c r="K1006" s="6" t="str">
        <f>IF(GameLog[[#This Row],[Date]]=MAX(GameLog[Date]),"Current","Previous")</f>
        <v>Previous</v>
      </c>
      <c r="L1006" s="6"/>
      <c r="M10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6" s="6" t="str">
        <f ca="1">IF(GameLog[[#This Row],[Check]]="","",COUNTIF(GameLog[[#Headers],[Check]]:GameLog[[#This Row],[Check]],"?*")-1)</f>
        <v/>
      </c>
      <c r="O1006" s="6" t="str">
        <f>IFERROR(INDEX(Players[New name],MATCH(GameLog[[#This Row],[Player]],Players[Name],0)),GameLog[[#This Row],[Player]])</f>
        <v>Tyler B</v>
      </c>
    </row>
    <row r="1007" spans="1:15" x14ac:dyDescent="0.45">
      <c r="A1007" s="6" t="s">
        <v>68</v>
      </c>
      <c r="B1007" s="6" t="s">
        <v>53</v>
      </c>
      <c r="C1007" s="6">
        <v>2</v>
      </c>
      <c r="D1007" s="6">
        <v>2</v>
      </c>
      <c r="E1007" s="6">
        <v>1</v>
      </c>
      <c r="F1007" s="10">
        <v>46076</v>
      </c>
      <c r="G1007" s="6" t="str">
        <f>_xlfn.TEXTJOIN("|",TRUE,GameLog[[#This Row],[Pod]],TEXT(INT(GameLog[[#This Row],[Round]]),"yyyymmdd"),GameLog[[#This Row],[Date]])</f>
        <v>2|19000101|46076</v>
      </c>
      <c r="H1007" s="6">
        <f>COUNTIF(GameLog[Pod ID],GameLog[[#This Row],[Pod ID]])</f>
        <v>4</v>
      </c>
      <c r="I1007" s="6">
        <f>YEAR(GameLog[[#This Row],[Date]])</f>
        <v>2026</v>
      </c>
      <c r="J1007" s="6">
        <f>MONTH(GameLog[[#This Row],[Date]])</f>
        <v>2</v>
      </c>
      <c r="K1007" s="6" t="str">
        <f>IF(GameLog[[#This Row],[Date]]=MAX(GameLog[Date]),"Current","Previous")</f>
        <v>Previous</v>
      </c>
      <c r="L1007" s="6"/>
      <c r="M10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7" s="6" t="str">
        <f ca="1">IF(GameLog[[#This Row],[Check]]="","",COUNTIF(GameLog[[#Headers],[Check]]:GameLog[[#This Row],[Check]],"?*")-1)</f>
        <v/>
      </c>
      <c r="O1007" s="6" t="str">
        <f>IFERROR(INDEX(Players[New name],MATCH(GameLog[[#This Row],[Player]],Players[Name],0)),GameLog[[#This Row],[Player]])</f>
        <v>Edwin M</v>
      </c>
    </row>
    <row r="1008" spans="1:15" x14ac:dyDescent="0.45">
      <c r="A1008" s="6" t="s">
        <v>77</v>
      </c>
      <c r="B1008" s="6" t="s">
        <v>53</v>
      </c>
      <c r="C1008" s="6">
        <v>3</v>
      </c>
      <c r="D1008" s="6">
        <v>2</v>
      </c>
      <c r="E1008" s="6">
        <v>1</v>
      </c>
      <c r="F1008" s="10">
        <v>46076</v>
      </c>
      <c r="G1008" s="6" t="str">
        <f>_xlfn.TEXTJOIN("|",TRUE,GameLog[[#This Row],[Pod]],TEXT(INT(GameLog[[#This Row],[Round]]),"yyyymmdd"),GameLog[[#This Row],[Date]])</f>
        <v>2|19000101|46076</v>
      </c>
      <c r="H1008" s="6">
        <f>COUNTIF(GameLog[Pod ID],GameLog[[#This Row],[Pod ID]])</f>
        <v>4</v>
      </c>
      <c r="I1008" s="6">
        <f>YEAR(GameLog[[#This Row],[Date]])</f>
        <v>2026</v>
      </c>
      <c r="J1008" s="6">
        <f>MONTH(GameLog[[#This Row],[Date]])</f>
        <v>2</v>
      </c>
      <c r="K1008" s="6" t="str">
        <f>IF(GameLog[[#This Row],[Date]]=MAX(GameLog[Date]),"Current","Previous")</f>
        <v>Previous</v>
      </c>
      <c r="L1008" s="6"/>
      <c r="M10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8" s="6" t="str">
        <f ca="1">IF(GameLog[[#This Row],[Check]]="","",COUNTIF(GameLog[[#Headers],[Check]]:GameLog[[#This Row],[Check]],"?*")-1)</f>
        <v/>
      </c>
      <c r="O1008" s="6" t="str">
        <f>IFERROR(INDEX(Players[New name],MATCH(GameLog[[#This Row],[Player]],Players[Name],0)),GameLog[[#This Row],[Player]])</f>
        <v>Dave M</v>
      </c>
    </row>
    <row r="1009" spans="1:15" x14ac:dyDescent="0.45">
      <c r="A1009" s="6" t="s">
        <v>70</v>
      </c>
      <c r="B1009" s="6" t="s">
        <v>53</v>
      </c>
      <c r="C1009" s="6">
        <v>4</v>
      </c>
      <c r="D1009" s="6">
        <v>2</v>
      </c>
      <c r="E1009" s="6">
        <v>1</v>
      </c>
      <c r="F1009" s="10">
        <v>46076</v>
      </c>
      <c r="G1009" s="6" t="str">
        <f>_xlfn.TEXTJOIN("|",TRUE,GameLog[[#This Row],[Pod]],TEXT(INT(GameLog[[#This Row],[Round]]),"yyyymmdd"),GameLog[[#This Row],[Date]])</f>
        <v>2|19000101|46076</v>
      </c>
      <c r="H1009" s="6">
        <f>COUNTIF(GameLog[Pod ID],GameLog[[#This Row],[Pod ID]])</f>
        <v>4</v>
      </c>
      <c r="I1009" s="6">
        <f>YEAR(GameLog[[#This Row],[Date]])</f>
        <v>2026</v>
      </c>
      <c r="J1009" s="6">
        <f>MONTH(GameLog[[#This Row],[Date]])</f>
        <v>2</v>
      </c>
      <c r="K1009" s="6" t="str">
        <f>IF(GameLog[[#This Row],[Date]]=MAX(GameLog[Date]),"Current","Previous")</f>
        <v>Previous</v>
      </c>
      <c r="L1009" s="6"/>
      <c r="M10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09" s="6" t="str">
        <f ca="1">IF(GameLog[[#This Row],[Check]]="","",COUNTIF(GameLog[[#Headers],[Check]]:GameLog[[#This Row],[Check]],"?*")-1)</f>
        <v/>
      </c>
      <c r="O1009" s="6" t="str">
        <f>IFERROR(INDEX(Players[New name],MATCH(GameLog[[#This Row],[Player]],Players[Name],0)),GameLog[[#This Row],[Player]])</f>
        <v>Brad F</v>
      </c>
    </row>
    <row r="1010" spans="1:15" x14ac:dyDescent="0.45">
      <c r="A1010" s="6" t="s">
        <v>73</v>
      </c>
      <c r="B1010" s="6" t="s">
        <v>53</v>
      </c>
      <c r="C1010" s="6">
        <v>1</v>
      </c>
      <c r="D1010" s="6">
        <v>3</v>
      </c>
      <c r="E1010" s="6">
        <v>1</v>
      </c>
      <c r="F1010" s="10">
        <v>46076</v>
      </c>
      <c r="G1010" s="6" t="str">
        <f>_xlfn.TEXTJOIN("|",TRUE,GameLog[[#This Row],[Pod]],TEXT(INT(GameLog[[#This Row],[Round]]),"yyyymmdd"),GameLog[[#This Row],[Date]])</f>
        <v>3|19000101|46076</v>
      </c>
      <c r="H1010" s="6">
        <f>COUNTIF(GameLog[Pod ID],GameLog[[#This Row],[Pod ID]])</f>
        <v>4</v>
      </c>
      <c r="I1010" s="6">
        <f>YEAR(GameLog[[#This Row],[Date]])</f>
        <v>2026</v>
      </c>
      <c r="J1010" s="6">
        <f>MONTH(GameLog[[#This Row],[Date]])</f>
        <v>2</v>
      </c>
      <c r="K1010" s="6" t="str">
        <f>IF(GameLog[[#This Row],[Date]]=MAX(GameLog[Date]),"Current","Previous")</f>
        <v>Previous</v>
      </c>
      <c r="L1010" s="6"/>
      <c r="M10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0" s="6" t="str">
        <f ca="1">IF(GameLog[[#This Row],[Check]]="","",COUNTIF(GameLog[[#Headers],[Check]]:GameLog[[#This Row],[Check]],"?*")-1)</f>
        <v/>
      </c>
      <c r="O1010" s="6" t="str">
        <f>IFERROR(INDEX(Players[New name],MATCH(GameLog[[#This Row],[Player]],Players[Name],0)),GameLog[[#This Row],[Player]])</f>
        <v>Brandon B</v>
      </c>
    </row>
    <row r="1011" spans="1:15" x14ac:dyDescent="0.45">
      <c r="A1011" s="6" t="s">
        <v>61</v>
      </c>
      <c r="B1011" s="6" t="s">
        <v>50</v>
      </c>
      <c r="C1011" s="6">
        <v>2</v>
      </c>
      <c r="D1011" s="6">
        <v>3</v>
      </c>
      <c r="E1011" s="6">
        <v>1</v>
      </c>
      <c r="F1011" s="10">
        <v>46076</v>
      </c>
      <c r="G1011" s="6" t="str">
        <f>_xlfn.TEXTJOIN("|",TRUE,GameLog[[#This Row],[Pod]],TEXT(INT(GameLog[[#This Row],[Round]]),"yyyymmdd"),GameLog[[#This Row],[Date]])</f>
        <v>3|19000101|46076</v>
      </c>
      <c r="H1011" s="6">
        <f>COUNTIF(GameLog[Pod ID],GameLog[[#This Row],[Pod ID]])</f>
        <v>4</v>
      </c>
      <c r="I1011" s="6">
        <f>YEAR(GameLog[[#This Row],[Date]])</f>
        <v>2026</v>
      </c>
      <c r="J1011" s="6">
        <f>MONTH(GameLog[[#This Row],[Date]])</f>
        <v>2</v>
      </c>
      <c r="K1011" s="6" t="str">
        <f>IF(GameLog[[#This Row],[Date]]=MAX(GameLog[Date]),"Current","Previous")</f>
        <v>Previous</v>
      </c>
      <c r="L1011" s="6"/>
      <c r="M10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1" s="6" t="str">
        <f ca="1">IF(GameLog[[#This Row],[Check]]="","",COUNTIF(GameLog[[#Headers],[Check]]:GameLog[[#This Row],[Check]],"?*")-1)</f>
        <v/>
      </c>
      <c r="O1011" s="6" t="str">
        <f>IFERROR(INDEX(Players[New name],MATCH(GameLog[[#This Row],[Player]],Players[Name],0)),GameLog[[#This Row],[Player]])</f>
        <v>Trevor</v>
      </c>
    </row>
    <row r="1012" spans="1:15" x14ac:dyDescent="0.45">
      <c r="A1012" s="6" t="s">
        <v>71</v>
      </c>
      <c r="B1012" s="6" t="s">
        <v>53</v>
      </c>
      <c r="C1012" s="6">
        <v>3</v>
      </c>
      <c r="D1012" s="6">
        <v>3</v>
      </c>
      <c r="E1012" s="6">
        <v>1</v>
      </c>
      <c r="F1012" s="10">
        <v>46076</v>
      </c>
      <c r="G1012" s="6" t="str">
        <f>_xlfn.TEXTJOIN("|",TRUE,GameLog[[#This Row],[Pod]],TEXT(INT(GameLog[[#This Row],[Round]]),"yyyymmdd"),GameLog[[#This Row],[Date]])</f>
        <v>3|19000101|46076</v>
      </c>
      <c r="H1012" s="6">
        <f>COUNTIF(GameLog[Pod ID],GameLog[[#This Row],[Pod ID]])</f>
        <v>4</v>
      </c>
      <c r="I1012" s="6">
        <f>YEAR(GameLog[[#This Row],[Date]])</f>
        <v>2026</v>
      </c>
      <c r="J1012" s="6">
        <f>MONTH(GameLog[[#This Row],[Date]])</f>
        <v>2</v>
      </c>
      <c r="K1012" s="6" t="str">
        <f>IF(GameLog[[#This Row],[Date]]=MAX(GameLog[Date]),"Current","Previous")</f>
        <v>Previous</v>
      </c>
      <c r="L1012" s="6"/>
      <c r="M10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2" s="6" t="str">
        <f ca="1">IF(GameLog[[#This Row],[Check]]="","",COUNTIF(GameLog[[#Headers],[Check]]:GameLog[[#This Row],[Check]],"?*")-1)</f>
        <v/>
      </c>
      <c r="O1012" s="6" t="str">
        <f>IFERROR(INDEX(Players[New name],MATCH(GameLog[[#This Row],[Player]],Players[Name],0)),GameLog[[#This Row],[Player]])</f>
        <v>Rodney Y</v>
      </c>
    </row>
    <row r="1013" spans="1:15" x14ac:dyDescent="0.45">
      <c r="A1013" s="6" t="s">
        <v>57</v>
      </c>
      <c r="B1013" s="6" t="s">
        <v>53</v>
      </c>
      <c r="C1013" s="6">
        <v>4</v>
      </c>
      <c r="D1013" s="6">
        <v>3</v>
      </c>
      <c r="E1013" s="6">
        <v>1</v>
      </c>
      <c r="F1013" s="10">
        <v>46076</v>
      </c>
      <c r="G1013" s="6" t="str">
        <f>_xlfn.TEXTJOIN("|",TRUE,GameLog[[#This Row],[Pod]],TEXT(INT(GameLog[[#This Row],[Round]]),"yyyymmdd"),GameLog[[#This Row],[Date]])</f>
        <v>3|19000101|46076</v>
      </c>
      <c r="H1013" s="6">
        <f>COUNTIF(GameLog[Pod ID],GameLog[[#This Row],[Pod ID]])</f>
        <v>4</v>
      </c>
      <c r="I1013" s="6">
        <f>YEAR(GameLog[[#This Row],[Date]])</f>
        <v>2026</v>
      </c>
      <c r="J1013" s="6">
        <f>MONTH(GameLog[[#This Row],[Date]])</f>
        <v>2</v>
      </c>
      <c r="K1013" s="6" t="str">
        <f>IF(GameLog[[#This Row],[Date]]=MAX(GameLog[Date]),"Current","Previous")</f>
        <v>Previous</v>
      </c>
      <c r="L1013" s="6"/>
      <c r="M10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3" s="6" t="str">
        <f ca="1">IF(GameLog[[#This Row],[Check]]="","",COUNTIF(GameLog[[#Headers],[Check]]:GameLog[[#This Row],[Check]],"?*")-1)</f>
        <v/>
      </c>
      <c r="O1013" s="6" t="str">
        <f>IFERROR(INDEX(Players[New name],MATCH(GameLog[[#This Row],[Player]],Players[Name],0)),GameLog[[#This Row],[Player]])</f>
        <v>AJ W</v>
      </c>
    </row>
    <row r="1014" spans="1:15" x14ac:dyDescent="0.45">
      <c r="A1014" s="6" t="s">
        <v>55</v>
      </c>
      <c r="B1014" s="6" t="s">
        <v>50</v>
      </c>
      <c r="C1014" s="6">
        <v>1</v>
      </c>
      <c r="D1014" s="6">
        <v>4</v>
      </c>
      <c r="E1014" s="6">
        <v>1</v>
      </c>
      <c r="F1014" s="10">
        <v>46076</v>
      </c>
      <c r="G1014" s="6" t="str">
        <f>_xlfn.TEXTJOIN("|",TRUE,GameLog[[#This Row],[Pod]],TEXT(INT(GameLog[[#This Row],[Round]]),"yyyymmdd"),GameLog[[#This Row],[Date]])</f>
        <v>4|19000101|46076</v>
      </c>
      <c r="H1014" s="6">
        <f>COUNTIF(GameLog[Pod ID],GameLog[[#This Row],[Pod ID]])</f>
        <v>3</v>
      </c>
      <c r="I1014" s="6">
        <f>YEAR(GameLog[[#This Row],[Date]])</f>
        <v>2026</v>
      </c>
      <c r="J1014" s="6">
        <f>MONTH(GameLog[[#This Row],[Date]])</f>
        <v>2</v>
      </c>
      <c r="K1014" s="6" t="str">
        <f>IF(GameLog[[#This Row],[Date]]=MAX(GameLog[Date]),"Current","Previous")</f>
        <v>Previous</v>
      </c>
      <c r="L1014" s="6"/>
      <c r="M10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4" s="6" t="str">
        <f ca="1">IF(GameLog[[#This Row],[Check]]="","",COUNTIF(GameLog[[#Headers],[Check]]:GameLog[[#This Row],[Check]],"?*")-1)</f>
        <v/>
      </c>
      <c r="O1014" s="6" t="str">
        <f>IFERROR(INDEX(Players[New name],MATCH(GameLog[[#This Row],[Player]],Players[Name],0)),GameLog[[#This Row],[Player]])</f>
        <v>Bryce C</v>
      </c>
    </row>
    <row r="1015" spans="1:15" x14ac:dyDescent="0.45">
      <c r="A1015" s="6" t="s">
        <v>59</v>
      </c>
      <c r="B1015" s="6" t="s">
        <v>53</v>
      </c>
      <c r="C1015" s="6">
        <v>2</v>
      </c>
      <c r="D1015" s="6">
        <v>4</v>
      </c>
      <c r="E1015" s="6">
        <v>1</v>
      </c>
      <c r="F1015" s="10">
        <v>46076</v>
      </c>
      <c r="G1015" s="6" t="str">
        <f>_xlfn.TEXTJOIN("|",TRUE,GameLog[[#This Row],[Pod]],TEXT(INT(GameLog[[#This Row],[Round]]),"yyyymmdd"),GameLog[[#This Row],[Date]])</f>
        <v>4|19000101|46076</v>
      </c>
      <c r="H1015" s="6">
        <f>COUNTIF(GameLog[Pod ID],GameLog[[#This Row],[Pod ID]])</f>
        <v>3</v>
      </c>
      <c r="I1015" s="6">
        <f>YEAR(GameLog[[#This Row],[Date]])</f>
        <v>2026</v>
      </c>
      <c r="J1015" s="6">
        <f>MONTH(GameLog[[#This Row],[Date]])</f>
        <v>2</v>
      </c>
      <c r="K1015" s="6" t="str">
        <f>IF(GameLog[[#This Row],[Date]]=MAX(GameLog[Date]),"Current","Previous")</f>
        <v>Previous</v>
      </c>
      <c r="L1015" s="6"/>
      <c r="M10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5" s="6" t="str">
        <f ca="1">IF(GameLog[[#This Row],[Check]]="","",COUNTIF(GameLog[[#Headers],[Check]]:GameLog[[#This Row],[Check]],"?*")-1)</f>
        <v/>
      </c>
      <c r="O1015" s="6" t="str">
        <f>IFERROR(INDEX(Players[New name],MATCH(GameLog[[#This Row],[Player]],Players[Name],0)),GameLog[[#This Row],[Player]])</f>
        <v>Zack B</v>
      </c>
    </row>
    <row r="1016" spans="1:15" x14ac:dyDescent="0.45">
      <c r="A1016" s="6" t="s">
        <v>52</v>
      </c>
      <c r="B1016" s="6" t="s">
        <v>53</v>
      </c>
      <c r="C1016" s="6">
        <v>3</v>
      </c>
      <c r="D1016" s="6">
        <v>4</v>
      </c>
      <c r="E1016" s="6">
        <v>1</v>
      </c>
      <c r="F1016" s="10">
        <v>46076</v>
      </c>
      <c r="G1016" s="6" t="str">
        <f>_xlfn.TEXTJOIN("|",TRUE,GameLog[[#This Row],[Pod]],TEXT(INT(GameLog[[#This Row],[Round]]),"yyyymmdd"),GameLog[[#This Row],[Date]])</f>
        <v>4|19000101|46076</v>
      </c>
      <c r="H1016" s="6">
        <f>COUNTIF(GameLog[Pod ID],GameLog[[#This Row],[Pod ID]])</f>
        <v>3</v>
      </c>
      <c r="I1016" s="6">
        <f>YEAR(GameLog[[#This Row],[Date]])</f>
        <v>2026</v>
      </c>
      <c r="J1016" s="6">
        <f>MONTH(GameLog[[#This Row],[Date]])</f>
        <v>2</v>
      </c>
      <c r="K1016" s="6" t="str">
        <f>IF(GameLog[[#This Row],[Date]]=MAX(GameLog[Date]),"Current","Previous")</f>
        <v>Previous</v>
      </c>
      <c r="L1016" s="6"/>
      <c r="M10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6" s="6" t="str">
        <f ca="1">IF(GameLog[[#This Row],[Check]]="","",COUNTIF(GameLog[[#Headers],[Check]]:GameLog[[#This Row],[Check]],"?*")-1)</f>
        <v/>
      </c>
      <c r="O1016" s="6" t="str">
        <f>IFERROR(INDEX(Players[New name],MATCH(GameLog[[#This Row],[Player]],Players[Name],0)),GameLog[[#This Row],[Player]])</f>
        <v>Unknown</v>
      </c>
    </row>
    <row r="1017" spans="1:15" x14ac:dyDescent="0.45">
      <c r="A1017" s="6" t="s">
        <v>81</v>
      </c>
      <c r="B1017" s="6" t="s">
        <v>53</v>
      </c>
      <c r="C1017" s="6">
        <v>1</v>
      </c>
      <c r="D1017" s="6">
        <v>5</v>
      </c>
      <c r="E1017" s="6">
        <v>1</v>
      </c>
      <c r="F1017" s="10">
        <v>46076</v>
      </c>
      <c r="G1017" s="6" t="str">
        <f>_xlfn.TEXTJOIN("|",TRUE,GameLog[[#This Row],[Pod]],TEXT(INT(GameLog[[#This Row],[Round]]),"yyyymmdd"),GameLog[[#This Row],[Date]])</f>
        <v>5|19000101|46076</v>
      </c>
      <c r="H1017" s="6">
        <f>COUNTIF(GameLog[Pod ID],GameLog[[#This Row],[Pod ID]])</f>
        <v>3</v>
      </c>
      <c r="I1017" s="6">
        <f>YEAR(GameLog[[#This Row],[Date]])</f>
        <v>2026</v>
      </c>
      <c r="J1017" s="6">
        <f>MONTH(GameLog[[#This Row],[Date]])</f>
        <v>2</v>
      </c>
      <c r="K1017" s="6" t="str">
        <f>IF(GameLog[[#This Row],[Date]]=MAX(GameLog[Date]),"Current","Previous")</f>
        <v>Previous</v>
      </c>
      <c r="L1017" s="6"/>
      <c r="M10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7" s="6" t="str">
        <f ca="1">IF(GameLog[[#This Row],[Check]]="","",COUNTIF(GameLog[[#Headers],[Check]]:GameLog[[#This Row],[Check]],"?*")-1)</f>
        <v/>
      </c>
      <c r="O1017" s="6" t="str">
        <f>IFERROR(INDEX(Players[New name],MATCH(GameLog[[#This Row],[Player]],Players[Name],0)),GameLog[[#This Row],[Player]])</f>
        <v>Forrest</v>
      </c>
    </row>
    <row r="1018" spans="1:15" x14ac:dyDescent="0.45">
      <c r="A1018" s="6" t="s">
        <v>63</v>
      </c>
      <c r="B1018" s="6" t="s">
        <v>53</v>
      </c>
      <c r="C1018" s="6">
        <v>2</v>
      </c>
      <c r="D1018" s="6">
        <v>5</v>
      </c>
      <c r="E1018" s="6">
        <v>1</v>
      </c>
      <c r="F1018" s="10">
        <v>46076</v>
      </c>
      <c r="G1018" s="6" t="str">
        <f>_xlfn.TEXTJOIN("|",TRUE,GameLog[[#This Row],[Pod]],TEXT(INT(GameLog[[#This Row],[Round]]),"yyyymmdd"),GameLog[[#This Row],[Date]])</f>
        <v>5|19000101|46076</v>
      </c>
      <c r="H1018" s="6">
        <f>COUNTIF(GameLog[Pod ID],GameLog[[#This Row],[Pod ID]])</f>
        <v>3</v>
      </c>
      <c r="I1018" s="6">
        <f>YEAR(GameLog[[#This Row],[Date]])</f>
        <v>2026</v>
      </c>
      <c r="J1018" s="6">
        <f>MONTH(GameLog[[#This Row],[Date]])</f>
        <v>2</v>
      </c>
      <c r="K1018" s="6" t="str">
        <f>IF(GameLog[[#This Row],[Date]]=MAX(GameLog[Date]),"Current","Previous")</f>
        <v>Previous</v>
      </c>
      <c r="L1018" s="6"/>
      <c r="M10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8" s="6" t="str">
        <f ca="1">IF(GameLog[[#This Row],[Check]]="","",COUNTIF(GameLog[[#Headers],[Check]]:GameLog[[#This Row],[Check]],"?*")-1)</f>
        <v/>
      </c>
      <c r="O1018" s="6" t="str">
        <f>IFERROR(INDEX(Players[New name],MATCH(GameLog[[#This Row],[Player]],Players[Name],0)),GameLog[[#This Row],[Player]])</f>
        <v>Jake D</v>
      </c>
    </row>
    <row r="1019" spans="1:15" x14ac:dyDescent="0.45">
      <c r="A1019" s="6" t="s">
        <v>98</v>
      </c>
      <c r="B1019" s="6" t="s">
        <v>50</v>
      </c>
      <c r="C1019" s="6">
        <v>3</v>
      </c>
      <c r="D1019" s="6">
        <v>5</v>
      </c>
      <c r="E1019" s="6">
        <v>1</v>
      </c>
      <c r="F1019" s="10">
        <v>46076</v>
      </c>
      <c r="G1019" s="6" t="str">
        <f>_xlfn.TEXTJOIN("|",TRUE,GameLog[[#This Row],[Pod]],TEXT(INT(GameLog[[#This Row],[Round]]),"yyyymmdd"),GameLog[[#This Row],[Date]])</f>
        <v>5|19000101|46076</v>
      </c>
      <c r="H1019" s="6">
        <f>COUNTIF(GameLog[Pod ID],GameLog[[#This Row],[Pod ID]])</f>
        <v>3</v>
      </c>
      <c r="I1019" s="6">
        <f>YEAR(GameLog[[#This Row],[Date]])</f>
        <v>2026</v>
      </c>
      <c r="J1019" s="6">
        <f>MONTH(GameLog[[#This Row],[Date]])</f>
        <v>2</v>
      </c>
      <c r="K1019" s="6" t="str">
        <f>IF(GameLog[[#This Row],[Date]]=MAX(GameLog[Date]),"Current","Previous")</f>
        <v>Previous</v>
      </c>
      <c r="L1019" s="6"/>
      <c r="M10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19" s="6" t="str">
        <f ca="1">IF(GameLog[[#This Row],[Check]]="","",COUNTIF(GameLog[[#Headers],[Check]]:GameLog[[#This Row],[Check]],"?*")-1)</f>
        <v/>
      </c>
      <c r="O1019" s="6" t="str">
        <f>IFERROR(INDEX(Players[New name],MATCH(GameLog[[#This Row],[Player]],Players[Name],0)),GameLog[[#This Row],[Player]])</f>
        <v>Charlie B</v>
      </c>
    </row>
    <row r="1020" spans="1:15" x14ac:dyDescent="0.45">
      <c r="A1020" s="6" t="s">
        <v>61</v>
      </c>
      <c r="B1020" s="6" t="s">
        <v>53</v>
      </c>
      <c r="C1020" s="6">
        <v>1</v>
      </c>
      <c r="D1020" s="6">
        <v>1</v>
      </c>
      <c r="E1020" s="6">
        <v>2</v>
      </c>
      <c r="F1020" s="10">
        <v>46076</v>
      </c>
      <c r="G1020" s="6" t="str">
        <f>_xlfn.TEXTJOIN("|",TRUE,GameLog[[#This Row],[Pod]],TEXT(INT(GameLog[[#This Row],[Round]]),"yyyymmdd"),GameLog[[#This Row],[Date]])</f>
        <v>1|19000102|46076</v>
      </c>
      <c r="H1020" s="6">
        <f>COUNTIF(GameLog[Pod ID],GameLog[[#This Row],[Pod ID]])</f>
        <v>4</v>
      </c>
      <c r="I1020" s="6">
        <f>YEAR(GameLog[[#This Row],[Date]])</f>
        <v>2026</v>
      </c>
      <c r="J1020" s="6">
        <f>MONTH(GameLog[[#This Row],[Date]])</f>
        <v>2</v>
      </c>
      <c r="K1020" s="6" t="str">
        <f>IF(GameLog[[#This Row],[Date]]=MAX(GameLog[Date]),"Current","Previous")</f>
        <v>Previous</v>
      </c>
      <c r="L1020" s="6"/>
      <c r="M10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0" s="6" t="str">
        <f ca="1">IF(GameLog[[#This Row],[Check]]="","",COUNTIF(GameLog[[#Headers],[Check]]:GameLog[[#This Row],[Check]],"?*")-1)</f>
        <v/>
      </c>
      <c r="O1020" s="6" t="str">
        <f>IFERROR(INDEX(Players[New name],MATCH(GameLog[[#This Row],[Player]],Players[Name],0)),GameLog[[#This Row],[Player]])</f>
        <v>Trevor</v>
      </c>
    </row>
    <row r="1021" spans="1:15" x14ac:dyDescent="0.45">
      <c r="A1021" s="6" t="s">
        <v>64</v>
      </c>
      <c r="B1021" s="6" t="s">
        <v>53</v>
      </c>
      <c r="C1021" s="6">
        <v>2</v>
      </c>
      <c r="D1021" s="6">
        <v>1</v>
      </c>
      <c r="E1021" s="6">
        <v>2</v>
      </c>
      <c r="F1021" s="10">
        <v>46076</v>
      </c>
      <c r="G1021" s="6" t="str">
        <f>_xlfn.TEXTJOIN("|",TRUE,GameLog[[#This Row],[Pod]],TEXT(INT(GameLog[[#This Row],[Round]]),"yyyymmdd"),GameLog[[#This Row],[Date]])</f>
        <v>1|19000102|46076</v>
      </c>
      <c r="H1021" s="6">
        <f>COUNTIF(GameLog[Pod ID],GameLog[[#This Row],[Pod ID]])</f>
        <v>4</v>
      </c>
      <c r="I1021" s="6">
        <f>YEAR(GameLog[[#This Row],[Date]])</f>
        <v>2026</v>
      </c>
      <c r="J1021" s="6">
        <f>MONTH(GameLog[[#This Row],[Date]])</f>
        <v>2</v>
      </c>
      <c r="K1021" s="6" t="str">
        <f>IF(GameLog[[#This Row],[Date]]=MAX(GameLog[Date]),"Current","Previous")</f>
        <v>Previous</v>
      </c>
      <c r="L1021" s="6"/>
      <c r="M10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1" s="6" t="str">
        <f ca="1">IF(GameLog[[#This Row],[Check]]="","",COUNTIF(GameLog[[#Headers],[Check]]:GameLog[[#This Row],[Check]],"?*")-1)</f>
        <v/>
      </c>
      <c r="O1021" s="6" t="str">
        <f>IFERROR(INDEX(Players[New name],MATCH(GameLog[[#This Row],[Player]],Players[Name],0)),GameLog[[#This Row],[Player]])</f>
        <v>Tyler B</v>
      </c>
    </row>
    <row r="1022" spans="1:15" x14ac:dyDescent="0.45">
      <c r="A1022" s="6" t="s">
        <v>55</v>
      </c>
      <c r="B1022" s="6" t="s">
        <v>50</v>
      </c>
      <c r="C1022" s="6">
        <v>3</v>
      </c>
      <c r="D1022" s="6">
        <v>1</v>
      </c>
      <c r="E1022" s="6">
        <v>2</v>
      </c>
      <c r="F1022" s="10">
        <v>46076</v>
      </c>
      <c r="G1022" s="6" t="str">
        <f>_xlfn.TEXTJOIN("|",TRUE,GameLog[[#This Row],[Pod]],TEXT(INT(GameLog[[#This Row],[Round]]),"yyyymmdd"),GameLog[[#This Row],[Date]])</f>
        <v>1|19000102|46076</v>
      </c>
      <c r="H1022" s="6">
        <f>COUNTIF(GameLog[Pod ID],GameLog[[#This Row],[Pod ID]])</f>
        <v>4</v>
      </c>
      <c r="I1022" s="6">
        <f>YEAR(GameLog[[#This Row],[Date]])</f>
        <v>2026</v>
      </c>
      <c r="J1022" s="6">
        <f>MONTH(GameLog[[#This Row],[Date]])</f>
        <v>2</v>
      </c>
      <c r="K1022" s="6" t="str">
        <f>IF(GameLog[[#This Row],[Date]]=MAX(GameLog[Date]),"Current","Previous")</f>
        <v>Previous</v>
      </c>
      <c r="L1022" s="6"/>
      <c r="M10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2" s="6" t="str">
        <f ca="1">IF(GameLog[[#This Row],[Check]]="","",COUNTIF(GameLog[[#Headers],[Check]]:GameLog[[#This Row],[Check]],"?*")-1)</f>
        <v/>
      </c>
      <c r="O1022" s="6" t="str">
        <f>IFERROR(INDEX(Players[New name],MATCH(GameLog[[#This Row],[Player]],Players[Name],0)),GameLog[[#This Row],[Player]])</f>
        <v>Bryce C</v>
      </c>
    </row>
    <row r="1023" spans="1:15" x14ac:dyDescent="0.45">
      <c r="A1023" s="6" t="s">
        <v>58</v>
      </c>
      <c r="B1023" s="6" t="s">
        <v>53</v>
      </c>
      <c r="C1023" s="6">
        <v>4</v>
      </c>
      <c r="D1023" s="6">
        <v>1</v>
      </c>
      <c r="E1023" s="6">
        <v>2</v>
      </c>
      <c r="F1023" s="10">
        <v>46076</v>
      </c>
      <c r="G1023" s="6" t="str">
        <f>_xlfn.TEXTJOIN("|",TRUE,GameLog[[#This Row],[Pod]],TEXT(INT(GameLog[[#This Row],[Round]]),"yyyymmdd"),GameLog[[#This Row],[Date]])</f>
        <v>1|19000102|46076</v>
      </c>
      <c r="H1023" s="6">
        <f>COUNTIF(GameLog[Pod ID],GameLog[[#This Row],[Pod ID]])</f>
        <v>4</v>
      </c>
      <c r="I1023" s="6">
        <f>YEAR(GameLog[[#This Row],[Date]])</f>
        <v>2026</v>
      </c>
      <c r="J1023" s="6">
        <f>MONTH(GameLog[[#This Row],[Date]])</f>
        <v>2</v>
      </c>
      <c r="K1023" s="6" t="str">
        <f>IF(GameLog[[#This Row],[Date]]=MAX(GameLog[Date]),"Current","Previous")</f>
        <v>Previous</v>
      </c>
      <c r="L1023" s="6"/>
      <c r="M10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3" s="6" t="str">
        <f ca="1">IF(GameLog[[#This Row],[Check]]="","",COUNTIF(GameLog[[#Headers],[Check]]:GameLog[[#This Row],[Check]],"?*")-1)</f>
        <v/>
      </c>
      <c r="O1023" s="6" t="str">
        <f>IFERROR(INDEX(Players[New name],MATCH(GameLog[[#This Row],[Player]],Players[Name],0)),GameLog[[#This Row],[Player]])</f>
        <v>Dakota P</v>
      </c>
    </row>
    <row r="1024" spans="1:15" x14ac:dyDescent="0.45">
      <c r="A1024" s="6" t="s">
        <v>82</v>
      </c>
      <c r="B1024" s="6" t="s">
        <v>53</v>
      </c>
      <c r="C1024" s="6">
        <v>1</v>
      </c>
      <c r="D1024" s="6">
        <v>2</v>
      </c>
      <c r="E1024" s="6">
        <v>2</v>
      </c>
      <c r="F1024" s="10">
        <v>46076</v>
      </c>
      <c r="G1024" s="6" t="str">
        <f>_xlfn.TEXTJOIN("|",TRUE,GameLog[[#This Row],[Pod]],TEXT(INT(GameLog[[#This Row],[Round]]),"yyyymmdd"),GameLog[[#This Row],[Date]])</f>
        <v>2|19000102|46076</v>
      </c>
      <c r="H1024" s="6">
        <f>COUNTIF(GameLog[Pod ID],GameLog[[#This Row],[Pod ID]])</f>
        <v>4</v>
      </c>
      <c r="I1024" s="6">
        <f>YEAR(GameLog[[#This Row],[Date]])</f>
        <v>2026</v>
      </c>
      <c r="J1024" s="6">
        <f>MONTH(GameLog[[#This Row],[Date]])</f>
        <v>2</v>
      </c>
      <c r="K1024" s="6" t="str">
        <f>IF(GameLog[[#This Row],[Date]]=MAX(GameLog[Date]),"Current","Previous")</f>
        <v>Previous</v>
      </c>
      <c r="L1024" s="6"/>
      <c r="M10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4" s="6" t="str">
        <f ca="1">IF(GameLog[[#This Row],[Check]]="","",COUNTIF(GameLog[[#Headers],[Check]]:GameLog[[#This Row],[Check]],"?*")-1)</f>
        <v/>
      </c>
      <c r="O1024" s="6" t="str">
        <f>IFERROR(INDEX(Players[New name],MATCH(GameLog[[#This Row],[Player]],Players[Name],0)),GameLog[[#This Row],[Player]])</f>
        <v>Nick D</v>
      </c>
    </row>
    <row r="1025" spans="1:15" x14ac:dyDescent="0.45">
      <c r="A1025" s="6" t="s">
        <v>52</v>
      </c>
      <c r="B1025" s="6" t="s">
        <v>50</v>
      </c>
      <c r="C1025" s="6">
        <v>2</v>
      </c>
      <c r="D1025" s="6">
        <v>2</v>
      </c>
      <c r="E1025" s="6">
        <v>2</v>
      </c>
      <c r="F1025" s="10">
        <v>46076</v>
      </c>
      <c r="G1025" s="6" t="str">
        <f>_xlfn.TEXTJOIN("|",TRUE,GameLog[[#This Row],[Pod]],TEXT(INT(GameLog[[#This Row],[Round]]),"yyyymmdd"),GameLog[[#This Row],[Date]])</f>
        <v>2|19000102|46076</v>
      </c>
      <c r="H1025" s="6">
        <f>COUNTIF(GameLog[Pod ID],GameLog[[#This Row],[Pod ID]])</f>
        <v>4</v>
      </c>
      <c r="I1025" s="6">
        <f>YEAR(GameLog[[#This Row],[Date]])</f>
        <v>2026</v>
      </c>
      <c r="J1025" s="6">
        <f>MONTH(GameLog[[#This Row],[Date]])</f>
        <v>2</v>
      </c>
      <c r="K1025" s="6" t="str">
        <f>IF(GameLog[[#This Row],[Date]]=MAX(GameLog[Date]),"Current","Previous")</f>
        <v>Previous</v>
      </c>
      <c r="L1025" s="6"/>
      <c r="M10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5" s="6" t="str">
        <f ca="1">IF(GameLog[[#This Row],[Check]]="","",COUNTIF(GameLog[[#Headers],[Check]]:GameLog[[#This Row],[Check]],"?*")-1)</f>
        <v/>
      </c>
      <c r="O1025" s="6" t="str">
        <f>IFERROR(INDEX(Players[New name],MATCH(GameLog[[#This Row],[Player]],Players[Name],0)),GameLog[[#This Row],[Player]])</f>
        <v>Unknown</v>
      </c>
    </row>
    <row r="1026" spans="1:15" x14ac:dyDescent="0.45">
      <c r="A1026" s="6" t="s">
        <v>98</v>
      </c>
      <c r="B1026" s="6" t="s">
        <v>53</v>
      </c>
      <c r="C1026" s="6">
        <v>3</v>
      </c>
      <c r="D1026" s="6">
        <v>2</v>
      </c>
      <c r="E1026" s="6">
        <v>2</v>
      </c>
      <c r="F1026" s="10">
        <v>46076</v>
      </c>
      <c r="G1026" s="6" t="str">
        <f>_xlfn.TEXTJOIN("|",TRUE,GameLog[[#This Row],[Pod]],TEXT(INT(GameLog[[#This Row],[Round]]),"yyyymmdd"),GameLog[[#This Row],[Date]])</f>
        <v>2|19000102|46076</v>
      </c>
      <c r="H1026" s="6">
        <f>COUNTIF(GameLog[Pod ID],GameLog[[#This Row],[Pod ID]])</f>
        <v>4</v>
      </c>
      <c r="I1026" s="6">
        <f>YEAR(GameLog[[#This Row],[Date]])</f>
        <v>2026</v>
      </c>
      <c r="J1026" s="6">
        <f>MONTH(GameLog[[#This Row],[Date]])</f>
        <v>2</v>
      </c>
      <c r="K1026" s="6" t="str">
        <f>IF(GameLog[[#This Row],[Date]]=MAX(GameLog[Date]),"Current","Previous")</f>
        <v>Previous</v>
      </c>
      <c r="L1026" s="6"/>
      <c r="M10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6" s="6" t="str">
        <f ca="1">IF(GameLog[[#This Row],[Check]]="","",COUNTIF(GameLog[[#Headers],[Check]]:GameLog[[#This Row],[Check]],"?*")-1)</f>
        <v/>
      </c>
      <c r="O1026" s="6" t="str">
        <f>IFERROR(INDEX(Players[New name],MATCH(GameLog[[#This Row],[Player]],Players[Name],0)),GameLog[[#This Row],[Player]])</f>
        <v>Charlie B</v>
      </c>
    </row>
    <row r="1027" spans="1:15" x14ac:dyDescent="0.45">
      <c r="A1027" s="6" t="s">
        <v>77</v>
      </c>
      <c r="B1027" s="6" t="s">
        <v>53</v>
      </c>
      <c r="C1027" s="6">
        <v>4</v>
      </c>
      <c r="D1027" s="6">
        <v>2</v>
      </c>
      <c r="E1027" s="6">
        <v>2</v>
      </c>
      <c r="F1027" s="10">
        <v>46076</v>
      </c>
      <c r="G1027" s="6" t="str">
        <f>_xlfn.TEXTJOIN("|",TRUE,GameLog[[#This Row],[Pod]],TEXT(INT(GameLog[[#This Row],[Round]]),"yyyymmdd"),GameLog[[#This Row],[Date]])</f>
        <v>2|19000102|46076</v>
      </c>
      <c r="H1027" s="6">
        <f>COUNTIF(GameLog[Pod ID],GameLog[[#This Row],[Pod ID]])</f>
        <v>4</v>
      </c>
      <c r="I1027" s="6">
        <f>YEAR(GameLog[[#This Row],[Date]])</f>
        <v>2026</v>
      </c>
      <c r="J1027" s="6">
        <f>MONTH(GameLog[[#This Row],[Date]])</f>
        <v>2</v>
      </c>
      <c r="K1027" s="6" t="str">
        <f>IF(GameLog[[#This Row],[Date]]=MAX(GameLog[Date]),"Current","Previous")</f>
        <v>Previous</v>
      </c>
      <c r="L1027" s="6"/>
      <c r="M10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7" s="6" t="str">
        <f ca="1">IF(GameLog[[#This Row],[Check]]="","",COUNTIF(GameLog[[#Headers],[Check]]:GameLog[[#This Row],[Check]],"?*")-1)</f>
        <v/>
      </c>
      <c r="O1027" s="6" t="str">
        <f>IFERROR(INDEX(Players[New name],MATCH(GameLog[[#This Row],[Player]],Players[Name],0)),GameLog[[#This Row],[Player]])</f>
        <v>Dave M</v>
      </c>
    </row>
    <row r="1028" spans="1:15" x14ac:dyDescent="0.45">
      <c r="A1028" s="6" t="s">
        <v>70</v>
      </c>
      <c r="B1028" s="6" t="s">
        <v>53</v>
      </c>
      <c r="C1028" s="6">
        <v>1</v>
      </c>
      <c r="D1028" s="6">
        <v>3</v>
      </c>
      <c r="E1028" s="6">
        <v>2</v>
      </c>
      <c r="F1028" s="10">
        <v>46076</v>
      </c>
      <c r="G1028" s="6" t="str">
        <f>_xlfn.TEXTJOIN("|",TRUE,GameLog[[#This Row],[Pod]],TEXT(INT(GameLog[[#This Row],[Round]]),"yyyymmdd"),GameLog[[#This Row],[Date]])</f>
        <v>3|19000102|46076</v>
      </c>
      <c r="H1028" s="6">
        <f>COUNTIF(GameLog[Pod ID],GameLog[[#This Row],[Pod ID]])</f>
        <v>4</v>
      </c>
      <c r="I1028" s="6">
        <f>YEAR(GameLog[[#This Row],[Date]])</f>
        <v>2026</v>
      </c>
      <c r="J1028" s="6">
        <f>MONTH(GameLog[[#This Row],[Date]])</f>
        <v>2</v>
      </c>
      <c r="K1028" s="6" t="str">
        <f>IF(GameLog[[#This Row],[Date]]=MAX(GameLog[Date]),"Current","Previous")</f>
        <v>Previous</v>
      </c>
      <c r="L1028" s="6"/>
      <c r="M10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8" s="6" t="str">
        <f ca="1">IF(GameLog[[#This Row],[Check]]="","",COUNTIF(GameLog[[#Headers],[Check]]:GameLog[[#This Row],[Check]],"?*")-1)</f>
        <v/>
      </c>
      <c r="O1028" s="6" t="str">
        <f>IFERROR(INDEX(Players[New name],MATCH(GameLog[[#This Row],[Player]],Players[Name],0)),GameLog[[#This Row],[Player]])</f>
        <v>Brad F</v>
      </c>
    </row>
    <row r="1029" spans="1:15" x14ac:dyDescent="0.45">
      <c r="A1029" s="6" t="s">
        <v>57</v>
      </c>
      <c r="B1029" s="6" t="s">
        <v>50</v>
      </c>
      <c r="C1029" s="6">
        <v>2</v>
      </c>
      <c r="D1029" s="6">
        <v>3</v>
      </c>
      <c r="E1029" s="6">
        <v>2</v>
      </c>
      <c r="F1029" s="10">
        <v>46076</v>
      </c>
      <c r="G1029" s="6" t="str">
        <f>_xlfn.TEXTJOIN("|",TRUE,GameLog[[#This Row],[Pod]],TEXT(INT(GameLog[[#This Row],[Round]]),"yyyymmdd"),GameLog[[#This Row],[Date]])</f>
        <v>3|19000102|46076</v>
      </c>
      <c r="H1029" s="6">
        <f>COUNTIF(GameLog[Pod ID],GameLog[[#This Row],[Pod ID]])</f>
        <v>4</v>
      </c>
      <c r="I1029" s="6">
        <f>YEAR(GameLog[[#This Row],[Date]])</f>
        <v>2026</v>
      </c>
      <c r="J1029" s="6">
        <f>MONTH(GameLog[[#This Row],[Date]])</f>
        <v>2</v>
      </c>
      <c r="K1029" s="6" t="str">
        <f>IF(GameLog[[#This Row],[Date]]=MAX(GameLog[Date]),"Current","Previous")</f>
        <v>Previous</v>
      </c>
      <c r="L1029" s="6"/>
      <c r="M10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29" s="6" t="str">
        <f ca="1">IF(GameLog[[#This Row],[Check]]="","",COUNTIF(GameLog[[#Headers],[Check]]:GameLog[[#This Row],[Check]],"?*")-1)</f>
        <v/>
      </c>
      <c r="O1029" s="6" t="str">
        <f>IFERROR(INDEX(Players[New name],MATCH(GameLog[[#This Row],[Player]],Players[Name],0)),GameLog[[#This Row],[Player]])</f>
        <v>AJ W</v>
      </c>
    </row>
    <row r="1030" spans="1:15" x14ac:dyDescent="0.45">
      <c r="A1030" s="6" t="s">
        <v>59</v>
      </c>
      <c r="B1030" s="6" t="s">
        <v>53</v>
      </c>
      <c r="C1030" s="6">
        <v>3</v>
      </c>
      <c r="D1030" s="6">
        <v>3</v>
      </c>
      <c r="E1030" s="6">
        <v>2</v>
      </c>
      <c r="F1030" s="10">
        <v>46076</v>
      </c>
      <c r="G1030" s="6" t="str">
        <f>_xlfn.TEXTJOIN("|",TRUE,GameLog[[#This Row],[Pod]],TEXT(INT(GameLog[[#This Row],[Round]]),"yyyymmdd"),GameLog[[#This Row],[Date]])</f>
        <v>3|19000102|46076</v>
      </c>
      <c r="H1030" s="6">
        <f>COUNTIF(GameLog[Pod ID],GameLog[[#This Row],[Pod ID]])</f>
        <v>4</v>
      </c>
      <c r="I1030" s="6">
        <f>YEAR(GameLog[[#This Row],[Date]])</f>
        <v>2026</v>
      </c>
      <c r="J1030" s="6">
        <f>MONTH(GameLog[[#This Row],[Date]])</f>
        <v>2</v>
      </c>
      <c r="K1030" s="6" t="str">
        <f>IF(GameLog[[#This Row],[Date]]=MAX(GameLog[Date]),"Current","Previous")</f>
        <v>Previous</v>
      </c>
      <c r="L1030" s="6"/>
      <c r="M10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0" s="6" t="str">
        <f ca="1">IF(GameLog[[#This Row],[Check]]="","",COUNTIF(GameLog[[#Headers],[Check]]:GameLog[[#This Row],[Check]],"?*")-1)</f>
        <v/>
      </c>
      <c r="O1030" s="6" t="str">
        <f>IFERROR(INDEX(Players[New name],MATCH(GameLog[[#This Row],[Player]],Players[Name],0)),GameLog[[#This Row],[Player]])</f>
        <v>Zack B</v>
      </c>
    </row>
    <row r="1031" spans="1:15" x14ac:dyDescent="0.45">
      <c r="A1031" s="6" t="s">
        <v>63</v>
      </c>
      <c r="B1031" s="6" t="s">
        <v>53</v>
      </c>
      <c r="C1031" s="6">
        <v>4</v>
      </c>
      <c r="D1031" s="6">
        <v>3</v>
      </c>
      <c r="E1031" s="6">
        <v>2</v>
      </c>
      <c r="F1031" s="10">
        <v>46076</v>
      </c>
      <c r="G1031" s="6" t="str">
        <f>_xlfn.TEXTJOIN("|",TRUE,GameLog[[#This Row],[Pod]],TEXT(INT(GameLog[[#This Row],[Round]]),"yyyymmdd"),GameLog[[#This Row],[Date]])</f>
        <v>3|19000102|46076</v>
      </c>
      <c r="H1031" s="6">
        <f>COUNTIF(GameLog[Pod ID],GameLog[[#This Row],[Pod ID]])</f>
        <v>4</v>
      </c>
      <c r="I1031" s="6">
        <f>YEAR(GameLog[[#This Row],[Date]])</f>
        <v>2026</v>
      </c>
      <c r="J1031" s="6">
        <f>MONTH(GameLog[[#This Row],[Date]])</f>
        <v>2</v>
      </c>
      <c r="K1031" s="6" t="str">
        <f>IF(GameLog[[#This Row],[Date]]=MAX(GameLog[Date]),"Current","Previous")</f>
        <v>Previous</v>
      </c>
      <c r="L1031" s="6"/>
      <c r="M10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1" s="6" t="str">
        <f ca="1">IF(GameLog[[#This Row],[Check]]="","",COUNTIF(GameLog[[#Headers],[Check]]:GameLog[[#This Row],[Check]],"?*")-1)</f>
        <v/>
      </c>
      <c r="O1031" s="6" t="str">
        <f>IFERROR(INDEX(Players[New name],MATCH(GameLog[[#This Row],[Player]],Players[Name],0)),GameLog[[#This Row],[Player]])</f>
        <v>Jake D</v>
      </c>
    </row>
    <row r="1032" spans="1:15" x14ac:dyDescent="0.45">
      <c r="A1032" s="6" t="s">
        <v>60</v>
      </c>
      <c r="B1032" s="6" t="s">
        <v>50</v>
      </c>
      <c r="C1032" s="6">
        <v>1</v>
      </c>
      <c r="D1032" s="6">
        <v>4</v>
      </c>
      <c r="E1032" s="6">
        <v>2</v>
      </c>
      <c r="F1032" s="10">
        <v>46076</v>
      </c>
      <c r="G1032" s="6" t="str">
        <f>_xlfn.TEXTJOIN("|",TRUE,GameLog[[#This Row],[Pod]],TEXT(INT(GameLog[[#This Row],[Round]]),"yyyymmdd"),GameLog[[#This Row],[Date]])</f>
        <v>4|19000102|46076</v>
      </c>
      <c r="H1032" s="6">
        <f>COUNTIF(GameLog[Pod ID],GameLog[[#This Row],[Pod ID]])</f>
        <v>3</v>
      </c>
      <c r="I1032" s="6">
        <f>YEAR(GameLog[[#This Row],[Date]])</f>
        <v>2026</v>
      </c>
      <c r="J1032" s="6">
        <f>MONTH(GameLog[[#This Row],[Date]])</f>
        <v>2</v>
      </c>
      <c r="K1032" s="6" t="str">
        <f>IF(GameLog[[#This Row],[Date]]=MAX(GameLog[Date]),"Current","Previous")</f>
        <v>Previous</v>
      </c>
      <c r="L1032" s="6"/>
      <c r="M10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2" s="6" t="str">
        <f ca="1">IF(GameLog[[#This Row],[Check]]="","",COUNTIF(GameLog[[#Headers],[Check]]:GameLog[[#This Row],[Check]],"?*")-1)</f>
        <v/>
      </c>
      <c r="O1032" s="6" t="str">
        <f>IFERROR(INDEX(Players[New name],MATCH(GameLog[[#This Row],[Player]],Players[Name],0)),GameLog[[#This Row],[Player]])</f>
        <v>Brendan H</v>
      </c>
    </row>
    <row r="1033" spans="1:15" x14ac:dyDescent="0.45">
      <c r="A1033" s="6" t="s">
        <v>81</v>
      </c>
      <c r="B1033" s="6" t="s">
        <v>53</v>
      </c>
      <c r="C1033" s="6">
        <v>2</v>
      </c>
      <c r="D1033" s="6">
        <v>4</v>
      </c>
      <c r="E1033" s="6">
        <v>2</v>
      </c>
      <c r="F1033" s="10">
        <v>46076</v>
      </c>
      <c r="G1033" s="6" t="str">
        <f>_xlfn.TEXTJOIN("|",TRUE,GameLog[[#This Row],[Pod]],TEXT(INT(GameLog[[#This Row],[Round]]),"yyyymmdd"),GameLog[[#This Row],[Date]])</f>
        <v>4|19000102|46076</v>
      </c>
      <c r="H1033" s="6">
        <f>COUNTIF(GameLog[Pod ID],GameLog[[#This Row],[Pod ID]])</f>
        <v>3</v>
      </c>
      <c r="I1033" s="6">
        <f>YEAR(GameLog[[#This Row],[Date]])</f>
        <v>2026</v>
      </c>
      <c r="J1033" s="6">
        <f>MONTH(GameLog[[#This Row],[Date]])</f>
        <v>2</v>
      </c>
      <c r="K1033" s="6" t="str">
        <f>IF(GameLog[[#This Row],[Date]]=MAX(GameLog[Date]),"Current","Previous")</f>
        <v>Previous</v>
      </c>
      <c r="L1033" s="6"/>
      <c r="M10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3" s="6" t="str">
        <f ca="1">IF(GameLog[[#This Row],[Check]]="","",COUNTIF(GameLog[[#Headers],[Check]]:GameLog[[#This Row],[Check]],"?*")-1)</f>
        <v/>
      </c>
      <c r="O1033" s="6" t="str">
        <f>IFERROR(INDEX(Players[New name],MATCH(GameLog[[#This Row],[Player]],Players[Name],0)),GameLog[[#This Row],[Player]])</f>
        <v>Forrest</v>
      </c>
    </row>
    <row r="1034" spans="1:15" x14ac:dyDescent="0.45">
      <c r="A1034" s="6" t="s">
        <v>73</v>
      </c>
      <c r="B1034" s="6" t="s">
        <v>53</v>
      </c>
      <c r="C1034" s="6">
        <v>3</v>
      </c>
      <c r="D1034" s="6">
        <v>4</v>
      </c>
      <c r="E1034" s="6">
        <v>2</v>
      </c>
      <c r="F1034" s="10">
        <v>46076</v>
      </c>
      <c r="G1034" s="6" t="str">
        <f>_xlfn.TEXTJOIN("|",TRUE,GameLog[[#This Row],[Pod]],TEXT(INT(GameLog[[#This Row],[Round]]),"yyyymmdd"),GameLog[[#This Row],[Date]])</f>
        <v>4|19000102|46076</v>
      </c>
      <c r="H1034" s="6">
        <f>COUNTIF(GameLog[Pod ID],GameLog[[#This Row],[Pod ID]])</f>
        <v>3</v>
      </c>
      <c r="I1034" s="6">
        <f>YEAR(GameLog[[#This Row],[Date]])</f>
        <v>2026</v>
      </c>
      <c r="J1034" s="6">
        <f>MONTH(GameLog[[#This Row],[Date]])</f>
        <v>2</v>
      </c>
      <c r="K1034" s="6" t="str">
        <f>IF(GameLog[[#This Row],[Date]]=MAX(GameLog[Date]),"Current","Previous")</f>
        <v>Previous</v>
      </c>
      <c r="L1034" s="6"/>
      <c r="M10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4" s="6" t="str">
        <f ca="1">IF(GameLog[[#This Row],[Check]]="","",COUNTIF(GameLog[[#Headers],[Check]]:GameLog[[#This Row],[Check]],"?*")-1)</f>
        <v/>
      </c>
      <c r="O1034" s="6" t="str">
        <f>IFERROR(INDEX(Players[New name],MATCH(GameLog[[#This Row],[Player]],Players[Name],0)),GameLog[[#This Row],[Player]])</f>
        <v>Brandon B</v>
      </c>
    </row>
    <row r="1035" spans="1:15" x14ac:dyDescent="0.45">
      <c r="A1035" s="6" t="s">
        <v>49</v>
      </c>
      <c r="B1035" s="6" t="s">
        <v>90</v>
      </c>
      <c r="C1035" s="6">
        <v>1</v>
      </c>
      <c r="D1035" s="6">
        <v>5</v>
      </c>
      <c r="E1035" s="6">
        <v>2</v>
      </c>
      <c r="F1035" s="10">
        <v>46076</v>
      </c>
      <c r="G1035" s="6" t="str">
        <f>_xlfn.TEXTJOIN("|",TRUE,GameLog[[#This Row],[Pod]],TEXT(INT(GameLog[[#This Row],[Round]]),"yyyymmdd"),GameLog[[#This Row],[Date]])</f>
        <v>5|19000102|46076</v>
      </c>
      <c r="H1035" s="6">
        <f>COUNTIF(GameLog[Pod ID],GameLog[[#This Row],[Pod ID]])</f>
        <v>3</v>
      </c>
      <c r="I1035" s="6">
        <f>YEAR(GameLog[[#This Row],[Date]])</f>
        <v>2026</v>
      </c>
      <c r="J1035" s="6">
        <f>MONTH(GameLog[[#This Row],[Date]])</f>
        <v>2</v>
      </c>
      <c r="K1035" s="6" t="str">
        <f>IF(GameLog[[#This Row],[Date]]=MAX(GameLog[Date]),"Current","Previous")</f>
        <v>Previous</v>
      </c>
      <c r="L1035" s="6"/>
      <c r="M10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5" s="6" t="str">
        <f ca="1">IF(GameLog[[#This Row],[Check]]="","",COUNTIF(GameLog[[#Headers],[Check]]:GameLog[[#This Row],[Check]],"?*")-1)</f>
        <v/>
      </c>
      <c r="O1035" s="6" t="str">
        <f>IFERROR(INDEX(Players[New name],MATCH(GameLog[[#This Row],[Player]],Players[Name],0)),GameLog[[#This Row],[Player]])</f>
        <v>Brett R</v>
      </c>
    </row>
    <row r="1036" spans="1:15" x14ac:dyDescent="0.45">
      <c r="A1036" s="6" t="s">
        <v>71</v>
      </c>
      <c r="B1036" s="6" t="s">
        <v>90</v>
      </c>
      <c r="C1036" s="6">
        <v>2</v>
      </c>
      <c r="D1036" s="6">
        <v>5</v>
      </c>
      <c r="E1036" s="6">
        <v>2</v>
      </c>
      <c r="F1036" s="10">
        <v>46076</v>
      </c>
      <c r="G1036" s="6" t="str">
        <f>_xlfn.TEXTJOIN("|",TRUE,GameLog[[#This Row],[Pod]],TEXT(INT(GameLog[[#This Row],[Round]]),"yyyymmdd"),GameLog[[#This Row],[Date]])</f>
        <v>5|19000102|46076</v>
      </c>
      <c r="H1036" s="6">
        <f>COUNTIF(GameLog[Pod ID],GameLog[[#This Row],[Pod ID]])</f>
        <v>3</v>
      </c>
      <c r="I1036" s="6">
        <f>YEAR(GameLog[[#This Row],[Date]])</f>
        <v>2026</v>
      </c>
      <c r="J1036" s="6">
        <f>MONTH(GameLog[[#This Row],[Date]])</f>
        <v>2</v>
      </c>
      <c r="K1036" s="6" t="str">
        <f>IF(GameLog[[#This Row],[Date]]=MAX(GameLog[Date]),"Current","Previous")</f>
        <v>Previous</v>
      </c>
      <c r="L1036" s="6"/>
      <c r="M10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6" s="6" t="str">
        <f ca="1">IF(GameLog[[#This Row],[Check]]="","",COUNTIF(GameLog[[#Headers],[Check]]:GameLog[[#This Row],[Check]],"?*")-1)</f>
        <v/>
      </c>
      <c r="O1036" s="6" t="str">
        <f>IFERROR(INDEX(Players[New name],MATCH(GameLog[[#This Row],[Player]],Players[Name],0)),GameLog[[#This Row],[Player]])</f>
        <v>Rodney Y</v>
      </c>
    </row>
    <row r="1037" spans="1:15" x14ac:dyDescent="0.45">
      <c r="A1037" s="6" t="s">
        <v>68</v>
      </c>
      <c r="B1037" s="6" t="s">
        <v>90</v>
      </c>
      <c r="C1037" s="6">
        <v>3</v>
      </c>
      <c r="D1037" s="6">
        <v>5</v>
      </c>
      <c r="E1037" s="6">
        <v>2</v>
      </c>
      <c r="F1037" s="10">
        <v>46076</v>
      </c>
      <c r="G1037" s="6" t="str">
        <f>_xlfn.TEXTJOIN("|",TRUE,GameLog[[#This Row],[Pod]],TEXT(INT(GameLog[[#This Row],[Round]]),"yyyymmdd"),GameLog[[#This Row],[Date]])</f>
        <v>5|19000102|46076</v>
      </c>
      <c r="H1037" s="6">
        <f>COUNTIF(GameLog[Pod ID],GameLog[[#This Row],[Pod ID]])</f>
        <v>3</v>
      </c>
      <c r="I1037" s="6">
        <f>YEAR(GameLog[[#This Row],[Date]])</f>
        <v>2026</v>
      </c>
      <c r="J1037" s="6">
        <f>MONTH(GameLog[[#This Row],[Date]])</f>
        <v>2</v>
      </c>
      <c r="K1037" s="6" t="str">
        <f>IF(GameLog[[#This Row],[Date]]=MAX(GameLog[Date]),"Current","Previous")</f>
        <v>Previous</v>
      </c>
      <c r="L1037" s="6"/>
      <c r="M10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7" s="6" t="str">
        <f ca="1">IF(GameLog[[#This Row],[Check]]="","",COUNTIF(GameLog[[#Headers],[Check]]:GameLog[[#This Row],[Check]],"?*")-1)</f>
        <v/>
      </c>
      <c r="O1037" s="6" t="str">
        <f>IFERROR(INDEX(Players[New name],MATCH(GameLog[[#This Row],[Player]],Players[Name],0)),GameLog[[#This Row],[Player]])</f>
        <v>Edwin M</v>
      </c>
    </row>
    <row r="1038" spans="1:15" x14ac:dyDescent="0.45">
      <c r="A1038" s="6" t="s">
        <v>97</v>
      </c>
      <c r="B1038" s="6" t="s">
        <v>90</v>
      </c>
      <c r="C1038" s="6">
        <v>1</v>
      </c>
      <c r="D1038" s="6">
        <v>1</v>
      </c>
      <c r="E1038" s="6">
        <v>1</v>
      </c>
      <c r="F1038" s="10">
        <v>46083</v>
      </c>
      <c r="G1038" s="6" t="str">
        <f>_xlfn.TEXTJOIN("|",TRUE,GameLog[[#This Row],[Pod]],TEXT(INT(GameLog[[#This Row],[Round]]),"yyyymmdd"),GameLog[[#This Row],[Date]])</f>
        <v>1|19000101|46083</v>
      </c>
      <c r="H1038" s="6">
        <f>COUNTIF(GameLog[Pod ID],GameLog[[#This Row],[Pod ID]])</f>
        <v>4</v>
      </c>
      <c r="I1038" s="6">
        <f>YEAR(GameLog[[#This Row],[Date]])</f>
        <v>2026</v>
      </c>
      <c r="J1038" s="6">
        <f>MONTH(GameLog[[#This Row],[Date]])</f>
        <v>3</v>
      </c>
      <c r="K1038" s="6" t="str">
        <f>IF(GameLog[[#This Row],[Date]]=MAX(GameLog[Date]),"Current","Previous")</f>
        <v>Previous</v>
      </c>
      <c r="L1038" s="6"/>
      <c r="M10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8" s="6" t="str">
        <f ca="1">IF(GameLog[[#This Row],[Check]]="","",COUNTIF(GameLog[[#Headers],[Check]]:GameLog[[#This Row],[Check]],"?*")-1)</f>
        <v/>
      </c>
      <c r="O1038" s="6" t="str">
        <f>IFERROR(INDEX(Players[New name],MATCH(GameLog[[#This Row],[Player]],Players[Name],0)),GameLog[[#This Row],[Player]])</f>
        <v>Arman H</v>
      </c>
    </row>
    <row r="1039" spans="1:15" x14ac:dyDescent="0.45">
      <c r="A1039" s="6" t="s">
        <v>60</v>
      </c>
      <c r="B1039" s="6" t="s">
        <v>90</v>
      </c>
      <c r="C1039" s="6">
        <v>2</v>
      </c>
      <c r="D1039" s="6">
        <v>1</v>
      </c>
      <c r="E1039" s="6">
        <v>1</v>
      </c>
      <c r="F1039" s="10">
        <v>46083</v>
      </c>
      <c r="G1039" s="6" t="str">
        <f>_xlfn.TEXTJOIN("|",TRUE,GameLog[[#This Row],[Pod]],TEXT(INT(GameLog[[#This Row],[Round]]),"yyyymmdd"),GameLog[[#This Row],[Date]])</f>
        <v>1|19000101|46083</v>
      </c>
      <c r="H1039" s="6">
        <f>COUNTIF(GameLog[Pod ID],GameLog[[#This Row],[Pod ID]])</f>
        <v>4</v>
      </c>
      <c r="I1039" s="6">
        <f>YEAR(GameLog[[#This Row],[Date]])</f>
        <v>2026</v>
      </c>
      <c r="J1039" s="6">
        <f>MONTH(GameLog[[#This Row],[Date]])</f>
        <v>3</v>
      </c>
      <c r="K1039" s="6" t="str">
        <f>IF(GameLog[[#This Row],[Date]]=MAX(GameLog[Date]),"Current","Previous")</f>
        <v>Previous</v>
      </c>
      <c r="L1039" s="6"/>
      <c r="M10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39" s="6" t="str">
        <f ca="1">IF(GameLog[[#This Row],[Check]]="","",COUNTIF(GameLog[[#Headers],[Check]]:GameLog[[#This Row],[Check]],"?*")-1)</f>
        <v/>
      </c>
      <c r="O1039" s="6" t="str">
        <f>IFERROR(INDEX(Players[New name],MATCH(GameLog[[#This Row],[Player]],Players[Name],0)),GameLog[[#This Row],[Player]])</f>
        <v>Brendan H</v>
      </c>
    </row>
    <row r="1040" spans="1:15" x14ac:dyDescent="0.45">
      <c r="A1040" s="6" t="s">
        <v>94</v>
      </c>
      <c r="B1040" s="6" t="s">
        <v>90</v>
      </c>
      <c r="C1040" s="6">
        <v>3</v>
      </c>
      <c r="D1040" s="6">
        <v>1</v>
      </c>
      <c r="E1040" s="6">
        <v>1</v>
      </c>
      <c r="F1040" s="10">
        <v>46083</v>
      </c>
      <c r="G1040" s="6" t="str">
        <f>_xlfn.TEXTJOIN("|",TRUE,GameLog[[#This Row],[Pod]],TEXT(INT(GameLog[[#This Row],[Round]]),"yyyymmdd"),GameLog[[#This Row],[Date]])</f>
        <v>1|19000101|46083</v>
      </c>
      <c r="H1040" s="6">
        <f>COUNTIF(GameLog[Pod ID],GameLog[[#This Row],[Pod ID]])</f>
        <v>4</v>
      </c>
      <c r="I1040" s="6">
        <f>YEAR(GameLog[[#This Row],[Date]])</f>
        <v>2026</v>
      </c>
      <c r="J1040" s="6">
        <f>MONTH(GameLog[[#This Row],[Date]])</f>
        <v>3</v>
      </c>
      <c r="K1040" s="6" t="str">
        <f>IF(GameLog[[#This Row],[Date]]=MAX(GameLog[Date]),"Current","Previous")</f>
        <v>Previous</v>
      </c>
      <c r="L1040" s="6"/>
      <c r="M10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0" s="6" t="str">
        <f ca="1">IF(GameLog[[#This Row],[Check]]="","",COUNTIF(GameLog[[#Headers],[Check]]:GameLog[[#This Row],[Check]],"?*")-1)</f>
        <v/>
      </c>
      <c r="O1040" s="6" t="str">
        <f>IFERROR(INDEX(Players[New name],MATCH(GameLog[[#This Row],[Player]],Players[Name],0)),GameLog[[#This Row],[Player]])</f>
        <v>Austin D</v>
      </c>
    </row>
    <row r="1041" spans="1:15" x14ac:dyDescent="0.45">
      <c r="A1041" s="6" t="s">
        <v>59</v>
      </c>
      <c r="B1041" s="6" t="s">
        <v>90</v>
      </c>
      <c r="C1041" s="6">
        <v>4</v>
      </c>
      <c r="D1041" s="6">
        <v>1</v>
      </c>
      <c r="E1041" s="6">
        <v>1</v>
      </c>
      <c r="F1041" s="10">
        <v>46083</v>
      </c>
      <c r="G1041" s="6" t="str">
        <f>_xlfn.TEXTJOIN("|",TRUE,GameLog[[#This Row],[Pod]],TEXT(INT(GameLog[[#This Row],[Round]]),"yyyymmdd"),GameLog[[#This Row],[Date]])</f>
        <v>1|19000101|46083</v>
      </c>
      <c r="H1041" s="6">
        <f>COUNTIF(GameLog[Pod ID],GameLog[[#This Row],[Pod ID]])</f>
        <v>4</v>
      </c>
      <c r="I1041" s="6">
        <f>YEAR(GameLog[[#This Row],[Date]])</f>
        <v>2026</v>
      </c>
      <c r="J1041" s="6">
        <f>MONTH(GameLog[[#This Row],[Date]])</f>
        <v>3</v>
      </c>
      <c r="K1041" s="6" t="str">
        <f>IF(GameLog[[#This Row],[Date]]=MAX(GameLog[Date]),"Current","Previous")</f>
        <v>Previous</v>
      </c>
      <c r="L1041" s="6"/>
      <c r="M10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1" s="6" t="str">
        <f ca="1">IF(GameLog[[#This Row],[Check]]="","",COUNTIF(GameLog[[#Headers],[Check]]:GameLog[[#This Row],[Check]],"?*")-1)</f>
        <v/>
      </c>
      <c r="O1041" s="6" t="str">
        <f>IFERROR(INDEX(Players[New name],MATCH(GameLog[[#This Row],[Player]],Players[Name],0)),GameLog[[#This Row],[Player]])</f>
        <v>Zack B</v>
      </c>
    </row>
    <row r="1042" spans="1:15" x14ac:dyDescent="0.45">
      <c r="A1042" s="6" t="s">
        <v>61</v>
      </c>
      <c r="B1042" s="6" t="s">
        <v>90</v>
      </c>
      <c r="C1042" s="6">
        <v>1</v>
      </c>
      <c r="D1042" s="6">
        <v>2</v>
      </c>
      <c r="E1042" s="6">
        <v>1</v>
      </c>
      <c r="F1042" s="10">
        <v>46083</v>
      </c>
      <c r="G1042" s="6" t="str">
        <f>_xlfn.TEXTJOIN("|",TRUE,GameLog[[#This Row],[Pod]],TEXT(INT(GameLog[[#This Row],[Round]]),"yyyymmdd"),GameLog[[#This Row],[Date]])</f>
        <v>2|19000101|46083</v>
      </c>
      <c r="H1042" s="6">
        <f>COUNTIF(GameLog[Pod ID],GameLog[[#This Row],[Pod ID]])</f>
        <v>4</v>
      </c>
      <c r="I1042" s="6">
        <f>YEAR(GameLog[[#This Row],[Date]])</f>
        <v>2026</v>
      </c>
      <c r="J1042" s="6">
        <f>MONTH(GameLog[[#This Row],[Date]])</f>
        <v>3</v>
      </c>
      <c r="K1042" s="6" t="str">
        <f>IF(GameLog[[#This Row],[Date]]=MAX(GameLog[Date]),"Current","Previous")</f>
        <v>Previous</v>
      </c>
      <c r="L1042" s="6"/>
      <c r="M10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2" s="6" t="str">
        <f ca="1">IF(GameLog[[#This Row],[Check]]="","",COUNTIF(GameLog[[#Headers],[Check]]:GameLog[[#This Row],[Check]],"?*")-1)</f>
        <v/>
      </c>
      <c r="O1042" s="6" t="str">
        <f>IFERROR(INDEX(Players[New name],MATCH(GameLog[[#This Row],[Player]],Players[Name],0)),GameLog[[#This Row],[Player]])</f>
        <v>Trevor</v>
      </c>
    </row>
    <row r="1043" spans="1:15" x14ac:dyDescent="0.45">
      <c r="A1043" s="6" t="s">
        <v>91</v>
      </c>
      <c r="B1043" s="6" t="s">
        <v>90</v>
      </c>
      <c r="C1043" s="6">
        <v>2</v>
      </c>
      <c r="D1043" s="6">
        <v>2</v>
      </c>
      <c r="E1043" s="6">
        <v>1</v>
      </c>
      <c r="F1043" s="10">
        <v>46083</v>
      </c>
      <c r="G1043" s="6" t="str">
        <f>_xlfn.TEXTJOIN("|",TRUE,GameLog[[#This Row],[Pod]],TEXT(INT(GameLog[[#This Row],[Round]]),"yyyymmdd"),GameLog[[#This Row],[Date]])</f>
        <v>2|19000101|46083</v>
      </c>
      <c r="H1043" s="6">
        <f>COUNTIF(GameLog[Pod ID],GameLog[[#This Row],[Pod ID]])</f>
        <v>4</v>
      </c>
      <c r="I1043" s="6">
        <f>YEAR(GameLog[[#This Row],[Date]])</f>
        <v>2026</v>
      </c>
      <c r="J1043" s="6">
        <f>MONTH(GameLog[[#This Row],[Date]])</f>
        <v>3</v>
      </c>
      <c r="K1043" s="6" t="str">
        <f>IF(GameLog[[#This Row],[Date]]=MAX(GameLog[Date]),"Current","Previous")</f>
        <v>Previous</v>
      </c>
      <c r="L1043" s="6"/>
      <c r="M10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3" s="6" t="str">
        <f ca="1">IF(GameLog[[#This Row],[Check]]="","",COUNTIF(GameLog[[#Headers],[Check]]:GameLog[[#This Row],[Check]],"?*")-1)</f>
        <v/>
      </c>
      <c r="O1043" s="6" t="str">
        <f>IFERROR(INDEX(Players[New name],MATCH(GameLog[[#This Row],[Player]],Players[Name],0)),GameLog[[#This Row],[Player]])</f>
        <v>Isaac B</v>
      </c>
    </row>
    <row r="1044" spans="1:15" x14ac:dyDescent="0.45">
      <c r="A1044" s="6" t="s">
        <v>75</v>
      </c>
      <c r="B1044" s="6" t="s">
        <v>90</v>
      </c>
      <c r="C1044" s="6">
        <v>3</v>
      </c>
      <c r="D1044" s="6">
        <v>2</v>
      </c>
      <c r="E1044" s="6">
        <v>1</v>
      </c>
      <c r="F1044" s="10">
        <v>46083</v>
      </c>
      <c r="G1044" s="6" t="str">
        <f>_xlfn.TEXTJOIN("|",TRUE,GameLog[[#This Row],[Pod]],TEXT(INT(GameLog[[#This Row],[Round]]),"yyyymmdd"),GameLog[[#This Row],[Date]])</f>
        <v>2|19000101|46083</v>
      </c>
      <c r="H1044" s="6">
        <f>COUNTIF(GameLog[Pod ID],GameLog[[#This Row],[Pod ID]])</f>
        <v>4</v>
      </c>
      <c r="I1044" s="6">
        <f>YEAR(GameLog[[#This Row],[Date]])</f>
        <v>2026</v>
      </c>
      <c r="J1044" s="6">
        <f>MONTH(GameLog[[#This Row],[Date]])</f>
        <v>3</v>
      </c>
      <c r="K1044" s="6" t="str">
        <f>IF(GameLog[[#This Row],[Date]]=MAX(GameLog[Date]),"Current","Previous")</f>
        <v>Previous</v>
      </c>
      <c r="L1044" s="6"/>
      <c r="M10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4" s="6" t="str">
        <f ca="1">IF(GameLog[[#This Row],[Check]]="","",COUNTIF(GameLog[[#Headers],[Check]]:GameLog[[#This Row],[Check]],"?*")-1)</f>
        <v/>
      </c>
      <c r="O1044" s="6" t="str">
        <f>IFERROR(INDEX(Players[New name],MATCH(GameLog[[#This Row],[Player]],Players[Name],0)),GameLog[[#This Row],[Player]])</f>
        <v>Eli T</v>
      </c>
    </row>
    <row r="1045" spans="1:15" x14ac:dyDescent="0.45">
      <c r="A1045" s="6" t="s">
        <v>55</v>
      </c>
      <c r="B1045" s="6" t="s">
        <v>90</v>
      </c>
      <c r="C1045" s="6">
        <v>4</v>
      </c>
      <c r="D1045" s="6">
        <v>2</v>
      </c>
      <c r="E1045" s="6">
        <v>1</v>
      </c>
      <c r="F1045" s="10">
        <v>46083</v>
      </c>
      <c r="G1045" s="6" t="str">
        <f>_xlfn.TEXTJOIN("|",TRUE,GameLog[[#This Row],[Pod]],TEXT(INT(GameLog[[#This Row],[Round]]),"yyyymmdd"),GameLog[[#This Row],[Date]])</f>
        <v>2|19000101|46083</v>
      </c>
      <c r="H1045" s="6">
        <f>COUNTIF(GameLog[Pod ID],GameLog[[#This Row],[Pod ID]])</f>
        <v>4</v>
      </c>
      <c r="I1045" s="6">
        <f>YEAR(GameLog[[#This Row],[Date]])</f>
        <v>2026</v>
      </c>
      <c r="J1045" s="6">
        <f>MONTH(GameLog[[#This Row],[Date]])</f>
        <v>3</v>
      </c>
      <c r="K1045" s="6" t="str">
        <f>IF(GameLog[[#This Row],[Date]]=MAX(GameLog[Date]),"Current","Previous")</f>
        <v>Previous</v>
      </c>
      <c r="L1045" s="6"/>
      <c r="M10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5" s="6" t="str">
        <f ca="1">IF(GameLog[[#This Row],[Check]]="","",COUNTIF(GameLog[[#Headers],[Check]]:GameLog[[#This Row],[Check]],"?*")-1)</f>
        <v/>
      </c>
      <c r="O1045" s="6" t="str">
        <f>IFERROR(INDEX(Players[New name],MATCH(GameLog[[#This Row],[Player]],Players[Name],0)),GameLog[[#This Row],[Player]])</f>
        <v>Bryce C</v>
      </c>
    </row>
    <row r="1046" spans="1:15" x14ac:dyDescent="0.45">
      <c r="A1046" s="6" t="s">
        <v>73</v>
      </c>
      <c r="B1046" s="6" t="s">
        <v>53</v>
      </c>
      <c r="C1046" s="6">
        <v>1</v>
      </c>
      <c r="D1046" s="6">
        <v>3</v>
      </c>
      <c r="E1046" s="6">
        <v>1</v>
      </c>
      <c r="F1046" s="10">
        <v>46083</v>
      </c>
      <c r="G1046" s="6" t="str">
        <f>_xlfn.TEXTJOIN("|",TRUE,GameLog[[#This Row],[Pod]],TEXT(INT(GameLog[[#This Row],[Round]]),"yyyymmdd"),GameLog[[#This Row],[Date]])</f>
        <v>3|19000101|46083</v>
      </c>
      <c r="H1046" s="6">
        <f>COUNTIF(GameLog[Pod ID],GameLog[[#This Row],[Pod ID]])</f>
        <v>4</v>
      </c>
      <c r="I1046" s="6">
        <f>YEAR(GameLog[[#This Row],[Date]])</f>
        <v>2026</v>
      </c>
      <c r="J1046" s="6">
        <f>MONTH(GameLog[[#This Row],[Date]])</f>
        <v>3</v>
      </c>
      <c r="K1046" s="6" t="str">
        <f>IF(GameLog[[#This Row],[Date]]=MAX(GameLog[Date]),"Current","Previous")</f>
        <v>Previous</v>
      </c>
      <c r="L1046" s="6"/>
      <c r="M10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6" s="6" t="str">
        <f ca="1">IF(GameLog[[#This Row],[Check]]="","",COUNTIF(GameLog[[#Headers],[Check]]:GameLog[[#This Row],[Check]],"?*")-1)</f>
        <v/>
      </c>
      <c r="O1046" s="6" t="str">
        <f>IFERROR(INDEX(Players[New name],MATCH(GameLog[[#This Row],[Player]],Players[Name],0)),GameLog[[#This Row],[Player]])</f>
        <v>Brandon B</v>
      </c>
    </row>
    <row r="1047" spans="1:15" x14ac:dyDescent="0.45">
      <c r="A1047" s="6" t="s">
        <v>78</v>
      </c>
      <c r="B1047" s="6" t="s">
        <v>50</v>
      </c>
      <c r="C1047" s="6">
        <v>2</v>
      </c>
      <c r="D1047" s="6">
        <v>3</v>
      </c>
      <c r="E1047" s="6">
        <v>1</v>
      </c>
      <c r="F1047" s="10">
        <v>46083</v>
      </c>
      <c r="G1047" s="6" t="str">
        <f>_xlfn.TEXTJOIN("|",TRUE,GameLog[[#This Row],[Pod]],TEXT(INT(GameLog[[#This Row],[Round]]),"yyyymmdd"),GameLog[[#This Row],[Date]])</f>
        <v>3|19000101|46083</v>
      </c>
      <c r="H1047" s="6">
        <f>COUNTIF(GameLog[Pod ID],GameLog[[#This Row],[Pod ID]])</f>
        <v>4</v>
      </c>
      <c r="I1047" s="6">
        <f>YEAR(GameLog[[#This Row],[Date]])</f>
        <v>2026</v>
      </c>
      <c r="J1047" s="6">
        <f>MONTH(GameLog[[#This Row],[Date]])</f>
        <v>3</v>
      </c>
      <c r="K1047" s="6" t="str">
        <f>IF(GameLog[[#This Row],[Date]]=MAX(GameLog[Date]),"Current","Previous")</f>
        <v>Previous</v>
      </c>
      <c r="L1047" s="6"/>
      <c r="M10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7" s="6" t="str">
        <f ca="1">IF(GameLog[[#This Row],[Check]]="","",COUNTIF(GameLog[[#Headers],[Check]]:GameLog[[#This Row],[Check]],"?*")-1)</f>
        <v/>
      </c>
      <c r="O1047" s="6" t="str">
        <f>IFERROR(INDEX(Players[New name],MATCH(GameLog[[#This Row],[Player]],Players[Name],0)),GameLog[[#This Row],[Player]])</f>
        <v>Justin M</v>
      </c>
    </row>
    <row r="1048" spans="1:15" x14ac:dyDescent="0.45">
      <c r="A1048" s="6" t="s">
        <v>64</v>
      </c>
      <c r="B1048" s="6" t="s">
        <v>53</v>
      </c>
      <c r="C1048" s="6">
        <v>3</v>
      </c>
      <c r="D1048" s="6">
        <v>3</v>
      </c>
      <c r="E1048" s="6">
        <v>1</v>
      </c>
      <c r="F1048" s="10">
        <v>46083</v>
      </c>
      <c r="G1048" s="6" t="str">
        <f>_xlfn.TEXTJOIN("|",TRUE,GameLog[[#This Row],[Pod]],TEXT(INT(GameLog[[#This Row],[Round]]),"yyyymmdd"),GameLog[[#This Row],[Date]])</f>
        <v>3|19000101|46083</v>
      </c>
      <c r="H1048" s="6">
        <f>COUNTIF(GameLog[Pod ID],GameLog[[#This Row],[Pod ID]])</f>
        <v>4</v>
      </c>
      <c r="I1048" s="6">
        <f>YEAR(GameLog[[#This Row],[Date]])</f>
        <v>2026</v>
      </c>
      <c r="J1048" s="6">
        <f>MONTH(GameLog[[#This Row],[Date]])</f>
        <v>3</v>
      </c>
      <c r="K1048" s="6" t="str">
        <f>IF(GameLog[[#This Row],[Date]]=MAX(GameLog[Date]),"Current","Previous")</f>
        <v>Previous</v>
      </c>
      <c r="L1048" s="6"/>
      <c r="M10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8" s="6" t="str">
        <f ca="1">IF(GameLog[[#This Row],[Check]]="","",COUNTIF(GameLog[[#Headers],[Check]]:GameLog[[#This Row],[Check]],"?*")-1)</f>
        <v/>
      </c>
      <c r="O1048" s="6" t="str">
        <f>IFERROR(INDEX(Players[New name],MATCH(GameLog[[#This Row],[Player]],Players[Name],0)),GameLog[[#This Row],[Player]])</f>
        <v>Tyler B</v>
      </c>
    </row>
    <row r="1049" spans="1:15" x14ac:dyDescent="0.45">
      <c r="A1049" s="6" t="s">
        <v>68</v>
      </c>
      <c r="B1049" s="6" t="s">
        <v>53</v>
      </c>
      <c r="C1049" s="6">
        <v>4</v>
      </c>
      <c r="D1049" s="6">
        <v>3</v>
      </c>
      <c r="E1049" s="6">
        <v>1</v>
      </c>
      <c r="F1049" s="10">
        <v>46083</v>
      </c>
      <c r="G1049" s="6" t="str">
        <f>_xlfn.TEXTJOIN("|",TRUE,GameLog[[#This Row],[Pod]],TEXT(INT(GameLog[[#This Row],[Round]]),"yyyymmdd"),GameLog[[#This Row],[Date]])</f>
        <v>3|19000101|46083</v>
      </c>
      <c r="H1049" s="6">
        <f>COUNTIF(GameLog[Pod ID],GameLog[[#This Row],[Pod ID]])</f>
        <v>4</v>
      </c>
      <c r="I1049" s="6">
        <f>YEAR(GameLog[[#This Row],[Date]])</f>
        <v>2026</v>
      </c>
      <c r="J1049" s="6">
        <f>MONTH(GameLog[[#This Row],[Date]])</f>
        <v>3</v>
      </c>
      <c r="K1049" s="6" t="str">
        <f>IF(GameLog[[#This Row],[Date]]=MAX(GameLog[Date]),"Current","Previous")</f>
        <v>Previous</v>
      </c>
      <c r="L1049" s="6"/>
      <c r="M10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49" s="6" t="str">
        <f ca="1">IF(GameLog[[#This Row],[Check]]="","",COUNTIF(GameLog[[#Headers],[Check]]:GameLog[[#This Row],[Check]],"?*")-1)</f>
        <v/>
      </c>
      <c r="O1049" s="6" t="str">
        <f>IFERROR(INDEX(Players[New name],MATCH(GameLog[[#This Row],[Player]],Players[Name],0)),GameLog[[#This Row],[Player]])</f>
        <v>Edwin M</v>
      </c>
    </row>
    <row r="1050" spans="1:15" x14ac:dyDescent="0.45">
      <c r="A1050" s="6" t="s">
        <v>71</v>
      </c>
      <c r="B1050" s="6" t="s">
        <v>53</v>
      </c>
      <c r="C1050" s="6">
        <v>1</v>
      </c>
      <c r="D1050" s="6">
        <v>4</v>
      </c>
      <c r="E1050" s="6">
        <v>1</v>
      </c>
      <c r="F1050" s="10">
        <v>46083</v>
      </c>
      <c r="G1050" s="6" t="str">
        <f>_xlfn.TEXTJOIN("|",TRUE,GameLog[[#This Row],[Pod]],TEXT(INT(GameLog[[#This Row],[Round]]),"yyyymmdd"),GameLog[[#This Row],[Date]])</f>
        <v>4|19000101|46083</v>
      </c>
      <c r="H1050" s="6">
        <f>COUNTIF(GameLog[Pod ID],GameLog[[#This Row],[Pod ID]])</f>
        <v>4</v>
      </c>
      <c r="I1050" s="6">
        <f>YEAR(GameLog[[#This Row],[Date]])</f>
        <v>2026</v>
      </c>
      <c r="J1050" s="6">
        <f>MONTH(GameLog[[#This Row],[Date]])</f>
        <v>3</v>
      </c>
      <c r="K1050" s="6" t="str">
        <f>IF(GameLog[[#This Row],[Date]]=MAX(GameLog[Date]),"Current","Previous")</f>
        <v>Previous</v>
      </c>
      <c r="L1050" s="6"/>
      <c r="M10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0" s="6" t="str">
        <f ca="1">IF(GameLog[[#This Row],[Check]]="","",COUNTIF(GameLog[[#Headers],[Check]]:GameLog[[#This Row],[Check]],"?*")-1)</f>
        <v/>
      </c>
      <c r="O1050" s="6" t="str">
        <f>IFERROR(INDEX(Players[New name],MATCH(GameLog[[#This Row],[Player]],Players[Name],0)),GameLog[[#This Row],[Player]])</f>
        <v>Rodney Y</v>
      </c>
    </row>
    <row r="1051" spans="1:15" x14ac:dyDescent="0.45">
      <c r="A1051" s="6" t="s">
        <v>92</v>
      </c>
      <c r="B1051" s="6" t="s">
        <v>50</v>
      </c>
      <c r="C1051" s="6">
        <v>2</v>
      </c>
      <c r="D1051" s="6">
        <v>4</v>
      </c>
      <c r="E1051" s="6">
        <v>1</v>
      </c>
      <c r="F1051" s="10">
        <v>46083</v>
      </c>
      <c r="G1051" s="6" t="str">
        <f>_xlfn.TEXTJOIN("|",TRUE,GameLog[[#This Row],[Pod]],TEXT(INT(GameLog[[#This Row],[Round]]),"yyyymmdd"),GameLog[[#This Row],[Date]])</f>
        <v>4|19000101|46083</v>
      </c>
      <c r="H1051" s="6">
        <f>COUNTIF(GameLog[Pod ID],GameLog[[#This Row],[Pod ID]])</f>
        <v>4</v>
      </c>
      <c r="I1051" s="6">
        <f>YEAR(GameLog[[#This Row],[Date]])</f>
        <v>2026</v>
      </c>
      <c r="J1051" s="6">
        <f>MONTH(GameLog[[#This Row],[Date]])</f>
        <v>3</v>
      </c>
      <c r="K1051" s="6" t="str">
        <f>IF(GameLog[[#This Row],[Date]]=MAX(GameLog[Date]),"Current","Previous")</f>
        <v>Previous</v>
      </c>
      <c r="L1051" s="6"/>
      <c r="M10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1" s="6" t="str">
        <f ca="1">IF(GameLog[[#This Row],[Check]]="","",COUNTIF(GameLog[[#Headers],[Check]]:GameLog[[#This Row],[Check]],"?*")-1)</f>
        <v/>
      </c>
      <c r="O1051" s="6" t="str">
        <f>IFERROR(INDEX(Players[New name],MATCH(GameLog[[#This Row],[Player]],Players[Name],0)),GameLog[[#This Row],[Player]])</f>
        <v>Harley A</v>
      </c>
    </row>
    <row r="1052" spans="1:15" x14ac:dyDescent="0.45">
      <c r="A1052" s="6" t="s">
        <v>89</v>
      </c>
      <c r="B1052" s="6" t="s">
        <v>53</v>
      </c>
      <c r="C1052" s="6">
        <v>3</v>
      </c>
      <c r="D1052" s="6">
        <v>4</v>
      </c>
      <c r="E1052" s="6">
        <v>1</v>
      </c>
      <c r="F1052" s="10">
        <v>46083</v>
      </c>
      <c r="G1052" s="6" t="str">
        <f>_xlfn.TEXTJOIN("|",TRUE,GameLog[[#This Row],[Pod]],TEXT(INT(GameLog[[#This Row],[Round]]),"yyyymmdd"),GameLog[[#This Row],[Date]])</f>
        <v>4|19000101|46083</v>
      </c>
      <c r="H1052" s="6">
        <f>COUNTIF(GameLog[Pod ID],GameLog[[#This Row],[Pod ID]])</f>
        <v>4</v>
      </c>
      <c r="I1052" s="6">
        <f>YEAR(GameLog[[#This Row],[Date]])</f>
        <v>2026</v>
      </c>
      <c r="J1052" s="6">
        <f>MONTH(GameLog[[#This Row],[Date]])</f>
        <v>3</v>
      </c>
      <c r="K1052" s="6" t="str">
        <f>IF(GameLog[[#This Row],[Date]]=MAX(GameLog[Date]),"Current","Previous")</f>
        <v>Previous</v>
      </c>
      <c r="L1052" s="6"/>
      <c r="M10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2" s="6" t="str">
        <f ca="1">IF(GameLog[[#This Row],[Check]]="","",COUNTIF(GameLog[[#Headers],[Check]]:GameLog[[#This Row],[Check]],"?*")-1)</f>
        <v/>
      </c>
      <c r="O1052" s="6" t="str">
        <f>IFERROR(INDEX(Players[New name],MATCH(GameLog[[#This Row],[Player]],Players[Name],0)),GameLog[[#This Row],[Player]])</f>
        <v>Fernando J</v>
      </c>
    </row>
    <row r="1053" spans="1:15" x14ac:dyDescent="0.45">
      <c r="A1053" s="6" t="s">
        <v>77</v>
      </c>
      <c r="B1053" s="6" t="s">
        <v>53</v>
      </c>
      <c r="C1053" s="6">
        <v>4</v>
      </c>
      <c r="D1053" s="6">
        <v>4</v>
      </c>
      <c r="E1053" s="6">
        <v>1</v>
      </c>
      <c r="F1053" s="10">
        <v>46083</v>
      </c>
      <c r="G1053" s="6" t="str">
        <f>_xlfn.TEXTJOIN("|",TRUE,GameLog[[#This Row],[Pod]],TEXT(INT(GameLog[[#This Row],[Round]]),"yyyymmdd"),GameLog[[#This Row],[Date]])</f>
        <v>4|19000101|46083</v>
      </c>
      <c r="H1053" s="6">
        <f>COUNTIF(GameLog[Pod ID],GameLog[[#This Row],[Pod ID]])</f>
        <v>4</v>
      </c>
      <c r="I1053" s="6">
        <f>YEAR(GameLog[[#This Row],[Date]])</f>
        <v>2026</v>
      </c>
      <c r="J1053" s="6">
        <f>MONTH(GameLog[[#This Row],[Date]])</f>
        <v>3</v>
      </c>
      <c r="K1053" s="6" t="str">
        <f>IF(GameLog[[#This Row],[Date]]=MAX(GameLog[Date]),"Current","Previous")</f>
        <v>Previous</v>
      </c>
      <c r="L1053" s="6"/>
      <c r="M10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3" s="6" t="str">
        <f ca="1">IF(GameLog[[#This Row],[Check]]="","",COUNTIF(GameLog[[#Headers],[Check]]:GameLog[[#This Row],[Check]],"?*")-1)</f>
        <v/>
      </c>
      <c r="O1053" s="6" t="str">
        <f>IFERROR(INDEX(Players[New name],MATCH(GameLog[[#This Row],[Player]],Players[Name],0)),GameLog[[#This Row],[Player]])</f>
        <v>Dave M</v>
      </c>
    </row>
    <row r="1054" spans="1:15" x14ac:dyDescent="0.45">
      <c r="A1054" s="6" t="s">
        <v>57</v>
      </c>
      <c r="B1054" s="6" t="s">
        <v>53</v>
      </c>
      <c r="C1054" s="6">
        <v>1</v>
      </c>
      <c r="D1054" s="6">
        <v>5</v>
      </c>
      <c r="E1054" s="6">
        <v>1</v>
      </c>
      <c r="F1054" s="10">
        <v>46083</v>
      </c>
      <c r="G1054" s="6" t="str">
        <f>_xlfn.TEXTJOIN("|",TRUE,GameLog[[#This Row],[Pod]],TEXT(INT(GameLog[[#This Row],[Round]]),"yyyymmdd"),GameLog[[#This Row],[Date]])</f>
        <v>5|19000101|46083</v>
      </c>
      <c r="H1054" s="6">
        <f>COUNTIF(GameLog[Pod ID],GameLog[[#This Row],[Pod ID]])</f>
        <v>4</v>
      </c>
      <c r="I1054" s="6">
        <f>YEAR(GameLog[[#This Row],[Date]])</f>
        <v>2026</v>
      </c>
      <c r="J1054" s="6">
        <f>MONTH(GameLog[[#This Row],[Date]])</f>
        <v>3</v>
      </c>
      <c r="K1054" s="6" t="str">
        <f>IF(GameLog[[#This Row],[Date]]=MAX(GameLog[Date]),"Current","Previous")</f>
        <v>Previous</v>
      </c>
      <c r="L1054" s="6"/>
      <c r="M10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4" s="6" t="str">
        <f ca="1">IF(GameLog[[#This Row],[Check]]="","",COUNTIF(GameLog[[#Headers],[Check]]:GameLog[[#This Row],[Check]],"?*")-1)</f>
        <v/>
      </c>
      <c r="O1054" s="6" t="str">
        <f>IFERROR(INDEX(Players[New name],MATCH(GameLog[[#This Row],[Player]],Players[Name],0)),GameLog[[#This Row],[Player]])</f>
        <v>AJ W</v>
      </c>
    </row>
    <row r="1055" spans="1:15" x14ac:dyDescent="0.45">
      <c r="A1055" s="6" t="s">
        <v>70</v>
      </c>
      <c r="B1055" s="6" t="s">
        <v>50</v>
      </c>
      <c r="C1055" s="6">
        <v>2</v>
      </c>
      <c r="D1055" s="6">
        <v>5</v>
      </c>
      <c r="E1055" s="6">
        <v>1</v>
      </c>
      <c r="F1055" s="10">
        <v>46083</v>
      </c>
      <c r="G1055" s="6" t="str">
        <f>_xlfn.TEXTJOIN("|",TRUE,GameLog[[#This Row],[Pod]],TEXT(INT(GameLog[[#This Row],[Round]]),"yyyymmdd"),GameLog[[#This Row],[Date]])</f>
        <v>5|19000101|46083</v>
      </c>
      <c r="H1055" s="6">
        <f>COUNTIF(GameLog[Pod ID],GameLog[[#This Row],[Pod ID]])</f>
        <v>4</v>
      </c>
      <c r="I1055" s="6">
        <f>YEAR(GameLog[[#This Row],[Date]])</f>
        <v>2026</v>
      </c>
      <c r="J1055" s="6">
        <f>MONTH(GameLog[[#This Row],[Date]])</f>
        <v>3</v>
      </c>
      <c r="K1055" s="6" t="str">
        <f>IF(GameLog[[#This Row],[Date]]=MAX(GameLog[Date]),"Current","Previous")</f>
        <v>Previous</v>
      </c>
      <c r="L1055" s="6"/>
      <c r="M10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5" s="6" t="str">
        <f ca="1">IF(GameLog[[#This Row],[Check]]="","",COUNTIF(GameLog[[#Headers],[Check]]:GameLog[[#This Row],[Check]],"?*")-1)</f>
        <v/>
      </c>
      <c r="O1055" s="6" t="str">
        <f>IFERROR(INDEX(Players[New name],MATCH(GameLog[[#This Row],[Player]],Players[Name],0)),GameLog[[#This Row],[Player]])</f>
        <v>Brad F</v>
      </c>
    </row>
    <row r="1056" spans="1:15" x14ac:dyDescent="0.45">
      <c r="A1056" s="6" t="s">
        <v>98</v>
      </c>
      <c r="B1056" s="6" t="s">
        <v>53</v>
      </c>
      <c r="C1056" s="6">
        <v>3</v>
      </c>
      <c r="D1056" s="6">
        <v>5</v>
      </c>
      <c r="E1056" s="6">
        <v>1</v>
      </c>
      <c r="F1056" s="10">
        <v>46083</v>
      </c>
      <c r="G1056" s="6" t="str">
        <f>_xlfn.TEXTJOIN("|",TRUE,GameLog[[#This Row],[Pod]],TEXT(INT(GameLog[[#This Row],[Round]]),"yyyymmdd"),GameLog[[#This Row],[Date]])</f>
        <v>5|19000101|46083</v>
      </c>
      <c r="H1056" s="6">
        <f>COUNTIF(GameLog[Pod ID],GameLog[[#This Row],[Pod ID]])</f>
        <v>4</v>
      </c>
      <c r="I1056" s="6">
        <f>YEAR(GameLog[[#This Row],[Date]])</f>
        <v>2026</v>
      </c>
      <c r="J1056" s="6">
        <f>MONTH(GameLog[[#This Row],[Date]])</f>
        <v>3</v>
      </c>
      <c r="K1056" s="6" t="str">
        <f>IF(GameLog[[#This Row],[Date]]=MAX(GameLog[Date]),"Current","Previous")</f>
        <v>Previous</v>
      </c>
      <c r="L1056" s="6"/>
      <c r="M10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6" s="6" t="str">
        <f ca="1">IF(GameLog[[#This Row],[Check]]="","",COUNTIF(GameLog[[#Headers],[Check]]:GameLog[[#This Row],[Check]],"?*")-1)</f>
        <v/>
      </c>
      <c r="O1056" s="6" t="str">
        <f>IFERROR(INDEX(Players[New name],MATCH(GameLog[[#This Row],[Player]],Players[Name],0)),GameLog[[#This Row],[Player]])</f>
        <v>Charlie B</v>
      </c>
    </row>
    <row r="1057" spans="1:15" x14ac:dyDescent="0.45">
      <c r="A1057" s="6" t="s">
        <v>58</v>
      </c>
      <c r="B1057" s="6" t="s">
        <v>53</v>
      </c>
      <c r="C1057" s="6">
        <v>4</v>
      </c>
      <c r="D1057" s="6">
        <v>5</v>
      </c>
      <c r="E1057" s="6">
        <v>1</v>
      </c>
      <c r="F1057" s="10">
        <v>46083</v>
      </c>
      <c r="G1057" s="6" t="str">
        <f>_xlfn.TEXTJOIN("|",TRUE,GameLog[[#This Row],[Pod]],TEXT(INT(GameLog[[#This Row],[Round]]),"yyyymmdd"),GameLog[[#This Row],[Date]])</f>
        <v>5|19000101|46083</v>
      </c>
      <c r="H1057" s="6">
        <f>COUNTIF(GameLog[Pod ID],GameLog[[#This Row],[Pod ID]])</f>
        <v>4</v>
      </c>
      <c r="I1057" s="6">
        <f>YEAR(GameLog[[#This Row],[Date]])</f>
        <v>2026</v>
      </c>
      <c r="J1057" s="6">
        <f>MONTH(GameLog[[#This Row],[Date]])</f>
        <v>3</v>
      </c>
      <c r="K1057" s="6" t="str">
        <f>IF(GameLog[[#This Row],[Date]]=MAX(GameLog[Date]),"Current","Previous")</f>
        <v>Previous</v>
      </c>
      <c r="L1057" s="6"/>
      <c r="M10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7" s="6" t="str">
        <f ca="1">IF(GameLog[[#This Row],[Check]]="","",COUNTIF(GameLog[[#Headers],[Check]]:GameLog[[#This Row],[Check]],"?*")-1)</f>
        <v/>
      </c>
      <c r="O1057" s="6" t="str">
        <f>IFERROR(INDEX(Players[New name],MATCH(GameLog[[#This Row],[Player]],Players[Name],0)),GameLog[[#This Row],[Player]])</f>
        <v>Dakota P</v>
      </c>
    </row>
    <row r="1058" spans="1:15" x14ac:dyDescent="0.45">
      <c r="A1058" s="6" t="s">
        <v>49</v>
      </c>
      <c r="B1058" s="6" t="s">
        <v>50</v>
      </c>
      <c r="C1058" s="6">
        <v>1</v>
      </c>
      <c r="D1058" s="6">
        <v>6</v>
      </c>
      <c r="E1058" s="6">
        <v>1</v>
      </c>
      <c r="F1058" s="10">
        <v>46083</v>
      </c>
      <c r="G1058" s="6" t="str">
        <f>_xlfn.TEXTJOIN("|",TRUE,GameLog[[#This Row],[Pod]],TEXT(INT(GameLog[[#This Row],[Round]]),"yyyymmdd"),GameLog[[#This Row],[Date]])</f>
        <v>6|19000101|46083</v>
      </c>
      <c r="H1058" s="6">
        <f>COUNTIF(GameLog[Pod ID],GameLog[[#This Row],[Pod ID]])</f>
        <v>4</v>
      </c>
      <c r="I1058" s="6">
        <f>YEAR(GameLog[[#This Row],[Date]])</f>
        <v>2026</v>
      </c>
      <c r="J1058" s="6">
        <f>MONTH(GameLog[[#This Row],[Date]])</f>
        <v>3</v>
      </c>
      <c r="K1058" s="6" t="str">
        <f>IF(GameLog[[#This Row],[Date]]=MAX(GameLog[Date]),"Current","Previous")</f>
        <v>Previous</v>
      </c>
      <c r="L1058" s="6"/>
      <c r="M10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8" s="6" t="str">
        <f ca="1">IF(GameLog[[#This Row],[Check]]="","",COUNTIF(GameLog[[#Headers],[Check]]:GameLog[[#This Row],[Check]],"?*")-1)</f>
        <v/>
      </c>
      <c r="O1058" s="6" t="str">
        <f>IFERROR(INDEX(Players[New name],MATCH(GameLog[[#This Row],[Player]],Players[Name],0)),GameLog[[#This Row],[Player]])</f>
        <v>Brett R</v>
      </c>
    </row>
    <row r="1059" spans="1:15" x14ac:dyDescent="0.45">
      <c r="A1059" s="6" t="s">
        <v>81</v>
      </c>
      <c r="B1059" s="6" t="s">
        <v>53</v>
      </c>
      <c r="C1059" s="6">
        <v>2</v>
      </c>
      <c r="D1059" s="6">
        <v>6</v>
      </c>
      <c r="E1059" s="6">
        <v>1</v>
      </c>
      <c r="F1059" s="10">
        <v>46083</v>
      </c>
      <c r="G1059" s="6" t="str">
        <f>_xlfn.TEXTJOIN("|",TRUE,GameLog[[#This Row],[Pod]],TEXT(INT(GameLog[[#This Row],[Round]]),"yyyymmdd"),GameLog[[#This Row],[Date]])</f>
        <v>6|19000101|46083</v>
      </c>
      <c r="H1059" s="6">
        <f>COUNTIF(GameLog[Pod ID],GameLog[[#This Row],[Pod ID]])</f>
        <v>4</v>
      </c>
      <c r="I1059" s="6">
        <f>YEAR(GameLog[[#This Row],[Date]])</f>
        <v>2026</v>
      </c>
      <c r="J1059" s="6">
        <f>MONTH(GameLog[[#This Row],[Date]])</f>
        <v>3</v>
      </c>
      <c r="K1059" s="6" t="str">
        <f>IF(GameLog[[#This Row],[Date]]=MAX(GameLog[Date]),"Current","Previous")</f>
        <v>Previous</v>
      </c>
      <c r="L1059" s="6"/>
      <c r="M10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59" s="6" t="str">
        <f ca="1">IF(GameLog[[#This Row],[Check]]="","",COUNTIF(GameLog[[#Headers],[Check]]:GameLog[[#This Row],[Check]],"?*")-1)</f>
        <v/>
      </c>
      <c r="O1059" s="6" t="str">
        <f>IFERROR(INDEX(Players[New name],MATCH(GameLog[[#This Row],[Player]],Players[Name],0)),GameLog[[#This Row],[Player]])</f>
        <v>Forrest</v>
      </c>
    </row>
    <row r="1060" spans="1:15" x14ac:dyDescent="0.45">
      <c r="A1060" s="6" t="s">
        <v>74</v>
      </c>
      <c r="B1060" s="6" t="s">
        <v>53</v>
      </c>
      <c r="C1060" s="6">
        <v>3</v>
      </c>
      <c r="D1060" s="6">
        <v>6</v>
      </c>
      <c r="E1060" s="6">
        <v>1</v>
      </c>
      <c r="F1060" s="10">
        <v>46083</v>
      </c>
      <c r="G1060" s="6" t="str">
        <f>_xlfn.TEXTJOIN("|",TRUE,GameLog[[#This Row],[Pod]],TEXT(INT(GameLog[[#This Row],[Round]]),"yyyymmdd"),GameLog[[#This Row],[Date]])</f>
        <v>6|19000101|46083</v>
      </c>
      <c r="H1060" s="6">
        <f>COUNTIF(GameLog[Pod ID],GameLog[[#This Row],[Pod ID]])</f>
        <v>4</v>
      </c>
      <c r="I1060" s="6">
        <f>YEAR(GameLog[[#This Row],[Date]])</f>
        <v>2026</v>
      </c>
      <c r="J1060" s="6">
        <f>MONTH(GameLog[[#This Row],[Date]])</f>
        <v>3</v>
      </c>
      <c r="K1060" s="6" t="str">
        <f>IF(GameLog[[#This Row],[Date]]=MAX(GameLog[Date]),"Current","Previous")</f>
        <v>Previous</v>
      </c>
      <c r="L1060" s="6"/>
      <c r="M10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0" s="6" t="str">
        <f ca="1">IF(GameLog[[#This Row],[Check]]="","",COUNTIF(GameLog[[#Headers],[Check]]:GameLog[[#This Row],[Check]],"?*")-1)</f>
        <v/>
      </c>
      <c r="O1060" s="6" t="str">
        <f>IFERROR(INDEX(Players[New name],MATCH(GameLog[[#This Row],[Player]],Players[Name],0)),GameLog[[#This Row],[Player]])</f>
        <v>Jarrod O</v>
      </c>
    </row>
    <row r="1061" spans="1:15" x14ac:dyDescent="0.45">
      <c r="A1061" s="6" t="s">
        <v>69</v>
      </c>
      <c r="B1061" s="6" t="s">
        <v>53</v>
      </c>
      <c r="C1061" s="6">
        <v>4</v>
      </c>
      <c r="D1061" s="6">
        <v>6</v>
      </c>
      <c r="E1061" s="6">
        <v>1</v>
      </c>
      <c r="F1061" s="10">
        <v>46083</v>
      </c>
      <c r="G1061" s="6" t="str">
        <f>_xlfn.TEXTJOIN("|",TRUE,GameLog[[#This Row],[Pod]],TEXT(INT(GameLog[[#This Row],[Round]]),"yyyymmdd"),GameLog[[#This Row],[Date]])</f>
        <v>6|19000101|46083</v>
      </c>
      <c r="H1061" s="6">
        <f>COUNTIF(GameLog[Pod ID],GameLog[[#This Row],[Pod ID]])</f>
        <v>4</v>
      </c>
      <c r="I1061" s="6">
        <f>YEAR(GameLog[[#This Row],[Date]])</f>
        <v>2026</v>
      </c>
      <c r="J1061" s="6">
        <f>MONTH(GameLog[[#This Row],[Date]])</f>
        <v>3</v>
      </c>
      <c r="K1061" s="6" t="str">
        <f>IF(GameLog[[#This Row],[Date]]=MAX(GameLog[Date]),"Current","Previous")</f>
        <v>Previous</v>
      </c>
      <c r="L1061" s="6"/>
      <c r="M10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1" s="6" t="str">
        <f ca="1">IF(GameLog[[#This Row],[Check]]="","",COUNTIF(GameLog[[#Headers],[Check]]:GameLog[[#This Row],[Check]],"?*")-1)</f>
        <v/>
      </c>
      <c r="O1061" s="6" t="str">
        <f>IFERROR(INDEX(Players[New name],MATCH(GameLog[[#This Row],[Player]],Players[Name],0)),GameLog[[#This Row],[Player]])</f>
        <v>Ryan T</v>
      </c>
    </row>
    <row r="1062" spans="1:15" x14ac:dyDescent="0.45">
      <c r="A1062" s="6" t="s">
        <v>73</v>
      </c>
      <c r="B1062" s="6" t="s">
        <v>50</v>
      </c>
      <c r="C1062" s="6">
        <v>1</v>
      </c>
      <c r="D1062" s="6">
        <v>1</v>
      </c>
      <c r="E1062" s="6">
        <v>2</v>
      </c>
      <c r="F1062" s="10">
        <v>46083</v>
      </c>
      <c r="G1062" s="6" t="str">
        <f>_xlfn.TEXTJOIN("|",TRUE,GameLog[[#This Row],[Pod]],TEXT(INT(GameLog[[#This Row],[Round]]),"yyyymmdd"),GameLog[[#This Row],[Date]])</f>
        <v>1|19000102|46083</v>
      </c>
      <c r="H1062" s="6">
        <f>COUNTIF(GameLog[Pod ID],GameLog[[#This Row],[Pod ID]])</f>
        <v>3</v>
      </c>
      <c r="I1062" s="6">
        <f>YEAR(GameLog[[#This Row],[Date]])</f>
        <v>2026</v>
      </c>
      <c r="J1062" s="6">
        <f>MONTH(GameLog[[#This Row],[Date]])</f>
        <v>3</v>
      </c>
      <c r="K1062" s="6" t="str">
        <f>IF(GameLog[[#This Row],[Date]]=MAX(GameLog[Date]),"Current","Previous")</f>
        <v>Previous</v>
      </c>
      <c r="L1062" s="6"/>
      <c r="M10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2" s="6" t="str">
        <f ca="1">IF(GameLog[[#This Row],[Check]]="","",COUNTIF(GameLog[[#Headers],[Check]]:GameLog[[#This Row],[Check]],"?*")-1)</f>
        <v/>
      </c>
      <c r="O1062" s="6" t="str">
        <f>IFERROR(INDEX(Players[New name],MATCH(GameLog[[#This Row],[Player]],Players[Name],0)),GameLog[[#This Row],[Player]])</f>
        <v>Brandon B</v>
      </c>
    </row>
    <row r="1063" spans="1:15" x14ac:dyDescent="0.45">
      <c r="A1063" s="6" t="s">
        <v>69</v>
      </c>
      <c r="B1063" s="6" t="s">
        <v>53</v>
      </c>
      <c r="C1063" s="6">
        <v>2</v>
      </c>
      <c r="D1063" s="6">
        <v>1</v>
      </c>
      <c r="E1063" s="6">
        <v>2</v>
      </c>
      <c r="F1063" s="10">
        <v>46083</v>
      </c>
      <c r="G1063" s="6" t="str">
        <f>_xlfn.TEXTJOIN("|",TRUE,GameLog[[#This Row],[Pod]],TEXT(INT(GameLog[[#This Row],[Round]]),"yyyymmdd"),GameLog[[#This Row],[Date]])</f>
        <v>1|19000102|46083</v>
      </c>
      <c r="H1063" s="6">
        <f>COUNTIF(GameLog[Pod ID],GameLog[[#This Row],[Pod ID]])</f>
        <v>3</v>
      </c>
      <c r="I1063" s="6">
        <f>YEAR(GameLog[[#This Row],[Date]])</f>
        <v>2026</v>
      </c>
      <c r="J1063" s="6">
        <f>MONTH(GameLog[[#This Row],[Date]])</f>
        <v>3</v>
      </c>
      <c r="K1063" s="6" t="str">
        <f>IF(GameLog[[#This Row],[Date]]=MAX(GameLog[Date]),"Current","Previous")</f>
        <v>Previous</v>
      </c>
      <c r="L1063" s="6"/>
      <c r="M10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3" s="6" t="str">
        <f ca="1">IF(GameLog[[#This Row],[Check]]="","",COUNTIF(GameLog[[#Headers],[Check]]:GameLog[[#This Row],[Check]],"?*")-1)</f>
        <v/>
      </c>
      <c r="O1063" s="6" t="str">
        <f>IFERROR(INDEX(Players[New name],MATCH(GameLog[[#This Row],[Player]],Players[Name],0)),GameLog[[#This Row],[Player]])</f>
        <v>Ryan T</v>
      </c>
    </row>
    <row r="1064" spans="1:15" x14ac:dyDescent="0.45">
      <c r="A1064" s="6" t="s">
        <v>71</v>
      </c>
      <c r="B1064" s="6" t="s">
        <v>53</v>
      </c>
      <c r="C1064" s="6">
        <v>3</v>
      </c>
      <c r="D1064" s="6">
        <v>1</v>
      </c>
      <c r="E1064" s="6">
        <v>2</v>
      </c>
      <c r="F1064" s="10">
        <v>46083</v>
      </c>
      <c r="G1064" s="6" t="str">
        <f>_xlfn.TEXTJOIN("|",TRUE,GameLog[[#This Row],[Pod]],TEXT(INT(GameLog[[#This Row],[Round]]),"yyyymmdd"),GameLog[[#This Row],[Date]])</f>
        <v>1|19000102|46083</v>
      </c>
      <c r="H1064" s="6">
        <f>COUNTIF(GameLog[Pod ID],GameLog[[#This Row],[Pod ID]])</f>
        <v>3</v>
      </c>
      <c r="I1064" s="6">
        <f>YEAR(GameLog[[#This Row],[Date]])</f>
        <v>2026</v>
      </c>
      <c r="J1064" s="6">
        <f>MONTH(GameLog[[#This Row],[Date]])</f>
        <v>3</v>
      </c>
      <c r="K1064" s="6" t="str">
        <f>IF(GameLog[[#This Row],[Date]]=MAX(GameLog[Date]),"Current","Previous")</f>
        <v>Previous</v>
      </c>
      <c r="L1064" s="6"/>
      <c r="M10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4" s="6" t="str">
        <f ca="1">IF(GameLog[[#This Row],[Check]]="","",COUNTIF(GameLog[[#Headers],[Check]]:GameLog[[#This Row],[Check]],"?*")-1)</f>
        <v/>
      </c>
      <c r="O1064" s="6" t="str">
        <f>IFERROR(INDEX(Players[New name],MATCH(GameLog[[#This Row],[Player]],Players[Name],0)),GameLog[[#This Row],[Player]])</f>
        <v>Rodney Y</v>
      </c>
    </row>
    <row r="1065" spans="1:15" x14ac:dyDescent="0.45">
      <c r="A1065" s="6" t="s">
        <v>82</v>
      </c>
      <c r="B1065" s="6" t="s">
        <v>53</v>
      </c>
      <c r="C1065" s="6">
        <v>1</v>
      </c>
      <c r="D1065" s="6">
        <v>2</v>
      </c>
      <c r="E1065" s="6">
        <v>2</v>
      </c>
      <c r="F1065" s="10">
        <v>46083</v>
      </c>
      <c r="G1065" s="6" t="str">
        <f>_xlfn.TEXTJOIN("|",TRUE,GameLog[[#This Row],[Pod]],TEXT(INT(GameLog[[#This Row],[Round]]),"yyyymmdd"),GameLog[[#This Row],[Date]])</f>
        <v>2|19000102|46083</v>
      </c>
      <c r="H1065" s="6">
        <f>COUNTIF(GameLog[Pod ID],GameLog[[#This Row],[Pod ID]])</f>
        <v>4</v>
      </c>
      <c r="I1065" s="6">
        <f>YEAR(GameLog[[#This Row],[Date]])</f>
        <v>2026</v>
      </c>
      <c r="J1065" s="6">
        <f>MONTH(GameLog[[#This Row],[Date]])</f>
        <v>3</v>
      </c>
      <c r="K1065" s="6" t="str">
        <f>IF(GameLog[[#This Row],[Date]]=MAX(GameLog[Date]),"Current","Previous")</f>
        <v>Previous</v>
      </c>
      <c r="L1065" s="6"/>
      <c r="M10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5" s="6" t="str">
        <f ca="1">IF(GameLog[[#This Row],[Check]]="","",COUNTIF(GameLog[[#Headers],[Check]]:GameLog[[#This Row],[Check]],"?*")-1)</f>
        <v/>
      </c>
      <c r="O1065" s="6" t="str">
        <f>IFERROR(INDEX(Players[New name],MATCH(GameLog[[#This Row],[Player]],Players[Name],0)),GameLog[[#This Row],[Player]])</f>
        <v>Nick D</v>
      </c>
    </row>
    <row r="1066" spans="1:15" x14ac:dyDescent="0.45">
      <c r="A1066" s="6" t="s">
        <v>55</v>
      </c>
      <c r="B1066" s="6" t="s">
        <v>53</v>
      </c>
      <c r="C1066" s="6">
        <v>2</v>
      </c>
      <c r="D1066" s="6">
        <v>2</v>
      </c>
      <c r="E1066" s="6">
        <v>2</v>
      </c>
      <c r="F1066" s="10">
        <v>46083</v>
      </c>
      <c r="G1066" s="6" t="str">
        <f>_xlfn.TEXTJOIN("|",TRUE,GameLog[[#This Row],[Pod]],TEXT(INT(GameLog[[#This Row],[Round]]),"yyyymmdd"),GameLog[[#This Row],[Date]])</f>
        <v>2|19000102|46083</v>
      </c>
      <c r="H1066" s="6">
        <f>COUNTIF(GameLog[Pod ID],GameLog[[#This Row],[Pod ID]])</f>
        <v>4</v>
      </c>
      <c r="I1066" s="6">
        <f>YEAR(GameLog[[#This Row],[Date]])</f>
        <v>2026</v>
      </c>
      <c r="J1066" s="6">
        <f>MONTH(GameLog[[#This Row],[Date]])</f>
        <v>3</v>
      </c>
      <c r="K1066" s="6" t="str">
        <f>IF(GameLog[[#This Row],[Date]]=MAX(GameLog[Date]),"Current","Previous")</f>
        <v>Previous</v>
      </c>
      <c r="L1066" s="6"/>
      <c r="M10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6" s="6" t="str">
        <f ca="1">IF(GameLog[[#This Row],[Check]]="","",COUNTIF(GameLog[[#Headers],[Check]]:GameLog[[#This Row],[Check]],"?*")-1)</f>
        <v/>
      </c>
      <c r="O1066" s="6" t="str">
        <f>IFERROR(INDEX(Players[New name],MATCH(GameLog[[#This Row],[Player]],Players[Name],0)),GameLog[[#This Row],[Player]])</f>
        <v>Bryce C</v>
      </c>
    </row>
    <row r="1067" spans="1:15" x14ac:dyDescent="0.45">
      <c r="A1067" s="6" t="s">
        <v>70</v>
      </c>
      <c r="B1067" s="6" t="s">
        <v>53</v>
      </c>
      <c r="C1067" s="6">
        <v>3</v>
      </c>
      <c r="D1067" s="6">
        <v>2</v>
      </c>
      <c r="E1067" s="6">
        <v>2</v>
      </c>
      <c r="F1067" s="10">
        <v>46083</v>
      </c>
      <c r="G1067" s="6" t="str">
        <f>_xlfn.TEXTJOIN("|",TRUE,GameLog[[#This Row],[Pod]],TEXT(INT(GameLog[[#This Row],[Round]]),"yyyymmdd"),GameLog[[#This Row],[Date]])</f>
        <v>2|19000102|46083</v>
      </c>
      <c r="H1067" s="6">
        <f>COUNTIF(GameLog[Pod ID],GameLog[[#This Row],[Pod ID]])</f>
        <v>4</v>
      </c>
      <c r="I1067" s="6">
        <f>YEAR(GameLog[[#This Row],[Date]])</f>
        <v>2026</v>
      </c>
      <c r="J1067" s="6">
        <f>MONTH(GameLog[[#This Row],[Date]])</f>
        <v>3</v>
      </c>
      <c r="K1067" s="6" t="str">
        <f>IF(GameLog[[#This Row],[Date]]=MAX(GameLog[Date]),"Current","Previous")</f>
        <v>Previous</v>
      </c>
      <c r="L1067" s="6"/>
      <c r="M10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7" s="6" t="str">
        <f ca="1">IF(GameLog[[#This Row],[Check]]="","",COUNTIF(GameLog[[#Headers],[Check]]:GameLog[[#This Row],[Check]],"?*")-1)</f>
        <v/>
      </c>
      <c r="O1067" s="6" t="str">
        <f>IFERROR(INDEX(Players[New name],MATCH(GameLog[[#This Row],[Player]],Players[Name],0)),GameLog[[#This Row],[Player]])</f>
        <v>Brad F</v>
      </c>
    </row>
    <row r="1068" spans="1:15" x14ac:dyDescent="0.45">
      <c r="A1068" s="6" t="s">
        <v>94</v>
      </c>
      <c r="B1068" s="6" t="s">
        <v>50</v>
      </c>
      <c r="C1068" s="6">
        <v>4</v>
      </c>
      <c r="D1068" s="6">
        <v>2</v>
      </c>
      <c r="E1068" s="6">
        <v>2</v>
      </c>
      <c r="F1068" s="10">
        <v>46083</v>
      </c>
      <c r="G1068" s="6" t="str">
        <f>_xlfn.TEXTJOIN("|",TRUE,GameLog[[#This Row],[Pod]],TEXT(INT(GameLog[[#This Row],[Round]]),"yyyymmdd"),GameLog[[#This Row],[Date]])</f>
        <v>2|19000102|46083</v>
      </c>
      <c r="H1068" s="6">
        <f>COUNTIF(GameLog[Pod ID],GameLog[[#This Row],[Pod ID]])</f>
        <v>4</v>
      </c>
      <c r="I1068" s="6">
        <f>YEAR(GameLog[[#This Row],[Date]])</f>
        <v>2026</v>
      </c>
      <c r="J1068" s="6">
        <f>MONTH(GameLog[[#This Row],[Date]])</f>
        <v>3</v>
      </c>
      <c r="K1068" s="6" t="str">
        <f>IF(GameLog[[#This Row],[Date]]=MAX(GameLog[Date]),"Current","Previous")</f>
        <v>Previous</v>
      </c>
      <c r="L1068" s="6"/>
      <c r="M10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8" s="6" t="str">
        <f ca="1">IF(GameLog[[#This Row],[Check]]="","",COUNTIF(GameLog[[#Headers],[Check]]:GameLog[[#This Row],[Check]],"?*")-1)</f>
        <v/>
      </c>
      <c r="O1068" s="6" t="str">
        <f>IFERROR(INDEX(Players[New name],MATCH(GameLog[[#This Row],[Player]],Players[Name],0)),GameLog[[#This Row],[Player]])</f>
        <v>Austin D</v>
      </c>
    </row>
    <row r="1069" spans="1:15" x14ac:dyDescent="0.45">
      <c r="A1069" s="6" t="s">
        <v>77</v>
      </c>
      <c r="B1069" s="6" t="s">
        <v>53</v>
      </c>
      <c r="C1069" s="6">
        <v>1</v>
      </c>
      <c r="D1069" s="6">
        <v>3</v>
      </c>
      <c r="E1069" s="6">
        <v>2</v>
      </c>
      <c r="F1069" s="10">
        <v>46083</v>
      </c>
      <c r="G1069" s="6" t="str">
        <f>_xlfn.TEXTJOIN("|",TRUE,GameLog[[#This Row],[Pod]],TEXT(INT(GameLog[[#This Row],[Round]]),"yyyymmdd"),GameLog[[#This Row],[Date]])</f>
        <v>3|19000102|46083</v>
      </c>
      <c r="H1069" s="6">
        <f>COUNTIF(GameLog[Pod ID],GameLog[[#This Row],[Pod ID]])</f>
        <v>4</v>
      </c>
      <c r="I1069" s="6">
        <f>YEAR(GameLog[[#This Row],[Date]])</f>
        <v>2026</v>
      </c>
      <c r="J1069" s="6">
        <f>MONTH(GameLog[[#This Row],[Date]])</f>
        <v>3</v>
      </c>
      <c r="K1069" s="6" t="str">
        <f>IF(GameLog[[#This Row],[Date]]=MAX(GameLog[Date]),"Current","Previous")</f>
        <v>Previous</v>
      </c>
      <c r="L1069" s="6"/>
      <c r="M10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69" s="6" t="str">
        <f ca="1">IF(GameLog[[#This Row],[Check]]="","",COUNTIF(GameLog[[#Headers],[Check]]:GameLog[[#This Row],[Check]],"?*")-1)</f>
        <v/>
      </c>
      <c r="O1069" s="6" t="str">
        <f>IFERROR(INDEX(Players[New name],MATCH(GameLog[[#This Row],[Player]],Players[Name],0)),GameLog[[#This Row],[Player]])</f>
        <v>Dave M</v>
      </c>
    </row>
    <row r="1070" spans="1:15" x14ac:dyDescent="0.45">
      <c r="A1070" s="6" t="s">
        <v>91</v>
      </c>
      <c r="B1070" s="6" t="s">
        <v>53</v>
      </c>
      <c r="C1070" s="6">
        <v>2</v>
      </c>
      <c r="D1070" s="6">
        <v>3</v>
      </c>
      <c r="E1070" s="6">
        <v>2</v>
      </c>
      <c r="F1070" s="10">
        <v>46083</v>
      </c>
      <c r="G1070" s="6" t="str">
        <f>_xlfn.TEXTJOIN("|",TRUE,GameLog[[#This Row],[Pod]],TEXT(INT(GameLog[[#This Row],[Round]]),"yyyymmdd"),GameLog[[#This Row],[Date]])</f>
        <v>3|19000102|46083</v>
      </c>
      <c r="H1070" s="6">
        <f>COUNTIF(GameLog[Pod ID],GameLog[[#This Row],[Pod ID]])</f>
        <v>4</v>
      </c>
      <c r="I1070" s="6">
        <f>YEAR(GameLog[[#This Row],[Date]])</f>
        <v>2026</v>
      </c>
      <c r="J1070" s="6">
        <f>MONTH(GameLog[[#This Row],[Date]])</f>
        <v>3</v>
      </c>
      <c r="K1070" s="6" t="str">
        <f>IF(GameLog[[#This Row],[Date]]=MAX(GameLog[Date]),"Current","Previous")</f>
        <v>Previous</v>
      </c>
      <c r="L1070" s="6"/>
      <c r="M10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0" s="6" t="str">
        <f ca="1">IF(GameLog[[#This Row],[Check]]="","",COUNTIF(GameLog[[#Headers],[Check]]:GameLog[[#This Row],[Check]],"?*")-1)</f>
        <v/>
      </c>
      <c r="O1070" s="6" t="str">
        <f>IFERROR(INDEX(Players[New name],MATCH(GameLog[[#This Row],[Player]],Players[Name],0)),GameLog[[#This Row],[Player]])</f>
        <v>Isaac B</v>
      </c>
    </row>
    <row r="1071" spans="1:15" x14ac:dyDescent="0.45">
      <c r="A1071" s="6" t="s">
        <v>97</v>
      </c>
      <c r="B1071" s="6" t="s">
        <v>53</v>
      </c>
      <c r="C1071" s="6">
        <v>3</v>
      </c>
      <c r="D1071" s="6">
        <v>3</v>
      </c>
      <c r="E1071" s="6">
        <v>2</v>
      </c>
      <c r="F1071" s="10">
        <v>46083</v>
      </c>
      <c r="G1071" s="6" t="str">
        <f>_xlfn.TEXTJOIN("|",TRUE,GameLog[[#This Row],[Pod]],TEXT(INT(GameLog[[#This Row],[Round]]),"yyyymmdd"),GameLog[[#This Row],[Date]])</f>
        <v>3|19000102|46083</v>
      </c>
      <c r="H1071" s="6">
        <f>COUNTIF(GameLog[Pod ID],GameLog[[#This Row],[Pod ID]])</f>
        <v>4</v>
      </c>
      <c r="I1071" s="6">
        <f>YEAR(GameLog[[#This Row],[Date]])</f>
        <v>2026</v>
      </c>
      <c r="J1071" s="6">
        <f>MONTH(GameLog[[#This Row],[Date]])</f>
        <v>3</v>
      </c>
      <c r="K1071" s="6" t="str">
        <f>IF(GameLog[[#This Row],[Date]]=MAX(GameLog[Date]),"Current","Previous")</f>
        <v>Previous</v>
      </c>
      <c r="L1071" s="6"/>
      <c r="M10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1" s="6" t="str">
        <f ca="1">IF(GameLog[[#This Row],[Check]]="","",COUNTIF(GameLog[[#Headers],[Check]]:GameLog[[#This Row],[Check]],"?*")-1)</f>
        <v/>
      </c>
      <c r="O1071" s="6" t="str">
        <f>IFERROR(INDEX(Players[New name],MATCH(GameLog[[#This Row],[Player]],Players[Name],0)),GameLog[[#This Row],[Player]])</f>
        <v>Arman H</v>
      </c>
    </row>
    <row r="1072" spans="1:15" x14ac:dyDescent="0.45">
      <c r="A1072" s="6" t="s">
        <v>49</v>
      </c>
      <c r="B1072" s="6" t="s">
        <v>50</v>
      </c>
      <c r="C1072" s="6">
        <v>4</v>
      </c>
      <c r="D1072" s="6">
        <v>3</v>
      </c>
      <c r="E1072" s="6">
        <v>2</v>
      </c>
      <c r="F1072" s="10">
        <v>46083</v>
      </c>
      <c r="G1072" s="6" t="str">
        <f>_xlfn.TEXTJOIN("|",TRUE,GameLog[[#This Row],[Pod]],TEXT(INT(GameLog[[#This Row],[Round]]),"yyyymmdd"),GameLog[[#This Row],[Date]])</f>
        <v>3|19000102|46083</v>
      </c>
      <c r="H1072" s="6">
        <f>COUNTIF(GameLog[Pod ID],GameLog[[#This Row],[Pod ID]])</f>
        <v>4</v>
      </c>
      <c r="I1072" s="6">
        <f>YEAR(GameLog[[#This Row],[Date]])</f>
        <v>2026</v>
      </c>
      <c r="J1072" s="6">
        <f>MONTH(GameLog[[#This Row],[Date]])</f>
        <v>3</v>
      </c>
      <c r="K1072" s="6" t="str">
        <f>IF(GameLog[[#This Row],[Date]]=MAX(GameLog[Date]),"Current","Previous")</f>
        <v>Previous</v>
      </c>
      <c r="L1072" s="6"/>
      <c r="M10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2" s="6" t="str">
        <f ca="1">IF(GameLog[[#This Row],[Check]]="","",COUNTIF(GameLog[[#Headers],[Check]]:GameLog[[#This Row],[Check]],"?*")-1)</f>
        <v/>
      </c>
      <c r="O1072" s="6" t="str">
        <f>IFERROR(INDEX(Players[New name],MATCH(GameLog[[#This Row],[Player]],Players[Name],0)),GameLog[[#This Row],[Player]])</f>
        <v>Brett R</v>
      </c>
    </row>
    <row r="1073" spans="1:15" x14ac:dyDescent="0.45">
      <c r="A1073" s="6" t="s">
        <v>59</v>
      </c>
      <c r="B1073" s="6" t="s">
        <v>90</v>
      </c>
      <c r="C1073" s="6">
        <v>1</v>
      </c>
      <c r="D1073" s="6">
        <v>4</v>
      </c>
      <c r="E1073" s="6">
        <v>2</v>
      </c>
      <c r="F1073" s="10">
        <v>46083</v>
      </c>
      <c r="G1073" s="6" t="str">
        <f>_xlfn.TEXTJOIN("|",TRUE,GameLog[[#This Row],[Pod]],TEXT(INT(GameLog[[#This Row],[Round]]),"yyyymmdd"),GameLog[[#This Row],[Date]])</f>
        <v>4|19000102|46083</v>
      </c>
      <c r="H1073" s="6">
        <f>COUNTIF(GameLog[Pod ID],GameLog[[#This Row],[Pod ID]])</f>
        <v>4</v>
      </c>
      <c r="I1073" s="6">
        <f>YEAR(GameLog[[#This Row],[Date]])</f>
        <v>2026</v>
      </c>
      <c r="J1073" s="6">
        <f>MONTH(GameLog[[#This Row],[Date]])</f>
        <v>3</v>
      </c>
      <c r="K1073" s="6" t="str">
        <f>IF(GameLog[[#This Row],[Date]]=MAX(GameLog[Date]),"Current","Previous")</f>
        <v>Previous</v>
      </c>
      <c r="L1073" s="6"/>
      <c r="M10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3" s="6" t="str">
        <f ca="1">IF(GameLog[[#This Row],[Check]]="","",COUNTIF(GameLog[[#Headers],[Check]]:GameLog[[#This Row],[Check]],"?*")-1)</f>
        <v/>
      </c>
      <c r="O1073" s="6" t="str">
        <f>IFERROR(INDEX(Players[New name],MATCH(GameLog[[#This Row],[Player]],Players[Name],0)),GameLog[[#This Row],[Player]])</f>
        <v>Zack B</v>
      </c>
    </row>
    <row r="1074" spans="1:15" x14ac:dyDescent="0.45">
      <c r="A1074" s="6" t="s">
        <v>75</v>
      </c>
      <c r="B1074" s="6" t="s">
        <v>90</v>
      </c>
      <c r="C1074" s="6">
        <v>2</v>
      </c>
      <c r="D1074" s="6">
        <v>4</v>
      </c>
      <c r="E1074" s="6">
        <v>2</v>
      </c>
      <c r="F1074" s="10">
        <v>46083</v>
      </c>
      <c r="G1074" s="6" t="str">
        <f>_xlfn.TEXTJOIN("|",TRUE,GameLog[[#This Row],[Pod]],TEXT(INT(GameLog[[#This Row],[Round]]),"yyyymmdd"),GameLog[[#This Row],[Date]])</f>
        <v>4|19000102|46083</v>
      </c>
      <c r="H1074" s="6">
        <f>COUNTIF(GameLog[Pod ID],GameLog[[#This Row],[Pod ID]])</f>
        <v>4</v>
      </c>
      <c r="I1074" s="6">
        <f>YEAR(GameLog[[#This Row],[Date]])</f>
        <v>2026</v>
      </c>
      <c r="J1074" s="6">
        <f>MONTH(GameLog[[#This Row],[Date]])</f>
        <v>3</v>
      </c>
      <c r="K1074" s="6" t="str">
        <f>IF(GameLog[[#This Row],[Date]]=MAX(GameLog[Date]),"Current","Previous")</f>
        <v>Previous</v>
      </c>
      <c r="L1074" s="6"/>
      <c r="M10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4" s="6" t="str">
        <f ca="1">IF(GameLog[[#This Row],[Check]]="","",COUNTIF(GameLog[[#Headers],[Check]]:GameLog[[#This Row],[Check]],"?*")-1)</f>
        <v/>
      </c>
      <c r="O1074" s="6" t="str">
        <f>IFERROR(INDEX(Players[New name],MATCH(GameLog[[#This Row],[Player]],Players[Name],0)),GameLog[[#This Row],[Player]])</f>
        <v>Eli T</v>
      </c>
    </row>
    <row r="1075" spans="1:15" x14ac:dyDescent="0.45">
      <c r="A1075" s="6" t="s">
        <v>78</v>
      </c>
      <c r="B1075" s="6" t="s">
        <v>90</v>
      </c>
      <c r="C1075" s="6">
        <v>3</v>
      </c>
      <c r="D1075" s="6">
        <v>4</v>
      </c>
      <c r="E1075" s="6">
        <v>2</v>
      </c>
      <c r="F1075" s="10">
        <v>46083</v>
      </c>
      <c r="G1075" s="6" t="str">
        <f>_xlfn.TEXTJOIN("|",TRUE,GameLog[[#This Row],[Pod]],TEXT(INT(GameLog[[#This Row],[Round]]),"yyyymmdd"),GameLog[[#This Row],[Date]])</f>
        <v>4|19000102|46083</v>
      </c>
      <c r="H1075" s="6">
        <f>COUNTIF(GameLog[Pod ID],GameLog[[#This Row],[Pod ID]])</f>
        <v>4</v>
      </c>
      <c r="I1075" s="6">
        <f>YEAR(GameLog[[#This Row],[Date]])</f>
        <v>2026</v>
      </c>
      <c r="J1075" s="6">
        <f>MONTH(GameLog[[#This Row],[Date]])</f>
        <v>3</v>
      </c>
      <c r="K1075" s="6" t="str">
        <f>IF(GameLog[[#This Row],[Date]]=MAX(GameLog[Date]),"Current","Previous")</f>
        <v>Previous</v>
      </c>
      <c r="L1075" s="6"/>
      <c r="M10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5" s="6" t="str">
        <f ca="1">IF(GameLog[[#This Row],[Check]]="","",COUNTIF(GameLog[[#Headers],[Check]]:GameLog[[#This Row],[Check]],"?*")-1)</f>
        <v/>
      </c>
      <c r="O1075" s="6" t="str">
        <f>IFERROR(INDEX(Players[New name],MATCH(GameLog[[#This Row],[Player]],Players[Name],0)),GameLog[[#This Row],[Player]])</f>
        <v>Justin M</v>
      </c>
    </row>
    <row r="1076" spans="1:15" x14ac:dyDescent="0.45">
      <c r="A1076" s="6" t="s">
        <v>81</v>
      </c>
      <c r="B1076" s="6" t="s">
        <v>90</v>
      </c>
      <c r="C1076" s="6">
        <v>4</v>
      </c>
      <c r="D1076" s="6">
        <v>4</v>
      </c>
      <c r="E1076" s="6">
        <v>2</v>
      </c>
      <c r="F1076" s="10">
        <v>46083</v>
      </c>
      <c r="G1076" s="6" t="str">
        <f>_xlfn.TEXTJOIN("|",TRUE,GameLog[[#This Row],[Pod]],TEXT(INT(GameLog[[#This Row],[Round]]),"yyyymmdd"),GameLog[[#This Row],[Date]])</f>
        <v>4|19000102|46083</v>
      </c>
      <c r="H1076" s="6">
        <f>COUNTIF(GameLog[Pod ID],GameLog[[#This Row],[Pod ID]])</f>
        <v>4</v>
      </c>
      <c r="I1076" s="6">
        <f>YEAR(GameLog[[#This Row],[Date]])</f>
        <v>2026</v>
      </c>
      <c r="J1076" s="6">
        <f>MONTH(GameLog[[#This Row],[Date]])</f>
        <v>3</v>
      </c>
      <c r="K1076" s="6" t="str">
        <f>IF(GameLog[[#This Row],[Date]]=MAX(GameLog[Date]),"Current","Previous")</f>
        <v>Previous</v>
      </c>
      <c r="L1076" s="6"/>
      <c r="M10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6" s="6" t="str">
        <f ca="1">IF(GameLog[[#This Row],[Check]]="","",COUNTIF(GameLog[[#Headers],[Check]]:GameLog[[#This Row],[Check]],"?*")-1)</f>
        <v/>
      </c>
      <c r="O1076" s="6" t="str">
        <f>IFERROR(INDEX(Players[New name],MATCH(GameLog[[#This Row],[Player]],Players[Name],0)),GameLog[[#This Row],[Player]])</f>
        <v>Forrest</v>
      </c>
    </row>
    <row r="1077" spans="1:15" x14ac:dyDescent="0.45">
      <c r="A1077" s="6" t="s">
        <v>92</v>
      </c>
      <c r="B1077" s="6" t="s">
        <v>50</v>
      </c>
      <c r="C1077" s="6">
        <v>1</v>
      </c>
      <c r="D1077" s="6">
        <v>5</v>
      </c>
      <c r="E1077" s="6">
        <v>2</v>
      </c>
      <c r="F1077" s="10">
        <v>46083</v>
      </c>
      <c r="G1077" s="6" t="str">
        <f>_xlfn.TEXTJOIN("|",TRUE,GameLog[[#This Row],[Pod]],TEXT(INT(GameLog[[#This Row],[Round]]),"yyyymmdd"),GameLog[[#This Row],[Date]])</f>
        <v>5|19000102|46083</v>
      </c>
      <c r="H1077" s="6">
        <f>COUNTIF(GameLog[Pod ID],GameLog[[#This Row],[Pod ID]])</f>
        <v>4</v>
      </c>
      <c r="I1077" s="6">
        <f>YEAR(GameLog[[#This Row],[Date]])</f>
        <v>2026</v>
      </c>
      <c r="J1077" s="6">
        <f>MONTH(GameLog[[#This Row],[Date]])</f>
        <v>3</v>
      </c>
      <c r="K1077" s="6" t="str">
        <f>IF(GameLog[[#This Row],[Date]]=MAX(GameLog[Date]),"Current","Previous")</f>
        <v>Previous</v>
      </c>
      <c r="L1077" s="6"/>
      <c r="M10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7" s="6" t="str">
        <f ca="1">IF(GameLog[[#This Row],[Check]]="","",COUNTIF(GameLog[[#Headers],[Check]]:GameLog[[#This Row],[Check]],"?*")-1)</f>
        <v/>
      </c>
      <c r="O1077" s="6" t="str">
        <f>IFERROR(INDEX(Players[New name],MATCH(GameLog[[#This Row],[Player]],Players[Name],0)),GameLog[[#This Row],[Player]])</f>
        <v>Harley A</v>
      </c>
    </row>
    <row r="1078" spans="1:15" x14ac:dyDescent="0.45">
      <c r="A1078" s="6" t="s">
        <v>61</v>
      </c>
      <c r="B1078" s="6" t="s">
        <v>53</v>
      </c>
      <c r="C1078" s="6">
        <v>2</v>
      </c>
      <c r="D1078" s="6">
        <v>5</v>
      </c>
      <c r="E1078" s="6">
        <v>2</v>
      </c>
      <c r="F1078" s="10">
        <v>46083</v>
      </c>
      <c r="G1078" s="6" t="str">
        <f>_xlfn.TEXTJOIN("|",TRUE,GameLog[[#This Row],[Pod]],TEXT(INT(GameLog[[#This Row],[Round]]),"yyyymmdd"),GameLog[[#This Row],[Date]])</f>
        <v>5|19000102|46083</v>
      </c>
      <c r="H1078" s="6">
        <f>COUNTIF(GameLog[Pod ID],GameLog[[#This Row],[Pod ID]])</f>
        <v>4</v>
      </c>
      <c r="I1078" s="6">
        <f>YEAR(GameLog[[#This Row],[Date]])</f>
        <v>2026</v>
      </c>
      <c r="J1078" s="6">
        <f>MONTH(GameLog[[#This Row],[Date]])</f>
        <v>3</v>
      </c>
      <c r="K1078" s="6" t="str">
        <f>IF(GameLog[[#This Row],[Date]]=MAX(GameLog[Date]),"Current","Previous")</f>
        <v>Previous</v>
      </c>
      <c r="L1078" s="6"/>
      <c r="M10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8" s="6" t="str">
        <f ca="1">IF(GameLog[[#This Row],[Check]]="","",COUNTIF(GameLog[[#Headers],[Check]]:GameLog[[#This Row],[Check]],"?*")-1)</f>
        <v/>
      </c>
      <c r="O1078" s="6" t="str">
        <f>IFERROR(INDEX(Players[New name],MATCH(GameLog[[#This Row],[Player]],Players[Name],0)),GameLog[[#This Row],[Player]])</f>
        <v>Trevor</v>
      </c>
    </row>
    <row r="1079" spans="1:15" x14ac:dyDescent="0.45">
      <c r="A1079" s="6" t="s">
        <v>68</v>
      </c>
      <c r="B1079" s="6" t="s">
        <v>53</v>
      </c>
      <c r="C1079" s="6">
        <v>3</v>
      </c>
      <c r="D1079" s="6">
        <v>5</v>
      </c>
      <c r="E1079" s="6">
        <v>2</v>
      </c>
      <c r="F1079" s="10">
        <v>46083</v>
      </c>
      <c r="G1079" s="6" t="str">
        <f>_xlfn.TEXTJOIN("|",TRUE,GameLog[[#This Row],[Pod]],TEXT(INT(GameLog[[#This Row],[Round]]),"yyyymmdd"),GameLog[[#This Row],[Date]])</f>
        <v>5|19000102|46083</v>
      </c>
      <c r="H1079" s="6">
        <f>COUNTIF(GameLog[Pod ID],GameLog[[#This Row],[Pod ID]])</f>
        <v>4</v>
      </c>
      <c r="I1079" s="6">
        <f>YEAR(GameLog[[#This Row],[Date]])</f>
        <v>2026</v>
      </c>
      <c r="J1079" s="6">
        <f>MONTH(GameLog[[#This Row],[Date]])</f>
        <v>3</v>
      </c>
      <c r="K1079" s="6" t="str">
        <f>IF(GameLog[[#This Row],[Date]]=MAX(GameLog[Date]),"Current","Previous")</f>
        <v>Previous</v>
      </c>
      <c r="L1079" s="6"/>
      <c r="M10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79" s="6" t="str">
        <f ca="1">IF(GameLog[[#This Row],[Check]]="","",COUNTIF(GameLog[[#Headers],[Check]]:GameLog[[#This Row],[Check]],"?*")-1)</f>
        <v/>
      </c>
      <c r="O1079" s="6" t="str">
        <f>IFERROR(INDEX(Players[New name],MATCH(GameLog[[#This Row],[Player]],Players[Name],0)),GameLog[[#This Row],[Player]])</f>
        <v>Edwin M</v>
      </c>
    </row>
    <row r="1080" spans="1:15" x14ac:dyDescent="0.45">
      <c r="A1080" s="6" t="s">
        <v>60</v>
      </c>
      <c r="B1080" s="6" t="s">
        <v>53</v>
      </c>
      <c r="C1080" s="6">
        <v>4</v>
      </c>
      <c r="D1080" s="6">
        <v>5</v>
      </c>
      <c r="E1080" s="6">
        <v>2</v>
      </c>
      <c r="F1080" s="10">
        <v>46083</v>
      </c>
      <c r="G1080" s="6" t="str">
        <f>_xlfn.TEXTJOIN("|",TRUE,GameLog[[#This Row],[Pod]],TEXT(INT(GameLog[[#This Row],[Round]]),"yyyymmdd"),GameLog[[#This Row],[Date]])</f>
        <v>5|19000102|46083</v>
      </c>
      <c r="H1080" s="6">
        <f>COUNTIF(GameLog[Pod ID],GameLog[[#This Row],[Pod ID]])</f>
        <v>4</v>
      </c>
      <c r="I1080" s="6">
        <f>YEAR(GameLog[[#This Row],[Date]])</f>
        <v>2026</v>
      </c>
      <c r="J1080" s="6">
        <f>MONTH(GameLog[[#This Row],[Date]])</f>
        <v>3</v>
      </c>
      <c r="K1080" s="6" t="str">
        <f>IF(GameLog[[#This Row],[Date]]=MAX(GameLog[Date]),"Current","Previous")</f>
        <v>Previous</v>
      </c>
      <c r="L1080" s="6"/>
      <c r="M10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0" s="6" t="str">
        <f ca="1">IF(GameLog[[#This Row],[Check]]="","",COUNTIF(GameLog[[#Headers],[Check]]:GameLog[[#This Row],[Check]],"?*")-1)</f>
        <v/>
      </c>
      <c r="O1080" s="6" t="str">
        <f>IFERROR(INDEX(Players[New name],MATCH(GameLog[[#This Row],[Player]],Players[Name],0)),GameLog[[#This Row],[Player]])</f>
        <v>Brendan H</v>
      </c>
    </row>
    <row r="1081" spans="1:15" x14ac:dyDescent="0.45">
      <c r="A1081" s="6" t="s">
        <v>74</v>
      </c>
      <c r="B1081" s="6" t="s">
        <v>53</v>
      </c>
      <c r="C1081" s="6">
        <v>1</v>
      </c>
      <c r="D1081" s="6">
        <v>6</v>
      </c>
      <c r="E1081" s="6">
        <v>2</v>
      </c>
      <c r="F1081" s="10">
        <v>46083</v>
      </c>
      <c r="G1081" s="6" t="str">
        <f>_xlfn.TEXTJOIN("|",TRUE,GameLog[[#This Row],[Pod]],TEXT(INT(GameLog[[#This Row],[Round]]),"yyyymmdd"),GameLog[[#This Row],[Date]])</f>
        <v>6|19000102|46083</v>
      </c>
      <c r="H1081" s="6">
        <f>COUNTIF(GameLog[Pod ID],GameLog[[#This Row],[Pod ID]])</f>
        <v>3</v>
      </c>
      <c r="I1081" s="6">
        <f>YEAR(GameLog[[#This Row],[Date]])</f>
        <v>2026</v>
      </c>
      <c r="J1081" s="6">
        <f>MONTH(GameLog[[#This Row],[Date]])</f>
        <v>3</v>
      </c>
      <c r="K1081" s="6" t="str">
        <f>IF(GameLog[[#This Row],[Date]]=MAX(GameLog[Date]),"Current","Previous")</f>
        <v>Previous</v>
      </c>
      <c r="L1081" s="6"/>
      <c r="M10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1" s="6" t="str">
        <f ca="1">IF(GameLog[[#This Row],[Check]]="","",COUNTIF(GameLog[[#Headers],[Check]]:GameLog[[#This Row],[Check]],"?*")-1)</f>
        <v/>
      </c>
      <c r="O1081" s="6" t="str">
        <f>IFERROR(INDEX(Players[New name],MATCH(GameLog[[#This Row],[Player]],Players[Name],0)),GameLog[[#This Row],[Player]])</f>
        <v>Jarrod O</v>
      </c>
    </row>
    <row r="1082" spans="1:15" x14ac:dyDescent="0.45">
      <c r="A1082" s="6" t="s">
        <v>57</v>
      </c>
      <c r="B1082" s="6" t="s">
        <v>50</v>
      </c>
      <c r="C1082" s="6">
        <v>2</v>
      </c>
      <c r="D1082" s="6">
        <v>6</v>
      </c>
      <c r="E1082" s="6">
        <v>2</v>
      </c>
      <c r="F1082" s="10">
        <v>46083</v>
      </c>
      <c r="G1082" s="6" t="str">
        <f>_xlfn.TEXTJOIN("|",TRUE,GameLog[[#This Row],[Pod]],TEXT(INT(GameLog[[#This Row],[Round]]),"yyyymmdd"),GameLog[[#This Row],[Date]])</f>
        <v>6|19000102|46083</v>
      </c>
      <c r="H1082" s="6">
        <f>COUNTIF(GameLog[Pod ID],GameLog[[#This Row],[Pod ID]])</f>
        <v>3</v>
      </c>
      <c r="I1082" s="6">
        <f>YEAR(GameLog[[#This Row],[Date]])</f>
        <v>2026</v>
      </c>
      <c r="J1082" s="6">
        <f>MONTH(GameLog[[#This Row],[Date]])</f>
        <v>3</v>
      </c>
      <c r="K1082" s="6" t="str">
        <f>IF(GameLog[[#This Row],[Date]]=MAX(GameLog[Date]),"Current","Previous")</f>
        <v>Previous</v>
      </c>
      <c r="L1082" s="6"/>
      <c r="M10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2" s="6" t="str">
        <f ca="1">IF(GameLog[[#This Row],[Check]]="","",COUNTIF(GameLog[[#Headers],[Check]]:GameLog[[#This Row],[Check]],"?*")-1)</f>
        <v/>
      </c>
      <c r="O1082" s="6" t="str">
        <f>IFERROR(INDEX(Players[New name],MATCH(GameLog[[#This Row],[Player]],Players[Name],0)),GameLog[[#This Row],[Player]])</f>
        <v>AJ W</v>
      </c>
    </row>
    <row r="1083" spans="1:15" x14ac:dyDescent="0.45">
      <c r="A1083" s="6" t="s">
        <v>98</v>
      </c>
      <c r="B1083" s="6" t="s">
        <v>53</v>
      </c>
      <c r="C1083" s="6">
        <v>3</v>
      </c>
      <c r="D1083" s="6">
        <v>6</v>
      </c>
      <c r="E1083" s="6">
        <v>2</v>
      </c>
      <c r="F1083" s="10">
        <v>46083</v>
      </c>
      <c r="G1083" s="6" t="str">
        <f>_xlfn.TEXTJOIN("|",TRUE,GameLog[[#This Row],[Pod]],TEXT(INT(GameLog[[#This Row],[Round]]),"yyyymmdd"),GameLog[[#This Row],[Date]])</f>
        <v>6|19000102|46083</v>
      </c>
      <c r="H1083" s="6">
        <f>COUNTIF(GameLog[Pod ID],GameLog[[#This Row],[Pod ID]])</f>
        <v>3</v>
      </c>
      <c r="I1083" s="6">
        <f>YEAR(GameLog[[#This Row],[Date]])</f>
        <v>2026</v>
      </c>
      <c r="J1083" s="6">
        <f>MONTH(GameLog[[#This Row],[Date]])</f>
        <v>3</v>
      </c>
      <c r="K1083" s="6" t="str">
        <f>IF(GameLog[[#This Row],[Date]]=MAX(GameLog[Date]),"Current","Previous")</f>
        <v>Previous</v>
      </c>
      <c r="L1083" s="6"/>
      <c r="M10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3" s="6" t="str">
        <f ca="1">IF(GameLog[[#This Row],[Check]]="","",COUNTIF(GameLog[[#Headers],[Check]]:GameLog[[#This Row],[Check]],"?*")-1)</f>
        <v/>
      </c>
      <c r="O1083" s="6" t="str">
        <f>IFERROR(INDEX(Players[New name],MATCH(GameLog[[#This Row],[Player]],Players[Name],0)),GameLog[[#This Row],[Player]])</f>
        <v>Charlie B</v>
      </c>
    </row>
    <row r="1084" spans="1:15" x14ac:dyDescent="0.45">
      <c r="A1084" s="6" t="s">
        <v>58</v>
      </c>
      <c r="B1084" s="6" t="s">
        <v>53</v>
      </c>
      <c r="C1084" s="6">
        <v>1</v>
      </c>
      <c r="D1084" s="6">
        <v>7</v>
      </c>
      <c r="E1084" s="6">
        <v>2</v>
      </c>
      <c r="F1084" s="10">
        <v>46083</v>
      </c>
      <c r="G1084" s="6" t="str">
        <f>_xlfn.TEXTJOIN("|",TRUE,GameLog[[#This Row],[Pod]],TEXT(INT(GameLog[[#This Row],[Round]]),"yyyymmdd"),GameLog[[#This Row],[Date]])</f>
        <v>7|19000102|46083</v>
      </c>
      <c r="H1084" s="6">
        <f>COUNTIF(GameLog[Pod ID],GameLog[[#This Row],[Pod ID]])</f>
        <v>3</v>
      </c>
      <c r="I1084" s="6">
        <f>YEAR(GameLog[[#This Row],[Date]])</f>
        <v>2026</v>
      </c>
      <c r="J1084" s="6">
        <f>MONTH(GameLog[[#This Row],[Date]])</f>
        <v>3</v>
      </c>
      <c r="K1084" s="6" t="str">
        <f>IF(GameLog[[#This Row],[Date]]=MAX(GameLog[Date]),"Current","Previous")</f>
        <v>Previous</v>
      </c>
      <c r="L1084" s="6"/>
      <c r="M10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4" s="6" t="str">
        <f ca="1">IF(GameLog[[#This Row],[Check]]="","",COUNTIF(GameLog[[#Headers],[Check]]:GameLog[[#This Row],[Check]],"?*")-1)</f>
        <v/>
      </c>
      <c r="O1084" s="6" t="str">
        <f>IFERROR(INDEX(Players[New name],MATCH(GameLog[[#This Row],[Player]],Players[Name],0)),GameLog[[#This Row],[Player]])</f>
        <v>Dakota P</v>
      </c>
    </row>
    <row r="1085" spans="1:15" x14ac:dyDescent="0.45">
      <c r="A1085" s="6" t="s">
        <v>64</v>
      </c>
      <c r="B1085" s="6" t="s">
        <v>50</v>
      </c>
      <c r="C1085" s="6">
        <v>2</v>
      </c>
      <c r="D1085" s="6">
        <v>7</v>
      </c>
      <c r="E1085" s="6">
        <v>2</v>
      </c>
      <c r="F1085" s="10">
        <v>46083</v>
      </c>
      <c r="G1085" s="6" t="str">
        <f>_xlfn.TEXTJOIN("|",TRUE,GameLog[[#This Row],[Pod]],TEXT(INT(GameLog[[#This Row],[Round]]),"yyyymmdd"),GameLog[[#This Row],[Date]])</f>
        <v>7|19000102|46083</v>
      </c>
      <c r="H1085" s="6">
        <f>COUNTIF(GameLog[Pod ID],GameLog[[#This Row],[Pod ID]])</f>
        <v>3</v>
      </c>
      <c r="I1085" s="6">
        <f>YEAR(GameLog[[#This Row],[Date]])</f>
        <v>2026</v>
      </c>
      <c r="J1085" s="6">
        <f>MONTH(GameLog[[#This Row],[Date]])</f>
        <v>3</v>
      </c>
      <c r="K1085" s="6" t="str">
        <f>IF(GameLog[[#This Row],[Date]]=MAX(GameLog[Date]),"Current","Previous")</f>
        <v>Previous</v>
      </c>
      <c r="L1085" s="6"/>
      <c r="M10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5" s="6" t="str">
        <f ca="1">IF(GameLog[[#This Row],[Check]]="","",COUNTIF(GameLog[[#Headers],[Check]]:GameLog[[#This Row],[Check]],"?*")-1)</f>
        <v/>
      </c>
      <c r="O1085" s="6" t="str">
        <f>IFERROR(INDEX(Players[New name],MATCH(GameLog[[#This Row],[Player]],Players[Name],0)),GameLog[[#This Row],[Player]])</f>
        <v>Tyler B</v>
      </c>
    </row>
    <row r="1086" spans="1:15" x14ac:dyDescent="0.45">
      <c r="A1086" s="6" t="s">
        <v>89</v>
      </c>
      <c r="B1086" s="6" t="s">
        <v>53</v>
      </c>
      <c r="C1086" s="6">
        <v>3</v>
      </c>
      <c r="D1086" s="6">
        <v>7</v>
      </c>
      <c r="E1086" s="6">
        <v>2</v>
      </c>
      <c r="F1086" s="10">
        <v>46083</v>
      </c>
      <c r="G1086" s="6" t="str">
        <f>_xlfn.TEXTJOIN("|",TRUE,GameLog[[#This Row],[Pod]],TEXT(INT(GameLog[[#This Row],[Round]]),"yyyymmdd"),GameLog[[#This Row],[Date]])</f>
        <v>7|19000102|46083</v>
      </c>
      <c r="H1086" s="6">
        <f>COUNTIF(GameLog[Pod ID],GameLog[[#This Row],[Pod ID]])</f>
        <v>3</v>
      </c>
      <c r="I1086" s="6">
        <f>YEAR(GameLog[[#This Row],[Date]])</f>
        <v>2026</v>
      </c>
      <c r="J1086" s="6">
        <f>MONTH(GameLog[[#This Row],[Date]])</f>
        <v>3</v>
      </c>
      <c r="K1086" s="6" t="str">
        <f>IF(GameLog[[#This Row],[Date]]=MAX(GameLog[Date]),"Current","Previous")</f>
        <v>Previous</v>
      </c>
      <c r="L1086" s="6"/>
      <c r="M10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6" s="6" t="str">
        <f ca="1">IF(GameLog[[#This Row],[Check]]="","",COUNTIF(GameLog[[#Headers],[Check]]:GameLog[[#This Row],[Check]],"?*")-1)</f>
        <v/>
      </c>
      <c r="O1086" s="6" t="str">
        <f>IFERROR(INDEX(Players[New name],MATCH(GameLog[[#This Row],[Player]],Players[Name],0)),GameLog[[#This Row],[Player]])</f>
        <v>Fernando J</v>
      </c>
    </row>
    <row r="1087" spans="1:15" x14ac:dyDescent="0.45">
      <c r="A1087" s="6" t="s">
        <v>61</v>
      </c>
      <c r="B1087" s="6" t="s">
        <v>90</v>
      </c>
      <c r="C1087" s="6">
        <v>1</v>
      </c>
      <c r="D1087" s="6">
        <v>1</v>
      </c>
      <c r="E1087" s="6">
        <v>1</v>
      </c>
      <c r="F1087" s="10">
        <v>46090</v>
      </c>
      <c r="G1087" s="6" t="str">
        <f>_xlfn.TEXTJOIN("|",TRUE,GameLog[[#This Row],[Pod]],TEXT(INT(GameLog[[#This Row],[Round]]),"yyyymmdd"),GameLog[[#This Row],[Date]])</f>
        <v>1|19000101|46090</v>
      </c>
      <c r="H1087" s="6">
        <f>COUNTIF(GameLog[Pod ID],GameLog[[#This Row],[Pod ID]])</f>
        <v>4</v>
      </c>
      <c r="I1087" s="6">
        <f>YEAR(GameLog[[#This Row],[Date]])</f>
        <v>2026</v>
      </c>
      <c r="J1087" s="6">
        <f>MONTH(GameLog[[#This Row],[Date]])</f>
        <v>3</v>
      </c>
      <c r="K1087" s="6" t="str">
        <f>IF(GameLog[[#This Row],[Date]]=MAX(GameLog[Date]),"Current","Previous")</f>
        <v>Previous</v>
      </c>
      <c r="L1087" s="6"/>
      <c r="M10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7" s="6" t="str">
        <f ca="1">IF(GameLog[[#This Row],[Check]]="","",COUNTIF(GameLog[[#Headers],[Check]]:GameLog[[#This Row],[Check]],"?*")-1)</f>
        <v/>
      </c>
      <c r="O1087" s="6" t="str">
        <f>IFERROR(INDEX(Players[New name],MATCH(GameLog[[#This Row],[Player]],Players[Name],0)),GameLog[[#This Row],[Player]])</f>
        <v>Trevor</v>
      </c>
    </row>
    <row r="1088" spans="1:15" x14ac:dyDescent="0.45">
      <c r="A1088" s="6" t="s">
        <v>96</v>
      </c>
      <c r="B1088" s="6" t="s">
        <v>90</v>
      </c>
      <c r="C1088" s="6">
        <v>2</v>
      </c>
      <c r="D1088" s="6">
        <v>1</v>
      </c>
      <c r="E1088" s="6">
        <v>1</v>
      </c>
      <c r="F1088" s="10">
        <v>46090</v>
      </c>
      <c r="G1088" s="6" t="str">
        <f>_xlfn.TEXTJOIN("|",TRUE,GameLog[[#This Row],[Pod]],TEXT(INT(GameLog[[#This Row],[Round]]),"yyyymmdd"),GameLog[[#This Row],[Date]])</f>
        <v>1|19000101|46090</v>
      </c>
      <c r="H1088" s="6">
        <f>COUNTIF(GameLog[Pod ID],GameLog[[#This Row],[Pod ID]])</f>
        <v>4</v>
      </c>
      <c r="I1088" s="6">
        <f>YEAR(GameLog[[#This Row],[Date]])</f>
        <v>2026</v>
      </c>
      <c r="J1088" s="6">
        <f>MONTH(GameLog[[#This Row],[Date]])</f>
        <v>3</v>
      </c>
      <c r="K1088" s="6" t="str">
        <f>IF(GameLog[[#This Row],[Date]]=MAX(GameLog[Date]),"Current","Previous")</f>
        <v>Previous</v>
      </c>
      <c r="L1088" s="6"/>
      <c r="M10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8" s="6" t="str">
        <f ca="1">IF(GameLog[[#This Row],[Check]]="","",COUNTIF(GameLog[[#Headers],[Check]]:GameLog[[#This Row],[Check]],"?*")-1)</f>
        <v/>
      </c>
      <c r="O1088" s="6" t="str">
        <f>IFERROR(INDEX(Players[New name],MATCH(GameLog[[#This Row],[Player]],Players[Name],0)),GameLog[[#This Row],[Player]])</f>
        <v>Brandon A</v>
      </c>
    </row>
    <row r="1089" spans="1:15" x14ac:dyDescent="0.45">
      <c r="A1089" s="6" t="s">
        <v>71</v>
      </c>
      <c r="B1089" s="6" t="s">
        <v>90</v>
      </c>
      <c r="C1089" s="6">
        <v>3</v>
      </c>
      <c r="D1089" s="6">
        <v>1</v>
      </c>
      <c r="E1089" s="6">
        <v>1</v>
      </c>
      <c r="F1089" s="10">
        <v>46090</v>
      </c>
      <c r="G1089" s="6" t="str">
        <f>_xlfn.TEXTJOIN("|",TRUE,GameLog[[#This Row],[Pod]],TEXT(INT(GameLog[[#This Row],[Round]]),"yyyymmdd"),GameLog[[#This Row],[Date]])</f>
        <v>1|19000101|46090</v>
      </c>
      <c r="H1089" s="6">
        <f>COUNTIF(GameLog[Pod ID],GameLog[[#This Row],[Pod ID]])</f>
        <v>4</v>
      </c>
      <c r="I1089" s="6">
        <f>YEAR(GameLog[[#This Row],[Date]])</f>
        <v>2026</v>
      </c>
      <c r="J1089" s="6">
        <f>MONTH(GameLog[[#This Row],[Date]])</f>
        <v>3</v>
      </c>
      <c r="K1089" s="6" t="str">
        <f>IF(GameLog[[#This Row],[Date]]=MAX(GameLog[Date]),"Current","Previous")</f>
        <v>Previous</v>
      </c>
      <c r="L1089" s="6"/>
      <c r="M10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89" s="6" t="str">
        <f ca="1">IF(GameLog[[#This Row],[Check]]="","",COUNTIF(GameLog[[#Headers],[Check]]:GameLog[[#This Row],[Check]],"?*")-1)</f>
        <v/>
      </c>
      <c r="O1089" s="6" t="str">
        <f>IFERROR(INDEX(Players[New name],MATCH(GameLog[[#This Row],[Player]],Players[Name],0)),GameLog[[#This Row],[Player]])</f>
        <v>Rodney Y</v>
      </c>
    </row>
    <row r="1090" spans="1:15" x14ac:dyDescent="0.45">
      <c r="A1090" s="6" t="s">
        <v>75</v>
      </c>
      <c r="B1090" s="6" t="s">
        <v>90</v>
      </c>
      <c r="C1090" s="6">
        <v>4</v>
      </c>
      <c r="D1090" s="6">
        <v>1</v>
      </c>
      <c r="E1090" s="6">
        <v>1</v>
      </c>
      <c r="F1090" s="10">
        <v>46090</v>
      </c>
      <c r="G1090" s="6" t="str">
        <f>_xlfn.TEXTJOIN("|",TRUE,GameLog[[#This Row],[Pod]],TEXT(INT(GameLog[[#This Row],[Round]]),"yyyymmdd"),GameLog[[#This Row],[Date]])</f>
        <v>1|19000101|46090</v>
      </c>
      <c r="H1090" s="6">
        <f>COUNTIF(GameLog[Pod ID],GameLog[[#This Row],[Pod ID]])</f>
        <v>4</v>
      </c>
      <c r="I1090" s="6">
        <f>YEAR(GameLog[[#This Row],[Date]])</f>
        <v>2026</v>
      </c>
      <c r="J1090" s="6">
        <f>MONTH(GameLog[[#This Row],[Date]])</f>
        <v>3</v>
      </c>
      <c r="K1090" s="6" t="str">
        <f>IF(GameLog[[#This Row],[Date]]=MAX(GameLog[Date]),"Current","Previous")</f>
        <v>Previous</v>
      </c>
      <c r="L1090" s="6"/>
      <c r="M10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0" s="6" t="str">
        <f ca="1">IF(GameLog[[#This Row],[Check]]="","",COUNTIF(GameLog[[#Headers],[Check]]:GameLog[[#This Row],[Check]],"?*")-1)</f>
        <v/>
      </c>
      <c r="O1090" s="6" t="str">
        <f>IFERROR(INDEX(Players[New name],MATCH(GameLog[[#This Row],[Player]],Players[Name],0)),GameLog[[#This Row],[Player]])</f>
        <v>Eli T</v>
      </c>
    </row>
    <row r="1091" spans="1:15" x14ac:dyDescent="0.45">
      <c r="A1091" s="6" t="s">
        <v>92</v>
      </c>
      <c r="B1091" s="6" t="s">
        <v>50</v>
      </c>
      <c r="C1091" s="6">
        <v>1</v>
      </c>
      <c r="D1091" s="6">
        <v>2</v>
      </c>
      <c r="E1091" s="6">
        <v>1</v>
      </c>
      <c r="F1091" s="10">
        <v>46090</v>
      </c>
      <c r="G1091" s="6" t="str">
        <f>_xlfn.TEXTJOIN("|",TRUE,GameLog[[#This Row],[Pod]],TEXT(INT(GameLog[[#This Row],[Round]]),"yyyymmdd"),GameLog[[#This Row],[Date]])</f>
        <v>2|19000101|46090</v>
      </c>
      <c r="H1091" s="6">
        <f>COUNTIF(GameLog[Pod ID],GameLog[[#This Row],[Pod ID]])</f>
        <v>4</v>
      </c>
      <c r="I1091" s="6">
        <f>YEAR(GameLog[[#This Row],[Date]])</f>
        <v>2026</v>
      </c>
      <c r="J1091" s="6">
        <f>MONTH(GameLog[[#This Row],[Date]])</f>
        <v>3</v>
      </c>
      <c r="K1091" s="6" t="str">
        <f>IF(GameLog[[#This Row],[Date]]=MAX(GameLog[Date]),"Current","Previous")</f>
        <v>Previous</v>
      </c>
      <c r="L1091" s="6"/>
      <c r="M10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1" s="6" t="str">
        <f ca="1">IF(GameLog[[#This Row],[Check]]="","",COUNTIF(GameLog[[#Headers],[Check]]:GameLog[[#This Row],[Check]],"?*")-1)</f>
        <v/>
      </c>
      <c r="O1091" s="6" t="str">
        <f>IFERROR(INDEX(Players[New name],MATCH(GameLog[[#This Row],[Player]],Players[Name],0)),GameLog[[#This Row],[Player]])</f>
        <v>Harley A</v>
      </c>
    </row>
    <row r="1092" spans="1:15" x14ac:dyDescent="0.45">
      <c r="A1092" s="6" t="s">
        <v>59</v>
      </c>
      <c r="B1092" s="6" t="s">
        <v>53</v>
      </c>
      <c r="C1092" s="6">
        <v>2</v>
      </c>
      <c r="D1092" s="6">
        <v>2</v>
      </c>
      <c r="E1092" s="6">
        <v>1</v>
      </c>
      <c r="F1092" s="10">
        <v>46090</v>
      </c>
      <c r="G1092" s="6" t="str">
        <f>_xlfn.TEXTJOIN("|",TRUE,GameLog[[#This Row],[Pod]],TEXT(INT(GameLog[[#This Row],[Round]]),"yyyymmdd"),GameLog[[#This Row],[Date]])</f>
        <v>2|19000101|46090</v>
      </c>
      <c r="H1092" s="6">
        <f>COUNTIF(GameLog[Pod ID],GameLog[[#This Row],[Pod ID]])</f>
        <v>4</v>
      </c>
      <c r="I1092" s="6">
        <f>YEAR(GameLog[[#This Row],[Date]])</f>
        <v>2026</v>
      </c>
      <c r="J1092" s="6">
        <f>MONTH(GameLog[[#This Row],[Date]])</f>
        <v>3</v>
      </c>
      <c r="K1092" s="6" t="str">
        <f>IF(GameLog[[#This Row],[Date]]=MAX(GameLog[Date]),"Current","Previous")</f>
        <v>Previous</v>
      </c>
      <c r="L1092" s="6"/>
      <c r="M10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2" s="6" t="str">
        <f ca="1">IF(GameLog[[#This Row],[Check]]="","",COUNTIF(GameLog[[#Headers],[Check]]:GameLog[[#This Row],[Check]],"?*")-1)</f>
        <v/>
      </c>
      <c r="O1092" s="6" t="str">
        <f>IFERROR(INDEX(Players[New name],MATCH(GameLog[[#This Row],[Player]],Players[Name],0)),GameLog[[#This Row],[Player]])</f>
        <v>Zack B</v>
      </c>
    </row>
    <row r="1093" spans="1:15" x14ac:dyDescent="0.45">
      <c r="A1093" s="6" t="s">
        <v>81</v>
      </c>
      <c r="B1093" s="6" t="s">
        <v>53</v>
      </c>
      <c r="C1093" s="6">
        <v>3</v>
      </c>
      <c r="D1093" s="6">
        <v>2</v>
      </c>
      <c r="E1093" s="6">
        <v>1</v>
      </c>
      <c r="F1093" s="10">
        <v>46090</v>
      </c>
      <c r="G1093" s="6" t="str">
        <f>_xlfn.TEXTJOIN("|",TRUE,GameLog[[#This Row],[Pod]],TEXT(INT(GameLog[[#This Row],[Round]]),"yyyymmdd"),GameLog[[#This Row],[Date]])</f>
        <v>2|19000101|46090</v>
      </c>
      <c r="H1093" s="6">
        <f>COUNTIF(GameLog[Pod ID],GameLog[[#This Row],[Pod ID]])</f>
        <v>4</v>
      </c>
      <c r="I1093" s="6">
        <f>YEAR(GameLog[[#This Row],[Date]])</f>
        <v>2026</v>
      </c>
      <c r="J1093" s="6">
        <f>MONTH(GameLog[[#This Row],[Date]])</f>
        <v>3</v>
      </c>
      <c r="K1093" s="6" t="str">
        <f>IF(GameLog[[#This Row],[Date]]=MAX(GameLog[Date]),"Current","Previous")</f>
        <v>Previous</v>
      </c>
      <c r="L1093" s="6"/>
      <c r="M10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3" s="6" t="str">
        <f ca="1">IF(GameLog[[#This Row],[Check]]="","",COUNTIF(GameLog[[#Headers],[Check]]:GameLog[[#This Row],[Check]],"?*")-1)</f>
        <v/>
      </c>
      <c r="O1093" s="6" t="str">
        <f>IFERROR(INDEX(Players[New name],MATCH(GameLog[[#This Row],[Player]],Players[Name],0)),GameLog[[#This Row],[Player]])</f>
        <v>Forrest</v>
      </c>
    </row>
    <row r="1094" spans="1:15" x14ac:dyDescent="0.45">
      <c r="A1094" s="6" t="s">
        <v>70</v>
      </c>
      <c r="B1094" s="6" t="s">
        <v>53</v>
      </c>
      <c r="C1094" s="6">
        <v>4</v>
      </c>
      <c r="D1094" s="6">
        <v>2</v>
      </c>
      <c r="E1094" s="6">
        <v>1</v>
      </c>
      <c r="F1094" s="10">
        <v>46090</v>
      </c>
      <c r="G1094" s="6" t="str">
        <f>_xlfn.TEXTJOIN("|",TRUE,GameLog[[#This Row],[Pod]],TEXT(INT(GameLog[[#This Row],[Round]]),"yyyymmdd"),GameLog[[#This Row],[Date]])</f>
        <v>2|19000101|46090</v>
      </c>
      <c r="H1094" s="6">
        <f>COUNTIF(GameLog[Pod ID],GameLog[[#This Row],[Pod ID]])</f>
        <v>4</v>
      </c>
      <c r="I1094" s="6">
        <f>YEAR(GameLog[[#This Row],[Date]])</f>
        <v>2026</v>
      </c>
      <c r="J1094" s="6">
        <f>MONTH(GameLog[[#This Row],[Date]])</f>
        <v>3</v>
      </c>
      <c r="K1094" s="6" t="str">
        <f>IF(GameLog[[#This Row],[Date]]=MAX(GameLog[Date]),"Current","Previous")</f>
        <v>Previous</v>
      </c>
      <c r="L1094" s="6"/>
      <c r="M10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4" s="6" t="str">
        <f ca="1">IF(GameLog[[#This Row],[Check]]="","",COUNTIF(GameLog[[#Headers],[Check]]:GameLog[[#This Row],[Check]],"?*")-1)</f>
        <v/>
      </c>
      <c r="O1094" s="6" t="str">
        <f>IFERROR(INDEX(Players[New name],MATCH(GameLog[[#This Row],[Player]],Players[Name],0)),GameLog[[#This Row],[Player]])</f>
        <v>Brad F</v>
      </c>
    </row>
    <row r="1095" spans="1:15" x14ac:dyDescent="0.45">
      <c r="A1095" s="6" t="s">
        <v>64</v>
      </c>
      <c r="B1095" s="6" t="s">
        <v>53</v>
      </c>
      <c r="C1095" s="6">
        <v>1</v>
      </c>
      <c r="D1095" s="6">
        <v>3</v>
      </c>
      <c r="E1095" s="6">
        <v>1</v>
      </c>
      <c r="F1095" s="10">
        <v>46090</v>
      </c>
      <c r="G1095" s="6" t="str">
        <f>_xlfn.TEXTJOIN("|",TRUE,GameLog[[#This Row],[Pod]],TEXT(INT(GameLog[[#This Row],[Round]]),"yyyymmdd"),GameLog[[#This Row],[Date]])</f>
        <v>3|19000101|46090</v>
      </c>
      <c r="H1095" s="6">
        <f>COUNTIF(GameLog[Pod ID],GameLog[[#This Row],[Pod ID]])</f>
        <v>4</v>
      </c>
      <c r="I1095" s="6">
        <f>YEAR(GameLog[[#This Row],[Date]])</f>
        <v>2026</v>
      </c>
      <c r="J1095" s="6">
        <f>MONTH(GameLog[[#This Row],[Date]])</f>
        <v>3</v>
      </c>
      <c r="K1095" s="6" t="str">
        <f>IF(GameLog[[#This Row],[Date]]=MAX(GameLog[Date]),"Current","Previous")</f>
        <v>Previous</v>
      </c>
      <c r="L1095" s="6"/>
      <c r="M10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5" s="6" t="str">
        <f ca="1">IF(GameLog[[#This Row],[Check]]="","",COUNTIF(GameLog[[#Headers],[Check]]:GameLog[[#This Row],[Check]],"?*")-1)</f>
        <v/>
      </c>
      <c r="O1095" s="6" t="str">
        <f>IFERROR(INDEX(Players[New name],MATCH(GameLog[[#This Row],[Player]],Players[Name],0)),GameLog[[#This Row],[Player]])</f>
        <v>Tyler B</v>
      </c>
    </row>
    <row r="1096" spans="1:15" x14ac:dyDescent="0.45">
      <c r="A1096" s="6" t="s">
        <v>63</v>
      </c>
      <c r="B1096" s="6" t="s">
        <v>50</v>
      </c>
      <c r="C1096" s="6">
        <v>2</v>
      </c>
      <c r="D1096" s="6">
        <v>3</v>
      </c>
      <c r="E1096" s="6">
        <v>1</v>
      </c>
      <c r="F1096" s="10">
        <v>46090</v>
      </c>
      <c r="G1096" s="6" t="str">
        <f>_xlfn.TEXTJOIN("|",TRUE,GameLog[[#This Row],[Pod]],TEXT(INT(GameLog[[#This Row],[Round]]),"yyyymmdd"),GameLog[[#This Row],[Date]])</f>
        <v>3|19000101|46090</v>
      </c>
      <c r="H1096" s="6">
        <f>COUNTIF(GameLog[Pod ID],GameLog[[#This Row],[Pod ID]])</f>
        <v>4</v>
      </c>
      <c r="I1096" s="6">
        <f>YEAR(GameLog[[#This Row],[Date]])</f>
        <v>2026</v>
      </c>
      <c r="J1096" s="6">
        <f>MONTH(GameLog[[#This Row],[Date]])</f>
        <v>3</v>
      </c>
      <c r="K1096" s="6" t="str">
        <f>IF(GameLog[[#This Row],[Date]]=MAX(GameLog[Date]),"Current","Previous")</f>
        <v>Previous</v>
      </c>
      <c r="L1096" s="6"/>
      <c r="M10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6" s="6" t="str">
        <f ca="1">IF(GameLog[[#This Row],[Check]]="","",COUNTIF(GameLog[[#Headers],[Check]]:GameLog[[#This Row],[Check]],"?*")-1)</f>
        <v/>
      </c>
      <c r="O1096" s="6" t="str">
        <f>IFERROR(INDEX(Players[New name],MATCH(GameLog[[#This Row],[Player]],Players[Name],0)),GameLog[[#This Row],[Player]])</f>
        <v>Jake D</v>
      </c>
    </row>
    <row r="1097" spans="1:15" x14ac:dyDescent="0.45">
      <c r="A1097" s="6" t="s">
        <v>73</v>
      </c>
      <c r="B1097" s="6" t="s">
        <v>53</v>
      </c>
      <c r="C1097" s="6">
        <v>3</v>
      </c>
      <c r="D1097" s="6">
        <v>3</v>
      </c>
      <c r="E1097" s="6">
        <v>1</v>
      </c>
      <c r="F1097" s="10">
        <v>46090</v>
      </c>
      <c r="G1097" s="6" t="str">
        <f>_xlfn.TEXTJOIN("|",TRUE,GameLog[[#This Row],[Pod]],TEXT(INT(GameLog[[#This Row],[Round]]),"yyyymmdd"),GameLog[[#This Row],[Date]])</f>
        <v>3|19000101|46090</v>
      </c>
      <c r="H1097" s="6">
        <f>COUNTIF(GameLog[Pod ID],GameLog[[#This Row],[Pod ID]])</f>
        <v>4</v>
      </c>
      <c r="I1097" s="6">
        <f>YEAR(GameLog[[#This Row],[Date]])</f>
        <v>2026</v>
      </c>
      <c r="J1097" s="6">
        <f>MONTH(GameLog[[#This Row],[Date]])</f>
        <v>3</v>
      </c>
      <c r="K1097" s="6" t="str">
        <f>IF(GameLog[[#This Row],[Date]]=MAX(GameLog[Date]),"Current","Previous")</f>
        <v>Previous</v>
      </c>
      <c r="L1097" s="6"/>
      <c r="M10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7" s="6" t="str">
        <f ca="1">IF(GameLog[[#This Row],[Check]]="","",COUNTIF(GameLog[[#Headers],[Check]]:GameLog[[#This Row],[Check]],"?*")-1)</f>
        <v/>
      </c>
      <c r="O1097" s="6" t="str">
        <f>IFERROR(INDEX(Players[New name],MATCH(GameLog[[#This Row],[Player]],Players[Name],0)),GameLog[[#This Row],[Player]])</f>
        <v>Brandon B</v>
      </c>
    </row>
    <row r="1098" spans="1:15" x14ac:dyDescent="0.45">
      <c r="A1098" s="6" t="s">
        <v>98</v>
      </c>
      <c r="B1098" s="6" t="s">
        <v>53</v>
      </c>
      <c r="C1098" s="6">
        <v>4</v>
      </c>
      <c r="D1098" s="6">
        <v>3</v>
      </c>
      <c r="E1098" s="6">
        <v>1</v>
      </c>
      <c r="F1098" s="10">
        <v>46090</v>
      </c>
      <c r="G1098" s="6" t="str">
        <f>_xlfn.TEXTJOIN("|",TRUE,GameLog[[#This Row],[Pod]],TEXT(INT(GameLog[[#This Row],[Round]]),"yyyymmdd"),GameLog[[#This Row],[Date]])</f>
        <v>3|19000101|46090</v>
      </c>
      <c r="H1098" s="6">
        <f>COUNTIF(GameLog[Pod ID],GameLog[[#This Row],[Pod ID]])</f>
        <v>4</v>
      </c>
      <c r="I1098" s="6">
        <f>YEAR(GameLog[[#This Row],[Date]])</f>
        <v>2026</v>
      </c>
      <c r="J1098" s="6">
        <f>MONTH(GameLog[[#This Row],[Date]])</f>
        <v>3</v>
      </c>
      <c r="K1098" s="6" t="str">
        <f>IF(GameLog[[#This Row],[Date]]=MAX(GameLog[Date]),"Current","Previous")</f>
        <v>Previous</v>
      </c>
      <c r="L1098" s="6"/>
      <c r="M10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8" s="6" t="str">
        <f ca="1">IF(GameLog[[#This Row],[Check]]="","",COUNTIF(GameLog[[#Headers],[Check]]:GameLog[[#This Row],[Check]],"?*")-1)</f>
        <v/>
      </c>
      <c r="O1098" s="6" t="str">
        <f>IFERROR(INDEX(Players[New name],MATCH(GameLog[[#This Row],[Player]],Players[Name],0)),GameLog[[#This Row],[Player]])</f>
        <v>Charlie B</v>
      </c>
    </row>
    <row r="1099" spans="1:15" x14ac:dyDescent="0.45">
      <c r="A1099" s="6" t="s">
        <v>100</v>
      </c>
      <c r="B1099" s="6" t="s">
        <v>53</v>
      </c>
      <c r="C1099" s="6">
        <v>1</v>
      </c>
      <c r="D1099" s="6">
        <v>4</v>
      </c>
      <c r="E1099" s="6">
        <v>1</v>
      </c>
      <c r="F1099" s="10">
        <v>46090</v>
      </c>
      <c r="G1099" s="6" t="str">
        <f>_xlfn.TEXTJOIN("|",TRUE,GameLog[[#This Row],[Pod]],TEXT(INT(GameLog[[#This Row],[Round]]),"yyyymmdd"),GameLog[[#This Row],[Date]])</f>
        <v>4|19000101|46090</v>
      </c>
      <c r="H1099" s="6">
        <f>COUNTIF(GameLog[Pod ID],GameLog[[#This Row],[Pod ID]])</f>
        <v>4</v>
      </c>
      <c r="I1099" s="6">
        <f>YEAR(GameLog[[#This Row],[Date]])</f>
        <v>2026</v>
      </c>
      <c r="J1099" s="6">
        <f>MONTH(GameLog[[#This Row],[Date]])</f>
        <v>3</v>
      </c>
      <c r="K1099" s="6" t="str">
        <f>IF(GameLog[[#This Row],[Date]]=MAX(GameLog[Date]),"Current","Previous")</f>
        <v>Previous</v>
      </c>
      <c r="L1099" s="6"/>
      <c r="M10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099" s="6" t="str">
        <f ca="1">IF(GameLog[[#This Row],[Check]]="","",COUNTIF(GameLog[[#Headers],[Check]]:GameLog[[#This Row],[Check]],"?*")-1)</f>
        <v/>
      </c>
      <c r="O1099" s="6" t="str">
        <f>IFERROR(INDEX(Players[New name],MATCH(GameLog[[#This Row],[Player]],Players[Name],0)),GameLog[[#This Row],[Player]])</f>
        <v>Leo C</v>
      </c>
    </row>
    <row r="1100" spans="1:15" x14ac:dyDescent="0.45">
      <c r="A1100" s="6" t="s">
        <v>101</v>
      </c>
      <c r="B1100" s="6" t="s">
        <v>53</v>
      </c>
      <c r="C1100" s="6">
        <v>2</v>
      </c>
      <c r="D1100" s="6">
        <v>4</v>
      </c>
      <c r="E1100" s="6">
        <v>1</v>
      </c>
      <c r="F1100" s="10">
        <v>46090</v>
      </c>
      <c r="G1100" s="6" t="str">
        <f>_xlfn.TEXTJOIN("|",TRUE,GameLog[[#This Row],[Pod]],TEXT(INT(GameLog[[#This Row],[Round]]),"yyyymmdd"),GameLog[[#This Row],[Date]])</f>
        <v>4|19000101|46090</v>
      </c>
      <c r="H1100" s="6">
        <f>COUNTIF(GameLog[Pod ID],GameLog[[#This Row],[Pod ID]])</f>
        <v>4</v>
      </c>
      <c r="I1100" s="6">
        <f>YEAR(GameLog[[#This Row],[Date]])</f>
        <v>2026</v>
      </c>
      <c r="J1100" s="6">
        <f>MONTH(GameLog[[#This Row],[Date]])</f>
        <v>3</v>
      </c>
      <c r="K1100" s="6" t="str">
        <f>IF(GameLog[[#This Row],[Date]]=MAX(GameLog[Date]),"Current","Previous")</f>
        <v>Previous</v>
      </c>
      <c r="L1100" s="6"/>
      <c r="M11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0" s="6" t="str">
        <f ca="1">IF(GameLog[[#This Row],[Check]]="","",COUNTIF(GameLog[[#Headers],[Check]]:GameLog[[#This Row],[Check]],"?*")-1)</f>
        <v/>
      </c>
      <c r="O1100" s="6" t="str">
        <f>IFERROR(INDEX(Players[New name],MATCH(GameLog[[#This Row],[Player]],Players[Name],0)),GameLog[[#This Row],[Player]])</f>
        <v>Matthew P</v>
      </c>
    </row>
    <row r="1101" spans="1:15" x14ac:dyDescent="0.45">
      <c r="A1101" s="6" t="s">
        <v>102</v>
      </c>
      <c r="B1101" s="6" t="s">
        <v>50</v>
      </c>
      <c r="C1101" s="6">
        <v>3</v>
      </c>
      <c r="D1101" s="6">
        <v>4</v>
      </c>
      <c r="E1101" s="6">
        <v>1</v>
      </c>
      <c r="F1101" s="10">
        <v>46090</v>
      </c>
      <c r="G1101" s="6" t="str">
        <f>_xlfn.TEXTJOIN("|",TRUE,GameLog[[#This Row],[Pod]],TEXT(INT(GameLog[[#This Row],[Round]]),"yyyymmdd"),GameLog[[#This Row],[Date]])</f>
        <v>4|19000101|46090</v>
      </c>
      <c r="H1101" s="6">
        <f>COUNTIF(GameLog[Pod ID],GameLog[[#This Row],[Pod ID]])</f>
        <v>4</v>
      </c>
      <c r="I1101" s="6">
        <f>YEAR(GameLog[[#This Row],[Date]])</f>
        <v>2026</v>
      </c>
      <c r="J1101" s="6">
        <f>MONTH(GameLog[[#This Row],[Date]])</f>
        <v>3</v>
      </c>
      <c r="K1101" s="6" t="str">
        <f>IF(GameLog[[#This Row],[Date]]=MAX(GameLog[Date]),"Current","Previous")</f>
        <v>Previous</v>
      </c>
      <c r="L1101" s="6"/>
      <c r="M11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1" s="6" t="str">
        <f ca="1">IF(GameLog[[#This Row],[Check]]="","",COUNTIF(GameLog[[#Headers],[Check]]:GameLog[[#This Row],[Check]],"?*")-1)</f>
        <v/>
      </c>
      <c r="O1101" s="6" t="str">
        <f>IFERROR(INDEX(Players[New name],MATCH(GameLog[[#This Row],[Player]],Players[Name],0)),GameLog[[#This Row],[Player]])</f>
        <v>Sage</v>
      </c>
    </row>
    <row r="1102" spans="1:15" x14ac:dyDescent="0.45">
      <c r="A1102" s="6" t="s">
        <v>103</v>
      </c>
      <c r="B1102" s="6" t="s">
        <v>53</v>
      </c>
      <c r="C1102" s="6">
        <v>4</v>
      </c>
      <c r="D1102" s="6">
        <v>4</v>
      </c>
      <c r="E1102" s="6">
        <v>1</v>
      </c>
      <c r="F1102" s="10">
        <v>46090</v>
      </c>
      <c r="G1102" s="6" t="str">
        <f>_xlfn.TEXTJOIN("|",TRUE,GameLog[[#This Row],[Pod]],TEXT(INT(GameLog[[#This Row],[Round]]),"yyyymmdd"),GameLog[[#This Row],[Date]])</f>
        <v>4|19000101|46090</v>
      </c>
      <c r="H1102" s="6">
        <f>COUNTIF(GameLog[Pod ID],GameLog[[#This Row],[Pod ID]])</f>
        <v>4</v>
      </c>
      <c r="I1102" s="6">
        <f>YEAR(GameLog[[#This Row],[Date]])</f>
        <v>2026</v>
      </c>
      <c r="J1102" s="6">
        <f>MONTH(GameLog[[#This Row],[Date]])</f>
        <v>3</v>
      </c>
      <c r="K1102" s="6" t="str">
        <f>IF(GameLog[[#This Row],[Date]]=MAX(GameLog[Date]),"Current","Previous")</f>
        <v>Previous</v>
      </c>
      <c r="L1102" s="6"/>
      <c r="M11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2" s="6" t="str">
        <f ca="1">IF(GameLog[[#This Row],[Check]]="","",COUNTIF(GameLog[[#Headers],[Check]]:GameLog[[#This Row],[Check]],"?*")-1)</f>
        <v/>
      </c>
      <c r="O1102" s="6" t="str">
        <f>IFERROR(INDEX(Players[New name],MATCH(GameLog[[#This Row],[Player]],Players[Name],0)),GameLog[[#This Row],[Player]])</f>
        <v>Ethan S</v>
      </c>
    </row>
    <row r="1103" spans="1:15" x14ac:dyDescent="0.45">
      <c r="A1103" s="6" t="s">
        <v>49</v>
      </c>
      <c r="B1103" s="6" t="s">
        <v>50</v>
      </c>
      <c r="C1103" s="6">
        <v>1</v>
      </c>
      <c r="D1103" s="6">
        <v>5</v>
      </c>
      <c r="E1103" s="6">
        <v>1</v>
      </c>
      <c r="F1103" s="10">
        <v>46090</v>
      </c>
      <c r="G1103" s="6" t="str">
        <f>_xlfn.TEXTJOIN("|",TRUE,GameLog[[#This Row],[Pod]],TEXT(INT(GameLog[[#This Row],[Round]]),"yyyymmdd"),GameLog[[#This Row],[Date]])</f>
        <v>5|19000101|46090</v>
      </c>
      <c r="H1103" s="6">
        <f>COUNTIF(GameLog[Pod ID],GameLog[[#This Row],[Pod ID]])</f>
        <v>4</v>
      </c>
      <c r="I1103" s="6">
        <f>YEAR(GameLog[[#This Row],[Date]])</f>
        <v>2026</v>
      </c>
      <c r="J1103" s="6">
        <f>MONTH(GameLog[[#This Row],[Date]])</f>
        <v>3</v>
      </c>
      <c r="K1103" s="6" t="str">
        <f>IF(GameLog[[#This Row],[Date]]=MAX(GameLog[Date]),"Current","Previous")</f>
        <v>Previous</v>
      </c>
      <c r="L1103" s="6"/>
      <c r="M11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3" s="6" t="str">
        <f ca="1">IF(GameLog[[#This Row],[Check]]="","",COUNTIF(GameLog[[#Headers],[Check]]:GameLog[[#This Row],[Check]],"?*")-1)</f>
        <v/>
      </c>
      <c r="O1103" s="6" t="str">
        <f>IFERROR(INDEX(Players[New name],MATCH(GameLog[[#This Row],[Player]],Players[Name],0)),GameLog[[#This Row],[Player]])</f>
        <v>Brett R</v>
      </c>
    </row>
    <row r="1104" spans="1:15" x14ac:dyDescent="0.45">
      <c r="A1104" s="6" t="s">
        <v>84</v>
      </c>
      <c r="B1104" s="6" t="s">
        <v>53</v>
      </c>
      <c r="C1104" s="6">
        <v>2</v>
      </c>
      <c r="D1104" s="6">
        <v>5</v>
      </c>
      <c r="E1104" s="6">
        <v>1</v>
      </c>
      <c r="F1104" s="10">
        <v>46090</v>
      </c>
      <c r="G1104" s="6" t="str">
        <f>_xlfn.TEXTJOIN("|",TRUE,GameLog[[#This Row],[Pod]],TEXT(INT(GameLog[[#This Row],[Round]]),"yyyymmdd"),GameLog[[#This Row],[Date]])</f>
        <v>5|19000101|46090</v>
      </c>
      <c r="H1104" s="6">
        <f>COUNTIF(GameLog[Pod ID],GameLog[[#This Row],[Pod ID]])</f>
        <v>4</v>
      </c>
      <c r="I1104" s="6">
        <f>YEAR(GameLog[[#This Row],[Date]])</f>
        <v>2026</v>
      </c>
      <c r="J1104" s="6">
        <f>MONTH(GameLog[[#This Row],[Date]])</f>
        <v>3</v>
      </c>
      <c r="K1104" s="6" t="str">
        <f>IF(GameLog[[#This Row],[Date]]=MAX(GameLog[Date]),"Current","Previous")</f>
        <v>Previous</v>
      </c>
      <c r="L1104" s="6"/>
      <c r="M11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4" s="6" t="str">
        <f ca="1">IF(GameLog[[#This Row],[Check]]="","",COUNTIF(GameLog[[#Headers],[Check]]:GameLog[[#This Row],[Check]],"?*")-1)</f>
        <v/>
      </c>
      <c r="O1104" s="6" t="str">
        <f>IFERROR(INDEX(Players[New name],MATCH(GameLog[[#This Row],[Player]],Players[Name],0)),GameLog[[#This Row],[Player]])</f>
        <v>Zach D</v>
      </c>
    </row>
    <row r="1105" spans="1:15" x14ac:dyDescent="0.45">
      <c r="A1105" s="6" t="s">
        <v>104</v>
      </c>
      <c r="B1105" s="6" t="s">
        <v>53</v>
      </c>
      <c r="C1105" s="6">
        <v>3</v>
      </c>
      <c r="D1105" s="6">
        <v>5</v>
      </c>
      <c r="E1105" s="6">
        <v>1</v>
      </c>
      <c r="F1105" s="10">
        <v>46090</v>
      </c>
      <c r="G1105" s="6" t="str">
        <f>_xlfn.TEXTJOIN("|",TRUE,GameLog[[#This Row],[Pod]],TEXT(INT(GameLog[[#This Row],[Round]]),"yyyymmdd"),GameLog[[#This Row],[Date]])</f>
        <v>5|19000101|46090</v>
      </c>
      <c r="H1105" s="6">
        <f>COUNTIF(GameLog[Pod ID],GameLog[[#This Row],[Pod ID]])</f>
        <v>4</v>
      </c>
      <c r="I1105" s="6">
        <f>YEAR(GameLog[[#This Row],[Date]])</f>
        <v>2026</v>
      </c>
      <c r="J1105" s="6">
        <f>MONTH(GameLog[[#This Row],[Date]])</f>
        <v>3</v>
      </c>
      <c r="K1105" s="6" t="str">
        <f>IF(GameLog[[#This Row],[Date]]=MAX(GameLog[Date]),"Current","Previous")</f>
        <v>Previous</v>
      </c>
      <c r="L1105" s="6"/>
      <c r="M11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5" s="6" t="str">
        <f ca="1">IF(GameLog[[#This Row],[Check]]="","",COUNTIF(GameLog[[#Headers],[Check]]:GameLog[[#This Row],[Check]],"?*")-1)</f>
        <v/>
      </c>
      <c r="O1105" s="6" t="str">
        <f>IFERROR(INDEX(Players[New name],MATCH(GameLog[[#This Row],[Player]],Players[Name],0)),GameLog[[#This Row],[Player]])</f>
        <v>Eric E</v>
      </c>
    </row>
    <row r="1106" spans="1:15" x14ac:dyDescent="0.45">
      <c r="A1106" s="6" t="s">
        <v>55</v>
      </c>
      <c r="B1106" s="6" t="s">
        <v>53</v>
      </c>
      <c r="C1106" s="6">
        <v>4</v>
      </c>
      <c r="D1106" s="6">
        <v>5</v>
      </c>
      <c r="E1106" s="6">
        <v>1</v>
      </c>
      <c r="F1106" s="10">
        <v>46090</v>
      </c>
      <c r="G1106" s="6" t="str">
        <f>_xlfn.TEXTJOIN("|",TRUE,GameLog[[#This Row],[Pod]],TEXT(INT(GameLog[[#This Row],[Round]]),"yyyymmdd"),GameLog[[#This Row],[Date]])</f>
        <v>5|19000101|46090</v>
      </c>
      <c r="H1106" s="6">
        <f>COUNTIF(GameLog[Pod ID],GameLog[[#This Row],[Pod ID]])</f>
        <v>4</v>
      </c>
      <c r="I1106" s="6">
        <f>YEAR(GameLog[[#This Row],[Date]])</f>
        <v>2026</v>
      </c>
      <c r="J1106" s="6">
        <f>MONTH(GameLog[[#This Row],[Date]])</f>
        <v>3</v>
      </c>
      <c r="K1106" s="6" t="str">
        <f>IF(GameLog[[#This Row],[Date]]=MAX(GameLog[Date]),"Current","Previous")</f>
        <v>Previous</v>
      </c>
      <c r="L1106" s="6"/>
      <c r="M11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6" s="6" t="str">
        <f ca="1">IF(GameLog[[#This Row],[Check]]="","",COUNTIF(GameLog[[#Headers],[Check]]:GameLog[[#This Row],[Check]],"?*")-1)</f>
        <v/>
      </c>
      <c r="O1106" s="6" t="str">
        <f>IFERROR(INDEX(Players[New name],MATCH(GameLog[[#This Row],[Player]],Players[Name],0)),GameLog[[#This Row],[Player]])</f>
        <v>Bryce C</v>
      </c>
    </row>
    <row r="1107" spans="1:15" x14ac:dyDescent="0.45">
      <c r="A1107" s="6" t="s">
        <v>91</v>
      </c>
      <c r="B1107" s="6" t="s">
        <v>50</v>
      </c>
      <c r="C1107" s="6">
        <v>1</v>
      </c>
      <c r="D1107" s="6">
        <v>6</v>
      </c>
      <c r="E1107" s="6">
        <v>1</v>
      </c>
      <c r="F1107" s="10">
        <v>46090</v>
      </c>
      <c r="G1107" s="6" t="str">
        <f>_xlfn.TEXTJOIN("|",TRUE,GameLog[[#This Row],[Pod]],TEXT(INT(GameLog[[#This Row],[Round]]),"yyyymmdd"),GameLog[[#This Row],[Date]])</f>
        <v>6|19000101|46090</v>
      </c>
      <c r="H1107" s="6">
        <f>COUNTIF(GameLog[Pod ID],GameLog[[#This Row],[Pod ID]])</f>
        <v>4</v>
      </c>
      <c r="I1107" s="6">
        <f>YEAR(GameLog[[#This Row],[Date]])</f>
        <v>2026</v>
      </c>
      <c r="J1107" s="6">
        <f>MONTH(GameLog[[#This Row],[Date]])</f>
        <v>3</v>
      </c>
      <c r="K1107" s="6" t="str">
        <f>IF(GameLog[[#This Row],[Date]]=MAX(GameLog[Date]),"Current","Previous")</f>
        <v>Previous</v>
      </c>
      <c r="L1107" s="6"/>
      <c r="M11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7" s="6" t="str">
        <f ca="1">IF(GameLog[[#This Row],[Check]]="","",COUNTIF(GameLog[[#Headers],[Check]]:GameLog[[#This Row],[Check]],"?*")-1)</f>
        <v/>
      </c>
      <c r="O1107" s="6" t="str">
        <f>IFERROR(INDEX(Players[New name],MATCH(GameLog[[#This Row],[Player]],Players[Name],0)),GameLog[[#This Row],[Player]])</f>
        <v>Isaac B</v>
      </c>
    </row>
    <row r="1108" spans="1:15" x14ac:dyDescent="0.45">
      <c r="A1108" s="6" t="s">
        <v>58</v>
      </c>
      <c r="B1108" s="6" t="s">
        <v>53</v>
      </c>
      <c r="C1108" s="6">
        <v>2</v>
      </c>
      <c r="D1108" s="6">
        <v>6</v>
      </c>
      <c r="E1108" s="6">
        <v>1</v>
      </c>
      <c r="F1108" s="10">
        <v>46090</v>
      </c>
      <c r="G1108" s="6" t="str">
        <f>_xlfn.TEXTJOIN("|",TRUE,GameLog[[#This Row],[Pod]],TEXT(INT(GameLog[[#This Row],[Round]]),"yyyymmdd"),GameLog[[#This Row],[Date]])</f>
        <v>6|19000101|46090</v>
      </c>
      <c r="H1108" s="6">
        <f>COUNTIF(GameLog[Pod ID],GameLog[[#This Row],[Pod ID]])</f>
        <v>4</v>
      </c>
      <c r="I1108" s="6">
        <f>YEAR(GameLog[[#This Row],[Date]])</f>
        <v>2026</v>
      </c>
      <c r="J1108" s="6">
        <f>MONTH(GameLog[[#This Row],[Date]])</f>
        <v>3</v>
      </c>
      <c r="K1108" s="6" t="str">
        <f>IF(GameLog[[#This Row],[Date]]=MAX(GameLog[Date]),"Current","Previous")</f>
        <v>Previous</v>
      </c>
      <c r="L1108" s="6"/>
      <c r="M11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8" s="6" t="str">
        <f ca="1">IF(GameLog[[#This Row],[Check]]="","",COUNTIF(GameLog[[#Headers],[Check]]:GameLog[[#This Row],[Check]],"?*")-1)</f>
        <v/>
      </c>
      <c r="O1108" s="6" t="str">
        <f>IFERROR(INDEX(Players[New name],MATCH(GameLog[[#This Row],[Player]],Players[Name],0)),GameLog[[#This Row],[Player]])</f>
        <v>Dakota P</v>
      </c>
    </row>
    <row r="1109" spans="1:15" x14ac:dyDescent="0.45">
      <c r="A1109" s="6" t="s">
        <v>77</v>
      </c>
      <c r="B1109" s="6" t="s">
        <v>53</v>
      </c>
      <c r="C1109" s="6">
        <v>3</v>
      </c>
      <c r="D1109" s="6">
        <v>6</v>
      </c>
      <c r="E1109" s="6">
        <v>1</v>
      </c>
      <c r="F1109" s="10">
        <v>46090</v>
      </c>
      <c r="G1109" s="6" t="str">
        <f>_xlfn.TEXTJOIN("|",TRUE,GameLog[[#This Row],[Pod]],TEXT(INT(GameLog[[#This Row],[Round]]),"yyyymmdd"),GameLog[[#This Row],[Date]])</f>
        <v>6|19000101|46090</v>
      </c>
      <c r="H1109" s="6">
        <f>COUNTIF(GameLog[Pod ID],GameLog[[#This Row],[Pod ID]])</f>
        <v>4</v>
      </c>
      <c r="I1109" s="6">
        <f>YEAR(GameLog[[#This Row],[Date]])</f>
        <v>2026</v>
      </c>
      <c r="J1109" s="6">
        <f>MONTH(GameLog[[#This Row],[Date]])</f>
        <v>3</v>
      </c>
      <c r="K1109" s="6" t="str">
        <f>IF(GameLog[[#This Row],[Date]]=MAX(GameLog[Date]),"Current","Previous")</f>
        <v>Previous</v>
      </c>
      <c r="L1109" s="6"/>
      <c r="M11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09" s="6" t="str">
        <f ca="1">IF(GameLog[[#This Row],[Check]]="","",COUNTIF(GameLog[[#Headers],[Check]]:GameLog[[#This Row],[Check]],"?*")-1)</f>
        <v/>
      </c>
      <c r="O1109" s="6" t="str">
        <f>IFERROR(INDEX(Players[New name],MATCH(GameLog[[#This Row],[Player]],Players[Name],0)),GameLog[[#This Row],[Player]])</f>
        <v>Dave M</v>
      </c>
    </row>
    <row r="1110" spans="1:15" x14ac:dyDescent="0.45">
      <c r="A1110" s="6" t="s">
        <v>68</v>
      </c>
      <c r="B1110" s="6" t="s">
        <v>53</v>
      </c>
      <c r="C1110" s="6">
        <v>4</v>
      </c>
      <c r="D1110" s="6">
        <v>6</v>
      </c>
      <c r="E1110" s="6">
        <v>1</v>
      </c>
      <c r="F1110" s="10">
        <v>46090</v>
      </c>
      <c r="G1110" s="6" t="str">
        <f>_xlfn.TEXTJOIN("|",TRUE,GameLog[[#This Row],[Pod]],TEXT(INT(GameLog[[#This Row],[Round]]),"yyyymmdd"),GameLog[[#This Row],[Date]])</f>
        <v>6|19000101|46090</v>
      </c>
      <c r="H1110" s="6">
        <f>COUNTIF(GameLog[Pod ID],GameLog[[#This Row],[Pod ID]])</f>
        <v>4</v>
      </c>
      <c r="I1110" s="6">
        <f>YEAR(GameLog[[#This Row],[Date]])</f>
        <v>2026</v>
      </c>
      <c r="J1110" s="6">
        <f>MONTH(GameLog[[#This Row],[Date]])</f>
        <v>3</v>
      </c>
      <c r="K1110" s="6" t="str">
        <f>IF(GameLog[[#This Row],[Date]]=MAX(GameLog[Date]),"Current","Previous")</f>
        <v>Previous</v>
      </c>
      <c r="L1110" s="6"/>
      <c r="M11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0" s="6" t="str">
        <f ca="1">IF(GameLog[[#This Row],[Check]]="","",COUNTIF(GameLog[[#Headers],[Check]]:GameLog[[#This Row],[Check]],"?*")-1)</f>
        <v/>
      </c>
      <c r="O1110" s="6" t="str">
        <f>IFERROR(INDEX(Players[New name],MATCH(GameLog[[#This Row],[Player]],Players[Name],0)),GameLog[[#This Row],[Player]])</f>
        <v>Edwin M</v>
      </c>
    </row>
    <row r="1111" spans="1:15" x14ac:dyDescent="0.45">
      <c r="A1111" s="6" t="s">
        <v>97</v>
      </c>
      <c r="B1111" s="6" t="s">
        <v>90</v>
      </c>
      <c r="C1111" s="6">
        <v>1</v>
      </c>
      <c r="D1111" s="6">
        <v>7</v>
      </c>
      <c r="E1111" s="6">
        <v>1</v>
      </c>
      <c r="F1111" s="10">
        <v>46090</v>
      </c>
      <c r="G1111" s="6" t="str">
        <f>_xlfn.TEXTJOIN("|",TRUE,GameLog[[#This Row],[Pod]],TEXT(INT(GameLog[[#This Row],[Round]]),"yyyymmdd"),GameLog[[#This Row],[Date]])</f>
        <v>7|19000101|46090</v>
      </c>
      <c r="H1111" s="6">
        <f>COUNTIF(GameLog[Pod ID],GameLog[[#This Row],[Pod ID]])</f>
        <v>5</v>
      </c>
      <c r="I1111" s="6">
        <f>YEAR(GameLog[[#This Row],[Date]])</f>
        <v>2026</v>
      </c>
      <c r="J1111" s="6">
        <f>MONTH(GameLog[[#This Row],[Date]])</f>
        <v>3</v>
      </c>
      <c r="K1111" s="6" t="str">
        <f>IF(GameLog[[#This Row],[Date]]=MAX(GameLog[Date]),"Current","Previous")</f>
        <v>Previous</v>
      </c>
      <c r="L1111" s="6"/>
      <c r="M11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1" s="6" t="str">
        <f ca="1">IF(GameLog[[#This Row],[Check]]="","",COUNTIF(GameLog[[#Headers],[Check]]:GameLog[[#This Row],[Check]],"?*")-1)</f>
        <v/>
      </c>
      <c r="O1111" s="6" t="str">
        <f>IFERROR(INDEX(Players[New name],MATCH(GameLog[[#This Row],[Player]],Players[Name],0)),GameLog[[#This Row],[Player]])</f>
        <v>Arman H</v>
      </c>
    </row>
    <row r="1112" spans="1:15" x14ac:dyDescent="0.45">
      <c r="A1112" s="6" t="s">
        <v>60</v>
      </c>
      <c r="B1112" s="6" t="s">
        <v>90</v>
      </c>
      <c r="C1112" s="6">
        <v>2</v>
      </c>
      <c r="D1112" s="6">
        <v>7</v>
      </c>
      <c r="E1112" s="6">
        <v>1</v>
      </c>
      <c r="F1112" s="10">
        <v>46090</v>
      </c>
      <c r="G1112" s="6" t="str">
        <f>_xlfn.TEXTJOIN("|",TRUE,GameLog[[#This Row],[Pod]],TEXT(INT(GameLog[[#This Row],[Round]]),"yyyymmdd"),GameLog[[#This Row],[Date]])</f>
        <v>7|19000101|46090</v>
      </c>
      <c r="H1112" s="6">
        <f>COUNTIF(GameLog[Pod ID],GameLog[[#This Row],[Pod ID]])</f>
        <v>5</v>
      </c>
      <c r="I1112" s="6">
        <f>YEAR(GameLog[[#This Row],[Date]])</f>
        <v>2026</v>
      </c>
      <c r="J1112" s="6">
        <f>MONTH(GameLog[[#This Row],[Date]])</f>
        <v>3</v>
      </c>
      <c r="K1112" s="6" t="str">
        <f>IF(GameLog[[#This Row],[Date]]=MAX(GameLog[Date]),"Current","Previous")</f>
        <v>Previous</v>
      </c>
      <c r="L1112" s="6"/>
      <c r="M11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2" s="6" t="str">
        <f ca="1">IF(GameLog[[#This Row],[Check]]="","",COUNTIF(GameLog[[#Headers],[Check]]:GameLog[[#This Row],[Check]],"?*")-1)</f>
        <v/>
      </c>
      <c r="O1112" s="6" t="str">
        <f>IFERROR(INDEX(Players[New name],MATCH(GameLog[[#This Row],[Player]],Players[Name],0)),GameLog[[#This Row],[Player]])</f>
        <v>Brendan H</v>
      </c>
    </row>
    <row r="1113" spans="1:15" x14ac:dyDescent="0.45">
      <c r="A1113" s="6" t="s">
        <v>82</v>
      </c>
      <c r="B1113" s="6" t="s">
        <v>90</v>
      </c>
      <c r="C1113" s="6">
        <v>3</v>
      </c>
      <c r="D1113" s="6">
        <v>7</v>
      </c>
      <c r="E1113" s="6">
        <v>1</v>
      </c>
      <c r="F1113" s="10">
        <v>46090</v>
      </c>
      <c r="G1113" s="6" t="str">
        <f>_xlfn.TEXTJOIN("|",TRUE,GameLog[[#This Row],[Pod]],TEXT(INT(GameLog[[#This Row],[Round]]),"yyyymmdd"),GameLog[[#This Row],[Date]])</f>
        <v>7|19000101|46090</v>
      </c>
      <c r="H1113" s="6">
        <f>COUNTIF(GameLog[Pod ID],GameLog[[#This Row],[Pod ID]])</f>
        <v>5</v>
      </c>
      <c r="I1113" s="6">
        <f>YEAR(GameLog[[#This Row],[Date]])</f>
        <v>2026</v>
      </c>
      <c r="J1113" s="6">
        <f>MONTH(GameLog[[#This Row],[Date]])</f>
        <v>3</v>
      </c>
      <c r="K1113" s="6" t="str">
        <f>IF(GameLog[[#This Row],[Date]]=MAX(GameLog[Date]),"Current","Previous")</f>
        <v>Previous</v>
      </c>
      <c r="L1113" s="6"/>
      <c r="M11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3" s="6" t="str">
        <f ca="1">IF(GameLog[[#This Row],[Check]]="","",COUNTIF(GameLog[[#Headers],[Check]]:GameLog[[#This Row],[Check]],"?*")-1)</f>
        <v/>
      </c>
      <c r="O1113" s="6" t="str">
        <f>IFERROR(INDEX(Players[New name],MATCH(GameLog[[#This Row],[Player]],Players[Name],0)),GameLog[[#This Row],[Player]])</f>
        <v>Nick D</v>
      </c>
    </row>
    <row r="1114" spans="1:15" x14ac:dyDescent="0.45">
      <c r="A1114" s="6" t="s">
        <v>57</v>
      </c>
      <c r="B1114" s="6" t="s">
        <v>90</v>
      </c>
      <c r="C1114" s="6">
        <v>4</v>
      </c>
      <c r="D1114" s="6">
        <v>7</v>
      </c>
      <c r="E1114" s="6">
        <v>1</v>
      </c>
      <c r="F1114" s="10">
        <v>46090</v>
      </c>
      <c r="G1114" s="6" t="str">
        <f>_xlfn.TEXTJOIN("|",TRUE,GameLog[[#This Row],[Pod]],TEXT(INT(GameLog[[#This Row],[Round]]),"yyyymmdd"),GameLog[[#This Row],[Date]])</f>
        <v>7|19000101|46090</v>
      </c>
      <c r="H1114" s="6">
        <f>COUNTIF(GameLog[Pod ID],GameLog[[#This Row],[Pod ID]])</f>
        <v>5</v>
      </c>
      <c r="I1114" s="6">
        <f>YEAR(GameLog[[#This Row],[Date]])</f>
        <v>2026</v>
      </c>
      <c r="J1114" s="6">
        <f>MONTH(GameLog[[#This Row],[Date]])</f>
        <v>3</v>
      </c>
      <c r="K1114" s="6" t="str">
        <f>IF(GameLog[[#This Row],[Date]]=MAX(GameLog[Date]),"Current","Previous")</f>
        <v>Previous</v>
      </c>
      <c r="L1114" s="6"/>
      <c r="M11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4" s="6" t="str">
        <f ca="1">IF(GameLog[[#This Row],[Check]]="","",COUNTIF(GameLog[[#Headers],[Check]]:GameLog[[#This Row],[Check]],"?*")-1)</f>
        <v/>
      </c>
      <c r="O1114" s="6" t="str">
        <f>IFERROR(INDEX(Players[New name],MATCH(GameLog[[#This Row],[Player]],Players[Name],0)),GameLog[[#This Row],[Player]])</f>
        <v>AJ W</v>
      </c>
    </row>
    <row r="1115" spans="1:15" x14ac:dyDescent="0.45">
      <c r="A1115" s="6" t="s">
        <v>105</v>
      </c>
      <c r="B1115" s="6" t="s">
        <v>90</v>
      </c>
      <c r="C1115" s="6">
        <v>5</v>
      </c>
      <c r="D1115" s="6">
        <v>7</v>
      </c>
      <c r="E1115" s="6">
        <v>1</v>
      </c>
      <c r="F1115" s="10">
        <v>46090</v>
      </c>
      <c r="G1115" s="6" t="str">
        <f>_xlfn.TEXTJOIN("|",TRUE,GameLog[[#This Row],[Pod]],TEXT(INT(GameLog[[#This Row],[Round]]),"yyyymmdd"),GameLog[[#This Row],[Date]])</f>
        <v>7|19000101|46090</v>
      </c>
      <c r="H1115" s="6">
        <f>COUNTIF(GameLog[Pod ID],GameLog[[#This Row],[Pod ID]])</f>
        <v>5</v>
      </c>
      <c r="I1115" s="6">
        <f>YEAR(GameLog[[#This Row],[Date]])</f>
        <v>2026</v>
      </c>
      <c r="J1115" s="6">
        <f>MONTH(GameLog[[#This Row],[Date]])</f>
        <v>3</v>
      </c>
      <c r="K1115" s="6" t="str">
        <f>IF(GameLog[[#This Row],[Date]]=MAX(GameLog[Date]),"Current","Previous")</f>
        <v>Previous</v>
      </c>
      <c r="L1115" s="6"/>
      <c r="M11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5" s="6" t="str">
        <f ca="1">IF(GameLog[[#This Row],[Check]]="","",COUNTIF(GameLog[[#Headers],[Check]]:GameLog[[#This Row],[Check]],"?*")-1)</f>
        <v/>
      </c>
      <c r="O1115" s="6" t="str">
        <f>IFERROR(INDEX(Players[New name],MATCH(GameLog[[#This Row],[Player]],Players[Name],0)),GameLog[[#This Row],[Player]])</f>
        <v>Kevin S</v>
      </c>
    </row>
    <row r="1116" spans="1:15" x14ac:dyDescent="0.45">
      <c r="A1116" s="6" t="s">
        <v>101</v>
      </c>
      <c r="B1116" s="6" t="s">
        <v>53</v>
      </c>
      <c r="C1116" s="6">
        <v>1</v>
      </c>
      <c r="D1116" s="6">
        <v>1</v>
      </c>
      <c r="E1116" s="6">
        <v>2</v>
      </c>
      <c r="F1116" s="10">
        <v>46090</v>
      </c>
      <c r="G1116" s="6" t="str">
        <f>_xlfn.TEXTJOIN("|",TRUE,GameLog[[#This Row],[Pod]],TEXT(INT(GameLog[[#This Row],[Round]]),"yyyymmdd"),GameLog[[#This Row],[Date]])</f>
        <v>1|19000102|46090</v>
      </c>
      <c r="H1116" s="6">
        <f>COUNTIF(GameLog[Pod ID],GameLog[[#This Row],[Pod ID]])</f>
        <v>4</v>
      </c>
      <c r="I1116" s="6">
        <f>YEAR(GameLog[[#This Row],[Date]])</f>
        <v>2026</v>
      </c>
      <c r="J1116" s="6">
        <f>MONTH(GameLog[[#This Row],[Date]])</f>
        <v>3</v>
      </c>
      <c r="K1116" s="6" t="str">
        <f>IF(GameLog[[#This Row],[Date]]=MAX(GameLog[Date]),"Current","Previous")</f>
        <v>Previous</v>
      </c>
      <c r="L1116" s="6"/>
      <c r="M11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6" s="6" t="str">
        <f ca="1">IF(GameLog[[#This Row],[Check]]="","",COUNTIF(GameLog[[#Headers],[Check]]:GameLog[[#This Row],[Check]],"?*")-1)</f>
        <v/>
      </c>
      <c r="O1116" s="6" t="str">
        <f>IFERROR(INDEX(Players[New name],MATCH(GameLog[[#This Row],[Player]],Players[Name],0)),GameLog[[#This Row],[Player]])</f>
        <v>Matthew P</v>
      </c>
    </row>
    <row r="1117" spans="1:15" x14ac:dyDescent="0.45">
      <c r="A1117" s="6" t="s">
        <v>75</v>
      </c>
      <c r="B1117" s="6" t="s">
        <v>53</v>
      </c>
      <c r="C1117" s="6">
        <v>2</v>
      </c>
      <c r="D1117" s="6">
        <v>1</v>
      </c>
      <c r="E1117" s="6">
        <v>2</v>
      </c>
      <c r="F1117" s="10">
        <v>46090</v>
      </c>
      <c r="G1117" s="6" t="str">
        <f>_xlfn.TEXTJOIN("|",TRUE,GameLog[[#This Row],[Pod]],TEXT(INT(GameLog[[#This Row],[Round]]),"yyyymmdd"),GameLog[[#This Row],[Date]])</f>
        <v>1|19000102|46090</v>
      </c>
      <c r="H1117" s="6">
        <f>COUNTIF(GameLog[Pod ID],GameLog[[#This Row],[Pod ID]])</f>
        <v>4</v>
      </c>
      <c r="I1117" s="6">
        <f>YEAR(GameLog[[#This Row],[Date]])</f>
        <v>2026</v>
      </c>
      <c r="J1117" s="6">
        <f>MONTH(GameLog[[#This Row],[Date]])</f>
        <v>3</v>
      </c>
      <c r="K1117" s="6" t="str">
        <f>IF(GameLog[[#This Row],[Date]]=MAX(GameLog[Date]),"Current","Previous")</f>
        <v>Previous</v>
      </c>
      <c r="L1117" s="6"/>
      <c r="M11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7" s="6" t="str">
        <f ca="1">IF(GameLog[[#This Row],[Check]]="","",COUNTIF(GameLog[[#Headers],[Check]]:GameLog[[#This Row],[Check]],"?*")-1)</f>
        <v/>
      </c>
      <c r="O1117" s="6" t="str">
        <f>IFERROR(INDEX(Players[New name],MATCH(GameLog[[#This Row],[Player]],Players[Name],0)),GameLog[[#This Row],[Player]])</f>
        <v>Eli T</v>
      </c>
    </row>
    <row r="1118" spans="1:15" x14ac:dyDescent="0.45">
      <c r="A1118" s="6" t="s">
        <v>82</v>
      </c>
      <c r="B1118" s="6" t="s">
        <v>53</v>
      </c>
      <c r="C1118" s="6">
        <v>3</v>
      </c>
      <c r="D1118" s="6">
        <v>1</v>
      </c>
      <c r="E1118" s="6">
        <v>2</v>
      </c>
      <c r="F1118" s="10">
        <v>46090</v>
      </c>
      <c r="G1118" s="6" t="str">
        <f>_xlfn.TEXTJOIN("|",TRUE,GameLog[[#This Row],[Pod]],TEXT(INT(GameLog[[#This Row],[Round]]),"yyyymmdd"),GameLog[[#This Row],[Date]])</f>
        <v>1|19000102|46090</v>
      </c>
      <c r="H1118" s="6">
        <f>COUNTIF(GameLog[Pod ID],GameLog[[#This Row],[Pod ID]])</f>
        <v>4</v>
      </c>
      <c r="I1118" s="6">
        <f>YEAR(GameLog[[#This Row],[Date]])</f>
        <v>2026</v>
      </c>
      <c r="J1118" s="6">
        <f>MONTH(GameLog[[#This Row],[Date]])</f>
        <v>3</v>
      </c>
      <c r="K1118" s="6" t="str">
        <f>IF(GameLog[[#This Row],[Date]]=MAX(GameLog[Date]),"Current","Previous")</f>
        <v>Previous</v>
      </c>
      <c r="L1118" s="6"/>
      <c r="M11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8" s="6" t="str">
        <f ca="1">IF(GameLog[[#This Row],[Check]]="","",COUNTIF(GameLog[[#Headers],[Check]]:GameLog[[#This Row],[Check]],"?*")-1)</f>
        <v/>
      </c>
      <c r="O1118" s="6" t="str">
        <f>IFERROR(INDEX(Players[New name],MATCH(GameLog[[#This Row],[Player]],Players[Name],0)),GameLog[[#This Row],[Player]])</f>
        <v>Nick D</v>
      </c>
    </row>
    <row r="1119" spans="1:15" x14ac:dyDescent="0.45">
      <c r="A1119" s="6" t="s">
        <v>92</v>
      </c>
      <c r="B1119" s="6" t="s">
        <v>50</v>
      </c>
      <c r="C1119" s="6">
        <v>4</v>
      </c>
      <c r="D1119" s="6">
        <v>1</v>
      </c>
      <c r="E1119" s="6">
        <v>2</v>
      </c>
      <c r="F1119" s="10">
        <v>46090</v>
      </c>
      <c r="G1119" s="6" t="str">
        <f>_xlfn.TEXTJOIN("|",TRUE,GameLog[[#This Row],[Pod]],TEXT(INT(GameLog[[#This Row],[Round]]),"yyyymmdd"),GameLog[[#This Row],[Date]])</f>
        <v>1|19000102|46090</v>
      </c>
      <c r="H1119" s="6">
        <f>COUNTIF(GameLog[Pod ID],GameLog[[#This Row],[Pod ID]])</f>
        <v>4</v>
      </c>
      <c r="I1119" s="6">
        <f>YEAR(GameLog[[#This Row],[Date]])</f>
        <v>2026</v>
      </c>
      <c r="J1119" s="6">
        <f>MONTH(GameLog[[#This Row],[Date]])</f>
        <v>3</v>
      </c>
      <c r="K1119" s="6" t="str">
        <f>IF(GameLog[[#This Row],[Date]]=MAX(GameLog[Date]),"Current","Previous")</f>
        <v>Previous</v>
      </c>
      <c r="L1119" s="6"/>
      <c r="M11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19" s="6" t="str">
        <f ca="1">IF(GameLog[[#This Row],[Check]]="","",COUNTIF(GameLog[[#Headers],[Check]]:GameLog[[#This Row],[Check]],"?*")-1)</f>
        <v/>
      </c>
      <c r="O1119" s="6" t="str">
        <f>IFERROR(INDEX(Players[New name],MATCH(GameLog[[#This Row],[Player]],Players[Name],0)),GameLog[[#This Row],[Player]])</f>
        <v>Harley A</v>
      </c>
    </row>
    <row r="1120" spans="1:15" x14ac:dyDescent="0.45">
      <c r="A1120" s="6" t="s">
        <v>104</v>
      </c>
      <c r="B1120" s="6" t="s">
        <v>50</v>
      </c>
      <c r="C1120" s="6">
        <v>1</v>
      </c>
      <c r="D1120" s="6">
        <v>2</v>
      </c>
      <c r="E1120" s="6">
        <v>2</v>
      </c>
      <c r="F1120" s="10">
        <v>46090</v>
      </c>
      <c r="G1120" s="6" t="str">
        <f>_xlfn.TEXTJOIN("|",TRUE,GameLog[[#This Row],[Pod]],TEXT(INT(GameLog[[#This Row],[Round]]),"yyyymmdd"),GameLog[[#This Row],[Date]])</f>
        <v>2|19000102|46090</v>
      </c>
      <c r="H1120" s="6">
        <f>COUNTIF(GameLog[Pod ID],GameLog[[#This Row],[Pod ID]])</f>
        <v>4</v>
      </c>
      <c r="I1120" s="6">
        <f>YEAR(GameLog[[#This Row],[Date]])</f>
        <v>2026</v>
      </c>
      <c r="J1120" s="6">
        <f>MONTH(GameLog[[#This Row],[Date]])</f>
        <v>3</v>
      </c>
      <c r="K1120" s="6" t="str">
        <f>IF(GameLog[[#This Row],[Date]]=MAX(GameLog[Date]),"Current","Previous")</f>
        <v>Previous</v>
      </c>
      <c r="L1120" s="6"/>
      <c r="M11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0" s="6" t="str">
        <f ca="1">IF(GameLog[[#This Row],[Check]]="","",COUNTIF(GameLog[[#Headers],[Check]]:GameLog[[#This Row],[Check]],"?*")-1)</f>
        <v/>
      </c>
      <c r="O1120" s="6" t="str">
        <f>IFERROR(INDEX(Players[New name],MATCH(GameLog[[#This Row],[Player]],Players[Name],0)),GameLog[[#This Row],[Player]])</f>
        <v>Eric E</v>
      </c>
    </row>
    <row r="1121" spans="1:15" x14ac:dyDescent="0.45">
      <c r="A1121" s="6" t="s">
        <v>91</v>
      </c>
      <c r="B1121" s="6" t="s">
        <v>53</v>
      </c>
      <c r="C1121" s="6">
        <v>2</v>
      </c>
      <c r="D1121" s="6">
        <v>2</v>
      </c>
      <c r="E1121" s="6">
        <v>2</v>
      </c>
      <c r="F1121" s="10">
        <v>46090</v>
      </c>
      <c r="G1121" s="6" t="str">
        <f>_xlfn.TEXTJOIN("|",TRUE,GameLog[[#This Row],[Pod]],TEXT(INT(GameLog[[#This Row],[Round]]),"yyyymmdd"),GameLog[[#This Row],[Date]])</f>
        <v>2|19000102|46090</v>
      </c>
      <c r="H1121" s="6">
        <f>COUNTIF(GameLog[Pod ID],GameLog[[#This Row],[Pod ID]])</f>
        <v>4</v>
      </c>
      <c r="I1121" s="6">
        <f>YEAR(GameLog[[#This Row],[Date]])</f>
        <v>2026</v>
      </c>
      <c r="J1121" s="6">
        <f>MONTH(GameLog[[#This Row],[Date]])</f>
        <v>3</v>
      </c>
      <c r="K1121" s="6" t="str">
        <f>IF(GameLog[[#This Row],[Date]]=MAX(GameLog[Date]),"Current","Previous")</f>
        <v>Previous</v>
      </c>
      <c r="L1121" s="6"/>
      <c r="M11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1" s="6" t="str">
        <f ca="1">IF(GameLog[[#This Row],[Check]]="","",COUNTIF(GameLog[[#Headers],[Check]]:GameLog[[#This Row],[Check]],"?*")-1)</f>
        <v/>
      </c>
      <c r="O1121" s="6" t="str">
        <f>IFERROR(INDEX(Players[New name],MATCH(GameLog[[#This Row],[Player]],Players[Name],0)),GameLog[[#This Row],[Player]])</f>
        <v>Isaac B</v>
      </c>
    </row>
    <row r="1122" spans="1:15" x14ac:dyDescent="0.45">
      <c r="A1122" s="6" t="s">
        <v>96</v>
      </c>
      <c r="B1122" s="6" t="s">
        <v>53</v>
      </c>
      <c r="C1122" s="6">
        <v>3</v>
      </c>
      <c r="D1122" s="6">
        <v>2</v>
      </c>
      <c r="E1122" s="6">
        <v>2</v>
      </c>
      <c r="F1122" s="10">
        <v>46090</v>
      </c>
      <c r="G1122" s="6" t="str">
        <f>_xlfn.TEXTJOIN("|",TRUE,GameLog[[#This Row],[Pod]],TEXT(INT(GameLog[[#This Row],[Round]]),"yyyymmdd"),GameLog[[#This Row],[Date]])</f>
        <v>2|19000102|46090</v>
      </c>
      <c r="H1122" s="6">
        <f>COUNTIF(GameLog[Pod ID],GameLog[[#This Row],[Pod ID]])</f>
        <v>4</v>
      </c>
      <c r="I1122" s="6">
        <f>YEAR(GameLog[[#This Row],[Date]])</f>
        <v>2026</v>
      </c>
      <c r="J1122" s="6">
        <f>MONTH(GameLog[[#This Row],[Date]])</f>
        <v>3</v>
      </c>
      <c r="K1122" s="6" t="str">
        <f>IF(GameLog[[#This Row],[Date]]=MAX(GameLog[Date]),"Current","Previous")</f>
        <v>Previous</v>
      </c>
      <c r="L1122" s="6"/>
      <c r="M11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2" s="6" t="str">
        <f ca="1">IF(GameLog[[#This Row],[Check]]="","",COUNTIF(GameLog[[#Headers],[Check]]:GameLog[[#This Row],[Check]],"?*")-1)</f>
        <v/>
      </c>
      <c r="O1122" s="6" t="str">
        <f>IFERROR(INDEX(Players[New name],MATCH(GameLog[[#This Row],[Player]],Players[Name],0)),GameLog[[#This Row],[Player]])</f>
        <v>Brandon A</v>
      </c>
    </row>
    <row r="1123" spans="1:15" x14ac:dyDescent="0.45">
      <c r="A1123" s="6" t="s">
        <v>97</v>
      </c>
      <c r="B1123" s="6" t="s">
        <v>53</v>
      </c>
      <c r="C1123" s="6">
        <v>4</v>
      </c>
      <c r="D1123" s="6">
        <v>2</v>
      </c>
      <c r="E1123" s="6">
        <v>2</v>
      </c>
      <c r="F1123" s="10">
        <v>46090</v>
      </c>
      <c r="G1123" s="6" t="str">
        <f>_xlfn.TEXTJOIN("|",TRUE,GameLog[[#This Row],[Pod]],TEXT(INT(GameLog[[#This Row],[Round]]),"yyyymmdd"),GameLog[[#This Row],[Date]])</f>
        <v>2|19000102|46090</v>
      </c>
      <c r="H1123" s="6">
        <f>COUNTIF(GameLog[Pod ID],GameLog[[#This Row],[Pod ID]])</f>
        <v>4</v>
      </c>
      <c r="I1123" s="6">
        <f>YEAR(GameLog[[#This Row],[Date]])</f>
        <v>2026</v>
      </c>
      <c r="J1123" s="6">
        <f>MONTH(GameLog[[#This Row],[Date]])</f>
        <v>3</v>
      </c>
      <c r="K1123" s="6" t="str">
        <f>IF(GameLog[[#This Row],[Date]]=MAX(GameLog[Date]),"Current","Previous")</f>
        <v>Previous</v>
      </c>
      <c r="L1123" s="6"/>
      <c r="M11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3" s="6" t="str">
        <f ca="1">IF(GameLog[[#This Row],[Check]]="","",COUNTIF(GameLog[[#Headers],[Check]]:GameLog[[#This Row],[Check]],"?*")-1)</f>
        <v/>
      </c>
      <c r="O1123" s="6" t="str">
        <f>IFERROR(INDEX(Players[New name],MATCH(GameLog[[#This Row],[Player]],Players[Name],0)),GameLog[[#This Row],[Player]])</f>
        <v>Arman H</v>
      </c>
    </row>
    <row r="1124" spans="1:15" x14ac:dyDescent="0.45">
      <c r="A1124" s="6" t="s">
        <v>63</v>
      </c>
      <c r="B1124" s="6" t="s">
        <v>53</v>
      </c>
      <c r="C1124" s="6">
        <v>1</v>
      </c>
      <c r="D1124" s="6">
        <v>3</v>
      </c>
      <c r="E1124" s="6">
        <v>2</v>
      </c>
      <c r="F1124" s="10">
        <v>46090</v>
      </c>
      <c r="G1124" s="6" t="str">
        <f>_xlfn.TEXTJOIN("|",TRUE,GameLog[[#This Row],[Pod]],TEXT(INT(GameLog[[#This Row],[Round]]),"yyyymmdd"),GameLog[[#This Row],[Date]])</f>
        <v>3|19000102|46090</v>
      </c>
      <c r="H1124" s="6">
        <f>COUNTIF(GameLog[Pod ID],GameLog[[#This Row],[Pod ID]])</f>
        <v>4</v>
      </c>
      <c r="I1124" s="6">
        <f>YEAR(GameLog[[#This Row],[Date]])</f>
        <v>2026</v>
      </c>
      <c r="J1124" s="6">
        <f>MONTH(GameLog[[#This Row],[Date]])</f>
        <v>3</v>
      </c>
      <c r="K1124" s="6" t="str">
        <f>IF(GameLog[[#This Row],[Date]]=MAX(GameLog[Date]),"Current","Previous")</f>
        <v>Previous</v>
      </c>
      <c r="L1124" s="6"/>
      <c r="M11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4" s="6" t="str">
        <f ca="1">IF(GameLog[[#This Row],[Check]]="","",COUNTIF(GameLog[[#Headers],[Check]]:GameLog[[#This Row],[Check]],"?*")-1)</f>
        <v/>
      </c>
      <c r="O1124" s="6" t="str">
        <f>IFERROR(INDEX(Players[New name],MATCH(GameLog[[#This Row],[Player]],Players[Name],0)),GameLog[[#This Row],[Player]])</f>
        <v>Jake D</v>
      </c>
    </row>
    <row r="1125" spans="1:15" x14ac:dyDescent="0.45">
      <c r="A1125" s="6" t="s">
        <v>68</v>
      </c>
      <c r="B1125" s="6" t="s">
        <v>53</v>
      </c>
      <c r="C1125" s="6">
        <v>2</v>
      </c>
      <c r="D1125" s="6">
        <v>3</v>
      </c>
      <c r="E1125" s="6">
        <v>2</v>
      </c>
      <c r="F1125" s="10">
        <v>46090</v>
      </c>
      <c r="G1125" s="6" t="str">
        <f>_xlfn.TEXTJOIN("|",TRUE,GameLog[[#This Row],[Pod]],TEXT(INT(GameLog[[#This Row],[Round]]),"yyyymmdd"),GameLog[[#This Row],[Date]])</f>
        <v>3|19000102|46090</v>
      </c>
      <c r="H1125" s="6">
        <f>COUNTIF(GameLog[Pod ID],GameLog[[#This Row],[Pod ID]])</f>
        <v>4</v>
      </c>
      <c r="I1125" s="6">
        <f>YEAR(GameLog[[#This Row],[Date]])</f>
        <v>2026</v>
      </c>
      <c r="J1125" s="6">
        <f>MONTH(GameLog[[#This Row],[Date]])</f>
        <v>3</v>
      </c>
      <c r="K1125" s="6" t="str">
        <f>IF(GameLog[[#This Row],[Date]]=MAX(GameLog[Date]),"Current","Previous")</f>
        <v>Previous</v>
      </c>
      <c r="L1125" s="6"/>
      <c r="M11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5" s="6" t="str">
        <f ca="1">IF(GameLog[[#This Row],[Check]]="","",COUNTIF(GameLog[[#Headers],[Check]]:GameLog[[#This Row],[Check]],"?*")-1)</f>
        <v/>
      </c>
      <c r="O1125" s="6" t="str">
        <f>IFERROR(INDEX(Players[New name],MATCH(GameLog[[#This Row],[Player]],Players[Name],0)),GameLog[[#This Row],[Player]])</f>
        <v>Edwin M</v>
      </c>
    </row>
    <row r="1126" spans="1:15" x14ac:dyDescent="0.45">
      <c r="A1126" s="6" t="s">
        <v>57</v>
      </c>
      <c r="B1126" s="6" t="s">
        <v>50</v>
      </c>
      <c r="C1126" s="6">
        <v>3</v>
      </c>
      <c r="D1126" s="6">
        <v>3</v>
      </c>
      <c r="E1126" s="6">
        <v>2</v>
      </c>
      <c r="F1126" s="10">
        <v>46090</v>
      </c>
      <c r="G1126" s="6" t="str">
        <f>_xlfn.TEXTJOIN("|",TRUE,GameLog[[#This Row],[Pod]],TEXT(INT(GameLog[[#This Row],[Round]]),"yyyymmdd"),GameLog[[#This Row],[Date]])</f>
        <v>3|19000102|46090</v>
      </c>
      <c r="H1126" s="6">
        <f>COUNTIF(GameLog[Pod ID],GameLog[[#This Row],[Pod ID]])</f>
        <v>4</v>
      </c>
      <c r="I1126" s="6">
        <f>YEAR(GameLog[[#This Row],[Date]])</f>
        <v>2026</v>
      </c>
      <c r="J1126" s="6">
        <f>MONTH(GameLog[[#This Row],[Date]])</f>
        <v>3</v>
      </c>
      <c r="K1126" s="6" t="str">
        <f>IF(GameLog[[#This Row],[Date]]=MAX(GameLog[Date]),"Current","Previous")</f>
        <v>Previous</v>
      </c>
      <c r="L1126" s="6"/>
      <c r="M11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6" s="6" t="str">
        <f ca="1">IF(GameLog[[#This Row],[Check]]="","",COUNTIF(GameLog[[#Headers],[Check]]:GameLog[[#This Row],[Check]],"?*")-1)</f>
        <v/>
      </c>
      <c r="O1126" s="6" t="str">
        <f>IFERROR(INDEX(Players[New name],MATCH(GameLog[[#This Row],[Player]],Players[Name],0)),GameLog[[#This Row],[Player]])</f>
        <v>AJ W</v>
      </c>
    </row>
    <row r="1127" spans="1:15" x14ac:dyDescent="0.45">
      <c r="A1127" s="6" t="s">
        <v>61</v>
      </c>
      <c r="B1127" s="6" t="s">
        <v>53</v>
      </c>
      <c r="C1127" s="6">
        <v>4</v>
      </c>
      <c r="D1127" s="6">
        <v>3</v>
      </c>
      <c r="E1127" s="6">
        <v>2</v>
      </c>
      <c r="F1127" s="10">
        <v>46090</v>
      </c>
      <c r="G1127" s="6" t="str">
        <f>_xlfn.TEXTJOIN("|",TRUE,GameLog[[#This Row],[Pod]],TEXT(INT(GameLog[[#This Row],[Round]]),"yyyymmdd"),GameLog[[#This Row],[Date]])</f>
        <v>3|19000102|46090</v>
      </c>
      <c r="H1127" s="6">
        <f>COUNTIF(GameLog[Pod ID],GameLog[[#This Row],[Pod ID]])</f>
        <v>4</v>
      </c>
      <c r="I1127" s="6">
        <f>YEAR(GameLog[[#This Row],[Date]])</f>
        <v>2026</v>
      </c>
      <c r="J1127" s="6">
        <f>MONTH(GameLog[[#This Row],[Date]])</f>
        <v>3</v>
      </c>
      <c r="K1127" s="6" t="str">
        <f>IF(GameLog[[#This Row],[Date]]=MAX(GameLog[Date]),"Current","Previous")</f>
        <v>Previous</v>
      </c>
      <c r="L1127" s="6"/>
      <c r="M11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7" s="6" t="str">
        <f ca="1">IF(GameLog[[#This Row],[Check]]="","",COUNTIF(GameLog[[#Headers],[Check]]:GameLog[[#This Row],[Check]],"?*")-1)</f>
        <v/>
      </c>
      <c r="O1127" s="6" t="str">
        <f>IFERROR(INDEX(Players[New name],MATCH(GameLog[[#This Row],[Player]],Players[Name],0)),GameLog[[#This Row],[Player]])</f>
        <v>Trevor</v>
      </c>
    </row>
    <row r="1128" spans="1:15" x14ac:dyDescent="0.45">
      <c r="A1128" s="6" t="s">
        <v>70</v>
      </c>
      <c r="B1128" s="6" t="s">
        <v>53</v>
      </c>
      <c r="C1128" s="6">
        <v>1</v>
      </c>
      <c r="D1128" s="6">
        <v>4</v>
      </c>
      <c r="E1128" s="6">
        <v>2</v>
      </c>
      <c r="F1128" s="10">
        <v>46090</v>
      </c>
      <c r="G1128" s="6" t="str">
        <f>_xlfn.TEXTJOIN("|",TRUE,GameLog[[#This Row],[Pod]],TEXT(INT(GameLog[[#This Row],[Round]]),"yyyymmdd"),GameLog[[#This Row],[Date]])</f>
        <v>4|19000102|46090</v>
      </c>
      <c r="H1128" s="6">
        <f>COUNTIF(GameLog[Pod ID],GameLog[[#This Row],[Pod ID]])</f>
        <v>4</v>
      </c>
      <c r="I1128" s="6">
        <f>YEAR(GameLog[[#This Row],[Date]])</f>
        <v>2026</v>
      </c>
      <c r="J1128" s="6">
        <f>MONTH(GameLog[[#This Row],[Date]])</f>
        <v>3</v>
      </c>
      <c r="K1128" s="6" t="str">
        <f>IF(GameLog[[#This Row],[Date]]=MAX(GameLog[Date]),"Current","Previous")</f>
        <v>Previous</v>
      </c>
      <c r="L1128" s="6"/>
      <c r="M11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8" s="6" t="str">
        <f ca="1">IF(GameLog[[#This Row],[Check]]="","",COUNTIF(GameLog[[#Headers],[Check]]:GameLog[[#This Row],[Check]],"?*")-1)</f>
        <v/>
      </c>
      <c r="O1128" s="6" t="str">
        <f>IFERROR(INDEX(Players[New name],MATCH(GameLog[[#This Row],[Player]],Players[Name],0)),GameLog[[#This Row],[Player]])</f>
        <v>Brad F</v>
      </c>
    </row>
    <row r="1129" spans="1:15" x14ac:dyDescent="0.45">
      <c r="A1129" s="6" t="s">
        <v>49</v>
      </c>
      <c r="B1129" s="6" t="s">
        <v>50</v>
      </c>
      <c r="C1129" s="6">
        <v>2</v>
      </c>
      <c r="D1129" s="6">
        <v>4</v>
      </c>
      <c r="E1129" s="6">
        <v>2</v>
      </c>
      <c r="F1129" s="10">
        <v>46090</v>
      </c>
      <c r="G1129" s="6" t="str">
        <f>_xlfn.TEXTJOIN("|",TRUE,GameLog[[#This Row],[Pod]],TEXT(INT(GameLog[[#This Row],[Round]]),"yyyymmdd"),GameLog[[#This Row],[Date]])</f>
        <v>4|19000102|46090</v>
      </c>
      <c r="H1129" s="6">
        <f>COUNTIF(GameLog[Pod ID],GameLog[[#This Row],[Pod ID]])</f>
        <v>4</v>
      </c>
      <c r="I1129" s="6">
        <f>YEAR(GameLog[[#This Row],[Date]])</f>
        <v>2026</v>
      </c>
      <c r="J1129" s="6">
        <f>MONTH(GameLog[[#This Row],[Date]])</f>
        <v>3</v>
      </c>
      <c r="K1129" s="6" t="str">
        <f>IF(GameLog[[#This Row],[Date]]=MAX(GameLog[Date]),"Current","Previous")</f>
        <v>Previous</v>
      </c>
      <c r="L1129" s="6"/>
      <c r="M11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29" s="6" t="str">
        <f ca="1">IF(GameLog[[#This Row],[Check]]="","",COUNTIF(GameLog[[#Headers],[Check]]:GameLog[[#This Row],[Check]],"?*")-1)</f>
        <v/>
      </c>
      <c r="O1129" s="6" t="str">
        <f>IFERROR(INDEX(Players[New name],MATCH(GameLog[[#This Row],[Player]],Players[Name],0)),GameLog[[#This Row],[Player]])</f>
        <v>Brett R</v>
      </c>
    </row>
    <row r="1130" spans="1:15" x14ac:dyDescent="0.45">
      <c r="A1130" s="6" t="s">
        <v>71</v>
      </c>
      <c r="B1130" s="6" t="s">
        <v>53</v>
      </c>
      <c r="C1130" s="6">
        <v>3</v>
      </c>
      <c r="D1130" s="6">
        <v>4</v>
      </c>
      <c r="E1130" s="6">
        <v>2</v>
      </c>
      <c r="F1130" s="10">
        <v>46090</v>
      </c>
      <c r="G1130" s="6" t="str">
        <f>_xlfn.TEXTJOIN("|",TRUE,GameLog[[#This Row],[Pod]],TEXT(INT(GameLog[[#This Row],[Round]]),"yyyymmdd"),GameLog[[#This Row],[Date]])</f>
        <v>4|19000102|46090</v>
      </c>
      <c r="H1130" s="6">
        <f>COUNTIF(GameLog[Pod ID],GameLog[[#This Row],[Pod ID]])</f>
        <v>4</v>
      </c>
      <c r="I1130" s="6">
        <f>YEAR(GameLog[[#This Row],[Date]])</f>
        <v>2026</v>
      </c>
      <c r="J1130" s="6">
        <f>MONTH(GameLog[[#This Row],[Date]])</f>
        <v>3</v>
      </c>
      <c r="K1130" s="6" t="str">
        <f>IF(GameLog[[#This Row],[Date]]=MAX(GameLog[Date]),"Current","Previous")</f>
        <v>Previous</v>
      </c>
      <c r="L1130" s="6"/>
      <c r="M11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0" s="6" t="str">
        <f ca="1">IF(GameLog[[#This Row],[Check]]="","",COUNTIF(GameLog[[#Headers],[Check]]:GameLog[[#This Row],[Check]],"?*")-1)</f>
        <v/>
      </c>
      <c r="O1130" s="6" t="str">
        <f>IFERROR(INDEX(Players[New name],MATCH(GameLog[[#This Row],[Player]],Players[Name],0)),GameLog[[#This Row],[Player]])</f>
        <v>Rodney Y</v>
      </c>
    </row>
    <row r="1131" spans="1:15" x14ac:dyDescent="0.45">
      <c r="A1131" s="6" t="s">
        <v>60</v>
      </c>
      <c r="B1131" s="6" t="s">
        <v>53</v>
      </c>
      <c r="C1131" s="6">
        <v>4</v>
      </c>
      <c r="D1131" s="6">
        <v>4</v>
      </c>
      <c r="E1131" s="6">
        <v>2</v>
      </c>
      <c r="F1131" s="10">
        <v>46090</v>
      </c>
      <c r="G1131" s="6" t="str">
        <f>_xlfn.TEXTJOIN("|",TRUE,GameLog[[#This Row],[Pod]],TEXT(INT(GameLog[[#This Row],[Round]]),"yyyymmdd"),GameLog[[#This Row],[Date]])</f>
        <v>4|19000102|46090</v>
      </c>
      <c r="H1131" s="6">
        <f>COUNTIF(GameLog[Pod ID],GameLog[[#This Row],[Pod ID]])</f>
        <v>4</v>
      </c>
      <c r="I1131" s="6">
        <f>YEAR(GameLog[[#This Row],[Date]])</f>
        <v>2026</v>
      </c>
      <c r="J1131" s="6">
        <f>MONTH(GameLog[[#This Row],[Date]])</f>
        <v>3</v>
      </c>
      <c r="K1131" s="6" t="str">
        <f>IF(GameLog[[#This Row],[Date]]=MAX(GameLog[Date]),"Current","Previous")</f>
        <v>Previous</v>
      </c>
      <c r="L1131" s="6"/>
      <c r="M11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1" s="6" t="str">
        <f ca="1">IF(GameLog[[#This Row],[Check]]="","",COUNTIF(GameLog[[#Headers],[Check]]:GameLog[[#This Row],[Check]],"?*")-1)</f>
        <v/>
      </c>
      <c r="O1131" s="6" t="str">
        <f>IFERROR(INDEX(Players[New name],MATCH(GameLog[[#This Row],[Player]],Players[Name],0)),GameLog[[#This Row],[Player]])</f>
        <v>Brendan H</v>
      </c>
    </row>
    <row r="1132" spans="1:15" x14ac:dyDescent="0.45">
      <c r="A1132" s="6" t="s">
        <v>98</v>
      </c>
      <c r="B1132" s="6" t="s">
        <v>53</v>
      </c>
      <c r="C1132" s="6">
        <v>1</v>
      </c>
      <c r="D1132" s="6">
        <v>5</v>
      </c>
      <c r="E1132" s="6">
        <v>2</v>
      </c>
      <c r="F1132" s="10">
        <v>46090</v>
      </c>
      <c r="G1132" s="6" t="str">
        <f>_xlfn.TEXTJOIN("|",TRUE,GameLog[[#This Row],[Pod]],TEXT(INT(GameLog[[#This Row],[Round]]),"yyyymmdd"),GameLog[[#This Row],[Date]])</f>
        <v>5|19000102|46090</v>
      </c>
      <c r="H1132" s="6">
        <f>COUNTIF(GameLog[Pod ID],GameLog[[#This Row],[Pod ID]])</f>
        <v>4</v>
      </c>
      <c r="I1132" s="6">
        <f>YEAR(GameLog[[#This Row],[Date]])</f>
        <v>2026</v>
      </c>
      <c r="J1132" s="6">
        <f>MONTH(GameLog[[#This Row],[Date]])</f>
        <v>3</v>
      </c>
      <c r="K1132" s="6" t="str">
        <f>IF(GameLog[[#This Row],[Date]]=MAX(GameLog[Date]),"Current","Previous")</f>
        <v>Previous</v>
      </c>
      <c r="L1132" s="6"/>
      <c r="M11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2" s="6" t="str">
        <f ca="1">IF(GameLog[[#This Row],[Check]]="","",COUNTIF(GameLog[[#Headers],[Check]]:GameLog[[#This Row],[Check]],"?*")-1)</f>
        <v/>
      </c>
      <c r="O1132" s="6" t="str">
        <f>IFERROR(INDEX(Players[New name],MATCH(GameLog[[#This Row],[Player]],Players[Name],0)),GameLog[[#This Row],[Player]])</f>
        <v>Charlie B</v>
      </c>
    </row>
    <row r="1133" spans="1:15" x14ac:dyDescent="0.45">
      <c r="A1133" s="6" t="s">
        <v>105</v>
      </c>
      <c r="B1133" s="6" t="s">
        <v>53</v>
      </c>
      <c r="C1133" s="6">
        <v>2</v>
      </c>
      <c r="D1133" s="6">
        <v>5</v>
      </c>
      <c r="E1133" s="6">
        <v>2</v>
      </c>
      <c r="F1133" s="10">
        <v>46090</v>
      </c>
      <c r="G1133" s="6" t="str">
        <f>_xlfn.TEXTJOIN("|",TRUE,GameLog[[#This Row],[Pod]],TEXT(INT(GameLog[[#This Row],[Round]]),"yyyymmdd"),GameLog[[#This Row],[Date]])</f>
        <v>5|19000102|46090</v>
      </c>
      <c r="H1133" s="6">
        <f>COUNTIF(GameLog[Pod ID],GameLog[[#This Row],[Pod ID]])</f>
        <v>4</v>
      </c>
      <c r="I1133" s="6">
        <f>YEAR(GameLog[[#This Row],[Date]])</f>
        <v>2026</v>
      </c>
      <c r="J1133" s="6">
        <f>MONTH(GameLog[[#This Row],[Date]])</f>
        <v>3</v>
      </c>
      <c r="K1133" s="6" t="str">
        <f>IF(GameLog[[#This Row],[Date]]=MAX(GameLog[Date]),"Current","Previous")</f>
        <v>Previous</v>
      </c>
      <c r="L1133" s="6"/>
      <c r="M11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3" s="6" t="str">
        <f ca="1">IF(GameLog[[#This Row],[Check]]="","",COUNTIF(GameLog[[#Headers],[Check]]:GameLog[[#This Row],[Check]],"?*")-1)</f>
        <v/>
      </c>
      <c r="O1133" s="6" t="str">
        <f>IFERROR(INDEX(Players[New name],MATCH(GameLog[[#This Row],[Player]],Players[Name],0)),GameLog[[#This Row],[Player]])</f>
        <v>Kevin S</v>
      </c>
    </row>
    <row r="1134" spans="1:15" x14ac:dyDescent="0.45">
      <c r="A1134" s="6" t="s">
        <v>102</v>
      </c>
      <c r="B1134" s="6" t="s">
        <v>50</v>
      </c>
      <c r="C1134" s="6">
        <v>3</v>
      </c>
      <c r="D1134" s="6">
        <v>5</v>
      </c>
      <c r="E1134" s="6">
        <v>2</v>
      </c>
      <c r="F1134" s="10">
        <v>46090</v>
      </c>
      <c r="G1134" s="6" t="str">
        <f>_xlfn.TEXTJOIN("|",TRUE,GameLog[[#This Row],[Pod]],TEXT(INT(GameLog[[#This Row],[Round]]),"yyyymmdd"),GameLog[[#This Row],[Date]])</f>
        <v>5|19000102|46090</v>
      </c>
      <c r="H1134" s="6">
        <f>COUNTIF(GameLog[Pod ID],GameLog[[#This Row],[Pod ID]])</f>
        <v>4</v>
      </c>
      <c r="I1134" s="6">
        <f>YEAR(GameLog[[#This Row],[Date]])</f>
        <v>2026</v>
      </c>
      <c r="J1134" s="6">
        <f>MONTH(GameLog[[#This Row],[Date]])</f>
        <v>3</v>
      </c>
      <c r="K1134" s="6" t="str">
        <f>IF(GameLog[[#This Row],[Date]]=MAX(GameLog[Date]),"Current","Previous")</f>
        <v>Previous</v>
      </c>
      <c r="L1134" s="6"/>
      <c r="M11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4" s="6" t="str">
        <f ca="1">IF(GameLog[[#This Row],[Check]]="","",COUNTIF(GameLog[[#Headers],[Check]]:GameLog[[#This Row],[Check]],"?*")-1)</f>
        <v/>
      </c>
      <c r="O1134" s="6" t="str">
        <f>IFERROR(INDEX(Players[New name],MATCH(GameLog[[#This Row],[Player]],Players[Name],0)),GameLog[[#This Row],[Player]])</f>
        <v>Sage</v>
      </c>
    </row>
    <row r="1135" spans="1:15" x14ac:dyDescent="0.45">
      <c r="A1135" s="6" t="s">
        <v>84</v>
      </c>
      <c r="B1135" s="6" t="s">
        <v>53</v>
      </c>
      <c r="C1135" s="6">
        <v>4</v>
      </c>
      <c r="D1135" s="6">
        <v>5</v>
      </c>
      <c r="E1135" s="6">
        <v>2</v>
      </c>
      <c r="F1135" s="10">
        <v>46090</v>
      </c>
      <c r="G1135" s="6" t="str">
        <f>_xlfn.TEXTJOIN("|",TRUE,GameLog[[#This Row],[Pod]],TEXT(INT(GameLog[[#This Row],[Round]]),"yyyymmdd"),GameLog[[#This Row],[Date]])</f>
        <v>5|19000102|46090</v>
      </c>
      <c r="H1135" s="6">
        <f>COUNTIF(GameLog[Pod ID],GameLog[[#This Row],[Pod ID]])</f>
        <v>4</v>
      </c>
      <c r="I1135" s="6">
        <f>YEAR(GameLog[[#This Row],[Date]])</f>
        <v>2026</v>
      </c>
      <c r="J1135" s="6">
        <f>MONTH(GameLog[[#This Row],[Date]])</f>
        <v>3</v>
      </c>
      <c r="K1135" s="6" t="str">
        <f>IF(GameLog[[#This Row],[Date]]=MAX(GameLog[Date]),"Current","Previous")</f>
        <v>Previous</v>
      </c>
      <c r="L1135" s="6"/>
      <c r="M11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5" s="6" t="str">
        <f ca="1">IF(GameLog[[#This Row],[Check]]="","",COUNTIF(GameLog[[#Headers],[Check]]:GameLog[[#This Row],[Check]],"?*")-1)</f>
        <v/>
      </c>
      <c r="O1135" s="6" t="str">
        <f>IFERROR(INDEX(Players[New name],MATCH(GameLog[[#This Row],[Player]],Players[Name],0)),GameLog[[#This Row],[Player]])</f>
        <v>Zach D</v>
      </c>
    </row>
    <row r="1136" spans="1:15" x14ac:dyDescent="0.45">
      <c r="A1136" s="6" t="s">
        <v>103</v>
      </c>
      <c r="B1136" s="6" t="s">
        <v>53</v>
      </c>
      <c r="C1136" s="6">
        <v>1</v>
      </c>
      <c r="D1136" s="6">
        <v>6</v>
      </c>
      <c r="E1136" s="6">
        <v>2</v>
      </c>
      <c r="F1136" s="10">
        <v>46090</v>
      </c>
      <c r="G1136" s="6" t="str">
        <f>_xlfn.TEXTJOIN("|",TRUE,GameLog[[#This Row],[Pod]],TEXT(INT(GameLog[[#This Row],[Round]]),"yyyymmdd"),GameLog[[#This Row],[Date]])</f>
        <v>6|19000102|46090</v>
      </c>
      <c r="H1136" s="6">
        <f>COUNTIF(GameLog[Pod ID],GameLog[[#This Row],[Pod ID]])</f>
        <v>4</v>
      </c>
      <c r="I1136" s="6">
        <f>YEAR(GameLog[[#This Row],[Date]])</f>
        <v>2026</v>
      </c>
      <c r="J1136" s="6">
        <f>MONTH(GameLog[[#This Row],[Date]])</f>
        <v>3</v>
      </c>
      <c r="K1136" s="6" t="str">
        <f>IF(GameLog[[#This Row],[Date]]=MAX(GameLog[Date]),"Current","Previous")</f>
        <v>Previous</v>
      </c>
      <c r="L1136" s="6"/>
      <c r="M11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6" s="6" t="str">
        <f ca="1">IF(GameLog[[#This Row],[Check]]="","",COUNTIF(GameLog[[#Headers],[Check]]:GameLog[[#This Row],[Check]],"?*")-1)</f>
        <v/>
      </c>
      <c r="O1136" s="6" t="str">
        <f>IFERROR(INDEX(Players[New name],MATCH(GameLog[[#This Row],[Player]],Players[Name],0)),GameLog[[#This Row],[Player]])</f>
        <v>Ethan S</v>
      </c>
    </row>
    <row r="1137" spans="1:15" x14ac:dyDescent="0.45">
      <c r="A1137" s="6" t="s">
        <v>64</v>
      </c>
      <c r="B1137" s="6" t="s">
        <v>53</v>
      </c>
      <c r="C1137" s="6">
        <v>2</v>
      </c>
      <c r="D1137" s="6">
        <v>6</v>
      </c>
      <c r="E1137" s="6">
        <v>2</v>
      </c>
      <c r="F1137" s="10">
        <v>46090</v>
      </c>
      <c r="G1137" s="6" t="str">
        <f>_xlfn.TEXTJOIN("|",TRUE,GameLog[[#This Row],[Pod]],TEXT(INT(GameLog[[#This Row],[Round]]),"yyyymmdd"),GameLog[[#This Row],[Date]])</f>
        <v>6|19000102|46090</v>
      </c>
      <c r="H1137" s="6">
        <f>COUNTIF(GameLog[Pod ID],GameLog[[#This Row],[Pod ID]])</f>
        <v>4</v>
      </c>
      <c r="I1137" s="6">
        <f>YEAR(GameLog[[#This Row],[Date]])</f>
        <v>2026</v>
      </c>
      <c r="J1137" s="6">
        <f>MONTH(GameLog[[#This Row],[Date]])</f>
        <v>3</v>
      </c>
      <c r="K1137" s="6" t="str">
        <f>IF(GameLog[[#This Row],[Date]]=MAX(GameLog[Date]),"Current","Previous")</f>
        <v>Previous</v>
      </c>
      <c r="L1137" s="6"/>
      <c r="M11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7" s="6" t="str">
        <f ca="1">IF(GameLog[[#This Row],[Check]]="","",COUNTIF(GameLog[[#Headers],[Check]]:GameLog[[#This Row],[Check]],"?*")-1)</f>
        <v/>
      </c>
      <c r="O1137" s="6" t="str">
        <f>IFERROR(INDEX(Players[New name],MATCH(GameLog[[#This Row],[Player]],Players[Name],0)),GameLog[[#This Row],[Player]])</f>
        <v>Tyler B</v>
      </c>
    </row>
    <row r="1138" spans="1:15" x14ac:dyDescent="0.45">
      <c r="A1138" s="6" t="s">
        <v>81</v>
      </c>
      <c r="B1138" s="6" t="s">
        <v>50</v>
      </c>
      <c r="C1138" s="6">
        <v>3</v>
      </c>
      <c r="D1138" s="6">
        <v>6</v>
      </c>
      <c r="E1138" s="6">
        <v>2</v>
      </c>
      <c r="F1138" s="10">
        <v>46090</v>
      </c>
      <c r="G1138" s="6" t="str">
        <f>_xlfn.TEXTJOIN("|",TRUE,GameLog[[#This Row],[Pod]],TEXT(INT(GameLog[[#This Row],[Round]]),"yyyymmdd"),GameLog[[#This Row],[Date]])</f>
        <v>6|19000102|46090</v>
      </c>
      <c r="H1138" s="6">
        <f>COUNTIF(GameLog[Pod ID],GameLog[[#This Row],[Pod ID]])</f>
        <v>4</v>
      </c>
      <c r="I1138" s="6">
        <f>YEAR(GameLog[[#This Row],[Date]])</f>
        <v>2026</v>
      </c>
      <c r="J1138" s="6">
        <f>MONTH(GameLog[[#This Row],[Date]])</f>
        <v>3</v>
      </c>
      <c r="K1138" s="6" t="str">
        <f>IF(GameLog[[#This Row],[Date]]=MAX(GameLog[Date]),"Current","Previous")</f>
        <v>Previous</v>
      </c>
      <c r="L1138" s="6"/>
      <c r="M11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8" s="6" t="str">
        <f ca="1">IF(GameLog[[#This Row],[Check]]="","",COUNTIF(GameLog[[#Headers],[Check]]:GameLog[[#This Row],[Check]],"?*")-1)</f>
        <v/>
      </c>
      <c r="O1138" s="6" t="str">
        <f>IFERROR(INDEX(Players[New name],MATCH(GameLog[[#This Row],[Player]],Players[Name],0)),GameLog[[#This Row],[Player]])</f>
        <v>Forrest</v>
      </c>
    </row>
    <row r="1139" spans="1:15" x14ac:dyDescent="0.45">
      <c r="A1139" s="6" t="s">
        <v>58</v>
      </c>
      <c r="B1139" s="6" t="s">
        <v>53</v>
      </c>
      <c r="C1139" s="6">
        <v>4</v>
      </c>
      <c r="D1139" s="6">
        <v>6</v>
      </c>
      <c r="E1139" s="6">
        <v>2</v>
      </c>
      <c r="F1139" s="10">
        <v>46090</v>
      </c>
      <c r="G1139" s="6" t="str">
        <f>_xlfn.TEXTJOIN("|",TRUE,GameLog[[#This Row],[Pod]],TEXT(INT(GameLog[[#This Row],[Round]]),"yyyymmdd"),GameLog[[#This Row],[Date]])</f>
        <v>6|19000102|46090</v>
      </c>
      <c r="H1139" s="6">
        <f>COUNTIF(GameLog[Pod ID],GameLog[[#This Row],[Pod ID]])</f>
        <v>4</v>
      </c>
      <c r="I1139" s="6">
        <f>YEAR(GameLog[[#This Row],[Date]])</f>
        <v>2026</v>
      </c>
      <c r="J1139" s="6">
        <f>MONTH(GameLog[[#This Row],[Date]])</f>
        <v>3</v>
      </c>
      <c r="K1139" s="6" t="str">
        <f>IF(GameLog[[#This Row],[Date]]=MAX(GameLog[Date]),"Current","Previous")</f>
        <v>Previous</v>
      </c>
      <c r="L1139" s="6"/>
      <c r="M11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39" s="6" t="str">
        <f ca="1">IF(GameLog[[#This Row],[Check]]="","",COUNTIF(GameLog[[#Headers],[Check]]:GameLog[[#This Row],[Check]],"?*")-1)</f>
        <v/>
      </c>
      <c r="O1139" s="6" t="str">
        <f>IFERROR(INDEX(Players[New name],MATCH(GameLog[[#This Row],[Player]],Players[Name],0)),GameLog[[#This Row],[Player]])</f>
        <v>Dakota P</v>
      </c>
    </row>
    <row r="1140" spans="1:15" x14ac:dyDescent="0.45">
      <c r="A1140" s="6" t="s">
        <v>77</v>
      </c>
      <c r="B1140" s="6" t="s">
        <v>90</v>
      </c>
      <c r="C1140" s="6">
        <v>1</v>
      </c>
      <c r="D1140" s="6">
        <v>7</v>
      </c>
      <c r="E1140" s="6">
        <v>2</v>
      </c>
      <c r="F1140" s="10">
        <v>46090</v>
      </c>
      <c r="G1140" s="6" t="str">
        <f>_xlfn.TEXTJOIN("|",TRUE,GameLog[[#This Row],[Pod]],TEXT(INT(GameLog[[#This Row],[Round]]),"yyyymmdd"),GameLog[[#This Row],[Date]])</f>
        <v>7|19000102|46090</v>
      </c>
      <c r="H1140" s="6">
        <f>COUNTIF(GameLog[Pod ID],GameLog[[#This Row],[Pod ID]])</f>
        <v>4</v>
      </c>
      <c r="I1140" s="6">
        <f>YEAR(GameLog[[#This Row],[Date]])</f>
        <v>2026</v>
      </c>
      <c r="J1140" s="6">
        <f>MONTH(GameLog[[#This Row],[Date]])</f>
        <v>3</v>
      </c>
      <c r="K1140" s="6" t="str">
        <f>IF(GameLog[[#This Row],[Date]]=MAX(GameLog[Date]),"Current","Previous")</f>
        <v>Previous</v>
      </c>
      <c r="L1140" s="6"/>
      <c r="M11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0" s="6" t="str">
        <f ca="1">IF(GameLog[[#This Row],[Check]]="","",COUNTIF(GameLog[[#Headers],[Check]]:GameLog[[#This Row],[Check]],"?*")-1)</f>
        <v/>
      </c>
      <c r="O1140" s="6" t="str">
        <f>IFERROR(INDEX(Players[New name],MATCH(GameLog[[#This Row],[Player]],Players[Name],0)),GameLog[[#This Row],[Player]])</f>
        <v>Dave M</v>
      </c>
    </row>
    <row r="1141" spans="1:15" x14ac:dyDescent="0.45">
      <c r="A1141" s="6" t="s">
        <v>55</v>
      </c>
      <c r="B1141" s="6" t="s">
        <v>90</v>
      </c>
      <c r="C1141" s="6">
        <v>2</v>
      </c>
      <c r="D1141" s="6">
        <v>7</v>
      </c>
      <c r="E1141" s="6">
        <v>2</v>
      </c>
      <c r="F1141" s="10">
        <v>46090</v>
      </c>
      <c r="G1141" s="6" t="str">
        <f>_xlfn.TEXTJOIN("|",TRUE,GameLog[[#This Row],[Pod]],TEXT(INT(GameLog[[#This Row],[Round]]),"yyyymmdd"),GameLog[[#This Row],[Date]])</f>
        <v>7|19000102|46090</v>
      </c>
      <c r="H1141" s="6">
        <f>COUNTIF(GameLog[Pod ID],GameLog[[#This Row],[Pod ID]])</f>
        <v>4</v>
      </c>
      <c r="I1141" s="6">
        <f>YEAR(GameLog[[#This Row],[Date]])</f>
        <v>2026</v>
      </c>
      <c r="J1141" s="6">
        <f>MONTH(GameLog[[#This Row],[Date]])</f>
        <v>3</v>
      </c>
      <c r="K1141" s="6" t="str">
        <f>IF(GameLog[[#This Row],[Date]]=MAX(GameLog[Date]),"Current","Previous")</f>
        <v>Previous</v>
      </c>
      <c r="L1141" s="6"/>
      <c r="M11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1" s="6" t="str">
        <f ca="1">IF(GameLog[[#This Row],[Check]]="","",COUNTIF(GameLog[[#Headers],[Check]]:GameLog[[#This Row],[Check]],"?*")-1)</f>
        <v/>
      </c>
      <c r="O1141" s="6" t="str">
        <f>IFERROR(INDEX(Players[New name],MATCH(GameLog[[#This Row],[Player]],Players[Name],0)),GameLog[[#This Row],[Player]])</f>
        <v>Bryce C</v>
      </c>
    </row>
    <row r="1142" spans="1:15" x14ac:dyDescent="0.45">
      <c r="A1142" s="6" t="s">
        <v>73</v>
      </c>
      <c r="B1142" s="6" t="s">
        <v>90</v>
      </c>
      <c r="C1142" s="6">
        <v>3</v>
      </c>
      <c r="D1142" s="6">
        <v>7</v>
      </c>
      <c r="E1142" s="6">
        <v>2</v>
      </c>
      <c r="F1142" s="10">
        <v>46090</v>
      </c>
      <c r="G1142" s="6" t="str">
        <f>_xlfn.TEXTJOIN("|",TRUE,GameLog[[#This Row],[Pod]],TEXT(INT(GameLog[[#This Row],[Round]]),"yyyymmdd"),GameLog[[#This Row],[Date]])</f>
        <v>7|19000102|46090</v>
      </c>
      <c r="H1142" s="6">
        <f>COUNTIF(GameLog[Pod ID],GameLog[[#This Row],[Pod ID]])</f>
        <v>4</v>
      </c>
      <c r="I1142" s="6">
        <f>YEAR(GameLog[[#This Row],[Date]])</f>
        <v>2026</v>
      </c>
      <c r="J1142" s="6">
        <f>MONTH(GameLog[[#This Row],[Date]])</f>
        <v>3</v>
      </c>
      <c r="K1142" s="6" t="str">
        <f>IF(GameLog[[#This Row],[Date]]=MAX(GameLog[Date]),"Current","Previous")</f>
        <v>Previous</v>
      </c>
      <c r="L1142" s="6"/>
      <c r="M11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2" s="6" t="str">
        <f ca="1">IF(GameLog[[#This Row],[Check]]="","",COUNTIF(GameLog[[#Headers],[Check]]:GameLog[[#This Row],[Check]],"?*")-1)</f>
        <v/>
      </c>
      <c r="O1142" s="6" t="str">
        <f>IFERROR(INDEX(Players[New name],MATCH(GameLog[[#This Row],[Player]],Players[Name],0)),GameLog[[#This Row],[Player]])</f>
        <v>Brandon B</v>
      </c>
    </row>
    <row r="1143" spans="1:15" x14ac:dyDescent="0.45">
      <c r="A1143" s="6" t="s">
        <v>59</v>
      </c>
      <c r="B1143" s="6" t="s">
        <v>90</v>
      </c>
      <c r="C1143" s="6">
        <v>4</v>
      </c>
      <c r="D1143" s="6">
        <v>7</v>
      </c>
      <c r="E1143" s="6">
        <v>2</v>
      </c>
      <c r="F1143" s="10">
        <v>46090</v>
      </c>
      <c r="G1143" s="6" t="str">
        <f>_xlfn.TEXTJOIN("|",TRUE,GameLog[[#This Row],[Pod]],TEXT(INT(GameLog[[#This Row],[Round]]),"yyyymmdd"),GameLog[[#This Row],[Date]])</f>
        <v>7|19000102|46090</v>
      </c>
      <c r="H1143" s="6">
        <f>COUNTIF(GameLog[Pod ID],GameLog[[#This Row],[Pod ID]])</f>
        <v>4</v>
      </c>
      <c r="I1143" s="6">
        <f>YEAR(GameLog[[#This Row],[Date]])</f>
        <v>2026</v>
      </c>
      <c r="J1143" s="6">
        <f>MONTH(GameLog[[#This Row],[Date]])</f>
        <v>3</v>
      </c>
      <c r="K1143" s="6" t="str">
        <f>IF(GameLog[[#This Row],[Date]]=MAX(GameLog[Date]),"Current","Previous")</f>
        <v>Previous</v>
      </c>
      <c r="L1143" s="6"/>
      <c r="M11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3" s="6" t="str">
        <f ca="1">IF(GameLog[[#This Row],[Check]]="","",COUNTIF(GameLog[[#Headers],[Check]]:GameLog[[#This Row],[Check]],"?*")-1)</f>
        <v/>
      </c>
      <c r="O1143" s="6" t="str">
        <f>IFERROR(INDEX(Players[New name],MATCH(GameLog[[#This Row],[Player]],Players[Name],0)),GameLog[[#This Row],[Player]])</f>
        <v>Zack B</v>
      </c>
    </row>
    <row r="1144" spans="1:15" x14ac:dyDescent="0.45">
      <c r="A1144" s="6" t="s">
        <v>61</v>
      </c>
      <c r="B1144" s="6" t="s">
        <v>90</v>
      </c>
      <c r="C1144" s="6">
        <v>1</v>
      </c>
      <c r="D1144" s="6">
        <v>1</v>
      </c>
      <c r="E1144" s="6">
        <v>1</v>
      </c>
      <c r="F1144" s="10">
        <v>46097</v>
      </c>
      <c r="G1144" s="6" t="str">
        <f>_xlfn.TEXTJOIN("|",TRUE,GameLog[[#This Row],[Pod]],TEXT(INT(GameLog[[#This Row],[Round]]),"yyyymmdd"),GameLog[[#This Row],[Date]])</f>
        <v>1|19000101|46097</v>
      </c>
      <c r="H1144" s="6">
        <f>COUNTIF(GameLog[Pod ID],GameLog[[#This Row],[Pod ID]])</f>
        <v>4</v>
      </c>
      <c r="I1144" s="6">
        <f>YEAR(GameLog[[#This Row],[Date]])</f>
        <v>2026</v>
      </c>
      <c r="J1144" s="6">
        <f>MONTH(GameLog[[#This Row],[Date]])</f>
        <v>3</v>
      </c>
      <c r="K1144" s="6" t="str">
        <f>IF(GameLog[[#This Row],[Date]]=MAX(GameLog[Date]),"Current","Previous")</f>
        <v>Previous</v>
      </c>
      <c r="L1144" s="6"/>
      <c r="M11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4" s="6" t="str">
        <f ca="1">IF(GameLog[[#This Row],[Check]]="","",COUNTIF(GameLog[[#Headers],[Check]]:GameLog[[#This Row],[Check]],"?*")-1)</f>
        <v/>
      </c>
      <c r="O1144" s="6" t="str">
        <f>IFERROR(INDEX(Players[New name],MATCH(GameLog[[#This Row],[Player]],Players[Name],0)),GameLog[[#This Row],[Player]])</f>
        <v>Trevor</v>
      </c>
    </row>
    <row r="1145" spans="1:15" x14ac:dyDescent="0.45">
      <c r="A1145" s="6" t="s">
        <v>75</v>
      </c>
      <c r="B1145" s="6" t="s">
        <v>90</v>
      </c>
      <c r="C1145" s="6">
        <v>2</v>
      </c>
      <c r="D1145" s="6">
        <v>1</v>
      </c>
      <c r="E1145" s="6">
        <v>1</v>
      </c>
      <c r="F1145" s="10">
        <v>46097</v>
      </c>
      <c r="G1145" s="6" t="str">
        <f>_xlfn.TEXTJOIN("|",TRUE,GameLog[[#This Row],[Pod]],TEXT(INT(GameLog[[#This Row],[Round]]),"yyyymmdd"),GameLog[[#This Row],[Date]])</f>
        <v>1|19000101|46097</v>
      </c>
      <c r="H1145" s="6">
        <f>COUNTIF(GameLog[Pod ID],GameLog[[#This Row],[Pod ID]])</f>
        <v>4</v>
      </c>
      <c r="I1145" s="6">
        <f>YEAR(GameLog[[#This Row],[Date]])</f>
        <v>2026</v>
      </c>
      <c r="J1145" s="6">
        <f>MONTH(GameLog[[#This Row],[Date]])</f>
        <v>3</v>
      </c>
      <c r="K1145" s="6" t="str">
        <f>IF(GameLog[[#This Row],[Date]]=MAX(GameLog[Date]),"Current","Previous")</f>
        <v>Previous</v>
      </c>
      <c r="L1145" s="6"/>
      <c r="M11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5" s="6" t="str">
        <f ca="1">IF(GameLog[[#This Row],[Check]]="","",COUNTIF(GameLog[[#Headers],[Check]]:GameLog[[#This Row],[Check]],"?*")-1)</f>
        <v/>
      </c>
      <c r="O1145" s="6" t="str">
        <f>IFERROR(INDEX(Players[New name],MATCH(GameLog[[#This Row],[Player]],Players[Name],0)),GameLog[[#This Row],[Player]])</f>
        <v>Eli T</v>
      </c>
    </row>
    <row r="1146" spans="1:15" x14ac:dyDescent="0.45">
      <c r="A1146" s="6" t="s">
        <v>104</v>
      </c>
      <c r="B1146" s="6" t="s">
        <v>90</v>
      </c>
      <c r="C1146" s="6">
        <v>3</v>
      </c>
      <c r="D1146" s="6">
        <v>1</v>
      </c>
      <c r="E1146" s="6">
        <v>1</v>
      </c>
      <c r="F1146" s="10">
        <v>46097</v>
      </c>
      <c r="G1146" s="6" t="str">
        <f>_xlfn.TEXTJOIN("|",TRUE,GameLog[[#This Row],[Pod]],TEXT(INT(GameLog[[#This Row],[Round]]),"yyyymmdd"),GameLog[[#This Row],[Date]])</f>
        <v>1|19000101|46097</v>
      </c>
      <c r="H1146" s="6">
        <f>COUNTIF(GameLog[Pod ID],GameLog[[#This Row],[Pod ID]])</f>
        <v>4</v>
      </c>
      <c r="I1146" s="6">
        <f>YEAR(GameLog[[#This Row],[Date]])</f>
        <v>2026</v>
      </c>
      <c r="J1146" s="6">
        <f>MONTH(GameLog[[#This Row],[Date]])</f>
        <v>3</v>
      </c>
      <c r="K1146" s="6" t="str">
        <f>IF(GameLog[[#This Row],[Date]]=MAX(GameLog[Date]),"Current","Previous")</f>
        <v>Previous</v>
      </c>
      <c r="L1146" s="6"/>
      <c r="M11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6" s="6" t="str">
        <f ca="1">IF(GameLog[[#This Row],[Check]]="","",COUNTIF(GameLog[[#Headers],[Check]]:GameLog[[#This Row],[Check]],"?*")-1)</f>
        <v/>
      </c>
      <c r="O1146" s="6" t="str">
        <f>IFERROR(INDEX(Players[New name],MATCH(GameLog[[#This Row],[Player]],Players[Name],0)),GameLog[[#This Row],[Player]])</f>
        <v>Eric E</v>
      </c>
    </row>
    <row r="1147" spans="1:15" x14ac:dyDescent="0.45">
      <c r="A1147" s="6" t="s">
        <v>71</v>
      </c>
      <c r="B1147" s="6" t="s">
        <v>90</v>
      </c>
      <c r="C1147" s="6">
        <v>4</v>
      </c>
      <c r="D1147" s="6">
        <v>1</v>
      </c>
      <c r="E1147" s="6">
        <v>1</v>
      </c>
      <c r="F1147" s="10">
        <v>46097</v>
      </c>
      <c r="G1147" s="6" t="str">
        <f>_xlfn.TEXTJOIN("|",TRUE,GameLog[[#This Row],[Pod]],TEXT(INT(GameLog[[#This Row],[Round]]),"yyyymmdd"),GameLog[[#This Row],[Date]])</f>
        <v>1|19000101|46097</v>
      </c>
      <c r="H1147" s="6">
        <f>COUNTIF(GameLog[Pod ID],GameLog[[#This Row],[Pod ID]])</f>
        <v>4</v>
      </c>
      <c r="I1147" s="6">
        <f>YEAR(GameLog[[#This Row],[Date]])</f>
        <v>2026</v>
      </c>
      <c r="J1147" s="6">
        <f>MONTH(GameLog[[#This Row],[Date]])</f>
        <v>3</v>
      </c>
      <c r="K1147" s="6" t="str">
        <f>IF(GameLog[[#This Row],[Date]]=MAX(GameLog[Date]),"Current","Previous")</f>
        <v>Previous</v>
      </c>
      <c r="L1147" s="6"/>
      <c r="M11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7" s="6" t="str">
        <f ca="1">IF(GameLog[[#This Row],[Check]]="","",COUNTIF(GameLog[[#Headers],[Check]]:GameLog[[#This Row],[Check]],"?*")-1)</f>
        <v/>
      </c>
      <c r="O1147" s="6" t="str">
        <f>IFERROR(INDEX(Players[New name],MATCH(GameLog[[#This Row],[Player]],Players[Name],0)),GameLog[[#This Row],[Player]])</f>
        <v>Rodney Y</v>
      </c>
    </row>
    <row r="1148" spans="1:15" x14ac:dyDescent="0.45">
      <c r="A1148" s="6" t="s">
        <v>64</v>
      </c>
      <c r="B1148" s="6" t="s">
        <v>50</v>
      </c>
      <c r="C1148" s="6">
        <v>1</v>
      </c>
      <c r="D1148" s="6">
        <v>2</v>
      </c>
      <c r="E1148" s="6">
        <v>1</v>
      </c>
      <c r="F1148" s="10">
        <v>46097</v>
      </c>
      <c r="G1148" s="6" t="str">
        <f>_xlfn.TEXTJOIN("|",TRUE,GameLog[[#This Row],[Pod]],TEXT(INT(GameLog[[#This Row],[Round]]),"yyyymmdd"),GameLog[[#This Row],[Date]])</f>
        <v>2|19000101|46097</v>
      </c>
      <c r="H1148" s="6">
        <f>COUNTIF(GameLog[Pod ID],GameLog[[#This Row],[Pod ID]])</f>
        <v>4</v>
      </c>
      <c r="I1148" s="6">
        <f>YEAR(GameLog[[#This Row],[Date]])</f>
        <v>2026</v>
      </c>
      <c r="J1148" s="6">
        <f>MONTH(GameLog[[#This Row],[Date]])</f>
        <v>3</v>
      </c>
      <c r="K1148" s="6" t="str">
        <f>IF(GameLog[[#This Row],[Date]]=MAX(GameLog[Date]),"Current","Previous")</f>
        <v>Previous</v>
      </c>
      <c r="L1148" s="6"/>
      <c r="M11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8" s="6" t="str">
        <f ca="1">IF(GameLog[[#This Row],[Check]]="","",COUNTIF(GameLog[[#Headers],[Check]]:GameLog[[#This Row],[Check]],"?*")-1)</f>
        <v/>
      </c>
      <c r="O1148" s="6" t="str">
        <f>IFERROR(INDEX(Players[New name],MATCH(GameLog[[#This Row],[Player]],Players[Name],0)),GameLog[[#This Row],[Player]])</f>
        <v>Tyler B</v>
      </c>
    </row>
    <row r="1149" spans="1:15" x14ac:dyDescent="0.45">
      <c r="A1149" s="6" t="s">
        <v>57</v>
      </c>
      <c r="B1149" s="6" t="s">
        <v>53</v>
      </c>
      <c r="C1149" s="6">
        <v>2</v>
      </c>
      <c r="D1149" s="6">
        <v>2</v>
      </c>
      <c r="E1149" s="6">
        <v>1</v>
      </c>
      <c r="F1149" s="10">
        <v>46097</v>
      </c>
      <c r="G1149" s="6" t="str">
        <f>_xlfn.TEXTJOIN("|",TRUE,GameLog[[#This Row],[Pod]],TEXT(INT(GameLog[[#This Row],[Round]]),"yyyymmdd"),GameLog[[#This Row],[Date]])</f>
        <v>2|19000101|46097</v>
      </c>
      <c r="H1149" s="6">
        <f>COUNTIF(GameLog[Pod ID],GameLog[[#This Row],[Pod ID]])</f>
        <v>4</v>
      </c>
      <c r="I1149" s="6">
        <f>YEAR(GameLog[[#This Row],[Date]])</f>
        <v>2026</v>
      </c>
      <c r="J1149" s="6">
        <f>MONTH(GameLog[[#This Row],[Date]])</f>
        <v>3</v>
      </c>
      <c r="K1149" s="6" t="str">
        <f>IF(GameLog[[#This Row],[Date]]=MAX(GameLog[Date]),"Current","Previous")</f>
        <v>Previous</v>
      </c>
      <c r="L1149" s="6"/>
      <c r="M11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49" s="6" t="str">
        <f ca="1">IF(GameLog[[#This Row],[Check]]="","",COUNTIF(GameLog[[#Headers],[Check]]:GameLog[[#This Row],[Check]],"?*")-1)</f>
        <v/>
      </c>
      <c r="O1149" s="6" t="str">
        <f>IFERROR(INDEX(Players[New name],MATCH(GameLog[[#This Row],[Player]],Players[Name],0)),GameLog[[#This Row],[Player]])</f>
        <v>AJ W</v>
      </c>
    </row>
    <row r="1150" spans="1:15" x14ac:dyDescent="0.45">
      <c r="A1150" s="6" t="s">
        <v>98</v>
      </c>
      <c r="B1150" s="6" t="s">
        <v>53</v>
      </c>
      <c r="C1150" s="6">
        <v>3</v>
      </c>
      <c r="D1150" s="6">
        <v>2</v>
      </c>
      <c r="E1150" s="6">
        <v>1</v>
      </c>
      <c r="F1150" s="10">
        <v>46097</v>
      </c>
      <c r="G1150" s="6" t="str">
        <f>_xlfn.TEXTJOIN("|",TRUE,GameLog[[#This Row],[Pod]],TEXT(INT(GameLog[[#This Row],[Round]]),"yyyymmdd"),GameLog[[#This Row],[Date]])</f>
        <v>2|19000101|46097</v>
      </c>
      <c r="H1150" s="6">
        <f>COUNTIF(GameLog[Pod ID],GameLog[[#This Row],[Pod ID]])</f>
        <v>4</v>
      </c>
      <c r="I1150" s="6">
        <f>YEAR(GameLog[[#This Row],[Date]])</f>
        <v>2026</v>
      </c>
      <c r="J1150" s="6">
        <f>MONTH(GameLog[[#This Row],[Date]])</f>
        <v>3</v>
      </c>
      <c r="K1150" s="6" t="str">
        <f>IF(GameLog[[#This Row],[Date]]=MAX(GameLog[Date]),"Current","Previous")</f>
        <v>Previous</v>
      </c>
      <c r="L1150" s="6"/>
      <c r="M11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0" s="6" t="str">
        <f ca="1">IF(GameLog[[#This Row],[Check]]="","",COUNTIF(GameLog[[#Headers],[Check]]:GameLog[[#This Row],[Check]],"?*")-1)</f>
        <v/>
      </c>
      <c r="O1150" s="6" t="str">
        <f>IFERROR(INDEX(Players[New name],MATCH(GameLog[[#This Row],[Player]],Players[Name],0)),GameLog[[#This Row],[Player]])</f>
        <v>Charlie B</v>
      </c>
    </row>
    <row r="1151" spans="1:15" x14ac:dyDescent="0.45">
      <c r="A1151" s="6" t="s">
        <v>60</v>
      </c>
      <c r="B1151" s="6" t="s">
        <v>53</v>
      </c>
      <c r="C1151" s="6">
        <v>4</v>
      </c>
      <c r="D1151" s="6">
        <v>2</v>
      </c>
      <c r="E1151" s="6">
        <v>1</v>
      </c>
      <c r="F1151" s="10">
        <v>46097</v>
      </c>
      <c r="G1151" s="6" t="str">
        <f>_xlfn.TEXTJOIN("|",TRUE,GameLog[[#This Row],[Pod]],TEXT(INT(GameLog[[#This Row],[Round]]),"yyyymmdd"),GameLog[[#This Row],[Date]])</f>
        <v>2|19000101|46097</v>
      </c>
      <c r="H1151" s="6">
        <f>COUNTIF(GameLog[Pod ID],GameLog[[#This Row],[Pod ID]])</f>
        <v>4</v>
      </c>
      <c r="I1151" s="6">
        <f>YEAR(GameLog[[#This Row],[Date]])</f>
        <v>2026</v>
      </c>
      <c r="J1151" s="6">
        <f>MONTH(GameLog[[#This Row],[Date]])</f>
        <v>3</v>
      </c>
      <c r="K1151" s="6" t="str">
        <f>IF(GameLog[[#This Row],[Date]]=MAX(GameLog[Date]),"Current","Previous")</f>
        <v>Previous</v>
      </c>
      <c r="L1151" s="6"/>
      <c r="M11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1" s="6" t="str">
        <f ca="1">IF(GameLog[[#This Row],[Check]]="","",COUNTIF(GameLog[[#Headers],[Check]]:GameLog[[#This Row],[Check]],"?*")-1)</f>
        <v/>
      </c>
      <c r="O1151" s="6" t="str">
        <f>IFERROR(INDEX(Players[New name],MATCH(GameLog[[#This Row],[Player]],Players[Name],0)),GameLog[[#This Row],[Player]])</f>
        <v>Brendan H</v>
      </c>
    </row>
    <row r="1152" spans="1:15" x14ac:dyDescent="0.45">
      <c r="A1152" s="6" t="s">
        <v>49</v>
      </c>
      <c r="B1152" s="6" t="s">
        <v>90</v>
      </c>
      <c r="C1152" s="6">
        <v>1</v>
      </c>
      <c r="D1152" s="6">
        <v>3</v>
      </c>
      <c r="E1152" s="6">
        <v>1</v>
      </c>
      <c r="F1152" s="10">
        <v>46097</v>
      </c>
      <c r="G1152" s="6" t="str">
        <f>_xlfn.TEXTJOIN("|",TRUE,GameLog[[#This Row],[Pod]],TEXT(INT(GameLog[[#This Row],[Round]]),"yyyymmdd"),GameLog[[#This Row],[Date]])</f>
        <v>3|19000101|46097</v>
      </c>
      <c r="H1152" s="6">
        <f>COUNTIF(GameLog[Pod ID],GameLog[[#This Row],[Pod ID]])</f>
        <v>4</v>
      </c>
      <c r="I1152" s="6">
        <f>YEAR(GameLog[[#This Row],[Date]])</f>
        <v>2026</v>
      </c>
      <c r="J1152" s="6">
        <f>MONTH(GameLog[[#This Row],[Date]])</f>
        <v>3</v>
      </c>
      <c r="K1152" s="6" t="str">
        <f>IF(GameLog[[#This Row],[Date]]=MAX(GameLog[Date]),"Current","Previous")</f>
        <v>Previous</v>
      </c>
      <c r="L1152" s="6"/>
      <c r="M11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2" s="6" t="str">
        <f ca="1">IF(GameLog[[#This Row],[Check]]="","",COUNTIF(GameLog[[#Headers],[Check]]:GameLog[[#This Row],[Check]],"?*")-1)</f>
        <v/>
      </c>
      <c r="O1152" s="6" t="str">
        <f>IFERROR(INDEX(Players[New name],MATCH(GameLog[[#This Row],[Player]],Players[Name],0)),GameLog[[#This Row],[Player]])</f>
        <v>Brett R</v>
      </c>
    </row>
    <row r="1153" spans="1:15" x14ac:dyDescent="0.45">
      <c r="A1153" s="6" t="s">
        <v>58</v>
      </c>
      <c r="B1153" s="6" t="s">
        <v>90</v>
      </c>
      <c r="C1153" s="6">
        <v>2</v>
      </c>
      <c r="D1153" s="6">
        <v>3</v>
      </c>
      <c r="E1153" s="6">
        <v>1</v>
      </c>
      <c r="F1153" s="10">
        <v>46097</v>
      </c>
      <c r="G1153" s="6" t="str">
        <f>_xlfn.TEXTJOIN("|",TRUE,GameLog[[#This Row],[Pod]],TEXT(INT(GameLog[[#This Row],[Round]]),"yyyymmdd"),GameLog[[#This Row],[Date]])</f>
        <v>3|19000101|46097</v>
      </c>
      <c r="H1153" s="6">
        <f>COUNTIF(GameLog[Pod ID],GameLog[[#This Row],[Pod ID]])</f>
        <v>4</v>
      </c>
      <c r="I1153" s="6">
        <f>YEAR(GameLog[[#This Row],[Date]])</f>
        <v>2026</v>
      </c>
      <c r="J1153" s="6">
        <f>MONTH(GameLog[[#This Row],[Date]])</f>
        <v>3</v>
      </c>
      <c r="K1153" s="6" t="str">
        <f>IF(GameLog[[#This Row],[Date]]=MAX(GameLog[Date]),"Current","Previous")</f>
        <v>Previous</v>
      </c>
      <c r="L1153" s="6"/>
      <c r="M11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3" s="6" t="str">
        <f ca="1">IF(GameLog[[#This Row],[Check]]="","",COUNTIF(GameLog[[#Headers],[Check]]:GameLog[[#This Row],[Check]],"?*")-1)</f>
        <v/>
      </c>
      <c r="O1153" s="6" t="str">
        <f>IFERROR(INDEX(Players[New name],MATCH(GameLog[[#This Row],[Player]],Players[Name],0)),GameLog[[#This Row],[Player]])</f>
        <v>Dakota P</v>
      </c>
    </row>
    <row r="1154" spans="1:15" x14ac:dyDescent="0.45">
      <c r="A1154" s="6" t="s">
        <v>74</v>
      </c>
      <c r="B1154" s="6" t="s">
        <v>90</v>
      </c>
      <c r="C1154" s="6">
        <v>3</v>
      </c>
      <c r="D1154" s="6">
        <v>3</v>
      </c>
      <c r="E1154" s="6">
        <v>1</v>
      </c>
      <c r="F1154" s="10">
        <v>46097</v>
      </c>
      <c r="G1154" s="6" t="str">
        <f>_xlfn.TEXTJOIN("|",TRUE,GameLog[[#This Row],[Pod]],TEXT(INT(GameLog[[#This Row],[Round]]),"yyyymmdd"),GameLog[[#This Row],[Date]])</f>
        <v>3|19000101|46097</v>
      </c>
      <c r="H1154" s="6">
        <f>COUNTIF(GameLog[Pod ID],GameLog[[#This Row],[Pod ID]])</f>
        <v>4</v>
      </c>
      <c r="I1154" s="6">
        <f>YEAR(GameLog[[#This Row],[Date]])</f>
        <v>2026</v>
      </c>
      <c r="J1154" s="6">
        <f>MONTH(GameLog[[#This Row],[Date]])</f>
        <v>3</v>
      </c>
      <c r="K1154" s="6" t="str">
        <f>IF(GameLog[[#This Row],[Date]]=MAX(GameLog[Date]),"Current","Previous")</f>
        <v>Previous</v>
      </c>
      <c r="L1154" s="6"/>
      <c r="M11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4" s="6" t="str">
        <f ca="1">IF(GameLog[[#This Row],[Check]]="","",COUNTIF(GameLog[[#Headers],[Check]]:GameLog[[#This Row],[Check]],"?*")-1)</f>
        <v/>
      </c>
      <c r="O1154" s="6" t="str">
        <f>IFERROR(INDEX(Players[New name],MATCH(GameLog[[#This Row],[Player]],Players[Name],0)),GameLog[[#This Row],[Player]])</f>
        <v>Jarrod O</v>
      </c>
    </row>
    <row r="1155" spans="1:15" x14ac:dyDescent="0.45">
      <c r="A1155" s="6" t="s">
        <v>73</v>
      </c>
      <c r="B1155" s="6" t="s">
        <v>90</v>
      </c>
      <c r="C1155" s="6">
        <v>4</v>
      </c>
      <c r="D1155" s="6">
        <v>3</v>
      </c>
      <c r="E1155" s="6">
        <v>1</v>
      </c>
      <c r="F1155" s="10">
        <v>46097</v>
      </c>
      <c r="G1155" s="6" t="str">
        <f>_xlfn.TEXTJOIN("|",TRUE,GameLog[[#This Row],[Pod]],TEXT(INT(GameLog[[#This Row],[Round]]),"yyyymmdd"),GameLog[[#This Row],[Date]])</f>
        <v>3|19000101|46097</v>
      </c>
      <c r="H1155" s="6">
        <f>COUNTIF(GameLog[Pod ID],GameLog[[#This Row],[Pod ID]])</f>
        <v>4</v>
      </c>
      <c r="I1155" s="6">
        <f>YEAR(GameLog[[#This Row],[Date]])</f>
        <v>2026</v>
      </c>
      <c r="J1155" s="6">
        <f>MONTH(GameLog[[#This Row],[Date]])</f>
        <v>3</v>
      </c>
      <c r="K1155" s="6" t="str">
        <f>IF(GameLog[[#This Row],[Date]]=MAX(GameLog[Date]),"Current","Previous")</f>
        <v>Previous</v>
      </c>
      <c r="L1155" s="6"/>
      <c r="M11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5" s="6" t="str">
        <f ca="1">IF(GameLog[[#This Row],[Check]]="","",COUNTIF(GameLog[[#Headers],[Check]]:GameLog[[#This Row],[Check]],"?*")-1)</f>
        <v/>
      </c>
      <c r="O1155" s="6" t="str">
        <f>IFERROR(INDEX(Players[New name],MATCH(GameLog[[#This Row],[Player]],Players[Name],0)),GameLog[[#This Row],[Player]])</f>
        <v>Brandon B</v>
      </c>
    </row>
    <row r="1156" spans="1:15" x14ac:dyDescent="0.45">
      <c r="A1156" s="6" t="s">
        <v>55</v>
      </c>
      <c r="B1156" s="6" t="s">
        <v>50</v>
      </c>
      <c r="C1156" s="6">
        <v>1</v>
      </c>
      <c r="D1156" s="6">
        <v>4</v>
      </c>
      <c r="E1156" s="6">
        <v>1</v>
      </c>
      <c r="F1156" s="10">
        <v>46097</v>
      </c>
      <c r="G1156" s="6" t="str">
        <f>_xlfn.TEXTJOIN("|",TRUE,GameLog[[#This Row],[Pod]],TEXT(INT(GameLog[[#This Row],[Round]]),"yyyymmdd"),GameLog[[#This Row],[Date]])</f>
        <v>4|19000101|46097</v>
      </c>
      <c r="H1156" s="6">
        <f>COUNTIF(GameLog[Pod ID],GameLog[[#This Row],[Pod ID]])</f>
        <v>3</v>
      </c>
      <c r="I1156" s="6">
        <f>YEAR(GameLog[[#This Row],[Date]])</f>
        <v>2026</v>
      </c>
      <c r="J1156" s="6">
        <f>MONTH(GameLog[[#This Row],[Date]])</f>
        <v>3</v>
      </c>
      <c r="K1156" s="6" t="str">
        <f>IF(GameLog[[#This Row],[Date]]=MAX(GameLog[Date]),"Current","Previous")</f>
        <v>Previous</v>
      </c>
      <c r="L1156" s="6"/>
      <c r="M11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6" s="6" t="str">
        <f ca="1">IF(GameLog[[#This Row],[Check]]="","",COUNTIF(GameLog[[#Headers],[Check]]:GameLog[[#This Row],[Check]],"?*")-1)</f>
        <v/>
      </c>
      <c r="O1156" s="6" t="str">
        <f>IFERROR(INDEX(Players[New name],MATCH(GameLog[[#This Row],[Player]],Players[Name],0)),GameLog[[#This Row],[Player]])</f>
        <v>Bryce C</v>
      </c>
    </row>
    <row r="1157" spans="1:15" x14ac:dyDescent="0.45">
      <c r="A1157" s="6" t="s">
        <v>63</v>
      </c>
      <c r="B1157" s="6" t="s">
        <v>53</v>
      </c>
      <c r="C1157" s="6">
        <v>2</v>
      </c>
      <c r="D1157" s="6">
        <v>4</v>
      </c>
      <c r="E1157" s="6">
        <v>1</v>
      </c>
      <c r="F1157" s="10">
        <v>46097</v>
      </c>
      <c r="G1157" s="6" t="str">
        <f>_xlfn.TEXTJOIN("|",TRUE,GameLog[[#This Row],[Pod]],TEXT(INT(GameLog[[#This Row],[Round]]),"yyyymmdd"),GameLog[[#This Row],[Date]])</f>
        <v>4|19000101|46097</v>
      </c>
      <c r="H1157" s="6">
        <f>COUNTIF(GameLog[Pod ID],GameLog[[#This Row],[Pod ID]])</f>
        <v>3</v>
      </c>
      <c r="I1157" s="6">
        <f>YEAR(GameLog[[#This Row],[Date]])</f>
        <v>2026</v>
      </c>
      <c r="J1157" s="6">
        <f>MONTH(GameLog[[#This Row],[Date]])</f>
        <v>3</v>
      </c>
      <c r="K1157" s="6" t="str">
        <f>IF(GameLog[[#This Row],[Date]]=MAX(GameLog[Date]),"Current","Previous")</f>
        <v>Previous</v>
      </c>
      <c r="L1157" s="6"/>
      <c r="M11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7" s="6" t="str">
        <f ca="1">IF(GameLog[[#This Row],[Check]]="","",COUNTIF(GameLog[[#Headers],[Check]]:GameLog[[#This Row],[Check]],"?*")-1)</f>
        <v/>
      </c>
      <c r="O1157" s="6" t="str">
        <f>IFERROR(INDEX(Players[New name],MATCH(GameLog[[#This Row],[Player]],Players[Name],0)),GameLog[[#This Row],[Player]])</f>
        <v>Jake D</v>
      </c>
    </row>
    <row r="1158" spans="1:15" x14ac:dyDescent="0.45">
      <c r="A1158" s="6" t="s">
        <v>97</v>
      </c>
      <c r="B1158" s="6" t="s">
        <v>53</v>
      </c>
      <c r="C1158" s="6">
        <v>3</v>
      </c>
      <c r="D1158" s="6">
        <v>4</v>
      </c>
      <c r="E1158" s="6">
        <v>1</v>
      </c>
      <c r="F1158" s="10">
        <v>46097</v>
      </c>
      <c r="G1158" s="6" t="str">
        <f>_xlfn.TEXTJOIN("|",TRUE,GameLog[[#This Row],[Pod]],TEXT(INT(GameLog[[#This Row],[Round]]),"yyyymmdd"),GameLog[[#This Row],[Date]])</f>
        <v>4|19000101|46097</v>
      </c>
      <c r="H1158" s="6">
        <f>COUNTIF(GameLog[Pod ID],GameLog[[#This Row],[Pod ID]])</f>
        <v>3</v>
      </c>
      <c r="I1158" s="6">
        <f>YEAR(GameLog[[#This Row],[Date]])</f>
        <v>2026</v>
      </c>
      <c r="J1158" s="6">
        <f>MONTH(GameLog[[#This Row],[Date]])</f>
        <v>3</v>
      </c>
      <c r="K1158" s="6" t="str">
        <f>IF(GameLog[[#This Row],[Date]]=MAX(GameLog[Date]),"Current","Previous")</f>
        <v>Previous</v>
      </c>
      <c r="L1158" s="6"/>
      <c r="M11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8" s="6" t="str">
        <f ca="1">IF(GameLog[[#This Row],[Check]]="","",COUNTIF(GameLog[[#Headers],[Check]]:GameLog[[#This Row],[Check]],"?*")-1)</f>
        <v/>
      </c>
      <c r="O1158" s="6" t="str">
        <f>IFERROR(INDEX(Players[New name],MATCH(GameLog[[#This Row],[Player]],Players[Name],0)),GameLog[[#This Row],[Player]])</f>
        <v>Arman H</v>
      </c>
    </row>
    <row r="1159" spans="1:15" x14ac:dyDescent="0.45">
      <c r="A1159" s="6" t="s">
        <v>59</v>
      </c>
      <c r="B1159" s="6" t="s">
        <v>53</v>
      </c>
      <c r="C1159" s="6">
        <v>1</v>
      </c>
      <c r="D1159" s="6">
        <v>5</v>
      </c>
      <c r="E1159" s="6">
        <v>1</v>
      </c>
      <c r="F1159" s="10">
        <v>46097</v>
      </c>
      <c r="G1159" s="6" t="str">
        <f>_xlfn.TEXTJOIN("|",TRUE,GameLog[[#This Row],[Pod]],TEXT(INT(GameLog[[#This Row],[Round]]),"yyyymmdd"),GameLog[[#This Row],[Date]])</f>
        <v>5|19000101|46097</v>
      </c>
      <c r="H1159" s="6">
        <f>COUNTIF(GameLog[Pod ID],GameLog[[#This Row],[Pod ID]])</f>
        <v>3</v>
      </c>
      <c r="I1159" s="6">
        <f>YEAR(GameLog[[#This Row],[Date]])</f>
        <v>2026</v>
      </c>
      <c r="J1159" s="6">
        <f>MONTH(GameLog[[#This Row],[Date]])</f>
        <v>3</v>
      </c>
      <c r="K1159" s="6" t="str">
        <f>IF(GameLog[[#This Row],[Date]]=MAX(GameLog[Date]),"Current","Previous")</f>
        <v>Previous</v>
      </c>
      <c r="L1159" s="6"/>
      <c r="M11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59" s="6" t="str">
        <f ca="1">IF(GameLog[[#This Row],[Check]]="","",COUNTIF(GameLog[[#Headers],[Check]]:GameLog[[#This Row],[Check]],"?*")-1)</f>
        <v/>
      </c>
      <c r="O1159" s="6" t="str">
        <f>IFERROR(INDEX(Players[New name],MATCH(GameLog[[#This Row],[Player]],Players[Name],0)),GameLog[[#This Row],[Player]])</f>
        <v>Zack B</v>
      </c>
    </row>
    <row r="1160" spans="1:15" x14ac:dyDescent="0.45">
      <c r="A1160" s="6" t="s">
        <v>68</v>
      </c>
      <c r="B1160" s="6" t="s">
        <v>53</v>
      </c>
      <c r="C1160" s="6">
        <v>2</v>
      </c>
      <c r="D1160" s="6">
        <v>5</v>
      </c>
      <c r="E1160" s="6">
        <v>1</v>
      </c>
      <c r="F1160" s="10">
        <v>46097</v>
      </c>
      <c r="G1160" s="6" t="str">
        <f>_xlfn.TEXTJOIN("|",TRUE,GameLog[[#This Row],[Pod]],TEXT(INT(GameLog[[#This Row],[Round]]),"yyyymmdd"),GameLog[[#This Row],[Date]])</f>
        <v>5|19000101|46097</v>
      </c>
      <c r="H1160" s="6">
        <f>COUNTIF(GameLog[Pod ID],GameLog[[#This Row],[Pod ID]])</f>
        <v>3</v>
      </c>
      <c r="I1160" s="6">
        <f>YEAR(GameLog[[#This Row],[Date]])</f>
        <v>2026</v>
      </c>
      <c r="J1160" s="6">
        <f>MONTH(GameLog[[#This Row],[Date]])</f>
        <v>3</v>
      </c>
      <c r="K1160" s="6" t="str">
        <f>IF(GameLog[[#This Row],[Date]]=MAX(GameLog[Date]),"Current","Previous")</f>
        <v>Previous</v>
      </c>
      <c r="L1160" s="6"/>
      <c r="M11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0" s="6" t="str">
        <f ca="1">IF(GameLog[[#This Row],[Check]]="","",COUNTIF(GameLog[[#Headers],[Check]]:GameLog[[#This Row],[Check]],"?*")-1)</f>
        <v/>
      </c>
      <c r="O1160" s="6" t="str">
        <f>IFERROR(INDEX(Players[New name],MATCH(GameLog[[#This Row],[Player]],Players[Name],0)),GameLog[[#This Row],[Player]])</f>
        <v>Edwin M</v>
      </c>
    </row>
    <row r="1161" spans="1:15" x14ac:dyDescent="0.45">
      <c r="A1161" s="6" t="s">
        <v>83</v>
      </c>
      <c r="B1161" s="6" t="s">
        <v>50</v>
      </c>
      <c r="C1161" s="6">
        <v>3</v>
      </c>
      <c r="D1161" s="6">
        <v>5</v>
      </c>
      <c r="E1161" s="6">
        <v>1</v>
      </c>
      <c r="F1161" s="10">
        <v>46097</v>
      </c>
      <c r="G1161" s="6" t="str">
        <f>_xlfn.TEXTJOIN("|",TRUE,GameLog[[#This Row],[Pod]],TEXT(INT(GameLog[[#This Row],[Round]]),"yyyymmdd"),GameLog[[#This Row],[Date]])</f>
        <v>5|19000101|46097</v>
      </c>
      <c r="H1161" s="6">
        <f>COUNTIF(GameLog[Pod ID],GameLog[[#This Row],[Pod ID]])</f>
        <v>3</v>
      </c>
      <c r="I1161" s="6">
        <f>YEAR(GameLog[[#This Row],[Date]])</f>
        <v>2026</v>
      </c>
      <c r="J1161" s="6">
        <f>MONTH(GameLog[[#This Row],[Date]])</f>
        <v>3</v>
      </c>
      <c r="K1161" s="6" t="str">
        <f>IF(GameLog[[#This Row],[Date]]=MAX(GameLog[Date]),"Current","Previous")</f>
        <v>Previous</v>
      </c>
      <c r="L1161" s="6"/>
      <c r="M11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1" s="6" t="str">
        <f ca="1">IF(GameLog[[#This Row],[Check]]="","",COUNTIF(GameLog[[#Headers],[Check]]:GameLog[[#This Row],[Check]],"?*")-1)</f>
        <v/>
      </c>
      <c r="O1161" s="6" t="str">
        <f>IFERROR(INDEX(Players[New name],MATCH(GameLog[[#This Row],[Player]],Players[Name],0)),GameLog[[#This Row],[Player]])</f>
        <v>Devyn S</v>
      </c>
    </row>
    <row r="1162" spans="1:15" x14ac:dyDescent="0.45">
      <c r="A1162" s="6" t="s">
        <v>83</v>
      </c>
      <c r="B1162" s="6" t="s">
        <v>53</v>
      </c>
      <c r="C1162" s="6">
        <v>1</v>
      </c>
      <c r="D1162" s="6">
        <v>1</v>
      </c>
      <c r="E1162" s="6">
        <v>2</v>
      </c>
      <c r="F1162" s="10">
        <v>46097</v>
      </c>
      <c r="G1162" s="6" t="str">
        <f>_xlfn.TEXTJOIN("|",TRUE,GameLog[[#This Row],[Pod]],TEXT(INT(GameLog[[#This Row],[Round]]),"yyyymmdd"),GameLog[[#This Row],[Date]])</f>
        <v>1|19000102|46097</v>
      </c>
      <c r="H1162" s="6">
        <f>COUNTIF(GameLog[Pod ID],GameLog[[#This Row],[Pod ID]])</f>
        <v>4</v>
      </c>
      <c r="I1162" s="6">
        <f>YEAR(GameLog[[#This Row],[Date]])</f>
        <v>2026</v>
      </c>
      <c r="J1162" s="6">
        <f>MONTH(GameLog[[#This Row],[Date]])</f>
        <v>3</v>
      </c>
      <c r="K1162" s="6" t="str">
        <f>IF(GameLog[[#This Row],[Date]]=MAX(GameLog[Date]),"Current","Previous")</f>
        <v>Previous</v>
      </c>
      <c r="L1162" s="6"/>
      <c r="M11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2" s="6" t="str">
        <f ca="1">IF(GameLog[[#This Row],[Check]]="","",COUNTIF(GameLog[[#Headers],[Check]]:GameLog[[#This Row],[Check]],"?*")-1)</f>
        <v/>
      </c>
      <c r="O1162" s="6" t="str">
        <f>IFERROR(INDEX(Players[New name],MATCH(GameLog[[#This Row],[Player]],Players[Name],0)),GameLog[[#This Row],[Player]])</f>
        <v>Devyn S</v>
      </c>
    </row>
    <row r="1163" spans="1:15" x14ac:dyDescent="0.45">
      <c r="A1163" s="6" t="s">
        <v>55</v>
      </c>
      <c r="B1163" s="6" t="s">
        <v>50</v>
      </c>
      <c r="C1163" s="6">
        <v>2</v>
      </c>
      <c r="D1163" s="6">
        <v>1</v>
      </c>
      <c r="E1163" s="6">
        <v>2</v>
      </c>
      <c r="F1163" s="10">
        <v>46097</v>
      </c>
      <c r="G1163" s="6" t="str">
        <f>_xlfn.TEXTJOIN("|",TRUE,GameLog[[#This Row],[Pod]],TEXT(INT(GameLog[[#This Row],[Round]]),"yyyymmdd"),GameLog[[#This Row],[Date]])</f>
        <v>1|19000102|46097</v>
      </c>
      <c r="H1163" s="6">
        <f>COUNTIF(GameLog[Pod ID],GameLog[[#This Row],[Pod ID]])</f>
        <v>4</v>
      </c>
      <c r="I1163" s="6">
        <f>YEAR(GameLog[[#This Row],[Date]])</f>
        <v>2026</v>
      </c>
      <c r="J1163" s="6">
        <f>MONTH(GameLog[[#This Row],[Date]])</f>
        <v>3</v>
      </c>
      <c r="K1163" s="6" t="str">
        <f>IF(GameLog[[#This Row],[Date]]=MAX(GameLog[Date]),"Current","Previous")</f>
        <v>Previous</v>
      </c>
      <c r="L1163" s="6"/>
      <c r="M11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3" s="6" t="str">
        <f ca="1">IF(GameLog[[#This Row],[Check]]="","",COUNTIF(GameLog[[#Headers],[Check]]:GameLog[[#This Row],[Check]],"?*")-1)</f>
        <v/>
      </c>
      <c r="O1163" s="6" t="str">
        <f>IFERROR(INDEX(Players[New name],MATCH(GameLog[[#This Row],[Player]],Players[Name],0)),GameLog[[#This Row],[Player]])</f>
        <v>Bryce C</v>
      </c>
    </row>
    <row r="1164" spans="1:15" x14ac:dyDescent="0.45">
      <c r="A1164" s="6" t="s">
        <v>64</v>
      </c>
      <c r="B1164" s="6" t="s">
        <v>53</v>
      </c>
      <c r="C1164" s="6">
        <v>3</v>
      </c>
      <c r="D1164" s="6">
        <v>1</v>
      </c>
      <c r="E1164" s="6">
        <v>2</v>
      </c>
      <c r="F1164" s="10">
        <v>46097</v>
      </c>
      <c r="G1164" s="6" t="str">
        <f>_xlfn.TEXTJOIN("|",TRUE,GameLog[[#This Row],[Pod]],TEXT(INT(GameLog[[#This Row],[Round]]),"yyyymmdd"),GameLog[[#This Row],[Date]])</f>
        <v>1|19000102|46097</v>
      </c>
      <c r="H1164" s="6">
        <f>COUNTIF(GameLog[Pod ID],GameLog[[#This Row],[Pod ID]])</f>
        <v>4</v>
      </c>
      <c r="I1164" s="6">
        <f>YEAR(GameLog[[#This Row],[Date]])</f>
        <v>2026</v>
      </c>
      <c r="J1164" s="6">
        <f>MONTH(GameLog[[#This Row],[Date]])</f>
        <v>3</v>
      </c>
      <c r="K1164" s="6" t="str">
        <f>IF(GameLog[[#This Row],[Date]]=MAX(GameLog[Date]),"Current","Previous")</f>
        <v>Previous</v>
      </c>
      <c r="L1164" s="6"/>
      <c r="M11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4" s="6" t="str">
        <f ca="1">IF(GameLog[[#This Row],[Check]]="","",COUNTIF(GameLog[[#Headers],[Check]]:GameLog[[#This Row],[Check]],"?*")-1)</f>
        <v/>
      </c>
      <c r="O1164" s="6" t="str">
        <f>IFERROR(INDEX(Players[New name],MATCH(GameLog[[#This Row],[Player]],Players[Name],0)),GameLog[[#This Row],[Player]])</f>
        <v>Tyler B</v>
      </c>
    </row>
    <row r="1165" spans="1:15" x14ac:dyDescent="0.45">
      <c r="A1165" s="6" t="s">
        <v>75</v>
      </c>
      <c r="B1165" s="6" t="s">
        <v>53</v>
      </c>
      <c r="C1165" s="6">
        <v>4</v>
      </c>
      <c r="D1165" s="6">
        <v>1</v>
      </c>
      <c r="E1165" s="6">
        <v>2</v>
      </c>
      <c r="F1165" s="10">
        <v>46097</v>
      </c>
      <c r="G1165" s="6" t="str">
        <f>_xlfn.TEXTJOIN("|",TRUE,GameLog[[#This Row],[Pod]],TEXT(INT(GameLog[[#This Row],[Round]]),"yyyymmdd"),GameLog[[#This Row],[Date]])</f>
        <v>1|19000102|46097</v>
      </c>
      <c r="H1165" s="6">
        <f>COUNTIF(GameLog[Pod ID],GameLog[[#This Row],[Pod ID]])</f>
        <v>4</v>
      </c>
      <c r="I1165" s="6">
        <f>YEAR(GameLog[[#This Row],[Date]])</f>
        <v>2026</v>
      </c>
      <c r="J1165" s="6">
        <f>MONTH(GameLog[[#This Row],[Date]])</f>
        <v>3</v>
      </c>
      <c r="K1165" s="6" t="str">
        <f>IF(GameLog[[#This Row],[Date]]=MAX(GameLog[Date]),"Current","Previous")</f>
        <v>Previous</v>
      </c>
      <c r="L1165" s="6"/>
      <c r="M11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5" s="6" t="str">
        <f ca="1">IF(GameLog[[#This Row],[Check]]="","",COUNTIF(GameLog[[#Headers],[Check]]:GameLog[[#This Row],[Check]],"?*")-1)</f>
        <v/>
      </c>
      <c r="O1165" s="6" t="str">
        <f>IFERROR(INDEX(Players[New name],MATCH(GameLog[[#This Row],[Player]],Players[Name],0)),GameLog[[#This Row],[Player]])</f>
        <v>Eli T</v>
      </c>
    </row>
    <row r="1166" spans="1:15" x14ac:dyDescent="0.45">
      <c r="A1166" s="6" t="s">
        <v>58</v>
      </c>
      <c r="B1166" s="6" t="s">
        <v>50</v>
      </c>
      <c r="C1166" s="6">
        <v>1</v>
      </c>
      <c r="D1166" s="6">
        <v>2</v>
      </c>
      <c r="E1166" s="6">
        <v>2</v>
      </c>
      <c r="F1166" s="10">
        <v>46097</v>
      </c>
      <c r="G1166" s="6" t="str">
        <f>_xlfn.TEXTJOIN("|",TRUE,GameLog[[#This Row],[Pod]],TEXT(INT(GameLog[[#This Row],[Round]]),"yyyymmdd"),GameLog[[#This Row],[Date]])</f>
        <v>2|19000102|46097</v>
      </c>
      <c r="H1166" s="6">
        <f>COUNTIF(GameLog[Pod ID],GameLog[[#This Row],[Pod ID]])</f>
        <v>4</v>
      </c>
      <c r="I1166" s="6">
        <f>YEAR(GameLog[[#This Row],[Date]])</f>
        <v>2026</v>
      </c>
      <c r="J1166" s="6">
        <f>MONTH(GameLog[[#This Row],[Date]])</f>
        <v>3</v>
      </c>
      <c r="K1166" s="6" t="str">
        <f>IF(GameLog[[#This Row],[Date]]=MAX(GameLog[Date]),"Current","Previous")</f>
        <v>Previous</v>
      </c>
      <c r="L1166" s="6"/>
      <c r="M11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6" s="6" t="str">
        <f ca="1">IF(GameLog[[#This Row],[Check]]="","",COUNTIF(GameLog[[#Headers],[Check]]:GameLog[[#This Row],[Check]],"?*")-1)</f>
        <v/>
      </c>
      <c r="O1166" s="6" t="str">
        <f>IFERROR(INDEX(Players[New name],MATCH(GameLog[[#This Row],[Player]],Players[Name],0)),GameLog[[#This Row],[Player]])</f>
        <v>Dakota P</v>
      </c>
    </row>
    <row r="1167" spans="1:15" x14ac:dyDescent="0.45">
      <c r="A1167" s="6" t="s">
        <v>104</v>
      </c>
      <c r="B1167" s="6" t="s">
        <v>53</v>
      </c>
      <c r="C1167" s="6">
        <v>2</v>
      </c>
      <c r="D1167" s="6">
        <v>2</v>
      </c>
      <c r="E1167" s="6">
        <v>2</v>
      </c>
      <c r="F1167" s="10">
        <v>46097</v>
      </c>
      <c r="G1167" s="6" t="str">
        <f>_xlfn.TEXTJOIN("|",TRUE,GameLog[[#This Row],[Pod]],TEXT(INT(GameLog[[#This Row],[Round]]),"yyyymmdd"),GameLog[[#This Row],[Date]])</f>
        <v>2|19000102|46097</v>
      </c>
      <c r="H1167" s="6">
        <f>COUNTIF(GameLog[Pod ID],GameLog[[#This Row],[Pod ID]])</f>
        <v>4</v>
      </c>
      <c r="I1167" s="6">
        <f>YEAR(GameLog[[#This Row],[Date]])</f>
        <v>2026</v>
      </c>
      <c r="J1167" s="6">
        <f>MONTH(GameLog[[#This Row],[Date]])</f>
        <v>3</v>
      </c>
      <c r="K1167" s="6" t="str">
        <f>IF(GameLog[[#This Row],[Date]]=MAX(GameLog[Date]),"Current","Previous")</f>
        <v>Previous</v>
      </c>
      <c r="L1167" s="6"/>
      <c r="M11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7" s="6" t="str">
        <f ca="1">IF(GameLog[[#This Row],[Check]]="","",COUNTIF(GameLog[[#Headers],[Check]]:GameLog[[#This Row],[Check]],"?*")-1)</f>
        <v/>
      </c>
      <c r="O1167" s="6" t="str">
        <f>IFERROR(INDEX(Players[New name],MATCH(GameLog[[#This Row],[Player]],Players[Name],0)),GameLog[[#This Row],[Player]])</f>
        <v>Eric E</v>
      </c>
    </row>
    <row r="1168" spans="1:15" x14ac:dyDescent="0.45">
      <c r="A1168" s="6" t="s">
        <v>57</v>
      </c>
      <c r="B1168" s="6" t="s">
        <v>53</v>
      </c>
      <c r="C1168" s="6">
        <v>3</v>
      </c>
      <c r="D1168" s="6">
        <v>2</v>
      </c>
      <c r="E1168" s="6">
        <v>2</v>
      </c>
      <c r="F1168" s="10">
        <v>46097</v>
      </c>
      <c r="G1168" s="6" t="str">
        <f>_xlfn.TEXTJOIN("|",TRUE,GameLog[[#This Row],[Pod]],TEXT(INT(GameLog[[#This Row],[Round]]),"yyyymmdd"),GameLog[[#This Row],[Date]])</f>
        <v>2|19000102|46097</v>
      </c>
      <c r="H1168" s="6">
        <f>COUNTIF(GameLog[Pod ID],GameLog[[#This Row],[Pod ID]])</f>
        <v>4</v>
      </c>
      <c r="I1168" s="6">
        <f>YEAR(GameLog[[#This Row],[Date]])</f>
        <v>2026</v>
      </c>
      <c r="J1168" s="6">
        <f>MONTH(GameLog[[#This Row],[Date]])</f>
        <v>3</v>
      </c>
      <c r="K1168" s="6" t="str">
        <f>IF(GameLog[[#This Row],[Date]]=MAX(GameLog[Date]),"Current","Previous")</f>
        <v>Previous</v>
      </c>
      <c r="L1168" s="6"/>
      <c r="M11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8" s="6" t="str">
        <f ca="1">IF(GameLog[[#This Row],[Check]]="","",COUNTIF(GameLog[[#Headers],[Check]]:GameLog[[#This Row],[Check]],"?*")-1)</f>
        <v/>
      </c>
      <c r="O1168" s="6" t="str">
        <f>IFERROR(INDEX(Players[New name],MATCH(GameLog[[#This Row],[Player]],Players[Name],0)),GameLog[[#This Row],[Player]])</f>
        <v>AJ W</v>
      </c>
    </row>
    <row r="1169" spans="1:15" x14ac:dyDescent="0.45">
      <c r="A1169" s="6" t="s">
        <v>68</v>
      </c>
      <c r="B1169" s="6" t="s">
        <v>53</v>
      </c>
      <c r="C1169" s="6">
        <v>4</v>
      </c>
      <c r="D1169" s="6">
        <v>2</v>
      </c>
      <c r="E1169" s="6">
        <v>2</v>
      </c>
      <c r="F1169" s="10">
        <v>46097</v>
      </c>
      <c r="G1169" s="6" t="str">
        <f>_xlfn.TEXTJOIN("|",TRUE,GameLog[[#This Row],[Pod]],TEXT(INT(GameLog[[#This Row],[Round]]),"yyyymmdd"),GameLog[[#This Row],[Date]])</f>
        <v>2|19000102|46097</v>
      </c>
      <c r="H1169" s="6">
        <f>COUNTIF(GameLog[Pod ID],GameLog[[#This Row],[Pod ID]])</f>
        <v>4</v>
      </c>
      <c r="I1169" s="6">
        <f>YEAR(GameLog[[#This Row],[Date]])</f>
        <v>2026</v>
      </c>
      <c r="J1169" s="6">
        <f>MONTH(GameLog[[#This Row],[Date]])</f>
        <v>3</v>
      </c>
      <c r="K1169" s="6" t="str">
        <f>IF(GameLog[[#This Row],[Date]]=MAX(GameLog[Date]),"Current","Previous")</f>
        <v>Previous</v>
      </c>
      <c r="L1169" s="6"/>
      <c r="M11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69" s="6" t="str">
        <f ca="1">IF(GameLog[[#This Row],[Check]]="","",COUNTIF(GameLog[[#Headers],[Check]]:GameLog[[#This Row],[Check]],"?*")-1)</f>
        <v/>
      </c>
      <c r="O1169" s="6" t="str">
        <f>IFERROR(INDEX(Players[New name],MATCH(GameLog[[#This Row],[Player]],Players[Name],0)),GameLog[[#This Row],[Player]])</f>
        <v>Edwin M</v>
      </c>
    </row>
    <row r="1170" spans="1:15" x14ac:dyDescent="0.45">
      <c r="A1170" s="6" t="s">
        <v>74</v>
      </c>
      <c r="B1170" s="6" t="s">
        <v>53</v>
      </c>
      <c r="C1170" s="6">
        <v>1</v>
      </c>
      <c r="D1170" s="6">
        <v>3</v>
      </c>
      <c r="E1170" s="6">
        <v>2</v>
      </c>
      <c r="F1170" s="10">
        <v>46097</v>
      </c>
      <c r="G1170" s="6" t="str">
        <f>_xlfn.TEXTJOIN("|",TRUE,GameLog[[#This Row],[Pod]],TEXT(INT(GameLog[[#This Row],[Round]]),"yyyymmdd"),GameLog[[#This Row],[Date]])</f>
        <v>3|19000102|46097</v>
      </c>
      <c r="H1170" s="6">
        <f>COUNTIF(GameLog[Pod ID],GameLog[[#This Row],[Pod ID]])</f>
        <v>4</v>
      </c>
      <c r="I1170" s="6">
        <f>YEAR(GameLog[[#This Row],[Date]])</f>
        <v>2026</v>
      </c>
      <c r="J1170" s="6">
        <f>MONTH(GameLog[[#This Row],[Date]])</f>
        <v>3</v>
      </c>
      <c r="K1170" s="6" t="str">
        <f>IF(GameLog[[#This Row],[Date]]=MAX(GameLog[Date]),"Current","Previous")</f>
        <v>Previous</v>
      </c>
      <c r="L1170" s="6"/>
      <c r="M11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0" s="6" t="str">
        <f ca="1">IF(GameLog[[#This Row],[Check]]="","",COUNTIF(GameLog[[#Headers],[Check]]:GameLog[[#This Row],[Check]],"?*")-1)</f>
        <v/>
      </c>
      <c r="O1170" s="6" t="str">
        <f>IFERROR(INDEX(Players[New name],MATCH(GameLog[[#This Row],[Player]],Players[Name],0)),GameLog[[#This Row],[Player]])</f>
        <v>Jarrod O</v>
      </c>
    </row>
    <row r="1171" spans="1:15" x14ac:dyDescent="0.45">
      <c r="A1171" s="6" t="s">
        <v>97</v>
      </c>
      <c r="B1171" s="6" t="s">
        <v>50</v>
      </c>
      <c r="C1171" s="6">
        <v>2</v>
      </c>
      <c r="D1171" s="6">
        <v>3</v>
      </c>
      <c r="E1171" s="6">
        <v>2</v>
      </c>
      <c r="F1171" s="10">
        <v>46097</v>
      </c>
      <c r="G1171" s="6" t="str">
        <f>_xlfn.TEXTJOIN("|",TRUE,GameLog[[#This Row],[Pod]],TEXT(INT(GameLog[[#This Row],[Round]]),"yyyymmdd"),GameLog[[#This Row],[Date]])</f>
        <v>3|19000102|46097</v>
      </c>
      <c r="H1171" s="6">
        <f>COUNTIF(GameLog[Pod ID],GameLog[[#This Row],[Pod ID]])</f>
        <v>4</v>
      </c>
      <c r="I1171" s="6">
        <f>YEAR(GameLog[[#This Row],[Date]])</f>
        <v>2026</v>
      </c>
      <c r="J1171" s="6">
        <f>MONTH(GameLog[[#This Row],[Date]])</f>
        <v>3</v>
      </c>
      <c r="K1171" s="6" t="str">
        <f>IF(GameLog[[#This Row],[Date]]=MAX(GameLog[Date]),"Current","Previous")</f>
        <v>Previous</v>
      </c>
      <c r="L1171" s="6"/>
      <c r="M11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1" s="6" t="str">
        <f ca="1">IF(GameLog[[#This Row],[Check]]="","",COUNTIF(GameLog[[#Headers],[Check]]:GameLog[[#This Row],[Check]],"?*")-1)</f>
        <v/>
      </c>
      <c r="O1171" s="6" t="str">
        <f>IFERROR(INDEX(Players[New name],MATCH(GameLog[[#This Row],[Player]],Players[Name],0)),GameLog[[#This Row],[Player]])</f>
        <v>Arman H</v>
      </c>
    </row>
    <row r="1172" spans="1:15" x14ac:dyDescent="0.45">
      <c r="A1172" s="6" t="s">
        <v>98</v>
      </c>
      <c r="B1172" s="6" t="s">
        <v>53</v>
      </c>
      <c r="C1172" s="6">
        <v>3</v>
      </c>
      <c r="D1172" s="6">
        <v>3</v>
      </c>
      <c r="E1172" s="6">
        <v>2</v>
      </c>
      <c r="F1172" s="10">
        <v>46097</v>
      </c>
      <c r="G1172" s="6" t="str">
        <f>_xlfn.TEXTJOIN("|",TRUE,GameLog[[#This Row],[Pod]],TEXT(INT(GameLog[[#This Row],[Round]]),"yyyymmdd"),GameLog[[#This Row],[Date]])</f>
        <v>3|19000102|46097</v>
      </c>
      <c r="H1172" s="6">
        <f>COUNTIF(GameLog[Pod ID],GameLog[[#This Row],[Pod ID]])</f>
        <v>4</v>
      </c>
      <c r="I1172" s="6">
        <f>YEAR(GameLog[[#This Row],[Date]])</f>
        <v>2026</v>
      </c>
      <c r="J1172" s="6">
        <f>MONTH(GameLog[[#This Row],[Date]])</f>
        <v>3</v>
      </c>
      <c r="K1172" s="6" t="str">
        <f>IF(GameLog[[#This Row],[Date]]=MAX(GameLog[Date]),"Current","Previous")</f>
        <v>Previous</v>
      </c>
      <c r="L1172" s="6"/>
      <c r="M11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2" s="6" t="str">
        <f ca="1">IF(GameLog[[#This Row],[Check]]="","",COUNTIF(GameLog[[#Headers],[Check]]:GameLog[[#This Row],[Check]],"?*")-1)</f>
        <v/>
      </c>
      <c r="O1172" s="6" t="str">
        <f>IFERROR(INDEX(Players[New name],MATCH(GameLog[[#This Row],[Player]],Players[Name],0)),GameLog[[#This Row],[Player]])</f>
        <v>Charlie B</v>
      </c>
    </row>
    <row r="1173" spans="1:15" x14ac:dyDescent="0.45">
      <c r="A1173" s="6" t="s">
        <v>61</v>
      </c>
      <c r="B1173" s="6" t="s">
        <v>53</v>
      </c>
      <c r="C1173" s="6">
        <v>4</v>
      </c>
      <c r="D1173" s="6">
        <v>3</v>
      </c>
      <c r="E1173" s="6">
        <v>2</v>
      </c>
      <c r="F1173" s="10">
        <v>46097</v>
      </c>
      <c r="G1173" s="6" t="str">
        <f>_xlfn.TEXTJOIN("|",TRUE,GameLog[[#This Row],[Pod]],TEXT(INT(GameLog[[#This Row],[Round]]),"yyyymmdd"),GameLog[[#This Row],[Date]])</f>
        <v>3|19000102|46097</v>
      </c>
      <c r="H1173" s="6">
        <f>COUNTIF(GameLog[Pod ID],GameLog[[#This Row],[Pod ID]])</f>
        <v>4</v>
      </c>
      <c r="I1173" s="6">
        <f>YEAR(GameLog[[#This Row],[Date]])</f>
        <v>2026</v>
      </c>
      <c r="J1173" s="6">
        <f>MONTH(GameLog[[#This Row],[Date]])</f>
        <v>3</v>
      </c>
      <c r="K1173" s="6" t="str">
        <f>IF(GameLog[[#This Row],[Date]]=MAX(GameLog[Date]),"Current","Previous")</f>
        <v>Previous</v>
      </c>
      <c r="L1173" s="6"/>
      <c r="M11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3" s="6" t="str">
        <f ca="1">IF(GameLog[[#This Row],[Check]]="","",COUNTIF(GameLog[[#Headers],[Check]]:GameLog[[#This Row],[Check]],"?*")-1)</f>
        <v/>
      </c>
      <c r="O1173" s="6" t="str">
        <f>IFERROR(INDEX(Players[New name],MATCH(GameLog[[#This Row],[Player]],Players[Name],0)),GameLog[[#This Row],[Player]])</f>
        <v>Trevor</v>
      </c>
    </row>
    <row r="1174" spans="1:15" x14ac:dyDescent="0.45">
      <c r="A1174" s="6" t="s">
        <v>63</v>
      </c>
      <c r="B1174" s="6" t="s">
        <v>53</v>
      </c>
      <c r="C1174" s="6">
        <v>1</v>
      </c>
      <c r="D1174" s="6">
        <v>4</v>
      </c>
      <c r="E1174" s="6">
        <v>2</v>
      </c>
      <c r="F1174" s="10">
        <v>46097</v>
      </c>
      <c r="G1174" s="6" t="str">
        <f>_xlfn.TEXTJOIN("|",TRUE,GameLog[[#This Row],[Pod]],TEXT(INT(GameLog[[#This Row],[Round]]),"yyyymmdd"),GameLog[[#This Row],[Date]])</f>
        <v>4|19000102|46097</v>
      </c>
      <c r="H1174" s="6">
        <f>COUNTIF(GameLog[Pod ID],GameLog[[#This Row],[Pod ID]])</f>
        <v>3</v>
      </c>
      <c r="I1174" s="6">
        <f>YEAR(GameLog[[#This Row],[Date]])</f>
        <v>2026</v>
      </c>
      <c r="J1174" s="6">
        <f>MONTH(GameLog[[#This Row],[Date]])</f>
        <v>3</v>
      </c>
      <c r="K1174" s="6" t="str">
        <f>IF(GameLog[[#This Row],[Date]]=MAX(GameLog[Date]),"Current","Previous")</f>
        <v>Previous</v>
      </c>
      <c r="L1174" s="6"/>
      <c r="M11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4" s="6" t="str">
        <f ca="1">IF(GameLog[[#This Row],[Check]]="","",COUNTIF(GameLog[[#Headers],[Check]]:GameLog[[#This Row],[Check]],"?*")-1)</f>
        <v/>
      </c>
      <c r="O1174" s="6" t="str">
        <f>IFERROR(INDEX(Players[New name],MATCH(GameLog[[#This Row],[Player]],Players[Name],0)),GameLog[[#This Row],[Player]])</f>
        <v>Jake D</v>
      </c>
    </row>
    <row r="1175" spans="1:15" x14ac:dyDescent="0.45">
      <c r="A1175" s="6" t="s">
        <v>73</v>
      </c>
      <c r="B1175" s="6" t="s">
        <v>53</v>
      </c>
      <c r="C1175" s="6">
        <v>2</v>
      </c>
      <c r="D1175" s="6">
        <v>4</v>
      </c>
      <c r="E1175" s="6">
        <v>2</v>
      </c>
      <c r="F1175" s="10">
        <v>46097</v>
      </c>
      <c r="G1175" s="6" t="str">
        <f>_xlfn.TEXTJOIN("|",TRUE,GameLog[[#This Row],[Pod]],TEXT(INT(GameLog[[#This Row],[Round]]),"yyyymmdd"),GameLog[[#This Row],[Date]])</f>
        <v>4|19000102|46097</v>
      </c>
      <c r="H1175" s="6">
        <f>COUNTIF(GameLog[Pod ID],GameLog[[#This Row],[Pod ID]])</f>
        <v>3</v>
      </c>
      <c r="I1175" s="6">
        <f>YEAR(GameLog[[#This Row],[Date]])</f>
        <v>2026</v>
      </c>
      <c r="J1175" s="6">
        <f>MONTH(GameLog[[#This Row],[Date]])</f>
        <v>3</v>
      </c>
      <c r="K1175" s="6" t="str">
        <f>IF(GameLog[[#This Row],[Date]]=MAX(GameLog[Date]),"Current","Previous")</f>
        <v>Previous</v>
      </c>
      <c r="L1175" s="6"/>
      <c r="M11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5" s="6" t="str">
        <f ca="1">IF(GameLog[[#This Row],[Check]]="","",COUNTIF(GameLog[[#Headers],[Check]]:GameLog[[#This Row],[Check]],"?*")-1)</f>
        <v/>
      </c>
      <c r="O1175" s="6" t="str">
        <f>IFERROR(INDEX(Players[New name],MATCH(GameLog[[#This Row],[Player]],Players[Name],0)),GameLog[[#This Row],[Player]])</f>
        <v>Brandon B</v>
      </c>
    </row>
    <row r="1176" spans="1:15" x14ac:dyDescent="0.45">
      <c r="A1176" s="6" t="s">
        <v>71</v>
      </c>
      <c r="B1176" s="6" t="s">
        <v>50</v>
      </c>
      <c r="C1176" s="6">
        <v>3</v>
      </c>
      <c r="D1176" s="6">
        <v>4</v>
      </c>
      <c r="E1176" s="6">
        <v>2</v>
      </c>
      <c r="F1176" s="10">
        <v>46097</v>
      </c>
      <c r="G1176" s="6" t="str">
        <f>_xlfn.TEXTJOIN("|",TRUE,GameLog[[#This Row],[Pod]],TEXT(INT(GameLog[[#This Row],[Round]]),"yyyymmdd"),GameLog[[#This Row],[Date]])</f>
        <v>4|19000102|46097</v>
      </c>
      <c r="H1176" s="6">
        <f>COUNTIF(GameLog[Pod ID],GameLog[[#This Row],[Pod ID]])</f>
        <v>3</v>
      </c>
      <c r="I1176" s="6">
        <f>YEAR(GameLog[[#This Row],[Date]])</f>
        <v>2026</v>
      </c>
      <c r="J1176" s="6">
        <f>MONTH(GameLog[[#This Row],[Date]])</f>
        <v>3</v>
      </c>
      <c r="K1176" s="6" t="str">
        <f>IF(GameLog[[#This Row],[Date]]=MAX(GameLog[Date]),"Current","Previous")</f>
        <v>Previous</v>
      </c>
      <c r="L1176" s="6"/>
      <c r="M11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6" s="6" t="str">
        <f ca="1">IF(GameLog[[#This Row],[Check]]="","",COUNTIF(GameLog[[#Headers],[Check]]:GameLog[[#This Row],[Check]],"?*")-1)</f>
        <v/>
      </c>
      <c r="O1176" s="6" t="str">
        <f>IFERROR(INDEX(Players[New name],MATCH(GameLog[[#This Row],[Player]],Players[Name],0)),GameLog[[#This Row],[Player]])</f>
        <v>Rodney Y</v>
      </c>
    </row>
    <row r="1177" spans="1:15" x14ac:dyDescent="0.45">
      <c r="A1177" s="6" t="s">
        <v>49</v>
      </c>
      <c r="B1177" s="6" t="s">
        <v>50</v>
      </c>
      <c r="C1177" s="6">
        <v>1</v>
      </c>
      <c r="D1177" s="6">
        <v>5</v>
      </c>
      <c r="E1177" s="6">
        <v>2</v>
      </c>
      <c r="F1177" s="10">
        <v>46097</v>
      </c>
      <c r="G1177" s="6" t="str">
        <f>_xlfn.TEXTJOIN("|",TRUE,GameLog[[#This Row],[Pod]],TEXT(INT(GameLog[[#This Row],[Round]]),"yyyymmdd"),GameLog[[#This Row],[Date]])</f>
        <v>5|19000102|46097</v>
      </c>
      <c r="H1177" s="6">
        <f>COUNTIF(GameLog[Pod ID],GameLog[[#This Row],[Pod ID]])</f>
        <v>3</v>
      </c>
      <c r="I1177" s="6">
        <f>YEAR(GameLog[[#This Row],[Date]])</f>
        <v>2026</v>
      </c>
      <c r="J1177" s="6">
        <f>MONTH(GameLog[[#This Row],[Date]])</f>
        <v>3</v>
      </c>
      <c r="K1177" s="6" t="str">
        <f>IF(GameLog[[#This Row],[Date]]=MAX(GameLog[Date]),"Current","Previous")</f>
        <v>Previous</v>
      </c>
      <c r="L1177" s="6"/>
      <c r="M11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7" s="6" t="str">
        <f ca="1">IF(GameLog[[#This Row],[Check]]="","",COUNTIF(GameLog[[#Headers],[Check]]:GameLog[[#This Row],[Check]],"?*")-1)</f>
        <v/>
      </c>
      <c r="O1177" s="6" t="str">
        <f>IFERROR(INDEX(Players[New name],MATCH(GameLog[[#This Row],[Player]],Players[Name],0)),GameLog[[#This Row],[Player]])</f>
        <v>Brett R</v>
      </c>
    </row>
    <row r="1178" spans="1:15" x14ac:dyDescent="0.45">
      <c r="A1178" s="6" t="s">
        <v>60</v>
      </c>
      <c r="B1178" s="6" t="s">
        <v>53</v>
      </c>
      <c r="C1178" s="6">
        <v>2</v>
      </c>
      <c r="D1178" s="6">
        <v>5</v>
      </c>
      <c r="E1178" s="6">
        <v>2</v>
      </c>
      <c r="F1178" s="10">
        <v>46097</v>
      </c>
      <c r="G1178" s="6" t="str">
        <f>_xlfn.TEXTJOIN("|",TRUE,GameLog[[#This Row],[Pod]],TEXT(INT(GameLog[[#This Row],[Round]]),"yyyymmdd"),GameLog[[#This Row],[Date]])</f>
        <v>5|19000102|46097</v>
      </c>
      <c r="H1178" s="6">
        <f>COUNTIF(GameLog[Pod ID],GameLog[[#This Row],[Pod ID]])</f>
        <v>3</v>
      </c>
      <c r="I1178" s="6">
        <f>YEAR(GameLog[[#This Row],[Date]])</f>
        <v>2026</v>
      </c>
      <c r="J1178" s="6">
        <f>MONTH(GameLog[[#This Row],[Date]])</f>
        <v>3</v>
      </c>
      <c r="K1178" s="6" t="str">
        <f>IF(GameLog[[#This Row],[Date]]=MAX(GameLog[Date]),"Current","Previous")</f>
        <v>Previous</v>
      </c>
      <c r="L1178" s="6"/>
      <c r="M11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8" s="6" t="str">
        <f ca="1">IF(GameLog[[#This Row],[Check]]="","",COUNTIF(GameLog[[#Headers],[Check]]:GameLog[[#This Row],[Check]],"?*")-1)</f>
        <v/>
      </c>
      <c r="O1178" s="6" t="str">
        <f>IFERROR(INDEX(Players[New name],MATCH(GameLog[[#This Row],[Player]],Players[Name],0)),GameLog[[#This Row],[Player]])</f>
        <v>Brendan H</v>
      </c>
    </row>
    <row r="1179" spans="1:15" x14ac:dyDescent="0.45">
      <c r="A1179" s="6" t="s">
        <v>59</v>
      </c>
      <c r="B1179" s="6" t="s">
        <v>53</v>
      </c>
      <c r="C1179" s="6">
        <v>3</v>
      </c>
      <c r="D1179" s="6">
        <v>5</v>
      </c>
      <c r="E1179" s="6">
        <v>2</v>
      </c>
      <c r="F1179" s="10">
        <v>46097</v>
      </c>
      <c r="G1179" s="6" t="str">
        <f>_xlfn.TEXTJOIN("|",TRUE,GameLog[[#This Row],[Pod]],TEXT(INT(GameLog[[#This Row],[Round]]),"yyyymmdd"),GameLog[[#This Row],[Date]])</f>
        <v>5|19000102|46097</v>
      </c>
      <c r="H1179" s="6">
        <f>COUNTIF(GameLog[Pod ID],GameLog[[#This Row],[Pod ID]])</f>
        <v>3</v>
      </c>
      <c r="I1179" s="6">
        <f>YEAR(GameLog[[#This Row],[Date]])</f>
        <v>2026</v>
      </c>
      <c r="J1179" s="6">
        <f>MONTH(GameLog[[#This Row],[Date]])</f>
        <v>3</v>
      </c>
      <c r="K1179" s="6" t="str">
        <f>IF(GameLog[[#This Row],[Date]]=MAX(GameLog[Date]),"Current","Previous")</f>
        <v>Previous</v>
      </c>
      <c r="L1179" s="6"/>
      <c r="M11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79" s="6" t="str">
        <f ca="1">IF(GameLog[[#This Row],[Check]]="","",COUNTIF(GameLog[[#Headers],[Check]]:GameLog[[#This Row],[Check]],"?*")-1)</f>
        <v/>
      </c>
      <c r="O1179" s="6" t="str">
        <f>IFERROR(INDEX(Players[New name],MATCH(GameLog[[#This Row],[Player]],Players[Name],0)),GameLog[[#This Row],[Player]])</f>
        <v>Zack B</v>
      </c>
    </row>
    <row r="1180" spans="1:15" x14ac:dyDescent="0.45">
      <c r="A1180" s="6" t="s">
        <v>59</v>
      </c>
      <c r="B1180" s="6" t="s">
        <v>53</v>
      </c>
      <c r="C1180" s="6">
        <v>1</v>
      </c>
      <c r="D1180" s="6">
        <v>1</v>
      </c>
      <c r="E1180" s="6">
        <v>1</v>
      </c>
      <c r="F1180" s="10">
        <v>46104</v>
      </c>
      <c r="G1180" s="6" t="str">
        <f>_xlfn.TEXTJOIN("|",TRUE,GameLog[[#This Row],[Pod]],TEXT(INT(GameLog[[#This Row],[Round]]),"yyyymmdd"),GameLog[[#This Row],[Date]])</f>
        <v>1|19000101|46104</v>
      </c>
      <c r="H1180" s="6">
        <f>COUNTIF(GameLog[Pod ID],GameLog[[#This Row],[Pod ID]])</f>
        <v>4</v>
      </c>
      <c r="I1180" s="6">
        <f>YEAR(GameLog[[#This Row],[Date]])</f>
        <v>2026</v>
      </c>
      <c r="J1180" s="6">
        <f>MONTH(GameLog[[#This Row],[Date]])</f>
        <v>3</v>
      </c>
      <c r="K1180" s="6" t="str">
        <f>IF(GameLog[[#This Row],[Date]]=MAX(GameLog[Date]),"Current","Previous")</f>
        <v>Previous</v>
      </c>
      <c r="L1180" s="6"/>
      <c r="M11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0" s="6" t="str">
        <f ca="1">IF(GameLog[[#This Row],[Check]]="","",COUNTIF(GameLog[[#Headers],[Check]]:GameLog[[#This Row],[Check]],"?*")-1)</f>
        <v/>
      </c>
      <c r="O1180" s="6" t="str">
        <f>IFERROR(INDEX(Players[New name],MATCH(GameLog[[#This Row],[Player]],Players[Name],0)),GameLog[[#This Row],[Player]])</f>
        <v>Zack B</v>
      </c>
    </row>
    <row r="1181" spans="1:15" x14ac:dyDescent="0.45">
      <c r="A1181" s="6" t="s">
        <v>57</v>
      </c>
      <c r="B1181" s="6" t="s">
        <v>53</v>
      </c>
      <c r="C1181" s="6">
        <v>2</v>
      </c>
      <c r="D1181" s="6">
        <v>1</v>
      </c>
      <c r="E1181" s="6">
        <v>1</v>
      </c>
      <c r="F1181" s="10">
        <v>46104</v>
      </c>
      <c r="G1181" s="6" t="str">
        <f>_xlfn.TEXTJOIN("|",TRUE,GameLog[[#This Row],[Pod]],TEXT(INT(GameLog[[#This Row],[Round]]),"yyyymmdd"),GameLog[[#This Row],[Date]])</f>
        <v>1|19000101|46104</v>
      </c>
      <c r="H1181" s="6">
        <f>COUNTIF(GameLog[Pod ID],GameLog[[#This Row],[Pod ID]])</f>
        <v>4</v>
      </c>
      <c r="I1181" s="6">
        <f>YEAR(GameLog[[#This Row],[Date]])</f>
        <v>2026</v>
      </c>
      <c r="J1181" s="6">
        <f>MONTH(GameLog[[#This Row],[Date]])</f>
        <v>3</v>
      </c>
      <c r="K1181" s="6" t="str">
        <f>IF(GameLog[[#This Row],[Date]]=MAX(GameLog[Date]),"Current","Previous")</f>
        <v>Previous</v>
      </c>
      <c r="L1181" s="6"/>
      <c r="M11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1" s="6" t="str">
        <f ca="1">IF(GameLog[[#This Row],[Check]]="","",COUNTIF(GameLog[[#Headers],[Check]]:GameLog[[#This Row],[Check]],"?*")-1)</f>
        <v/>
      </c>
      <c r="O1181" s="6" t="str">
        <f>IFERROR(INDEX(Players[New name],MATCH(GameLog[[#This Row],[Player]],Players[Name],0)),GameLog[[#This Row],[Player]])</f>
        <v>AJ W</v>
      </c>
    </row>
    <row r="1182" spans="1:15" x14ac:dyDescent="0.45">
      <c r="A1182" s="6" t="s">
        <v>55</v>
      </c>
      <c r="B1182" s="6" t="s">
        <v>50</v>
      </c>
      <c r="C1182" s="6">
        <v>3</v>
      </c>
      <c r="D1182" s="6">
        <v>1</v>
      </c>
      <c r="E1182" s="6">
        <v>1</v>
      </c>
      <c r="F1182" s="10">
        <v>46104</v>
      </c>
      <c r="G1182" s="6" t="str">
        <f>_xlfn.TEXTJOIN("|",TRUE,GameLog[[#This Row],[Pod]],TEXT(INT(GameLog[[#This Row],[Round]]),"yyyymmdd"),GameLog[[#This Row],[Date]])</f>
        <v>1|19000101|46104</v>
      </c>
      <c r="H1182" s="6">
        <f>COUNTIF(GameLog[Pod ID],GameLog[[#This Row],[Pod ID]])</f>
        <v>4</v>
      </c>
      <c r="I1182" s="6">
        <f>YEAR(GameLog[[#This Row],[Date]])</f>
        <v>2026</v>
      </c>
      <c r="J1182" s="6">
        <f>MONTH(GameLog[[#This Row],[Date]])</f>
        <v>3</v>
      </c>
      <c r="K1182" s="6" t="str">
        <f>IF(GameLog[[#This Row],[Date]]=MAX(GameLog[Date]),"Current","Previous")</f>
        <v>Previous</v>
      </c>
      <c r="L1182" s="6"/>
      <c r="M11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2" s="6" t="str">
        <f ca="1">IF(GameLog[[#This Row],[Check]]="","",COUNTIF(GameLog[[#Headers],[Check]]:GameLog[[#This Row],[Check]],"?*")-1)</f>
        <v/>
      </c>
      <c r="O1182" s="6" t="str">
        <f>IFERROR(INDEX(Players[New name],MATCH(GameLog[[#This Row],[Player]],Players[Name],0)),GameLog[[#This Row],[Player]])</f>
        <v>Bryce C</v>
      </c>
    </row>
    <row r="1183" spans="1:15" x14ac:dyDescent="0.45">
      <c r="A1183" s="6" t="s">
        <v>70</v>
      </c>
      <c r="B1183" s="6" t="s">
        <v>53</v>
      </c>
      <c r="C1183" s="6">
        <v>4</v>
      </c>
      <c r="D1183" s="6">
        <v>1</v>
      </c>
      <c r="E1183" s="6">
        <v>1</v>
      </c>
      <c r="F1183" s="10">
        <v>46104</v>
      </c>
      <c r="G1183" s="6" t="str">
        <f>_xlfn.TEXTJOIN("|",TRUE,GameLog[[#This Row],[Pod]],TEXT(INT(GameLog[[#This Row],[Round]]),"yyyymmdd"),GameLog[[#This Row],[Date]])</f>
        <v>1|19000101|46104</v>
      </c>
      <c r="H1183" s="6">
        <f>COUNTIF(GameLog[Pod ID],GameLog[[#This Row],[Pod ID]])</f>
        <v>4</v>
      </c>
      <c r="I1183" s="6">
        <f>YEAR(GameLog[[#This Row],[Date]])</f>
        <v>2026</v>
      </c>
      <c r="J1183" s="6">
        <f>MONTH(GameLog[[#This Row],[Date]])</f>
        <v>3</v>
      </c>
      <c r="K1183" s="6" t="str">
        <f>IF(GameLog[[#This Row],[Date]]=MAX(GameLog[Date]),"Current","Previous")</f>
        <v>Previous</v>
      </c>
      <c r="L1183" s="6"/>
      <c r="M11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3" s="6" t="str">
        <f ca="1">IF(GameLog[[#This Row],[Check]]="","",COUNTIF(GameLog[[#Headers],[Check]]:GameLog[[#This Row],[Check]],"?*")-1)</f>
        <v/>
      </c>
      <c r="O1183" s="6" t="str">
        <f>IFERROR(INDEX(Players[New name],MATCH(GameLog[[#This Row],[Player]],Players[Name],0)),GameLog[[#This Row],[Player]])</f>
        <v>Brad F</v>
      </c>
    </row>
    <row r="1184" spans="1:15" x14ac:dyDescent="0.45">
      <c r="A1184" s="6" t="s">
        <v>56</v>
      </c>
      <c r="B1184" s="6" t="s">
        <v>50</v>
      </c>
      <c r="C1184" s="6">
        <v>1</v>
      </c>
      <c r="D1184" s="6">
        <v>2</v>
      </c>
      <c r="E1184" s="6">
        <v>1</v>
      </c>
      <c r="F1184" s="10">
        <v>46104</v>
      </c>
      <c r="G1184" s="6" t="str">
        <f>_xlfn.TEXTJOIN("|",TRUE,GameLog[[#This Row],[Pod]],TEXT(INT(GameLog[[#This Row],[Round]]),"yyyymmdd"),GameLog[[#This Row],[Date]])</f>
        <v>2|19000101|46104</v>
      </c>
      <c r="H1184" s="6">
        <f>COUNTIF(GameLog[Pod ID],GameLog[[#This Row],[Pod ID]])</f>
        <v>4</v>
      </c>
      <c r="I1184" s="6">
        <f>YEAR(GameLog[[#This Row],[Date]])</f>
        <v>2026</v>
      </c>
      <c r="J1184" s="6">
        <f>MONTH(GameLog[[#This Row],[Date]])</f>
        <v>3</v>
      </c>
      <c r="K1184" s="6" t="str">
        <f>IF(GameLog[[#This Row],[Date]]=MAX(GameLog[Date]),"Current","Previous")</f>
        <v>Previous</v>
      </c>
      <c r="L1184" s="6"/>
      <c r="M11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4" s="6" t="str">
        <f ca="1">IF(GameLog[[#This Row],[Check]]="","",COUNTIF(GameLog[[#Headers],[Check]]:GameLog[[#This Row],[Check]],"?*")-1)</f>
        <v/>
      </c>
      <c r="O1184" s="6" t="str">
        <f>IFERROR(INDEX(Players[New name],MATCH(GameLog[[#This Row],[Player]],Players[Name],0)),GameLog[[#This Row],[Player]])</f>
        <v>Mark D</v>
      </c>
    </row>
    <row r="1185" spans="1:15" x14ac:dyDescent="0.45">
      <c r="A1185" s="6" t="s">
        <v>98</v>
      </c>
      <c r="B1185" s="6" t="s">
        <v>53</v>
      </c>
      <c r="C1185" s="6">
        <v>2</v>
      </c>
      <c r="D1185" s="6">
        <v>2</v>
      </c>
      <c r="E1185" s="6">
        <v>1</v>
      </c>
      <c r="F1185" s="10">
        <v>46104</v>
      </c>
      <c r="G1185" s="6" t="str">
        <f>_xlfn.TEXTJOIN("|",TRUE,GameLog[[#This Row],[Pod]],TEXT(INT(GameLog[[#This Row],[Round]]),"yyyymmdd"),GameLog[[#This Row],[Date]])</f>
        <v>2|19000101|46104</v>
      </c>
      <c r="H1185" s="6">
        <f>COUNTIF(GameLog[Pod ID],GameLog[[#This Row],[Pod ID]])</f>
        <v>4</v>
      </c>
      <c r="I1185" s="6">
        <f>YEAR(GameLog[[#This Row],[Date]])</f>
        <v>2026</v>
      </c>
      <c r="J1185" s="6">
        <f>MONTH(GameLog[[#This Row],[Date]])</f>
        <v>3</v>
      </c>
      <c r="K1185" s="6" t="str">
        <f>IF(GameLog[[#This Row],[Date]]=MAX(GameLog[Date]),"Current","Previous")</f>
        <v>Previous</v>
      </c>
      <c r="L1185" s="6"/>
      <c r="M11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5" s="6" t="str">
        <f ca="1">IF(GameLog[[#This Row],[Check]]="","",COUNTIF(GameLog[[#Headers],[Check]]:GameLog[[#This Row],[Check]],"?*")-1)</f>
        <v/>
      </c>
      <c r="O1185" s="6" t="str">
        <f>IFERROR(INDEX(Players[New name],MATCH(GameLog[[#This Row],[Player]],Players[Name],0)),GameLog[[#This Row],[Player]])</f>
        <v>Charlie B</v>
      </c>
    </row>
    <row r="1186" spans="1:15" x14ac:dyDescent="0.45">
      <c r="A1186" s="6" t="s">
        <v>101</v>
      </c>
      <c r="B1186" s="6" t="s">
        <v>53</v>
      </c>
      <c r="C1186" s="6">
        <v>3</v>
      </c>
      <c r="D1186" s="6">
        <v>2</v>
      </c>
      <c r="E1186" s="6">
        <v>1</v>
      </c>
      <c r="F1186" s="10">
        <v>46104</v>
      </c>
      <c r="G1186" s="6" t="str">
        <f>_xlfn.TEXTJOIN("|",TRUE,GameLog[[#This Row],[Pod]],TEXT(INT(GameLog[[#This Row],[Round]]),"yyyymmdd"),GameLog[[#This Row],[Date]])</f>
        <v>2|19000101|46104</v>
      </c>
      <c r="H1186" s="6">
        <f>COUNTIF(GameLog[Pod ID],GameLog[[#This Row],[Pod ID]])</f>
        <v>4</v>
      </c>
      <c r="I1186" s="6">
        <f>YEAR(GameLog[[#This Row],[Date]])</f>
        <v>2026</v>
      </c>
      <c r="J1186" s="6">
        <f>MONTH(GameLog[[#This Row],[Date]])</f>
        <v>3</v>
      </c>
      <c r="K1186" s="6" t="str">
        <f>IF(GameLog[[#This Row],[Date]]=MAX(GameLog[Date]),"Current","Previous")</f>
        <v>Previous</v>
      </c>
      <c r="L1186" s="6"/>
      <c r="M11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6" s="6" t="str">
        <f ca="1">IF(GameLog[[#This Row],[Check]]="","",COUNTIF(GameLog[[#Headers],[Check]]:GameLog[[#This Row],[Check]],"?*")-1)</f>
        <v/>
      </c>
      <c r="O1186" s="6" t="str">
        <f>IFERROR(INDEX(Players[New name],MATCH(GameLog[[#This Row],[Player]],Players[Name],0)),GameLog[[#This Row],[Player]])</f>
        <v>Matthew P</v>
      </c>
    </row>
    <row r="1187" spans="1:15" x14ac:dyDescent="0.45">
      <c r="A1187" s="6" t="s">
        <v>60</v>
      </c>
      <c r="B1187" s="6" t="s">
        <v>53</v>
      </c>
      <c r="C1187" s="6">
        <v>4</v>
      </c>
      <c r="D1187" s="6">
        <v>2</v>
      </c>
      <c r="E1187" s="6">
        <v>1</v>
      </c>
      <c r="F1187" s="10">
        <v>46104</v>
      </c>
      <c r="G1187" s="6" t="str">
        <f>_xlfn.TEXTJOIN("|",TRUE,GameLog[[#This Row],[Pod]],TEXT(INT(GameLog[[#This Row],[Round]]),"yyyymmdd"),GameLog[[#This Row],[Date]])</f>
        <v>2|19000101|46104</v>
      </c>
      <c r="H1187" s="6">
        <f>COUNTIF(GameLog[Pod ID],GameLog[[#This Row],[Pod ID]])</f>
        <v>4</v>
      </c>
      <c r="I1187" s="6">
        <f>YEAR(GameLog[[#This Row],[Date]])</f>
        <v>2026</v>
      </c>
      <c r="J1187" s="6">
        <f>MONTH(GameLog[[#This Row],[Date]])</f>
        <v>3</v>
      </c>
      <c r="K1187" s="6" t="str">
        <f>IF(GameLog[[#This Row],[Date]]=MAX(GameLog[Date]),"Current","Previous")</f>
        <v>Previous</v>
      </c>
      <c r="L1187" s="6"/>
      <c r="M11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7" s="6" t="str">
        <f ca="1">IF(GameLog[[#This Row],[Check]]="","",COUNTIF(GameLog[[#Headers],[Check]]:GameLog[[#This Row],[Check]],"?*")-1)</f>
        <v/>
      </c>
      <c r="O1187" s="6" t="str">
        <f>IFERROR(INDEX(Players[New name],MATCH(GameLog[[#This Row],[Player]],Players[Name],0)),GameLog[[#This Row],[Player]])</f>
        <v>Brendan H</v>
      </c>
    </row>
    <row r="1188" spans="1:15" x14ac:dyDescent="0.45">
      <c r="A1188" s="6" t="s">
        <v>97</v>
      </c>
      <c r="B1188" s="6" t="s">
        <v>53</v>
      </c>
      <c r="C1188" s="6">
        <v>1</v>
      </c>
      <c r="D1188" s="6">
        <v>3</v>
      </c>
      <c r="E1188" s="6">
        <v>1</v>
      </c>
      <c r="F1188" s="10">
        <v>46104</v>
      </c>
      <c r="G1188" s="6" t="str">
        <f>_xlfn.TEXTJOIN("|",TRUE,GameLog[[#This Row],[Pod]],TEXT(INT(GameLog[[#This Row],[Round]]),"yyyymmdd"),GameLog[[#This Row],[Date]])</f>
        <v>3|19000101|46104</v>
      </c>
      <c r="H1188" s="6">
        <f>COUNTIF(GameLog[Pod ID],GameLog[[#This Row],[Pod ID]])</f>
        <v>4</v>
      </c>
      <c r="I1188" s="6">
        <f>YEAR(GameLog[[#This Row],[Date]])</f>
        <v>2026</v>
      </c>
      <c r="J1188" s="6">
        <f>MONTH(GameLog[[#This Row],[Date]])</f>
        <v>3</v>
      </c>
      <c r="K1188" s="6" t="str">
        <f>IF(GameLog[[#This Row],[Date]]=MAX(GameLog[Date]),"Current","Previous")</f>
        <v>Previous</v>
      </c>
      <c r="L1188" s="6"/>
      <c r="M11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8" s="6" t="str">
        <f ca="1">IF(GameLog[[#This Row],[Check]]="","",COUNTIF(GameLog[[#Headers],[Check]]:GameLog[[#This Row],[Check]],"?*")-1)</f>
        <v/>
      </c>
      <c r="O1188" s="6" t="str">
        <f>IFERROR(INDEX(Players[New name],MATCH(GameLog[[#This Row],[Player]],Players[Name],0)),GameLog[[#This Row],[Player]])</f>
        <v>Arman H</v>
      </c>
    </row>
    <row r="1189" spans="1:15" x14ac:dyDescent="0.45">
      <c r="A1189" s="6" t="s">
        <v>104</v>
      </c>
      <c r="B1189" s="6" t="s">
        <v>50</v>
      </c>
      <c r="C1189" s="6">
        <v>2</v>
      </c>
      <c r="D1189" s="6">
        <v>3</v>
      </c>
      <c r="E1189" s="6">
        <v>1</v>
      </c>
      <c r="F1189" s="10">
        <v>46104</v>
      </c>
      <c r="G1189" s="6" t="str">
        <f>_xlfn.TEXTJOIN("|",TRUE,GameLog[[#This Row],[Pod]],TEXT(INT(GameLog[[#This Row],[Round]]),"yyyymmdd"),GameLog[[#This Row],[Date]])</f>
        <v>3|19000101|46104</v>
      </c>
      <c r="H1189" s="6">
        <f>COUNTIF(GameLog[Pod ID],GameLog[[#This Row],[Pod ID]])</f>
        <v>4</v>
      </c>
      <c r="I1189" s="6">
        <f>YEAR(GameLog[[#This Row],[Date]])</f>
        <v>2026</v>
      </c>
      <c r="J1189" s="6">
        <f>MONTH(GameLog[[#This Row],[Date]])</f>
        <v>3</v>
      </c>
      <c r="K1189" s="6" t="str">
        <f>IF(GameLog[[#This Row],[Date]]=MAX(GameLog[Date]),"Current","Previous")</f>
        <v>Previous</v>
      </c>
      <c r="L1189" s="6"/>
      <c r="M11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89" s="6" t="str">
        <f ca="1">IF(GameLog[[#This Row],[Check]]="","",COUNTIF(GameLog[[#Headers],[Check]]:GameLog[[#This Row],[Check]],"?*")-1)</f>
        <v/>
      </c>
      <c r="O1189" s="6" t="str">
        <f>IFERROR(INDEX(Players[New name],MATCH(GameLog[[#This Row],[Player]],Players[Name],0)),GameLog[[#This Row],[Player]])</f>
        <v>Eric E</v>
      </c>
    </row>
    <row r="1190" spans="1:15" x14ac:dyDescent="0.45">
      <c r="A1190" s="6" t="s">
        <v>61</v>
      </c>
      <c r="B1190" s="6" t="s">
        <v>53</v>
      </c>
      <c r="C1190" s="6">
        <v>3</v>
      </c>
      <c r="D1190" s="6">
        <v>3</v>
      </c>
      <c r="E1190" s="6">
        <v>1</v>
      </c>
      <c r="F1190" s="10">
        <v>46104</v>
      </c>
      <c r="G1190" s="6" t="str">
        <f>_xlfn.TEXTJOIN("|",TRUE,GameLog[[#This Row],[Pod]],TEXT(INT(GameLog[[#This Row],[Round]]),"yyyymmdd"),GameLog[[#This Row],[Date]])</f>
        <v>3|19000101|46104</v>
      </c>
      <c r="H1190" s="6">
        <f>COUNTIF(GameLog[Pod ID],GameLog[[#This Row],[Pod ID]])</f>
        <v>4</v>
      </c>
      <c r="I1190" s="6">
        <f>YEAR(GameLog[[#This Row],[Date]])</f>
        <v>2026</v>
      </c>
      <c r="J1190" s="6">
        <f>MONTH(GameLog[[#This Row],[Date]])</f>
        <v>3</v>
      </c>
      <c r="K1190" s="6" t="str">
        <f>IF(GameLog[[#This Row],[Date]]=MAX(GameLog[Date]),"Current","Previous")</f>
        <v>Previous</v>
      </c>
      <c r="L1190" s="6"/>
      <c r="M11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0" s="6" t="str">
        <f ca="1">IF(GameLog[[#This Row],[Check]]="","",COUNTIF(GameLog[[#Headers],[Check]]:GameLog[[#This Row],[Check]],"?*")-1)</f>
        <v/>
      </c>
      <c r="O1190" s="6" t="str">
        <f>IFERROR(INDEX(Players[New name],MATCH(GameLog[[#This Row],[Player]],Players[Name],0)),GameLog[[#This Row],[Player]])</f>
        <v>Trevor</v>
      </c>
    </row>
    <row r="1191" spans="1:15" x14ac:dyDescent="0.45">
      <c r="A1191" s="6" t="s">
        <v>74</v>
      </c>
      <c r="B1191" s="6" t="s">
        <v>53</v>
      </c>
      <c r="C1191" s="6">
        <v>4</v>
      </c>
      <c r="D1191" s="6">
        <v>3</v>
      </c>
      <c r="E1191" s="6">
        <v>1</v>
      </c>
      <c r="F1191" s="10">
        <v>46104</v>
      </c>
      <c r="G1191" s="6" t="str">
        <f>_xlfn.TEXTJOIN("|",TRUE,GameLog[[#This Row],[Pod]],TEXT(INT(GameLog[[#This Row],[Round]]),"yyyymmdd"),GameLog[[#This Row],[Date]])</f>
        <v>3|19000101|46104</v>
      </c>
      <c r="H1191" s="6">
        <f>COUNTIF(GameLog[Pod ID],GameLog[[#This Row],[Pod ID]])</f>
        <v>4</v>
      </c>
      <c r="I1191" s="6">
        <f>YEAR(GameLog[[#This Row],[Date]])</f>
        <v>2026</v>
      </c>
      <c r="J1191" s="6">
        <f>MONTH(GameLog[[#This Row],[Date]])</f>
        <v>3</v>
      </c>
      <c r="K1191" s="6" t="str">
        <f>IF(GameLog[[#This Row],[Date]]=MAX(GameLog[Date]),"Current","Previous")</f>
        <v>Previous</v>
      </c>
      <c r="L1191" s="6"/>
      <c r="M11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1" s="6" t="str">
        <f ca="1">IF(GameLog[[#This Row],[Check]]="","",COUNTIF(GameLog[[#Headers],[Check]]:GameLog[[#This Row],[Check]],"?*")-1)</f>
        <v/>
      </c>
      <c r="O1191" s="6" t="str">
        <f>IFERROR(INDEX(Players[New name],MATCH(GameLog[[#This Row],[Player]],Players[Name],0)),GameLog[[#This Row],[Player]])</f>
        <v>Jarrod O</v>
      </c>
    </row>
    <row r="1192" spans="1:15" x14ac:dyDescent="0.45">
      <c r="A1192" s="6" t="s">
        <v>73</v>
      </c>
      <c r="B1192" s="6" t="s">
        <v>53</v>
      </c>
      <c r="C1192" s="6">
        <v>1</v>
      </c>
      <c r="D1192" s="6">
        <v>4</v>
      </c>
      <c r="E1192" s="6">
        <v>1</v>
      </c>
      <c r="F1192" s="10">
        <v>46104</v>
      </c>
      <c r="G1192" s="6" t="str">
        <f>_xlfn.TEXTJOIN("|",TRUE,GameLog[[#This Row],[Pod]],TEXT(INT(GameLog[[#This Row],[Round]]),"yyyymmdd"),GameLog[[#This Row],[Date]])</f>
        <v>4|19000101|46104</v>
      </c>
      <c r="H1192" s="6">
        <f>COUNTIF(GameLog[Pod ID],GameLog[[#This Row],[Pod ID]])</f>
        <v>4</v>
      </c>
      <c r="I1192" s="6">
        <f>YEAR(GameLog[[#This Row],[Date]])</f>
        <v>2026</v>
      </c>
      <c r="J1192" s="6">
        <f>MONTH(GameLog[[#This Row],[Date]])</f>
        <v>3</v>
      </c>
      <c r="K1192" s="6" t="str">
        <f>IF(GameLog[[#This Row],[Date]]=MAX(GameLog[Date]),"Current","Previous")</f>
        <v>Previous</v>
      </c>
      <c r="L1192" s="6"/>
      <c r="M11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2" s="6" t="str">
        <f ca="1">IF(GameLog[[#This Row],[Check]]="","",COUNTIF(GameLog[[#Headers],[Check]]:GameLog[[#This Row],[Check]],"?*")-1)</f>
        <v/>
      </c>
      <c r="O1192" s="6" t="str">
        <f>IFERROR(INDEX(Players[New name],MATCH(GameLog[[#This Row],[Player]],Players[Name],0)),GameLog[[#This Row],[Player]])</f>
        <v>Brandon B</v>
      </c>
    </row>
    <row r="1193" spans="1:15" x14ac:dyDescent="0.45">
      <c r="A1193" s="6" t="s">
        <v>106</v>
      </c>
      <c r="B1193" s="6" t="s">
        <v>50</v>
      </c>
      <c r="C1193" s="6">
        <v>2</v>
      </c>
      <c r="D1193" s="6">
        <v>4</v>
      </c>
      <c r="E1193" s="6">
        <v>1</v>
      </c>
      <c r="F1193" s="10">
        <v>46104</v>
      </c>
      <c r="G1193" s="6" t="str">
        <f>_xlfn.TEXTJOIN("|",TRUE,GameLog[[#This Row],[Pod]],TEXT(INT(GameLog[[#This Row],[Round]]),"yyyymmdd"),GameLog[[#This Row],[Date]])</f>
        <v>4|19000101|46104</v>
      </c>
      <c r="H1193" s="6">
        <f>COUNTIF(GameLog[Pod ID],GameLog[[#This Row],[Pod ID]])</f>
        <v>4</v>
      </c>
      <c r="I1193" s="6">
        <f>YEAR(GameLog[[#This Row],[Date]])</f>
        <v>2026</v>
      </c>
      <c r="J1193" s="6">
        <f>MONTH(GameLog[[#This Row],[Date]])</f>
        <v>3</v>
      </c>
      <c r="K1193" s="6" t="str">
        <f>IF(GameLog[[#This Row],[Date]]=MAX(GameLog[Date]),"Current","Previous")</f>
        <v>Previous</v>
      </c>
      <c r="L1193" s="6"/>
      <c r="M11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3" s="6" t="str">
        <f ca="1">IF(GameLog[[#This Row],[Check]]="","",COUNTIF(GameLog[[#Headers],[Check]]:GameLog[[#This Row],[Check]],"?*")-1)</f>
        <v/>
      </c>
      <c r="O1193" s="6" t="str">
        <f>IFERROR(INDEX(Players[New name],MATCH(GameLog[[#This Row],[Player]],Players[Name],0)),GameLog[[#This Row],[Player]])</f>
        <v>Tony W</v>
      </c>
    </row>
    <row r="1194" spans="1:15" x14ac:dyDescent="0.45">
      <c r="A1194" s="6" t="s">
        <v>68</v>
      </c>
      <c r="B1194" s="6" t="s">
        <v>53</v>
      </c>
      <c r="C1194" s="6">
        <v>3</v>
      </c>
      <c r="D1194" s="6">
        <v>4</v>
      </c>
      <c r="E1194" s="6">
        <v>1</v>
      </c>
      <c r="F1194" s="10">
        <v>46104</v>
      </c>
      <c r="G1194" s="6" t="str">
        <f>_xlfn.TEXTJOIN("|",TRUE,GameLog[[#This Row],[Pod]],TEXT(INT(GameLog[[#This Row],[Round]]),"yyyymmdd"),GameLog[[#This Row],[Date]])</f>
        <v>4|19000101|46104</v>
      </c>
      <c r="H1194" s="6">
        <f>COUNTIF(GameLog[Pod ID],GameLog[[#This Row],[Pod ID]])</f>
        <v>4</v>
      </c>
      <c r="I1194" s="6">
        <f>YEAR(GameLog[[#This Row],[Date]])</f>
        <v>2026</v>
      </c>
      <c r="J1194" s="6">
        <f>MONTH(GameLog[[#This Row],[Date]])</f>
        <v>3</v>
      </c>
      <c r="K1194" s="6" t="str">
        <f>IF(GameLog[[#This Row],[Date]]=MAX(GameLog[Date]),"Current","Previous")</f>
        <v>Previous</v>
      </c>
      <c r="L1194" s="6"/>
      <c r="M11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4" s="6" t="str">
        <f ca="1">IF(GameLog[[#This Row],[Check]]="","",COUNTIF(GameLog[[#Headers],[Check]]:GameLog[[#This Row],[Check]],"?*")-1)</f>
        <v/>
      </c>
      <c r="O1194" s="6" t="str">
        <f>IFERROR(INDEX(Players[New name],MATCH(GameLog[[#This Row],[Player]],Players[Name],0)),GameLog[[#This Row],[Player]])</f>
        <v>Edwin M</v>
      </c>
    </row>
    <row r="1195" spans="1:15" x14ac:dyDescent="0.45">
      <c r="A1195" s="6" t="s">
        <v>94</v>
      </c>
      <c r="B1195" s="6" t="s">
        <v>53</v>
      </c>
      <c r="C1195" s="6">
        <v>4</v>
      </c>
      <c r="D1195" s="6">
        <v>4</v>
      </c>
      <c r="E1195" s="6">
        <v>1</v>
      </c>
      <c r="F1195" s="10">
        <v>46104</v>
      </c>
      <c r="G1195" s="6" t="str">
        <f>_xlfn.TEXTJOIN("|",TRUE,GameLog[[#This Row],[Pod]],TEXT(INT(GameLog[[#This Row],[Round]]),"yyyymmdd"),GameLog[[#This Row],[Date]])</f>
        <v>4|19000101|46104</v>
      </c>
      <c r="H1195" s="6">
        <f>COUNTIF(GameLog[Pod ID],GameLog[[#This Row],[Pod ID]])</f>
        <v>4</v>
      </c>
      <c r="I1195" s="6">
        <f>YEAR(GameLog[[#This Row],[Date]])</f>
        <v>2026</v>
      </c>
      <c r="J1195" s="6">
        <f>MONTH(GameLog[[#This Row],[Date]])</f>
        <v>3</v>
      </c>
      <c r="K1195" s="6" t="str">
        <f>IF(GameLog[[#This Row],[Date]]=MAX(GameLog[Date]),"Current","Previous")</f>
        <v>Previous</v>
      </c>
      <c r="L1195" s="6"/>
      <c r="M11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5" s="6" t="str">
        <f ca="1">IF(GameLog[[#This Row],[Check]]="","",COUNTIF(GameLog[[#Headers],[Check]]:GameLog[[#This Row],[Check]],"?*")-1)</f>
        <v/>
      </c>
      <c r="O1195" s="6" t="str">
        <f>IFERROR(INDEX(Players[New name],MATCH(GameLog[[#This Row],[Player]],Players[Name],0)),GameLog[[#This Row],[Player]])</f>
        <v>Austin D</v>
      </c>
    </row>
    <row r="1196" spans="1:15" x14ac:dyDescent="0.45">
      <c r="A1196" s="6" t="s">
        <v>64</v>
      </c>
      <c r="B1196" s="6" t="s">
        <v>53</v>
      </c>
      <c r="C1196" s="6">
        <v>1</v>
      </c>
      <c r="D1196" s="6">
        <v>5</v>
      </c>
      <c r="E1196" s="6">
        <v>1</v>
      </c>
      <c r="F1196" s="10">
        <v>46104</v>
      </c>
      <c r="G1196" s="6" t="str">
        <f>_xlfn.TEXTJOIN("|",TRUE,GameLog[[#This Row],[Pod]],TEXT(INT(GameLog[[#This Row],[Round]]),"yyyymmdd"),GameLog[[#This Row],[Date]])</f>
        <v>5|19000101|46104</v>
      </c>
      <c r="H1196" s="6">
        <f>COUNTIF(GameLog[Pod ID],GameLog[[#This Row],[Pod ID]])</f>
        <v>4</v>
      </c>
      <c r="I1196" s="6">
        <f>YEAR(GameLog[[#This Row],[Date]])</f>
        <v>2026</v>
      </c>
      <c r="J1196" s="6">
        <f>MONTH(GameLog[[#This Row],[Date]])</f>
        <v>3</v>
      </c>
      <c r="K1196" s="6" t="str">
        <f>IF(GameLog[[#This Row],[Date]]=MAX(GameLog[Date]),"Current","Previous")</f>
        <v>Previous</v>
      </c>
      <c r="L1196" s="6"/>
      <c r="M11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6" s="6" t="str">
        <f ca="1">IF(GameLog[[#This Row],[Check]]="","",COUNTIF(GameLog[[#Headers],[Check]]:GameLog[[#This Row],[Check]],"?*")-1)</f>
        <v/>
      </c>
      <c r="O1196" s="6" t="str">
        <f>IFERROR(INDEX(Players[New name],MATCH(GameLog[[#This Row],[Player]],Players[Name],0)),GameLog[[#This Row],[Player]])</f>
        <v>Tyler B</v>
      </c>
    </row>
    <row r="1197" spans="1:15" x14ac:dyDescent="0.45">
      <c r="A1197" s="6" t="s">
        <v>96</v>
      </c>
      <c r="B1197" s="6" t="s">
        <v>50</v>
      </c>
      <c r="C1197" s="6">
        <v>2</v>
      </c>
      <c r="D1197" s="6">
        <v>5</v>
      </c>
      <c r="E1197" s="6">
        <v>1</v>
      </c>
      <c r="F1197" s="10">
        <v>46104</v>
      </c>
      <c r="G1197" s="6" t="str">
        <f>_xlfn.TEXTJOIN("|",TRUE,GameLog[[#This Row],[Pod]],TEXT(INT(GameLog[[#This Row],[Round]]),"yyyymmdd"),GameLog[[#This Row],[Date]])</f>
        <v>5|19000101|46104</v>
      </c>
      <c r="H1197" s="6">
        <f>COUNTIF(GameLog[Pod ID],GameLog[[#This Row],[Pod ID]])</f>
        <v>4</v>
      </c>
      <c r="I1197" s="6">
        <f>YEAR(GameLog[[#This Row],[Date]])</f>
        <v>2026</v>
      </c>
      <c r="J1197" s="6">
        <f>MONTH(GameLog[[#This Row],[Date]])</f>
        <v>3</v>
      </c>
      <c r="K1197" s="6" t="str">
        <f>IF(GameLog[[#This Row],[Date]]=MAX(GameLog[Date]),"Current","Previous")</f>
        <v>Previous</v>
      </c>
      <c r="L1197" s="6"/>
      <c r="M11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7" s="6" t="str">
        <f ca="1">IF(GameLog[[#This Row],[Check]]="","",COUNTIF(GameLog[[#Headers],[Check]]:GameLog[[#This Row],[Check]],"?*")-1)</f>
        <v/>
      </c>
      <c r="O1197" s="6" t="str">
        <f>IFERROR(INDEX(Players[New name],MATCH(GameLog[[#This Row],[Player]],Players[Name],0)),GameLog[[#This Row],[Player]])</f>
        <v>Brandon A</v>
      </c>
    </row>
    <row r="1198" spans="1:15" x14ac:dyDescent="0.45">
      <c r="A1198" s="6" t="s">
        <v>75</v>
      </c>
      <c r="B1198" s="6" t="s">
        <v>53</v>
      </c>
      <c r="C1198" s="6">
        <v>3</v>
      </c>
      <c r="D1198" s="6">
        <v>5</v>
      </c>
      <c r="E1198" s="6">
        <v>1</v>
      </c>
      <c r="F1198" s="10">
        <v>46104</v>
      </c>
      <c r="G1198" s="6" t="str">
        <f>_xlfn.TEXTJOIN("|",TRUE,GameLog[[#This Row],[Pod]],TEXT(INT(GameLog[[#This Row],[Round]]),"yyyymmdd"),GameLog[[#This Row],[Date]])</f>
        <v>5|19000101|46104</v>
      </c>
      <c r="H1198" s="6">
        <f>COUNTIF(GameLog[Pod ID],GameLog[[#This Row],[Pod ID]])</f>
        <v>4</v>
      </c>
      <c r="I1198" s="6">
        <f>YEAR(GameLog[[#This Row],[Date]])</f>
        <v>2026</v>
      </c>
      <c r="J1198" s="6">
        <f>MONTH(GameLog[[#This Row],[Date]])</f>
        <v>3</v>
      </c>
      <c r="K1198" s="6" t="str">
        <f>IF(GameLog[[#This Row],[Date]]=MAX(GameLog[Date]),"Current","Previous")</f>
        <v>Previous</v>
      </c>
      <c r="L1198" s="6"/>
      <c r="M11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8" s="6" t="str">
        <f ca="1">IF(GameLog[[#This Row],[Check]]="","",COUNTIF(GameLog[[#Headers],[Check]]:GameLog[[#This Row],[Check]],"?*")-1)</f>
        <v/>
      </c>
      <c r="O1198" s="6" t="str">
        <f>IFERROR(INDEX(Players[New name],MATCH(GameLog[[#This Row],[Player]],Players[Name],0)),GameLog[[#This Row],[Player]])</f>
        <v>Eli T</v>
      </c>
    </row>
    <row r="1199" spans="1:15" x14ac:dyDescent="0.45">
      <c r="A1199" s="6" t="s">
        <v>71</v>
      </c>
      <c r="B1199" s="6" t="s">
        <v>53</v>
      </c>
      <c r="C1199" s="6">
        <v>4</v>
      </c>
      <c r="D1199" s="6">
        <v>5</v>
      </c>
      <c r="E1199" s="6">
        <v>1</v>
      </c>
      <c r="F1199" s="10">
        <v>46104</v>
      </c>
      <c r="G1199" s="6" t="str">
        <f>_xlfn.TEXTJOIN("|",TRUE,GameLog[[#This Row],[Pod]],TEXT(INT(GameLog[[#This Row],[Round]]),"yyyymmdd"),GameLog[[#This Row],[Date]])</f>
        <v>5|19000101|46104</v>
      </c>
      <c r="H1199" s="6">
        <f>COUNTIF(GameLog[Pod ID],GameLog[[#This Row],[Pod ID]])</f>
        <v>4</v>
      </c>
      <c r="I1199" s="6">
        <f>YEAR(GameLog[[#This Row],[Date]])</f>
        <v>2026</v>
      </c>
      <c r="J1199" s="6">
        <f>MONTH(GameLog[[#This Row],[Date]])</f>
        <v>3</v>
      </c>
      <c r="K1199" s="6" t="str">
        <f>IF(GameLog[[#This Row],[Date]]=MAX(GameLog[Date]),"Current","Previous")</f>
        <v>Previous</v>
      </c>
      <c r="L1199" s="6"/>
      <c r="M11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199" s="6" t="str">
        <f ca="1">IF(GameLog[[#This Row],[Check]]="","",COUNTIF(GameLog[[#Headers],[Check]]:GameLog[[#This Row],[Check]],"?*")-1)</f>
        <v/>
      </c>
      <c r="O1199" s="6" t="str">
        <f>IFERROR(INDEX(Players[New name],MATCH(GameLog[[#This Row],[Player]],Players[Name],0)),GameLog[[#This Row],[Player]])</f>
        <v>Rodney Y</v>
      </c>
    </row>
    <row r="1200" spans="1:15" x14ac:dyDescent="0.45">
      <c r="A1200" s="6" t="s">
        <v>92</v>
      </c>
      <c r="B1200" s="6" t="s">
        <v>53</v>
      </c>
      <c r="C1200" s="6">
        <v>1</v>
      </c>
      <c r="D1200" s="6">
        <v>6</v>
      </c>
      <c r="E1200" s="6">
        <v>1</v>
      </c>
      <c r="F1200" s="10">
        <v>46104</v>
      </c>
      <c r="G1200" s="6" t="str">
        <f>_xlfn.TEXTJOIN("|",TRUE,GameLog[[#This Row],[Pod]],TEXT(INT(GameLog[[#This Row],[Round]]),"yyyymmdd"),GameLog[[#This Row],[Date]])</f>
        <v>6|19000101|46104</v>
      </c>
      <c r="H1200" s="6">
        <f>COUNTIF(GameLog[Pod ID],GameLog[[#This Row],[Pod ID]])</f>
        <v>4</v>
      </c>
      <c r="I1200" s="6">
        <f>YEAR(GameLog[[#This Row],[Date]])</f>
        <v>2026</v>
      </c>
      <c r="J1200" s="6">
        <f>MONTH(GameLog[[#This Row],[Date]])</f>
        <v>3</v>
      </c>
      <c r="K1200" s="6" t="str">
        <f>IF(GameLog[[#This Row],[Date]]=MAX(GameLog[Date]),"Current","Previous")</f>
        <v>Previous</v>
      </c>
      <c r="L1200" s="6"/>
      <c r="M12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0" s="6" t="str">
        <f ca="1">IF(GameLog[[#This Row],[Check]]="","",COUNTIF(GameLog[[#Headers],[Check]]:GameLog[[#This Row],[Check]],"?*")-1)</f>
        <v/>
      </c>
      <c r="O1200" s="6" t="str">
        <f>IFERROR(INDEX(Players[New name],MATCH(GameLog[[#This Row],[Player]],Players[Name],0)),GameLog[[#This Row],[Player]])</f>
        <v>Harley A</v>
      </c>
    </row>
    <row r="1201" spans="1:15" x14ac:dyDescent="0.45">
      <c r="A1201" s="6" t="s">
        <v>49</v>
      </c>
      <c r="B1201" s="6" t="s">
        <v>50</v>
      </c>
      <c r="C1201" s="6">
        <v>2</v>
      </c>
      <c r="D1201" s="6">
        <v>6</v>
      </c>
      <c r="E1201" s="6">
        <v>1</v>
      </c>
      <c r="F1201" s="10">
        <v>46104</v>
      </c>
      <c r="G1201" s="6" t="str">
        <f>_xlfn.TEXTJOIN("|",TRUE,GameLog[[#This Row],[Pod]],TEXT(INT(GameLog[[#This Row],[Round]]),"yyyymmdd"),GameLog[[#This Row],[Date]])</f>
        <v>6|19000101|46104</v>
      </c>
      <c r="H1201" s="6">
        <f>COUNTIF(GameLog[Pod ID],GameLog[[#This Row],[Pod ID]])</f>
        <v>4</v>
      </c>
      <c r="I1201" s="6">
        <f>YEAR(GameLog[[#This Row],[Date]])</f>
        <v>2026</v>
      </c>
      <c r="J1201" s="6">
        <f>MONTH(GameLog[[#This Row],[Date]])</f>
        <v>3</v>
      </c>
      <c r="K1201" s="6" t="str">
        <f>IF(GameLog[[#This Row],[Date]]=MAX(GameLog[Date]),"Current","Previous")</f>
        <v>Previous</v>
      </c>
      <c r="L1201" s="6"/>
      <c r="M12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1" s="6" t="str">
        <f ca="1">IF(GameLog[[#This Row],[Check]]="","",COUNTIF(GameLog[[#Headers],[Check]]:GameLog[[#This Row],[Check]],"?*")-1)</f>
        <v/>
      </c>
      <c r="O1201" s="6" t="str">
        <f>IFERROR(INDEX(Players[New name],MATCH(GameLog[[#This Row],[Player]],Players[Name],0)),GameLog[[#This Row],[Player]])</f>
        <v>Brett R</v>
      </c>
    </row>
    <row r="1202" spans="1:15" x14ac:dyDescent="0.45">
      <c r="A1202" s="6" t="s">
        <v>91</v>
      </c>
      <c r="B1202" s="6" t="s">
        <v>53</v>
      </c>
      <c r="C1202" s="6">
        <v>3</v>
      </c>
      <c r="D1202" s="6">
        <v>6</v>
      </c>
      <c r="E1202" s="6">
        <v>1</v>
      </c>
      <c r="F1202" s="10">
        <v>46104</v>
      </c>
      <c r="G1202" s="6" t="str">
        <f>_xlfn.TEXTJOIN("|",TRUE,GameLog[[#This Row],[Pod]],TEXT(INT(GameLog[[#This Row],[Round]]),"yyyymmdd"),GameLog[[#This Row],[Date]])</f>
        <v>6|19000101|46104</v>
      </c>
      <c r="H1202" s="6">
        <f>COUNTIF(GameLog[Pod ID],GameLog[[#This Row],[Pod ID]])</f>
        <v>4</v>
      </c>
      <c r="I1202" s="6">
        <f>YEAR(GameLog[[#This Row],[Date]])</f>
        <v>2026</v>
      </c>
      <c r="J1202" s="6">
        <f>MONTH(GameLog[[#This Row],[Date]])</f>
        <v>3</v>
      </c>
      <c r="K1202" s="6" t="str">
        <f>IF(GameLog[[#This Row],[Date]]=MAX(GameLog[Date]),"Current","Previous")</f>
        <v>Previous</v>
      </c>
      <c r="L1202" s="6"/>
      <c r="M12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2" s="6" t="str">
        <f ca="1">IF(GameLog[[#This Row],[Check]]="","",COUNTIF(GameLog[[#Headers],[Check]]:GameLog[[#This Row],[Check]],"?*")-1)</f>
        <v/>
      </c>
      <c r="O1202" s="6" t="str">
        <f>IFERROR(INDEX(Players[New name],MATCH(GameLog[[#This Row],[Player]],Players[Name],0)),GameLog[[#This Row],[Player]])</f>
        <v>Isaac B</v>
      </c>
    </row>
    <row r="1203" spans="1:15" x14ac:dyDescent="0.45">
      <c r="A1203" s="6" t="s">
        <v>63</v>
      </c>
      <c r="B1203" s="6" t="s">
        <v>53</v>
      </c>
      <c r="C1203" s="6">
        <v>4</v>
      </c>
      <c r="D1203" s="6">
        <v>6</v>
      </c>
      <c r="E1203" s="6">
        <v>1</v>
      </c>
      <c r="F1203" s="10">
        <v>46104</v>
      </c>
      <c r="G1203" s="6" t="str">
        <f>_xlfn.TEXTJOIN("|",TRUE,GameLog[[#This Row],[Pod]],TEXT(INT(GameLog[[#This Row],[Round]]),"yyyymmdd"),GameLog[[#This Row],[Date]])</f>
        <v>6|19000101|46104</v>
      </c>
      <c r="H1203" s="6">
        <f>COUNTIF(GameLog[Pod ID],GameLog[[#This Row],[Pod ID]])</f>
        <v>4</v>
      </c>
      <c r="I1203" s="6">
        <f>YEAR(GameLog[[#This Row],[Date]])</f>
        <v>2026</v>
      </c>
      <c r="J1203" s="6">
        <f>MONTH(GameLog[[#This Row],[Date]])</f>
        <v>3</v>
      </c>
      <c r="K1203" s="6" t="str">
        <f>IF(GameLog[[#This Row],[Date]]=MAX(GameLog[Date]),"Current","Previous")</f>
        <v>Previous</v>
      </c>
      <c r="L1203" s="6"/>
      <c r="M12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3" s="6" t="str">
        <f ca="1">IF(GameLog[[#This Row],[Check]]="","",COUNTIF(GameLog[[#Headers],[Check]]:GameLog[[#This Row],[Check]],"?*")-1)</f>
        <v/>
      </c>
      <c r="O1203" s="6" t="str">
        <f>IFERROR(INDEX(Players[New name],MATCH(GameLog[[#This Row],[Player]],Players[Name],0)),GameLog[[#This Row],[Player]])</f>
        <v>Jake D</v>
      </c>
    </row>
    <row r="1204" spans="1:15" x14ac:dyDescent="0.45">
      <c r="A1204" s="6" t="s">
        <v>70</v>
      </c>
      <c r="B1204" s="6" t="s">
        <v>50</v>
      </c>
      <c r="C1204" s="6">
        <v>1</v>
      </c>
      <c r="D1204" s="6">
        <v>1</v>
      </c>
      <c r="E1204" s="6">
        <v>2</v>
      </c>
      <c r="F1204" s="10">
        <v>46104</v>
      </c>
      <c r="G1204" s="6" t="str">
        <f>_xlfn.TEXTJOIN("|",TRUE,GameLog[[#This Row],[Pod]],TEXT(INT(GameLog[[#This Row],[Round]]),"yyyymmdd"),GameLog[[#This Row],[Date]])</f>
        <v>1|19000102|46104</v>
      </c>
      <c r="H1204" s="6">
        <f>COUNTIF(GameLog[Pod ID],GameLog[[#This Row],[Pod ID]])</f>
        <v>4</v>
      </c>
      <c r="I1204" s="6">
        <f>YEAR(GameLog[[#This Row],[Date]])</f>
        <v>2026</v>
      </c>
      <c r="J1204" s="6">
        <f>MONTH(GameLog[[#This Row],[Date]])</f>
        <v>3</v>
      </c>
      <c r="K1204" s="6" t="str">
        <f>IF(GameLog[[#This Row],[Date]]=MAX(GameLog[Date]),"Current","Previous")</f>
        <v>Previous</v>
      </c>
      <c r="L1204" s="6"/>
      <c r="M12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4" s="6" t="str">
        <f ca="1">IF(GameLog[[#This Row],[Check]]="","",COUNTIF(GameLog[[#Headers],[Check]]:GameLog[[#This Row],[Check]],"?*")-1)</f>
        <v/>
      </c>
      <c r="O1204" s="6" t="str">
        <f>IFERROR(INDEX(Players[New name],MATCH(GameLog[[#This Row],[Player]],Players[Name],0)),GameLog[[#This Row],[Player]])</f>
        <v>Brad F</v>
      </c>
    </row>
    <row r="1205" spans="1:15" x14ac:dyDescent="0.45">
      <c r="A1205" s="6" t="s">
        <v>64</v>
      </c>
      <c r="B1205" s="6" t="s">
        <v>53</v>
      </c>
      <c r="C1205" s="6">
        <v>2</v>
      </c>
      <c r="D1205" s="6">
        <v>1</v>
      </c>
      <c r="E1205" s="6">
        <v>2</v>
      </c>
      <c r="F1205" s="10">
        <v>46104</v>
      </c>
      <c r="G1205" s="6" t="str">
        <f>_xlfn.TEXTJOIN("|",TRUE,GameLog[[#This Row],[Pod]],TEXT(INT(GameLog[[#This Row],[Round]]),"yyyymmdd"),GameLog[[#This Row],[Date]])</f>
        <v>1|19000102|46104</v>
      </c>
      <c r="H1205" s="6">
        <f>COUNTIF(GameLog[Pod ID],GameLog[[#This Row],[Pod ID]])</f>
        <v>4</v>
      </c>
      <c r="I1205" s="6">
        <f>YEAR(GameLog[[#This Row],[Date]])</f>
        <v>2026</v>
      </c>
      <c r="J1205" s="6">
        <f>MONTH(GameLog[[#This Row],[Date]])</f>
        <v>3</v>
      </c>
      <c r="K1205" s="6" t="str">
        <f>IF(GameLog[[#This Row],[Date]]=MAX(GameLog[Date]),"Current","Previous")</f>
        <v>Previous</v>
      </c>
      <c r="L1205" s="6"/>
      <c r="M12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5" s="6" t="str">
        <f ca="1">IF(GameLog[[#This Row],[Check]]="","",COUNTIF(GameLog[[#Headers],[Check]]:GameLog[[#This Row],[Check]],"?*")-1)</f>
        <v/>
      </c>
      <c r="O1205" s="6" t="str">
        <f>IFERROR(INDEX(Players[New name],MATCH(GameLog[[#This Row],[Player]],Players[Name],0)),GameLog[[#This Row],[Player]])</f>
        <v>Tyler B</v>
      </c>
    </row>
    <row r="1206" spans="1:15" x14ac:dyDescent="0.45">
      <c r="A1206" s="6" t="s">
        <v>94</v>
      </c>
      <c r="B1206" s="6" t="s">
        <v>53</v>
      </c>
      <c r="C1206" s="6">
        <v>3</v>
      </c>
      <c r="D1206" s="6">
        <v>1</v>
      </c>
      <c r="E1206" s="6">
        <v>2</v>
      </c>
      <c r="F1206" s="10">
        <v>46104</v>
      </c>
      <c r="G1206" s="6" t="str">
        <f>_xlfn.TEXTJOIN("|",TRUE,GameLog[[#This Row],[Pod]],TEXT(INT(GameLog[[#This Row],[Round]]),"yyyymmdd"),GameLog[[#This Row],[Date]])</f>
        <v>1|19000102|46104</v>
      </c>
      <c r="H1206" s="6">
        <f>COUNTIF(GameLog[Pod ID],GameLog[[#This Row],[Pod ID]])</f>
        <v>4</v>
      </c>
      <c r="I1206" s="6">
        <f>YEAR(GameLog[[#This Row],[Date]])</f>
        <v>2026</v>
      </c>
      <c r="J1206" s="6">
        <f>MONTH(GameLog[[#This Row],[Date]])</f>
        <v>3</v>
      </c>
      <c r="K1206" s="6" t="str">
        <f>IF(GameLog[[#This Row],[Date]]=MAX(GameLog[Date]),"Current","Previous")</f>
        <v>Previous</v>
      </c>
      <c r="L1206" s="6"/>
      <c r="M12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6" s="6" t="str">
        <f ca="1">IF(GameLog[[#This Row],[Check]]="","",COUNTIF(GameLog[[#Headers],[Check]]:GameLog[[#This Row],[Check]],"?*")-1)</f>
        <v/>
      </c>
      <c r="O1206" s="6" t="str">
        <f>IFERROR(INDEX(Players[New name],MATCH(GameLog[[#This Row],[Player]],Players[Name],0)),GameLog[[#This Row],[Player]])</f>
        <v>Austin D</v>
      </c>
    </row>
    <row r="1207" spans="1:15" x14ac:dyDescent="0.45">
      <c r="A1207" s="6" t="s">
        <v>49</v>
      </c>
      <c r="B1207" s="6" t="s">
        <v>53</v>
      </c>
      <c r="C1207" s="6">
        <v>4</v>
      </c>
      <c r="D1207" s="6">
        <v>1</v>
      </c>
      <c r="E1207" s="6">
        <v>2</v>
      </c>
      <c r="F1207" s="10">
        <v>46104</v>
      </c>
      <c r="G1207" s="6" t="str">
        <f>_xlfn.TEXTJOIN("|",TRUE,GameLog[[#This Row],[Pod]],TEXT(INT(GameLog[[#This Row],[Round]]),"yyyymmdd"),GameLog[[#This Row],[Date]])</f>
        <v>1|19000102|46104</v>
      </c>
      <c r="H1207" s="6">
        <f>COUNTIF(GameLog[Pod ID],GameLog[[#This Row],[Pod ID]])</f>
        <v>4</v>
      </c>
      <c r="I1207" s="6">
        <f>YEAR(GameLog[[#This Row],[Date]])</f>
        <v>2026</v>
      </c>
      <c r="J1207" s="6">
        <f>MONTH(GameLog[[#This Row],[Date]])</f>
        <v>3</v>
      </c>
      <c r="K1207" s="6" t="str">
        <f>IF(GameLog[[#This Row],[Date]]=MAX(GameLog[Date]),"Current","Previous")</f>
        <v>Previous</v>
      </c>
      <c r="L1207" s="6"/>
      <c r="M12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7" s="6" t="str">
        <f ca="1">IF(GameLog[[#This Row],[Check]]="","",COUNTIF(GameLog[[#Headers],[Check]]:GameLog[[#This Row],[Check]],"?*")-1)</f>
        <v/>
      </c>
      <c r="O1207" s="6" t="str">
        <f>IFERROR(INDEX(Players[New name],MATCH(GameLog[[#This Row],[Player]],Players[Name],0)),GameLog[[#This Row],[Player]])</f>
        <v>Brett R</v>
      </c>
    </row>
    <row r="1208" spans="1:15" x14ac:dyDescent="0.45">
      <c r="A1208" s="6" t="s">
        <v>56</v>
      </c>
      <c r="B1208" s="6" t="s">
        <v>90</v>
      </c>
      <c r="C1208" s="6">
        <v>1</v>
      </c>
      <c r="D1208" s="6">
        <v>2</v>
      </c>
      <c r="E1208" s="6">
        <v>2</v>
      </c>
      <c r="F1208" s="10">
        <v>46104</v>
      </c>
      <c r="G1208" s="6" t="str">
        <f>_xlfn.TEXTJOIN("|",TRUE,GameLog[[#This Row],[Pod]],TEXT(INT(GameLog[[#This Row],[Round]]),"yyyymmdd"),GameLog[[#This Row],[Date]])</f>
        <v>2|19000102|46104</v>
      </c>
      <c r="H1208" s="6">
        <f>COUNTIF(GameLog[Pod ID],GameLog[[#This Row],[Pod ID]])</f>
        <v>4</v>
      </c>
      <c r="I1208" s="6">
        <f>YEAR(GameLog[[#This Row],[Date]])</f>
        <v>2026</v>
      </c>
      <c r="J1208" s="6">
        <f>MONTH(GameLog[[#This Row],[Date]])</f>
        <v>3</v>
      </c>
      <c r="K1208" s="6" t="str">
        <f>IF(GameLog[[#This Row],[Date]]=MAX(GameLog[Date]),"Current","Previous")</f>
        <v>Previous</v>
      </c>
      <c r="L1208" s="6"/>
      <c r="M12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8" s="6" t="str">
        <f ca="1">IF(GameLog[[#This Row],[Check]]="","",COUNTIF(GameLog[[#Headers],[Check]]:GameLog[[#This Row],[Check]],"?*")-1)</f>
        <v/>
      </c>
      <c r="O1208" s="6" t="str">
        <f>IFERROR(INDEX(Players[New name],MATCH(GameLog[[#This Row],[Player]],Players[Name],0)),GameLog[[#This Row],[Player]])</f>
        <v>Mark D</v>
      </c>
    </row>
    <row r="1209" spans="1:15" x14ac:dyDescent="0.45">
      <c r="A1209" s="6" t="s">
        <v>92</v>
      </c>
      <c r="B1209" s="6" t="s">
        <v>90</v>
      </c>
      <c r="C1209" s="6">
        <v>2</v>
      </c>
      <c r="D1209" s="6">
        <v>2</v>
      </c>
      <c r="E1209" s="6">
        <v>2</v>
      </c>
      <c r="F1209" s="10">
        <v>46104</v>
      </c>
      <c r="G1209" s="6" t="str">
        <f>_xlfn.TEXTJOIN("|",TRUE,GameLog[[#This Row],[Pod]],TEXT(INT(GameLog[[#This Row],[Round]]),"yyyymmdd"),GameLog[[#This Row],[Date]])</f>
        <v>2|19000102|46104</v>
      </c>
      <c r="H1209" s="6">
        <f>COUNTIF(GameLog[Pod ID],GameLog[[#This Row],[Pod ID]])</f>
        <v>4</v>
      </c>
      <c r="I1209" s="6">
        <f>YEAR(GameLog[[#This Row],[Date]])</f>
        <v>2026</v>
      </c>
      <c r="J1209" s="6">
        <f>MONTH(GameLog[[#This Row],[Date]])</f>
        <v>3</v>
      </c>
      <c r="K1209" s="6" t="str">
        <f>IF(GameLog[[#This Row],[Date]]=MAX(GameLog[Date]),"Current","Previous")</f>
        <v>Previous</v>
      </c>
      <c r="L1209" s="6"/>
      <c r="M12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09" s="6" t="str">
        <f ca="1">IF(GameLog[[#This Row],[Check]]="","",COUNTIF(GameLog[[#Headers],[Check]]:GameLog[[#This Row],[Check]],"?*")-1)</f>
        <v/>
      </c>
      <c r="O1209" s="6" t="str">
        <f>IFERROR(INDEX(Players[New name],MATCH(GameLog[[#This Row],[Player]],Players[Name],0)),GameLog[[#This Row],[Player]])</f>
        <v>Harley A</v>
      </c>
    </row>
    <row r="1210" spans="1:15" x14ac:dyDescent="0.45">
      <c r="A1210" s="6" t="s">
        <v>75</v>
      </c>
      <c r="B1210" s="6" t="s">
        <v>90</v>
      </c>
      <c r="C1210" s="6">
        <v>3</v>
      </c>
      <c r="D1210" s="6">
        <v>2</v>
      </c>
      <c r="E1210" s="6">
        <v>2</v>
      </c>
      <c r="F1210" s="10">
        <v>46104</v>
      </c>
      <c r="G1210" s="6" t="str">
        <f>_xlfn.TEXTJOIN("|",TRUE,GameLog[[#This Row],[Pod]],TEXT(INT(GameLog[[#This Row],[Round]]),"yyyymmdd"),GameLog[[#This Row],[Date]])</f>
        <v>2|19000102|46104</v>
      </c>
      <c r="H1210" s="6">
        <f>COUNTIF(GameLog[Pod ID],GameLog[[#This Row],[Pod ID]])</f>
        <v>4</v>
      </c>
      <c r="I1210" s="6">
        <f>YEAR(GameLog[[#This Row],[Date]])</f>
        <v>2026</v>
      </c>
      <c r="J1210" s="6">
        <f>MONTH(GameLog[[#This Row],[Date]])</f>
        <v>3</v>
      </c>
      <c r="K1210" s="6" t="str">
        <f>IF(GameLog[[#This Row],[Date]]=MAX(GameLog[Date]),"Current","Previous")</f>
        <v>Previous</v>
      </c>
      <c r="L1210" s="6"/>
      <c r="M12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0" s="6" t="str">
        <f ca="1">IF(GameLog[[#This Row],[Check]]="","",COUNTIF(GameLog[[#Headers],[Check]]:GameLog[[#This Row],[Check]],"?*")-1)</f>
        <v/>
      </c>
      <c r="O1210" s="6" t="str">
        <f>IFERROR(INDEX(Players[New name],MATCH(GameLog[[#This Row],[Player]],Players[Name],0)),GameLog[[#This Row],[Player]])</f>
        <v>Eli T</v>
      </c>
    </row>
    <row r="1211" spans="1:15" x14ac:dyDescent="0.45">
      <c r="A1211" s="6" t="s">
        <v>73</v>
      </c>
      <c r="B1211" s="6" t="s">
        <v>90</v>
      </c>
      <c r="C1211" s="6">
        <v>4</v>
      </c>
      <c r="D1211" s="6">
        <v>2</v>
      </c>
      <c r="E1211" s="6">
        <v>2</v>
      </c>
      <c r="F1211" s="10">
        <v>46104</v>
      </c>
      <c r="G1211" s="6" t="str">
        <f>_xlfn.TEXTJOIN("|",TRUE,GameLog[[#This Row],[Pod]],TEXT(INT(GameLog[[#This Row],[Round]]),"yyyymmdd"),GameLog[[#This Row],[Date]])</f>
        <v>2|19000102|46104</v>
      </c>
      <c r="H1211" s="6">
        <f>COUNTIF(GameLog[Pod ID],GameLog[[#This Row],[Pod ID]])</f>
        <v>4</v>
      </c>
      <c r="I1211" s="6">
        <f>YEAR(GameLog[[#This Row],[Date]])</f>
        <v>2026</v>
      </c>
      <c r="J1211" s="6">
        <f>MONTH(GameLog[[#This Row],[Date]])</f>
        <v>3</v>
      </c>
      <c r="K1211" s="6" t="str">
        <f>IF(GameLog[[#This Row],[Date]]=MAX(GameLog[Date]),"Current","Previous")</f>
        <v>Previous</v>
      </c>
      <c r="L1211" s="6"/>
      <c r="M12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1" s="6" t="str">
        <f ca="1">IF(GameLog[[#This Row],[Check]]="","",COUNTIF(GameLog[[#Headers],[Check]]:GameLog[[#This Row],[Check]],"?*")-1)</f>
        <v/>
      </c>
      <c r="O1211" s="6" t="str">
        <f>IFERROR(INDEX(Players[New name],MATCH(GameLog[[#This Row],[Player]],Players[Name],0)),GameLog[[#This Row],[Player]])</f>
        <v>Brandon B</v>
      </c>
    </row>
    <row r="1212" spans="1:15" x14ac:dyDescent="0.45">
      <c r="A1212" s="6" t="s">
        <v>60</v>
      </c>
      <c r="B1212" s="6" t="s">
        <v>53</v>
      </c>
      <c r="C1212" s="6">
        <v>1</v>
      </c>
      <c r="D1212" s="6">
        <v>3</v>
      </c>
      <c r="E1212" s="6">
        <v>2</v>
      </c>
      <c r="F1212" s="10">
        <v>46104</v>
      </c>
      <c r="G1212" s="6" t="str">
        <f>_xlfn.TEXTJOIN("|",TRUE,GameLog[[#This Row],[Pod]],TEXT(INT(GameLog[[#This Row],[Round]]),"yyyymmdd"),GameLog[[#This Row],[Date]])</f>
        <v>3|19000102|46104</v>
      </c>
      <c r="H1212" s="6">
        <f>COUNTIF(GameLog[Pod ID],GameLog[[#This Row],[Pod ID]])</f>
        <v>4</v>
      </c>
      <c r="I1212" s="6">
        <f>YEAR(GameLog[[#This Row],[Date]])</f>
        <v>2026</v>
      </c>
      <c r="J1212" s="6">
        <f>MONTH(GameLog[[#This Row],[Date]])</f>
        <v>3</v>
      </c>
      <c r="K1212" s="6" t="str">
        <f>IF(GameLog[[#This Row],[Date]]=MAX(GameLog[Date]),"Current","Previous")</f>
        <v>Previous</v>
      </c>
      <c r="L1212" s="6"/>
      <c r="M12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2" s="6" t="str">
        <f ca="1">IF(GameLog[[#This Row],[Check]]="","",COUNTIF(GameLog[[#Headers],[Check]]:GameLog[[#This Row],[Check]],"?*")-1)</f>
        <v/>
      </c>
      <c r="O1212" s="6" t="str">
        <f>IFERROR(INDEX(Players[New name],MATCH(GameLog[[#This Row],[Player]],Players[Name],0)),GameLog[[#This Row],[Player]])</f>
        <v>Brendan H</v>
      </c>
    </row>
    <row r="1213" spans="1:15" x14ac:dyDescent="0.45">
      <c r="A1213" s="6" t="s">
        <v>61</v>
      </c>
      <c r="B1213" s="6" t="s">
        <v>50</v>
      </c>
      <c r="C1213" s="6">
        <v>2</v>
      </c>
      <c r="D1213" s="6">
        <v>3</v>
      </c>
      <c r="E1213" s="6">
        <v>2</v>
      </c>
      <c r="F1213" s="10">
        <v>46104</v>
      </c>
      <c r="G1213" s="6" t="str">
        <f>_xlfn.TEXTJOIN("|",TRUE,GameLog[[#This Row],[Pod]],TEXT(INT(GameLog[[#This Row],[Round]]),"yyyymmdd"),GameLog[[#This Row],[Date]])</f>
        <v>3|19000102|46104</v>
      </c>
      <c r="H1213" s="6">
        <f>COUNTIF(GameLog[Pod ID],GameLog[[#This Row],[Pod ID]])</f>
        <v>4</v>
      </c>
      <c r="I1213" s="6">
        <f>YEAR(GameLog[[#This Row],[Date]])</f>
        <v>2026</v>
      </c>
      <c r="J1213" s="6">
        <f>MONTH(GameLog[[#This Row],[Date]])</f>
        <v>3</v>
      </c>
      <c r="K1213" s="6" t="str">
        <f>IF(GameLog[[#This Row],[Date]]=MAX(GameLog[Date]),"Current","Previous")</f>
        <v>Previous</v>
      </c>
      <c r="L1213" s="6"/>
      <c r="M12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3" s="6" t="str">
        <f ca="1">IF(GameLog[[#This Row],[Check]]="","",COUNTIF(GameLog[[#Headers],[Check]]:GameLog[[#This Row],[Check]],"?*")-1)</f>
        <v/>
      </c>
      <c r="O1213" s="6" t="str">
        <f>IFERROR(INDEX(Players[New name],MATCH(GameLog[[#This Row],[Player]],Players[Name],0)),GameLog[[#This Row],[Player]])</f>
        <v>Trevor</v>
      </c>
    </row>
    <row r="1214" spans="1:15" x14ac:dyDescent="0.45">
      <c r="A1214" s="6" t="s">
        <v>91</v>
      </c>
      <c r="B1214" s="6" t="s">
        <v>53</v>
      </c>
      <c r="C1214" s="6">
        <v>3</v>
      </c>
      <c r="D1214" s="6">
        <v>3</v>
      </c>
      <c r="E1214" s="6">
        <v>2</v>
      </c>
      <c r="F1214" s="10">
        <v>46104</v>
      </c>
      <c r="G1214" s="6" t="str">
        <f>_xlfn.TEXTJOIN("|",TRUE,GameLog[[#This Row],[Pod]],TEXT(INT(GameLog[[#This Row],[Round]]),"yyyymmdd"),GameLog[[#This Row],[Date]])</f>
        <v>3|19000102|46104</v>
      </c>
      <c r="H1214" s="6">
        <f>COUNTIF(GameLog[Pod ID],GameLog[[#This Row],[Pod ID]])</f>
        <v>4</v>
      </c>
      <c r="I1214" s="6">
        <f>YEAR(GameLog[[#This Row],[Date]])</f>
        <v>2026</v>
      </c>
      <c r="J1214" s="6">
        <f>MONTH(GameLog[[#This Row],[Date]])</f>
        <v>3</v>
      </c>
      <c r="K1214" s="6" t="str">
        <f>IF(GameLog[[#This Row],[Date]]=MAX(GameLog[Date]),"Current","Previous")</f>
        <v>Previous</v>
      </c>
      <c r="L1214" s="6"/>
      <c r="M12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4" s="6" t="str">
        <f ca="1">IF(GameLog[[#This Row],[Check]]="","",COUNTIF(GameLog[[#Headers],[Check]]:GameLog[[#This Row],[Check]],"?*")-1)</f>
        <v/>
      </c>
      <c r="O1214" s="6" t="str">
        <f>IFERROR(INDEX(Players[New name],MATCH(GameLog[[#This Row],[Player]],Players[Name],0)),GameLog[[#This Row],[Player]])</f>
        <v>Isaac B</v>
      </c>
    </row>
    <row r="1215" spans="1:15" x14ac:dyDescent="0.45">
      <c r="A1215" s="6" t="s">
        <v>106</v>
      </c>
      <c r="B1215" s="6" t="s">
        <v>53</v>
      </c>
      <c r="C1215" s="6">
        <v>4</v>
      </c>
      <c r="D1215" s="6">
        <v>3</v>
      </c>
      <c r="E1215" s="6">
        <v>2</v>
      </c>
      <c r="F1215" s="10">
        <v>46104</v>
      </c>
      <c r="G1215" s="6" t="str">
        <f>_xlfn.TEXTJOIN("|",TRUE,GameLog[[#This Row],[Pod]],TEXT(INT(GameLog[[#This Row],[Round]]),"yyyymmdd"),GameLog[[#This Row],[Date]])</f>
        <v>3|19000102|46104</v>
      </c>
      <c r="H1215" s="6">
        <f>COUNTIF(GameLog[Pod ID],GameLog[[#This Row],[Pod ID]])</f>
        <v>4</v>
      </c>
      <c r="I1215" s="6">
        <f>YEAR(GameLog[[#This Row],[Date]])</f>
        <v>2026</v>
      </c>
      <c r="J1215" s="6">
        <f>MONTH(GameLog[[#This Row],[Date]])</f>
        <v>3</v>
      </c>
      <c r="K1215" s="6" t="str">
        <f>IF(GameLog[[#This Row],[Date]]=MAX(GameLog[Date]),"Current","Previous")</f>
        <v>Previous</v>
      </c>
      <c r="L1215" s="6"/>
      <c r="M12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5" s="6" t="str">
        <f ca="1">IF(GameLog[[#This Row],[Check]]="","",COUNTIF(GameLog[[#Headers],[Check]]:GameLog[[#This Row],[Check]],"?*")-1)</f>
        <v/>
      </c>
      <c r="O1215" s="6" t="str">
        <f>IFERROR(INDEX(Players[New name],MATCH(GameLog[[#This Row],[Player]],Players[Name],0)),GameLog[[#This Row],[Player]])</f>
        <v>Tony W</v>
      </c>
    </row>
    <row r="1216" spans="1:15" x14ac:dyDescent="0.45">
      <c r="A1216" s="6" t="s">
        <v>63</v>
      </c>
      <c r="B1216" s="6" t="s">
        <v>53</v>
      </c>
      <c r="C1216" s="6">
        <v>1</v>
      </c>
      <c r="D1216" s="6">
        <v>4</v>
      </c>
      <c r="E1216" s="6">
        <v>2</v>
      </c>
      <c r="F1216" s="10">
        <v>46104</v>
      </c>
      <c r="G1216" s="6" t="str">
        <f>_xlfn.TEXTJOIN("|",TRUE,GameLog[[#This Row],[Pod]],TEXT(INT(GameLog[[#This Row],[Round]]),"yyyymmdd"),GameLog[[#This Row],[Date]])</f>
        <v>4|19000102|46104</v>
      </c>
      <c r="H1216" s="6">
        <f>COUNTIF(GameLog[Pod ID],GameLog[[#This Row],[Pod ID]])</f>
        <v>4</v>
      </c>
      <c r="I1216" s="6">
        <f>YEAR(GameLog[[#This Row],[Date]])</f>
        <v>2026</v>
      </c>
      <c r="J1216" s="6">
        <f>MONTH(GameLog[[#This Row],[Date]])</f>
        <v>3</v>
      </c>
      <c r="K1216" s="6" t="str">
        <f>IF(GameLog[[#This Row],[Date]]=MAX(GameLog[Date]),"Current","Previous")</f>
        <v>Previous</v>
      </c>
      <c r="L1216" s="6"/>
      <c r="M12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6" s="6" t="str">
        <f ca="1">IF(GameLog[[#This Row],[Check]]="","",COUNTIF(GameLog[[#Headers],[Check]]:GameLog[[#This Row],[Check]],"?*")-1)</f>
        <v/>
      </c>
      <c r="O1216" s="6" t="str">
        <f>IFERROR(INDEX(Players[New name],MATCH(GameLog[[#This Row],[Player]],Players[Name],0)),GameLog[[#This Row],[Player]])</f>
        <v>Jake D</v>
      </c>
    </row>
    <row r="1217" spans="1:15" x14ac:dyDescent="0.45">
      <c r="A1217" s="6" t="s">
        <v>68</v>
      </c>
      <c r="B1217" s="6" t="s">
        <v>50</v>
      </c>
      <c r="C1217" s="6">
        <v>2</v>
      </c>
      <c r="D1217" s="6">
        <v>4</v>
      </c>
      <c r="E1217" s="6">
        <v>2</v>
      </c>
      <c r="F1217" s="10">
        <v>46104</v>
      </c>
      <c r="G1217" s="6" t="str">
        <f>_xlfn.TEXTJOIN("|",TRUE,GameLog[[#This Row],[Pod]],TEXT(INT(GameLog[[#This Row],[Round]]),"yyyymmdd"),GameLog[[#This Row],[Date]])</f>
        <v>4|19000102|46104</v>
      </c>
      <c r="H1217" s="6">
        <f>COUNTIF(GameLog[Pod ID],GameLog[[#This Row],[Pod ID]])</f>
        <v>4</v>
      </c>
      <c r="I1217" s="6">
        <f>YEAR(GameLog[[#This Row],[Date]])</f>
        <v>2026</v>
      </c>
      <c r="J1217" s="6">
        <f>MONTH(GameLog[[#This Row],[Date]])</f>
        <v>3</v>
      </c>
      <c r="K1217" s="6" t="str">
        <f>IF(GameLog[[#This Row],[Date]]=MAX(GameLog[Date]),"Current","Previous")</f>
        <v>Previous</v>
      </c>
      <c r="L1217" s="6"/>
      <c r="M12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7" s="6" t="str">
        <f ca="1">IF(GameLog[[#This Row],[Check]]="","",COUNTIF(GameLog[[#Headers],[Check]]:GameLog[[#This Row],[Check]],"?*")-1)</f>
        <v/>
      </c>
      <c r="O1217" s="6" t="str">
        <f>IFERROR(INDEX(Players[New name],MATCH(GameLog[[#This Row],[Player]],Players[Name],0)),GameLog[[#This Row],[Player]])</f>
        <v>Edwin M</v>
      </c>
    </row>
    <row r="1218" spans="1:15" x14ac:dyDescent="0.45">
      <c r="A1218" s="6" t="s">
        <v>74</v>
      </c>
      <c r="B1218" s="6" t="s">
        <v>53</v>
      </c>
      <c r="C1218" s="6">
        <v>3</v>
      </c>
      <c r="D1218" s="6">
        <v>4</v>
      </c>
      <c r="E1218" s="6">
        <v>2</v>
      </c>
      <c r="F1218" s="10">
        <v>46104</v>
      </c>
      <c r="G1218" s="6" t="str">
        <f>_xlfn.TEXTJOIN("|",TRUE,GameLog[[#This Row],[Pod]],TEXT(INT(GameLog[[#This Row],[Round]]),"yyyymmdd"),GameLog[[#This Row],[Date]])</f>
        <v>4|19000102|46104</v>
      </c>
      <c r="H1218" s="6">
        <f>COUNTIF(GameLog[Pod ID],GameLog[[#This Row],[Pod ID]])</f>
        <v>4</v>
      </c>
      <c r="I1218" s="6">
        <f>YEAR(GameLog[[#This Row],[Date]])</f>
        <v>2026</v>
      </c>
      <c r="J1218" s="6">
        <f>MONTH(GameLog[[#This Row],[Date]])</f>
        <v>3</v>
      </c>
      <c r="K1218" s="6" t="str">
        <f>IF(GameLog[[#This Row],[Date]]=MAX(GameLog[Date]),"Current","Previous")</f>
        <v>Previous</v>
      </c>
      <c r="L1218" s="6"/>
      <c r="M12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8" s="6" t="str">
        <f ca="1">IF(GameLog[[#This Row],[Check]]="","",COUNTIF(GameLog[[#Headers],[Check]]:GameLog[[#This Row],[Check]],"?*")-1)</f>
        <v/>
      </c>
      <c r="O1218" s="6" t="str">
        <f>IFERROR(INDEX(Players[New name],MATCH(GameLog[[#This Row],[Player]],Players[Name],0)),GameLog[[#This Row],[Player]])</f>
        <v>Jarrod O</v>
      </c>
    </row>
    <row r="1219" spans="1:15" x14ac:dyDescent="0.45">
      <c r="A1219" s="6" t="s">
        <v>96</v>
      </c>
      <c r="B1219" s="6" t="s">
        <v>53</v>
      </c>
      <c r="C1219" s="6">
        <v>4</v>
      </c>
      <c r="D1219" s="6">
        <v>4</v>
      </c>
      <c r="E1219" s="6">
        <v>2</v>
      </c>
      <c r="F1219" s="10">
        <v>46104</v>
      </c>
      <c r="G1219" s="6" t="str">
        <f>_xlfn.TEXTJOIN("|",TRUE,GameLog[[#This Row],[Pod]],TEXT(INT(GameLog[[#This Row],[Round]]),"yyyymmdd"),GameLog[[#This Row],[Date]])</f>
        <v>4|19000102|46104</v>
      </c>
      <c r="H1219" s="6">
        <f>COUNTIF(GameLog[Pod ID],GameLog[[#This Row],[Pod ID]])</f>
        <v>4</v>
      </c>
      <c r="I1219" s="6">
        <f>YEAR(GameLog[[#This Row],[Date]])</f>
        <v>2026</v>
      </c>
      <c r="J1219" s="6">
        <f>MONTH(GameLog[[#This Row],[Date]])</f>
        <v>3</v>
      </c>
      <c r="K1219" s="6" t="str">
        <f>IF(GameLog[[#This Row],[Date]]=MAX(GameLog[Date]),"Current","Previous")</f>
        <v>Previous</v>
      </c>
      <c r="L1219" s="6"/>
      <c r="M12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19" s="6" t="str">
        <f ca="1">IF(GameLog[[#This Row],[Check]]="","",COUNTIF(GameLog[[#Headers],[Check]]:GameLog[[#This Row],[Check]],"?*")-1)</f>
        <v/>
      </c>
      <c r="O1219" s="6" t="str">
        <f>IFERROR(INDEX(Players[New name],MATCH(GameLog[[#This Row],[Player]],Players[Name],0)),GameLog[[#This Row],[Player]])</f>
        <v>Brandon A</v>
      </c>
    </row>
    <row r="1220" spans="1:15" x14ac:dyDescent="0.45">
      <c r="A1220" s="6" t="s">
        <v>71</v>
      </c>
      <c r="B1220" s="6" t="s">
        <v>90</v>
      </c>
      <c r="C1220" s="6">
        <v>1</v>
      </c>
      <c r="D1220" s="6">
        <v>5</v>
      </c>
      <c r="E1220" s="6">
        <v>2</v>
      </c>
      <c r="F1220" s="10">
        <v>46104</v>
      </c>
      <c r="G1220" s="6" t="str">
        <f>_xlfn.TEXTJOIN("|",TRUE,GameLog[[#This Row],[Pod]],TEXT(INT(GameLog[[#This Row],[Round]]),"yyyymmdd"),GameLog[[#This Row],[Date]])</f>
        <v>5|19000102|46104</v>
      </c>
      <c r="H1220" s="6">
        <f>COUNTIF(GameLog[Pod ID],GameLog[[#This Row],[Pod ID]])</f>
        <v>4</v>
      </c>
      <c r="I1220" s="6">
        <f>YEAR(GameLog[[#This Row],[Date]])</f>
        <v>2026</v>
      </c>
      <c r="J1220" s="6">
        <f>MONTH(GameLog[[#This Row],[Date]])</f>
        <v>3</v>
      </c>
      <c r="K1220" s="6" t="str">
        <f>IF(GameLog[[#This Row],[Date]]=MAX(GameLog[Date]),"Current","Previous")</f>
        <v>Previous</v>
      </c>
      <c r="L1220" s="6"/>
      <c r="M12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0" s="6" t="str">
        <f ca="1">IF(GameLog[[#This Row],[Check]]="","",COUNTIF(GameLog[[#Headers],[Check]]:GameLog[[#This Row],[Check]],"?*")-1)</f>
        <v/>
      </c>
      <c r="O1220" s="6" t="str">
        <f>IFERROR(INDEX(Players[New name],MATCH(GameLog[[#This Row],[Player]],Players[Name],0)),GameLog[[#This Row],[Player]])</f>
        <v>Rodney Y</v>
      </c>
    </row>
    <row r="1221" spans="1:15" x14ac:dyDescent="0.45">
      <c r="A1221" s="6" t="s">
        <v>98</v>
      </c>
      <c r="B1221" s="6" t="s">
        <v>90</v>
      </c>
      <c r="C1221" s="6">
        <v>2</v>
      </c>
      <c r="D1221" s="6">
        <v>5</v>
      </c>
      <c r="E1221" s="6">
        <v>2</v>
      </c>
      <c r="F1221" s="10">
        <v>46104</v>
      </c>
      <c r="G1221" s="6" t="str">
        <f>_xlfn.TEXTJOIN("|",TRUE,GameLog[[#This Row],[Pod]],TEXT(INT(GameLog[[#This Row],[Round]]),"yyyymmdd"),GameLog[[#This Row],[Date]])</f>
        <v>5|19000102|46104</v>
      </c>
      <c r="H1221" s="6">
        <f>COUNTIF(GameLog[Pod ID],GameLog[[#This Row],[Pod ID]])</f>
        <v>4</v>
      </c>
      <c r="I1221" s="6">
        <f>YEAR(GameLog[[#This Row],[Date]])</f>
        <v>2026</v>
      </c>
      <c r="J1221" s="6">
        <f>MONTH(GameLog[[#This Row],[Date]])</f>
        <v>3</v>
      </c>
      <c r="K1221" s="6" t="str">
        <f>IF(GameLog[[#This Row],[Date]]=MAX(GameLog[Date]),"Current","Previous")</f>
        <v>Previous</v>
      </c>
      <c r="L1221" s="6"/>
      <c r="M12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1" s="6" t="str">
        <f ca="1">IF(GameLog[[#This Row],[Check]]="","",COUNTIF(GameLog[[#Headers],[Check]]:GameLog[[#This Row],[Check]],"?*")-1)</f>
        <v/>
      </c>
      <c r="O1221" s="6" t="str">
        <f>IFERROR(INDEX(Players[New name],MATCH(GameLog[[#This Row],[Player]],Players[Name],0)),GameLog[[#This Row],[Player]])</f>
        <v>Charlie B</v>
      </c>
    </row>
    <row r="1222" spans="1:15" x14ac:dyDescent="0.45">
      <c r="A1222" s="6" t="s">
        <v>104</v>
      </c>
      <c r="B1222" s="6" t="s">
        <v>90</v>
      </c>
      <c r="C1222" s="6">
        <v>3</v>
      </c>
      <c r="D1222" s="6">
        <v>5</v>
      </c>
      <c r="E1222" s="6">
        <v>2</v>
      </c>
      <c r="F1222" s="10">
        <v>46104</v>
      </c>
      <c r="G1222" s="6" t="str">
        <f>_xlfn.TEXTJOIN("|",TRUE,GameLog[[#This Row],[Pod]],TEXT(INT(GameLog[[#This Row],[Round]]),"yyyymmdd"),GameLog[[#This Row],[Date]])</f>
        <v>5|19000102|46104</v>
      </c>
      <c r="H1222" s="6">
        <f>COUNTIF(GameLog[Pod ID],GameLog[[#This Row],[Pod ID]])</f>
        <v>4</v>
      </c>
      <c r="I1222" s="6">
        <f>YEAR(GameLog[[#This Row],[Date]])</f>
        <v>2026</v>
      </c>
      <c r="J1222" s="6">
        <f>MONTH(GameLog[[#This Row],[Date]])</f>
        <v>3</v>
      </c>
      <c r="K1222" s="6" t="str">
        <f>IF(GameLog[[#This Row],[Date]]=MAX(GameLog[Date]),"Current","Previous")</f>
        <v>Previous</v>
      </c>
      <c r="L1222" s="6"/>
      <c r="M12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2" s="6" t="str">
        <f ca="1">IF(GameLog[[#This Row],[Check]]="","",COUNTIF(GameLog[[#Headers],[Check]]:GameLog[[#This Row],[Check]],"?*")-1)</f>
        <v/>
      </c>
      <c r="O1222" s="6" t="str">
        <f>IFERROR(INDEX(Players[New name],MATCH(GameLog[[#This Row],[Player]],Players[Name],0)),GameLog[[#This Row],[Player]])</f>
        <v>Eric E</v>
      </c>
    </row>
    <row r="1223" spans="1:15" x14ac:dyDescent="0.45">
      <c r="A1223" s="6" t="s">
        <v>59</v>
      </c>
      <c r="B1223" s="6" t="s">
        <v>90</v>
      </c>
      <c r="C1223" s="6">
        <v>4</v>
      </c>
      <c r="D1223" s="6">
        <v>5</v>
      </c>
      <c r="E1223" s="6">
        <v>2</v>
      </c>
      <c r="F1223" s="10">
        <v>46104</v>
      </c>
      <c r="G1223" s="6" t="str">
        <f>_xlfn.TEXTJOIN("|",TRUE,GameLog[[#This Row],[Pod]],TEXT(INT(GameLog[[#This Row],[Round]]),"yyyymmdd"),GameLog[[#This Row],[Date]])</f>
        <v>5|19000102|46104</v>
      </c>
      <c r="H1223" s="6">
        <f>COUNTIF(GameLog[Pod ID],GameLog[[#This Row],[Pod ID]])</f>
        <v>4</v>
      </c>
      <c r="I1223" s="6">
        <f>YEAR(GameLog[[#This Row],[Date]])</f>
        <v>2026</v>
      </c>
      <c r="J1223" s="6">
        <f>MONTH(GameLog[[#This Row],[Date]])</f>
        <v>3</v>
      </c>
      <c r="K1223" s="6" t="str">
        <f>IF(GameLog[[#This Row],[Date]]=MAX(GameLog[Date]),"Current","Previous")</f>
        <v>Previous</v>
      </c>
      <c r="L1223" s="6"/>
      <c r="M12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3" s="6" t="str">
        <f ca="1">IF(GameLog[[#This Row],[Check]]="","",COUNTIF(GameLog[[#Headers],[Check]]:GameLog[[#This Row],[Check]],"?*")-1)</f>
        <v/>
      </c>
      <c r="O1223" s="6" t="str">
        <f>IFERROR(INDEX(Players[New name],MATCH(GameLog[[#This Row],[Player]],Players[Name],0)),GameLog[[#This Row],[Player]])</f>
        <v>Zack B</v>
      </c>
    </row>
    <row r="1224" spans="1:15" x14ac:dyDescent="0.45">
      <c r="A1224" s="6" t="s">
        <v>101</v>
      </c>
      <c r="B1224" s="6" t="s">
        <v>90</v>
      </c>
      <c r="C1224" s="6">
        <v>1</v>
      </c>
      <c r="D1224" s="6">
        <v>6</v>
      </c>
      <c r="E1224" s="6">
        <v>2</v>
      </c>
      <c r="F1224" s="10">
        <v>46104</v>
      </c>
      <c r="G1224" s="6" t="str">
        <f>_xlfn.TEXTJOIN("|",TRUE,GameLog[[#This Row],[Pod]],TEXT(INT(GameLog[[#This Row],[Round]]),"yyyymmdd"),GameLog[[#This Row],[Date]])</f>
        <v>6|19000102|46104</v>
      </c>
      <c r="H1224" s="6">
        <f>COUNTIF(GameLog[Pod ID],GameLog[[#This Row],[Pod ID]])</f>
        <v>4</v>
      </c>
      <c r="I1224" s="6">
        <f>YEAR(GameLog[[#This Row],[Date]])</f>
        <v>2026</v>
      </c>
      <c r="J1224" s="6">
        <f>MONTH(GameLog[[#This Row],[Date]])</f>
        <v>3</v>
      </c>
      <c r="K1224" s="6" t="str">
        <f>IF(GameLog[[#This Row],[Date]]=MAX(GameLog[Date]),"Current","Previous")</f>
        <v>Previous</v>
      </c>
      <c r="L1224" s="6"/>
      <c r="M12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4" s="6" t="str">
        <f ca="1">IF(GameLog[[#This Row],[Check]]="","",COUNTIF(GameLog[[#Headers],[Check]]:GameLog[[#This Row],[Check]],"?*")-1)</f>
        <v/>
      </c>
      <c r="O1224" s="6" t="str">
        <f>IFERROR(INDEX(Players[New name],MATCH(GameLog[[#This Row],[Player]],Players[Name],0)),GameLog[[#This Row],[Player]])</f>
        <v>Matthew P</v>
      </c>
    </row>
    <row r="1225" spans="1:15" x14ac:dyDescent="0.45">
      <c r="A1225" s="6" t="s">
        <v>97</v>
      </c>
      <c r="B1225" s="6" t="s">
        <v>90</v>
      </c>
      <c r="C1225" s="6">
        <v>2</v>
      </c>
      <c r="D1225" s="6">
        <v>6</v>
      </c>
      <c r="E1225" s="6">
        <v>2</v>
      </c>
      <c r="F1225" s="10">
        <v>46104</v>
      </c>
      <c r="G1225" s="6" t="str">
        <f>_xlfn.TEXTJOIN("|",TRUE,GameLog[[#This Row],[Pod]],TEXT(INT(GameLog[[#This Row],[Round]]),"yyyymmdd"),GameLog[[#This Row],[Date]])</f>
        <v>6|19000102|46104</v>
      </c>
      <c r="H1225" s="6">
        <f>COUNTIF(GameLog[Pod ID],GameLog[[#This Row],[Pod ID]])</f>
        <v>4</v>
      </c>
      <c r="I1225" s="6">
        <f>YEAR(GameLog[[#This Row],[Date]])</f>
        <v>2026</v>
      </c>
      <c r="J1225" s="6">
        <f>MONTH(GameLog[[#This Row],[Date]])</f>
        <v>3</v>
      </c>
      <c r="K1225" s="6" t="str">
        <f>IF(GameLog[[#This Row],[Date]]=MAX(GameLog[Date]),"Current","Previous")</f>
        <v>Previous</v>
      </c>
      <c r="L1225" s="6"/>
      <c r="M12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5" s="6" t="str">
        <f ca="1">IF(GameLog[[#This Row],[Check]]="","",COUNTIF(GameLog[[#Headers],[Check]]:GameLog[[#This Row],[Check]],"?*")-1)</f>
        <v/>
      </c>
      <c r="O1225" s="6" t="str">
        <f>IFERROR(INDEX(Players[New name],MATCH(GameLog[[#This Row],[Player]],Players[Name],0)),GameLog[[#This Row],[Player]])</f>
        <v>Arman H</v>
      </c>
    </row>
    <row r="1226" spans="1:15" x14ac:dyDescent="0.45">
      <c r="A1226" s="6" t="s">
        <v>55</v>
      </c>
      <c r="B1226" s="6" t="s">
        <v>90</v>
      </c>
      <c r="C1226" s="6">
        <v>3</v>
      </c>
      <c r="D1226" s="6">
        <v>6</v>
      </c>
      <c r="E1226" s="6">
        <v>2</v>
      </c>
      <c r="F1226" s="10">
        <v>46104</v>
      </c>
      <c r="G1226" s="6" t="str">
        <f>_xlfn.TEXTJOIN("|",TRUE,GameLog[[#This Row],[Pod]],TEXT(INT(GameLog[[#This Row],[Round]]),"yyyymmdd"),GameLog[[#This Row],[Date]])</f>
        <v>6|19000102|46104</v>
      </c>
      <c r="H1226" s="6">
        <f>COUNTIF(GameLog[Pod ID],GameLog[[#This Row],[Pod ID]])</f>
        <v>4</v>
      </c>
      <c r="I1226" s="6">
        <f>YEAR(GameLog[[#This Row],[Date]])</f>
        <v>2026</v>
      </c>
      <c r="J1226" s="6">
        <f>MONTH(GameLog[[#This Row],[Date]])</f>
        <v>3</v>
      </c>
      <c r="K1226" s="6" t="str">
        <f>IF(GameLog[[#This Row],[Date]]=MAX(GameLog[Date]),"Current","Previous")</f>
        <v>Previous</v>
      </c>
      <c r="L1226" s="6"/>
      <c r="M12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6" s="6" t="str">
        <f ca="1">IF(GameLog[[#This Row],[Check]]="","",COUNTIF(GameLog[[#Headers],[Check]]:GameLog[[#This Row],[Check]],"?*")-1)</f>
        <v/>
      </c>
      <c r="O1226" s="6" t="str">
        <f>IFERROR(INDEX(Players[New name],MATCH(GameLog[[#This Row],[Player]],Players[Name],0)),GameLog[[#This Row],[Player]])</f>
        <v>Bryce C</v>
      </c>
    </row>
    <row r="1227" spans="1:15" x14ac:dyDescent="0.45">
      <c r="A1227" s="6" t="s">
        <v>57</v>
      </c>
      <c r="B1227" s="6" t="s">
        <v>90</v>
      </c>
      <c r="C1227" s="6">
        <v>4</v>
      </c>
      <c r="D1227" s="6">
        <v>6</v>
      </c>
      <c r="E1227" s="6">
        <v>2</v>
      </c>
      <c r="F1227" s="10">
        <v>46104</v>
      </c>
      <c r="G1227" s="6" t="str">
        <f>_xlfn.TEXTJOIN("|",TRUE,GameLog[[#This Row],[Pod]],TEXT(INT(GameLog[[#This Row],[Round]]),"yyyymmdd"),GameLog[[#This Row],[Date]])</f>
        <v>6|19000102|46104</v>
      </c>
      <c r="H1227" s="6">
        <f>COUNTIF(GameLog[Pod ID],GameLog[[#This Row],[Pod ID]])</f>
        <v>4</v>
      </c>
      <c r="I1227" s="6">
        <f>YEAR(GameLog[[#This Row],[Date]])</f>
        <v>2026</v>
      </c>
      <c r="J1227" s="6">
        <f>MONTH(GameLog[[#This Row],[Date]])</f>
        <v>3</v>
      </c>
      <c r="K1227" s="6" t="str">
        <f>IF(GameLog[[#This Row],[Date]]=MAX(GameLog[Date]),"Current","Previous")</f>
        <v>Previous</v>
      </c>
      <c r="L1227" s="6"/>
      <c r="M12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7" s="6" t="str">
        <f ca="1">IF(GameLog[[#This Row],[Check]]="","",COUNTIF(GameLog[[#Headers],[Check]]:GameLog[[#This Row],[Check]],"?*")-1)</f>
        <v/>
      </c>
      <c r="O1227" s="6" t="str">
        <f>IFERROR(INDEX(Players[New name],MATCH(GameLog[[#This Row],[Player]],Players[Name],0)),GameLog[[#This Row],[Player]])</f>
        <v>AJ W</v>
      </c>
    </row>
    <row r="1228" spans="1:15" x14ac:dyDescent="0.45">
      <c r="A1228" s="6" t="s">
        <v>89</v>
      </c>
      <c r="B1228" s="6" t="s">
        <v>53</v>
      </c>
      <c r="C1228" s="6">
        <v>1</v>
      </c>
      <c r="D1228" s="6">
        <v>1</v>
      </c>
      <c r="E1228" s="6">
        <v>1</v>
      </c>
      <c r="F1228" s="10">
        <v>46111</v>
      </c>
      <c r="G1228" s="6" t="str">
        <f>_xlfn.TEXTJOIN("|",TRUE,GameLog[[#This Row],[Pod]],TEXT(INT(GameLog[[#This Row],[Round]]),"yyyymmdd"),GameLog[[#This Row],[Date]])</f>
        <v>1|19000101|46111</v>
      </c>
      <c r="H1228" s="6">
        <f>COUNTIF(GameLog[Pod ID],GameLog[[#This Row],[Pod ID]])</f>
        <v>4</v>
      </c>
      <c r="I1228" s="6">
        <f>YEAR(GameLog[[#This Row],[Date]])</f>
        <v>2026</v>
      </c>
      <c r="J1228" s="6">
        <f>MONTH(GameLog[[#This Row],[Date]])</f>
        <v>3</v>
      </c>
      <c r="K1228" s="6" t="str">
        <f>IF(GameLog[[#This Row],[Date]]=MAX(GameLog[Date]),"Current","Previous")</f>
        <v>Previous</v>
      </c>
      <c r="L1228" s="6"/>
      <c r="M12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8" s="6" t="str">
        <f ca="1">IF(GameLog[[#This Row],[Check]]="","",COUNTIF(GameLog[[#Headers],[Check]]:GameLog[[#This Row],[Check]],"?*")-1)</f>
        <v/>
      </c>
      <c r="O1228" s="6" t="str">
        <f>IFERROR(INDEX(Players[New name],MATCH(GameLog[[#This Row],[Player]],Players[Name],0)),GameLog[[#This Row],[Player]])</f>
        <v>Fernando J</v>
      </c>
    </row>
    <row r="1229" spans="1:15" x14ac:dyDescent="0.45">
      <c r="A1229" s="6" t="s">
        <v>70</v>
      </c>
      <c r="B1229" s="6" t="s">
        <v>50</v>
      </c>
      <c r="C1229" s="6">
        <v>2</v>
      </c>
      <c r="D1229" s="6">
        <v>1</v>
      </c>
      <c r="E1229" s="6">
        <v>1</v>
      </c>
      <c r="F1229" s="10">
        <v>46111</v>
      </c>
      <c r="G1229" s="6" t="str">
        <f>_xlfn.TEXTJOIN("|",TRUE,GameLog[[#This Row],[Pod]],TEXT(INT(GameLog[[#This Row],[Round]]),"yyyymmdd"),GameLog[[#This Row],[Date]])</f>
        <v>1|19000101|46111</v>
      </c>
      <c r="H1229" s="6">
        <f>COUNTIF(GameLog[Pod ID],GameLog[[#This Row],[Pod ID]])</f>
        <v>4</v>
      </c>
      <c r="I1229" s="6">
        <f>YEAR(GameLog[[#This Row],[Date]])</f>
        <v>2026</v>
      </c>
      <c r="J1229" s="6">
        <f>MONTH(GameLog[[#This Row],[Date]])</f>
        <v>3</v>
      </c>
      <c r="K1229" s="6" t="str">
        <f>IF(GameLog[[#This Row],[Date]]=MAX(GameLog[Date]),"Current","Previous")</f>
        <v>Previous</v>
      </c>
      <c r="L1229" s="6"/>
      <c r="M12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29" s="6" t="str">
        <f ca="1">IF(GameLog[[#This Row],[Check]]="","",COUNTIF(GameLog[[#Headers],[Check]]:GameLog[[#This Row],[Check]],"?*")-1)</f>
        <v/>
      </c>
      <c r="O1229" s="6" t="str">
        <f>IFERROR(INDEX(Players[New name],MATCH(GameLog[[#This Row],[Player]],Players[Name],0)),GameLog[[#This Row],[Player]])</f>
        <v>Brad F</v>
      </c>
    </row>
    <row r="1230" spans="1:15" x14ac:dyDescent="0.45">
      <c r="A1230" s="6" t="s">
        <v>83</v>
      </c>
      <c r="B1230" s="6" t="s">
        <v>53</v>
      </c>
      <c r="C1230" s="6">
        <v>3</v>
      </c>
      <c r="D1230" s="6">
        <v>1</v>
      </c>
      <c r="E1230" s="6">
        <v>1</v>
      </c>
      <c r="F1230" s="10">
        <v>46111</v>
      </c>
      <c r="G1230" s="6" t="str">
        <f>_xlfn.TEXTJOIN("|",TRUE,GameLog[[#This Row],[Pod]],TEXT(INT(GameLog[[#This Row],[Round]]),"yyyymmdd"),GameLog[[#This Row],[Date]])</f>
        <v>1|19000101|46111</v>
      </c>
      <c r="H1230" s="6">
        <f>COUNTIF(GameLog[Pod ID],GameLog[[#This Row],[Pod ID]])</f>
        <v>4</v>
      </c>
      <c r="I1230" s="6">
        <f>YEAR(GameLog[[#This Row],[Date]])</f>
        <v>2026</v>
      </c>
      <c r="J1230" s="6">
        <f>MONTH(GameLog[[#This Row],[Date]])</f>
        <v>3</v>
      </c>
      <c r="K1230" s="6" t="str">
        <f>IF(GameLog[[#This Row],[Date]]=MAX(GameLog[Date]),"Current","Previous")</f>
        <v>Previous</v>
      </c>
      <c r="L1230" s="6"/>
      <c r="M12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0" s="6" t="str">
        <f ca="1">IF(GameLog[[#This Row],[Check]]="","",COUNTIF(GameLog[[#Headers],[Check]]:GameLog[[#This Row],[Check]],"?*")-1)</f>
        <v/>
      </c>
      <c r="O1230" s="6" t="str">
        <f>IFERROR(INDEX(Players[New name],MATCH(GameLog[[#This Row],[Player]],Players[Name],0)),GameLog[[#This Row],[Player]])</f>
        <v>Devyn S</v>
      </c>
    </row>
    <row r="1231" spans="1:15" x14ac:dyDescent="0.45">
      <c r="A1231" s="6" t="s">
        <v>77</v>
      </c>
      <c r="B1231" s="6" t="s">
        <v>53</v>
      </c>
      <c r="C1231" s="6">
        <v>4</v>
      </c>
      <c r="D1231" s="6">
        <v>1</v>
      </c>
      <c r="E1231" s="6">
        <v>1</v>
      </c>
      <c r="F1231" s="10">
        <v>46111</v>
      </c>
      <c r="G1231" s="6" t="str">
        <f>_xlfn.TEXTJOIN("|",TRUE,GameLog[[#This Row],[Pod]],TEXT(INT(GameLog[[#This Row],[Round]]),"yyyymmdd"),GameLog[[#This Row],[Date]])</f>
        <v>1|19000101|46111</v>
      </c>
      <c r="H1231" s="6">
        <f>COUNTIF(GameLog[Pod ID],GameLog[[#This Row],[Pod ID]])</f>
        <v>4</v>
      </c>
      <c r="I1231" s="6">
        <f>YEAR(GameLog[[#This Row],[Date]])</f>
        <v>2026</v>
      </c>
      <c r="J1231" s="6">
        <f>MONTH(GameLog[[#This Row],[Date]])</f>
        <v>3</v>
      </c>
      <c r="K1231" s="6" t="str">
        <f>IF(GameLog[[#This Row],[Date]]=MAX(GameLog[Date]),"Current","Previous")</f>
        <v>Previous</v>
      </c>
      <c r="L1231" s="6"/>
      <c r="M12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1" s="6" t="str">
        <f ca="1">IF(GameLog[[#This Row],[Check]]="","",COUNTIF(GameLog[[#Headers],[Check]]:GameLog[[#This Row],[Check]],"?*")-1)</f>
        <v/>
      </c>
      <c r="O1231" s="6" t="str">
        <f>IFERROR(INDEX(Players[New name],MATCH(GameLog[[#This Row],[Player]],Players[Name],0)),GameLog[[#This Row],[Player]])</f>
        <v>Dave M</v>
      </c>
    </row>
    <row r="1232" spans="1:15" x14ac:dyDescent="0.45">
      <c r="A1232" s="6" t="s">
        <v>104</v>
      </c>
      <c r="B1232" s="6" t="s">
        <v>50</v>
      </c>
      <c r="C1232" s="6">
        <v>1</v>
      </c>
      <c r="D1232" s="6">
        <v>2</v>
      </c>
      <c r="E1232" s="6">
        <v>1</v>
      </c>
      <c r="F1232" s="10">
        <v>46111</v>
      </c>
      <c r="G1232" s="6" t="str">
        <f>_xlfn.TEXTJOIN("|",TRUE,GameLog[[#This Row],[Pod]],TEXT(INT(GameLog[[#This Row],[Round]]),"yyyymmdd"),GameLog[[#This Row],[Date]])</f>
        <v>2|19000101|46111</v>
      </c>
      <c r="H1232" s="6">
        <f>COUNTIF(GameLog[Pod ID],GameLog[[#This Row],[Pod ID]])</f>
        <v>4</v>
      </c>
      <c r="I1232" s="6">
        <f>YEAR(GameLog[[#This Row],[Date]])</f>
        <v>2026</v>
      </c>
      <c r="J1232" s="6">
        <f>MONTH(GameLog[[#This Row],[Date]])</f>
        <v>3</v>
      </c>
      <c r="K1232" s="6" t="str">
        <f>IF(GameLog[[#This Row],[Date]]=MAX(GameLog[Date]),"Current","Previous")</f>
        <v>Previous</v>
      </c>
      <c r="L1232" s="6"/>
      <c r="M12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2" s="6" t="str">
        <f ca="1">IF(GameLog[[#This Row],[Check]]="","",COUNTIF(GameLog[[#Headers],[Check]]:GameLog[[#This Row],[Check]],"?*")-1)</f>
        <v/>
      </c>
      <c r="O1232" s="6" t="str">
        <f>IFERROR(INDEX(Players[New name],MATCH(GameLog[[#This Row],[Player]],Players[Name],0)),GameLog[[#This Row],[Player]])</f>
        <v>Eric E</v>
      </c>
    </row>
    <row r="1233" spans="1:15" x14ac:dyDescent="0.45">
      <c r="A1233" s="6" t="s">
        <v>75</v>
      </c>
      <c r="B1233" s="6" t="s">
        <v>53</v>
      </c>
      <c r="C1233" s="6">
        <v>2</v>
      </c>
      <c r="D1233" s="6">
        <v>2</v>
      </c>
      <c r="E1233" s="6">
        <v>1</v>
      </c>
      <c r="F1233" s="10">
        <v>46111</v>
      </c>
      <c r="G1233" s="6" t="str">
        <f>_xlfn.TEXTJOIN("|",TRUE,GameLog[[#This Row],[Pod]],TEXT(INT(GameLog[[#This Row],[Round]]),"yyyymmdd"),GameLog[[#This Row],[Date]])</f>
        <v>2|19000101|46111</v>
      </c>
      <c r="H1233" s="6">
        <f>COUNTIF(GameLog[Pod ID],GameLog[[#This Row],[Pod ID]])</f>
        <v>4</v>
      </c>
      <c r="I1233" s="6">
        <f>YEAR(GameLog[[#This Row],[Date]])</f>
        <v>2026</v>
      </c>
      <c r="J1233" s="6">
        <f>MONTH(GameLog[[#This Row],[Date]])</f>
        <v>3</v>
      </c>
      <c r="K1233" s="6" t="str">
        <f>IF(GameLog[[#This Row],[Date]]=MAX(GameLog[Date]),"Current","Previous")</f>
        <v>Previous</v>
      </c>
      <c r="L1233" s="6"/>
      <c r="M12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3" s="6" t="str">
        <f ca="1">IF(GameLog[[#This Row],[Check]]="","",COUNTIF(GameLog[[#Headers],[Check]]:GameLog[[#This Row],[Check]],"?*")-1)</f>
        <v/>
      </c>
      <c r="O1233" s="6" t="str">
        <f>IFERROR(INDEX(Players[New name],MATCH(GameLog[[#This Row],[Player]],Players[Name],0)),GameLog[[#This Row],[Player]])</f>
        <v>Eli T</v>
      </c>
    </row>
    <row r="1234" spans="1:15" x14ac:dyDescent="0.45">
      <c r="A1234" s="6" t="s">
        <v>64</v>
      </c>
      <c r="B1234" s="6" t="s">
        <v>53</v>
      </c>
      <c r="C1234" s="6">
        <v>3</v>
      </c>
      <c r="D1234" s="6">
        <v>2</v>
      </c>
      <c r="E1234" s="6">
        <v>1</v>
      </c>
      <c r="F1234" s="10">
        <v>46111</v>
      </c>
      <c r="G1234" s="6" t="str">
        <f>_xlfn.TEXTJOIN("|",TRUE,GameLog[[#This Row],[Pod]],TEXT(INT(GameLog[[#This Row],[Round]]),"yyyymmdd"),GameLog[[#This Row],[Date]])</f>
        <v>2|19000101|46111</v>
      </c>
      <c r="H1234" s="6">
        <f>COUNTIF(GameLog[Pod ID],GameLog[[#This Row],[Pod ID]])</f>
        <v>4</v>
      </c>
      <c r="I1234" s="6">
        <f>YEAR(GameLog[[#This Row],[Date]])</f>
        <v>2026</v>
      </c>
      <c r="J1234" s="6">
        <f>MONTH(GameLog[[#This Row],[Date]])</f>
        <v>3</v>
      </c>
      <c r="K1234" s="6" t="str">
        <f>IF(GameLog[[#This Row],[Date]]=MAX(GameLog[Date]),"Current","Previous")</f>
        <v>Previous</v>
      </c>
      <c r="L1234" s="6"/>
      <c r="M12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4" s="6" t="str">
        <f ca="1">IF(GameLog[[#This Row],[Check]]="","",COUNTIF(GameLog[[#Headers],[Check]]:GameLog[[#This Row],[Check]],"?*")-1)</f>
        <v/>
      </c>
      <c r="O1234" s="6" t="str">
        <f>IFERROR(INDEX(Players[New name],MATCH(GameLog[[#This Row],[Player]],Players[Name],0)),GameLog[[#This Row],[Player]])</f>
        <v>Tyler B</v>
      </c>
    </row>
    <row r="1235" spans="1:15" x14ac:dyDescent="0.45">
      <c r="A1235" s="6" t="s">
        <v>98</v>
      </c>
      <c r="B1235" s="6" t="s">
        <v>53</v>
      </c>
      <c r="C1235" s="6">
        <v>4</v>
      </c>
      <c r="D1235" s="6">
        <v>2</v>
      </c>
      <c r="E1235" s="6">
        <v>1</v>
      </c>
      <c r="F1235" s="10">
        <v>46111</v>
      </c>
      <c r="G1235" s="6" t="str">
        <f>_xlfn.TEXTJOIN("|",TRUE,GameLog[[#This Row],[Pod]],TEXT(INT(GameLog[[#This Row],[Round]]),"yyyymmdd"),GameLog[[#This Row],[Date]])</f>
        <v>2|19000101|46111</v>
      </c>
      <c r="H1235" s="6">
        <f>COUNTIF(GameLog[Pod ID],GameLog[[#This Row],[Pod ID]])</f>
        <v>4</v>
      </c>
      <c r="I1235" s="6">
        <f>YEAR(GameLog[[#This Row],[Date]])</f>
        <v>2026</v>
      </c>
      <c r="J1235" s="6">
        <f>MONTH(GameLog[[#This Row],[Date]])</f>
        <v>3</v>
      </c>
      <c r="K1235" s="6" t="str">
        <f>IF(GameLog[[#This Row],[Date]]=MAX(GameLog[Date]),"Current","Previous")</f>
        <v>Previous</v>
      </c>
      <c r="L1235" s="6"/>
      <c r="M12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5" s="6" t="str">
        <f ca="1">IF(GameLog[[#This Row],[Check]]="","",COUNTIF(GameLog[[#Headers],[Check]]:GameLog[[#This Row],[Check]],"?*")-1)</f>
        <v/>
      </c>
      <c r="O1235" s="6" t="str">
        <f>IFERROR(INDEX(Players[New name],MATCH(GameLog[[#This Row],[Player]],Players[Name],0)),GameLog[[#This Row],[Player]])</f>
        <v>Charlie B</v>
      </c>
    </row>
    <row r="1236" spans="1:15" x14ac:dyDescent="0.45">
      <c r="A1236" s="6" t="s">
        <v>63</v>
      </c>
      <c r="B1236" s="6" t="s">
        <v>53</v>
      </c>
      <c r="C1236" s="6">
        <v>1</v>
      </c>
      <c r="D1236" s="6">
        <v>3</v>
      </c>
      <c r="E1236" s="6">
        <v>1</v>
      </c>
      <c r="F1236" s="10">
        <v>46111</v>
      </c>
      <c r="G1236" s="6" t="str">
        <f>_xlfn.TEXTJOIN("|",TRUE,GameLog[[#This Row],[Pod]],TEXT(INT(GameLog[[#This Row],[Round]]),"yyyymmdd"),GameLog[[#This Row],[Date]])</f>
        <v>3|19000101|46111</v>
      </c>
      <c r="H1236" s="6">
        <f>COUNTIF(GameLog[Pod ID],GameLog[[#This Row],[Pod ID]])</f>
        <v>4</v>
      </c>
      <c r="I1236" s="6">
        <f>YEAR(GameLog[[#This Row],[Date]])</f>
        <v>2026</v>
      </c>
      <c r="J1236" s="6">
        <f>MONTH(GameLog[[#This Row],[Date]])</f>
        <v>3</v>
      </c>
      <c r="K1236" s="6" t="str">
        <f>IF(GameLog[[#This Row],[Date]]=MAX(GameLog[Date]),"Current","Previous")</f>
        <v>Previous</v>
      </c>
      <c r="L1236" s="6"/>
      <c r="M12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6" s="6" t="str">
        <f ca="1">IF(GameLog[[#This Row],[Check]]="","",COUNTIF(GameLog[[#Headers],[Check]]:GameLog[[#This Row],[Check]],"?*")-1)</f>
        <v/>
      </c>
      <c r="O1236" s="6" t="str">
        <f>IFERROR(INDEX(Players[New name],MATCH(GameLog[[#This Row],[Player]],Players[Name],0)),GameLog[[#This Row],[Player]])</f>
        <v>Jake D</v>
      </c>
    </row>
    <row r="1237" spans="1:15" x14ac:dyDescent="0.45">
      <c r="A1237" s="6" t="s">
        <v>76</v>
      </c>
      <c r="B1237" s="6" t="s">
        <v>53</v>
      </c>
      <c r="C1237" s="6">
        <v>2</v>
      </c>
      <c r="D1237" s="6">
        <v>3</v>
      </c>
      <c r="E1237" s="6">
        <v>1</v>
      </c>
      <c r="F1237" s="10">
        <v>46111</v>
      </c>
      <c r="G1237" s="6" t="str">
        <f>_xlfn.TEXTJOIN("|",TRUE,GameLog[[#This Row],[Pod]],TEXT(INT(GameLog[[#This Row],[Round]]),"yyyymmdd"),GameLog[[#This Row],[Date]])</f>
        <v>3|19000101|46111</v>
      </c>
      <c r="H1237" s="6">
        <f>COUNTIF(GameLog[Pod ID],GameLog[[#This Row],[Pod ID]])</f>
        <v>4</v>
      </c>
      <c r="I1237" s="6">
        <f>YEAR(GameLog[[#This Row],[Date]])</f>
        <v>2026</v>
      </c>
      <c r="J1237" s="6">
        <f>MONTH(GameLog[[#This Row],[Date]])</f>
        <v>3</v>
      </c>
      <c r="K1237" s="6" t="str">
        <f>IF(GameLog[[#This Row],[Date]]=MAX(GameLog[Date]),"Current","Previous")</f>
        <v>Previous</v>
      </c>
      <c r="L1237" s="6"/>
      <c r="M12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7" s="6" t="str">
        <f ca="1">IF(GameLog[[#This Row],[Check]]="","",COUNTIF(GameLog[[#Headers],[Check]]:GameLog[[#This Row],[Check]],"?*")-1)</f>
        <v/>
      </c>
      <c r="O1237" s="6" t="str">
        <f>IFERROR(INDEX(Players[New name],MATCH(GameLog[[#This Row],[Player]],Players[Name],0)),GameLog[[#This Row],[Player]])</f>
        <v>Jon M</v>
      </c>
    </row>
    <row r="1238" spans="1:15" x14ac:dyDescent="0.45">
      <c r="A1238" s="6" t="s">
        <v>91</v>
      </c>
      <c r="B1238" s="6" t="s">
        <v>53</v>
      </c>
      <c r="C1238" s="6">
        <v>3</v>
      </c>
      <c r="D1238" s="6">
        <v>3</v>
      </c>
      <c r="E1238" s="6">
        <v>1</v>
      </c>
      <c r="F1238" s="10">
        <v>46111</v>
      </c>
      <c r="G1238" s="6" t="str">
        <f>_xlfn.TEXTJOIN("|",TRUE,GameLog[[#This Row],[Pod]],TEXT(INT(GameLog[[#This Row],[Round]]),"yyyymmdd"),GameLog[[#This Row],[Date]])</f>
        <v>3|19000101|46111</v>
      </c>
      <c r="H1238" s="6">
        <f>COUNTIF(GameLog[Pod ID],GameLog[[#This Row],[Pod ID]])</f>
        <v>4</v>
      </c>
      <c r="I1238" s="6">
        <f>YEAR(GameLog[[#This Row],[Date]])</f>
        <v>2026</v>
      </c>
      <c r="J1238" s="6">
        <f>MONTH(GameLog[[#This Row],[Date]])</f>
        <v>3</v>
      </c>
      <c r="K1238" s="6" t="str">
        <f>IF(GameLog[[#This Row],[Date]]=MAX(GameLog[Date]),"Current","Previous")</f>
        <v>Previous</v>
      </c>
      <c r="L1238" s="6"/>
      <c r="M12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8" s="6" t="str">
        <f ca="1">IF(GameLog[[#This Row],[Check]]="","",COUNTIF(GameLog[[#Headers],[Check]]:GameLog[[#This Row],[Check]],"?*")-1)</f>
        <v/>
      </c>
      <c r="O1238" s="6" t="str">
        <f>IFERROR(INDEX(Players[New name],MATCH(GameLog[[#This Row],[Player]],Players[Name],0)),GameLog[[#This Row],[Player]])</f>
        <v>Isaac B</v>
      </c>
    </row>
    <row r="1239" spans="1:15" x14ac:dyDescent="0.45">
      <c r="A1239" s="6" t="s">
        <v>60</v>
      </c>
      <c r="B1239" s="6" t="s">
        <v>50</v>
      </c>
      <c r="C1239" s="6">
        <v>4</v>
      </c>
      <c r="D1239" s="6">
        <v>3</v>
      </c>
      <c r="E1239" s="6">
        <v>1</v>
      </c>
      <c r="F1239" s="10">
        <v>46111</v>
      </c>
      <c r="G1239" s="6" t="str">
        <f>_xlfn.TEXTJOIN("|",TRUE,GameLog[[#This Row],[Pod]],TEXT(INT(GameLog[[#This Row],[Round]]),"yyyymmdd"),GameLog[[#This Row],[Date]])</f>
        <v>3|19000101|46111</v>
      </c>
      <c r="H1239" s="6">
        <f>COUNTIF(GameLog[Pod ID],GameLog[[#This Row],[Pod ID]])</f>
        <v>4</v>
      </c>
      <c r="I1239" s="6">
        <f>YEAR(GameLog[[#This Row],[Date]])</f>
        <v>2026</v>
      </c>
      <c r="J1239" s="6">
        <f>MONTH(GameLog[[#This Row],[Date]])</f>
        <v>3</v>
      </c>
      <c r="K1239" s="6" t="str">
        <f>IF(GameLog[[#This Row],[Date]]=MAX(GameLog[Date]),"Current","Previous")</f>
        <v>Previous</v>
      </c>
      <c r="L1239" s="6"/>
      <c r="M12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39" s="6" t="str">
        <f ca="1">IF(GameLog[[#This Row],[Check]]="","",COUNTIF(GameLog[[#Headers],[Check]]:GameLog[[#This Row],[Check]],"?*")-1)</f>
        <v/>
      </c>
      <c r="O1239" s="6" t="str">
        <f>IFERROR(INDEX(Players[New name],MATCH(GameLog[[#This Row],[Player]],Players[Name],0)),GameLog[[#This Row],[Player]])</f>
        <v>Brendan H</v>
      </c>
    </row>
    <row r="1240" spans="1:15" x14ac:dyDescent="0.45">
      <c r="A1240" s="6" t="s">
        <v>78</v>
      </c>
      <c r="B1240" s="6" t="s">
        <v>50</v>
      </c>
      <c r="C1240" s="6">
        <v>1</v>
      </c>
      <c r="D1240" s="6">
        <v>4</v>
      </c>
      <c r="E1240" s="6">
        <v>1</v>
      </c>
      <c r="F1240" s="10">
        <v>46111</v>
      </c>
      <c r="G1240" s="6" t="str">
        <f>_xlfn.TEXTJOIN("|",TRUE,GameLog[[#This Row],[Pod]],TEXT(INT(GameLog[[#This Row],[Round]]),"yyyymmdd"),GameLog[[#This Row],[Date]])</f>
        <v>4|19000101|46111</v>
      </c>
      <c r="H1240" s="6">
        <f>COUNTIF(GameLog[Pod ID],GameLog[[#This Row],[Pod ID]])</f>
        <v>3</v>
      </c>
      <c r="I1240" s="6">
        <f>YEAR(GameLog[[#This Row],[Date]])</f>
        <v>2026</v>
      </c>
      <c r="J1240" s="6">
        <f>MONTH(GameLog[[#This Row],[Date]])</f>
        <v>3</v>
      </c>
      <c r="K1240" s="6" t="str">
        <f>IF(GameLog[[#This Row],[Date]]=MAX(GameLog[Date]),"Current","Previous")</f>
        <v>Previous</v>
      </c>
      <c r="L1240" s="6"/>
      <c r="M12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0" s="6" t="str">
        <f ca="1">IF(GameLog[[#This Row],[Check]]="","",COUNTIF(GameLog[[#Headers],[Check]]:GameLog[[#This Row],[Check]],"?*")-1)</f>
        <v/>
      </c>
      <c r="O1240" s="6" t="str">
        <f>IFERROR(INDEX(Players[New name],MATCH(GameLog[[#This Row],[Player]],Players[Name],0)),GameLog[[#This Row],[Player]])</f>
        <v>Justin M</v>
      </c>
    </row>
    <row r="1241" spans="1:15" x14ac:dyDescent="0.45">
      <c r="A1241" s="6" t="s">
        <v>61</v>
      </c>
      <c r="B1241" s="6" t="s">
        <v>53</v>
      </c>
      <c r="C1241" s="6">
        <v>2</v>
      </c>
      <c r="D1241" s="6">
        <v>4</v>
      </c>
      <c r="E1241" s="6">
        <v>1</v>
      </c>
      <c r="F1241" s="10">
        <v>46111</v>
      </c>
      <c r="G1241" s="6" t="str">
        <f>_xlfn.TEXTJOIN("|",TRUE,GameLog[[#This Row],[Pod]],TEXT(INT(GameLog[[#This Row],[Round]]),"yyyymmdd"),GameLog[[#This Row],[Date]])</f>
        <v>4|19000101|46111</v>
      </c>
      <c r="H1241" s="6">
        <f>COUNTIF(GameLog[Pod ID],GameLog[[#This Row],[Pod ID]])</f>
        <v>3</v>
      </c>
      <c r="I1241" s="6">
        <f>YEAR(GameLog[[#This Row],[Date]])</f>
        <v>2026</v>
      </c>
      <c r="J1241" s="6">
        <f>MONTH(GameLog[[#This Row],[Date]])</f>
        <v>3</v>
      </c>
      <c r="K1241" s="6" t="str">
        <f>IF(GameLog[[#This Row],[Date]]=MAX(GameLog[Date]),"Current","Previous")</f>
        <v>Previous</v>
      </c>
      <c r="L1241" s="6"/>
      <c r="M12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1" s="6" t="str">
        <f ca="1">IF(GameLog[[#This Row],[Check]]="","",COUNTIF(GameLog[[#Headers],[Check]]:GameLog[[#This Row],[Check]],"?*")-1)</f>
        <v/>
      </c>
      <c r="O1241" s="6" t="str">
        <f>IFERROR(INDEX(Players[New name],MATCH(GameLog[[#This Row],[Player]],Players[Name],0)),GameLog[[#This Row],[Player]])</f>
        <v>Trevor</v>
      </c>
    </row>
    <row r="1242" spans="1:15" x14ac:dyDescent="0.45">
      <c r="A1242" s="6" t="s">
        <v>49</v>
      </c>
      <c r="B1242" s="6" t="s">
        <v>53</v>
      </c>
      <c r="C1242" s="6">
        <v>3</v>
      </c>
      <c r="D1242" s="6">
        <v>4</v>
      </c>
      <c r="E1242" s="6">
        <v>1</v>
      </c>
      <c r="F1242" s="10">
        <v>46111</v>
      </c>
      <c r="G1242" s="6" t="str">
        <f>_xlfn.TEXTJOIN("|",TRUE,GameLog[[#This Row],[Pod]],TEXT(INT(GameLog[[#This Row],[Round]]),"yyyymmdd"),GameLog[[#This Row],[Date]])</f>
        <v>4|19000101|46111</v>
      </c>
      <c r="H1242" s="6">
        <f>COUNTIF(GameLog[Pod ID],GameLog[[#This Row],[Pod ID]])</f>
        <v>3</v>
      </c>
      <c r="I1242" s="6">
        <f>YEAR(GameLog[[#This Row],[Date]])</f>
        <v>2026</v>
      </c>
      <c r="J1242" s="6">
        <f>MONTH(GameLog[[#This Row],[Date]])</f>
        <v>3</v>
      </c>
      <c r="K1242" s="6" t="str">
        <f>IF(GameLog[[#This Row],[Date]]=MAX(GameLog[Date]),"Current","Previous")</f>
        <v>Previous</v>
      </c>
      <c r="L1242" s="6"/>
      <c r="M12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2" s="6" t="str">
        <f ca="1">IF(GameLog[[#This Row],[Check]]="","",COUNTIF(GameLog[[#Headers],[Check]]:GameLog[[#This Row],[Check]],"?*")-1)</f>
        <v/>
      </c>
      <c r="O1242" s="6" t="str">
        <f>IFERROR(INDEX(Players[New name],MATCH(GameLog[[#This Row],[Player]],Players[Name],0)),GameLog[[#This Row],[Player]])</f>
        <v>Brett R</v>
      </c>
    </row>
    <row r="1243" spans="1:15" x14ac:dyDescent="0.45">
      <c r="A1243" s="6" t="s">
        <v>96</v>
      </c>
      <c r="B1243" s="6" t="s">
        <v>50</v>
      </c>
      <c r="C1243" s="6">
        <v>1</v>
      </c>
      <c r="D1243" s="6">
        <v>5</v>
      </c>
      <c r="E1243" s="6">
        <v>1</v>
      </c>
      <c r="F1243" s="10">
        <v>46111</v>
      </c>
      <c r="G1243" s="6" t="str">
        <f>_xlfn.TEXTJOIN("|",TRUE,GameLog[[#This Row],[Pod]],TEXT(INT(GameLog[[#This Row],[Round]]),"yyyymmdd"),GameLog[[#This Row],[Date]])</f>
        <v>5|19000101|46111</v>
      </c>
      <c r="H1243" s="6">
        <f>COUNTIF(GameLog[Pod ID],GameLog[[#This Row],[Pod ID]])</f>
        <v>3</v>
      </c>
      <c r="I1243" s="6">
        <f>YEAR(GameLog[[#This Row],[Date]])</f>
        <v>2026</v>
      </c>
      <c r="J1243" s="6">
        <f>MONTH(GameLog[[#This Row],[Date]])</f>
        <v>3</v>
      </c>
      <c r="K1243" s="6" t="str">
        <f>IF(GameLog[[#This Row],[Date]]=MAX(GameLog[Date]),"Current","Previous")</f>
        <v>Previous</v>
      </c>
      <c r="L1243" s="6"/>
      <c r="M12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3" s="6" t="str">
        <f ca="1">IF(GameLog[[#This Row],[Check]]="","",COUNTIF(GameLog[[#Headers],[Check]]:GameLog[[#This Row],[Check]],"?*")-1)</f>
        <v/>
      </c>
      <c r="O1243" s="6" t="str">
        <f>IFERROR(INDEX(Players[New name],MATCH(GameLog[[#This Row],[Player]],Players[Name],0)),GameLog[[#This Row],[Player]])</f>
        <v>Brandon A</v>
      </c>
    </row>
    <row r="1244" spans="1:15" x14ac:dyDescent="0.45">
      <c r="A1244" s="6" t="s">
        <v>97</v>
      </c>
      <c r="B1244" s="6" t="s">
        <v>53</v>
      </c>
      <c r="C1244" s="6">
        <v>2</v>
      </c>
      <c r="D1244" s="6">
        <v>5</v>
      </c>
      <c r="E1244" s="6">
        <v>1</v>
      </c>
      <c r="F1244" s="10">
        <v>46111</v>
      </c>
      <c r="G1244" s="6" t="str">
        <f>_xlfn.TEXTJOIN("|",TRUE,GameLog[[#This Row],[Pod]],TEXT(INT(GameLog[[#This Row],[Round]]),"yyyymmdd"),GameLog[[#This Row],[Date]])</f>
        <v>5|19000101|46111</v>
      </c>
      <c r="H1244" s="6">
        <f>COUNTIF(GameLog[Pod ID],GameLog[[#This Row],[Pod ID]])</f>
        <v>3</v>
      </c>
      <c r="I1244" s="6">
        <f>YEAR(GameLog[[#This Row],[Date]])</f>
        <v>2026</v>
      </c>
      <c r="J1244" s="6">
        <f>MONTH(GameLog[[#This Row],[Date]])</f>
        <v>3</v>
      </c>
      <c r="K1244" s="6" t="str">
        <f>IF(GameLog[[#This Row],[Date]]=MAX(GameLog[Date]),"Current","Previous")</f>
        <v>Previous</v>
      </c>
      <c r="L1244" s="6"/>
      <c r="M12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4" s="6" t="str">
        <f ca="1">IF(GameLog[[#This Row],[Check]]="","",COUNTIF(GameLog[[#Headers],[Check]]:GameLog[[#This Row],[Check]],"?*")-1)</f>
        <v/>
      </c>
      <c r="O1244" s="6" t="str">
        <f>IFERROR(INDEX(Players[New name],MATCH(GameLog[[#This Row],[Player]],Players[Name],0)),GameLog[[#This Row],[Player]])</f>
        <v>Arman H</v>
      </c>
    </row>
    <row r="1245" spans="1:15" x14ac:dyDescent="0.45">
      <c r="A1245" s="6" t="s">
        <v>68</v>
      </c>
      <c r="B1245" s="6" t="s">
        <v>53</v>
      </c>
      <c r="C1245" s="6">
        <v>3</v>
      </c>
      <c r="D1245" s="6">
        <v>5</v>
      </c>
      <c r="E1245" s="6">
        <v>1</v>
      </c>
      <c r="F1245" s="10">
        <v>46111</v>
      </c>
      <c r="G1245" s="6" t="str">
        <f>_xlfn.TEXTJOIN("|",TRUE,GameLog[[#This Row],[Pod]],TEXT(INT(GameLog[[#This Row],[Round]]),"yyyymmdd"),GameLog[[#This Row],[Date]])</f>
        <v>5|19000101|46111</v>
      </c>
      <c r="H1245" s="6">
        <f>COUNTIF(GameLog[Pod ID],GameLog[[#This Row],[Pod ID]])</f>
        <v>3</v>
      </c>
      <c r="I1245" s="6">
        <f>YEAR(GameLog[[#This Row],[Date]])</f>
        <v>2026</v>
      </c>
      <c r="J1245" s="6">
        <f>MONTH(GameLog[[#This Row],[Date]])</f>
        <v>3</v>
      </c>
      <c r="K1245" s="6" t="str">
        <f>IF(GameLog[[#This Row],[Date]]=MAX(GameLog[Date]),"Current","Previous")</f>
        <v>Previous</v>
      </c>
      <c r="L1245" s="6"/>
      <c r="M12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5" s="6" t="str">
        <f ca="1">IF(GameLog[[#This Row],[Check]]="","",COUNTIF(GameLog[[#Headers],[Check]]:GameLog[[#This Row],[Check]],"?*")-1)</f>
        <v/>
      </c>
      <c r="O1245" s="6" t="str">
        <f>IFERROR(INDEX(Players[New name],MATCH(GameLog[[#This Row],[Player]],Players[Name],0)),GameLog[[#This Row],[Player]])</f>
        <v>Edwin M</v>
      </c>
    </row>
    <row r="1246" spans="1:15" x14ac:dyDescent="0.45">
      <c r="A1246" s="6" t="s">
        <v>57</v>
      </c>
      <c r="B1246" s="6" t="s">
        <v>53</v>
      </c>
      <c r="C1246" s="6">
        <v>1</v>
      </c>
      <c r="D1246" s="6">
        <v>6</v>
      </c>
      <c r="E1246" s="6">
        <v>1</v>
      </c>
      <c r="F1246" s="10">
        <v>46111</v>
      </c>
      <c r="G1246" s="6" t="str">
        <f>_xlfn.TEXTJOIN("|",TRUE,GameLog[[#This Row],[Pod]],TEXT(INT(GameLog[[#This Row],[Round]]),"yyyymmdd"),GameLog[[#This Row],[Date]])</f>
        <v>6|19000101|46111</v>
      </c>
      <c r="H1246" s="6">
        <f>COUNTIF(GameLog[Pod ID],GameLog[[#This Row],[Pod ID]])</f>
        <v>3</v>
      </c>
      <c r="I1246" s="6">
        <f>YEAR(GameLog[[#This Row],[Date]])</f>
        <v>2026</v>
      </c>
      <c r="J1246" s="6">
        <f>MONTH(GameLog[[#This Row],[Date]])</f>
        <v>3</v>
      </c>
      <c r="K1246" s="6" t="str">
        <f>IF(GameLog[[#This Row],[Date]]=MAX(GameLog[Date]),"Current","Previous")</f>
        <v>Previous</v>
      </c>
      <c r="L1246" s="6"/>
      <c r="M12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6" s="6" t="str">
        <f ca="1">IF(GameLog[[#This Row],[Check]]="","",COUNTIF(GameLog[[#Headers],[Check]]:GameLog[[#This Row],[Check]],"?*")-1)</f>
        <v/>
      </c>
      <c r="O1246" s="6" t="str">
        <f>IFERROR(INDEX(Players[New name],MATCH(GameLog[[#This Row],[Player]],Players[Name],0)),GameLog[[#This Row],[Player]])</f>
        <v>AJ W</v>
      </c>
    </row>
    <row r="1247" spans="1:15" x14ac:dyDescent="0.45">
      <c r="A1247" s="6" t="s">
        <v>73</v>
      </c>
      <c r="B1247" s="6" t="s">
        <v>53</v>
      </c>
      <c r="C1247" s="6">
        <v>2</v>
      </c>
      <c r="D1247" s="6">
        <v>6</v>
      </c>
      <c r="E1247" s="6">
        <v>1</v>
      </c>
      <c r="F1247" s="10">
        <v>46111</v>
      </c>
      <c r="G1247" s="6" t="str">
        <f>_xlfn.TEXTJOIN("|",TRUE,GameLog[[#This Row],[Pod]],TEXT(INT(GameLog[[#This Row],[Round]]),"yyyymmdd"),GameLog[[#This Row],[Date]])</f>
        <v>6|19000101|46111</v>
      </c>
      <c r="H1247" s="6">
        <f>COUNTIF(GameLog[Pod ID],GameLog[[#This Row],[Pod ID]])</f>
        <v>3</v>
      </c>
      <c r="I1247" s="6">
        <f>YEAR(GameLog[[#This Row],[Date]])</f>
        <v>2026</v>
      </c>
      <c r="J1247" s="6">
        <f>MONTH(GameLog[[#This Row],[Date]])</f>
        <v>3</v>
      </c>
      <c r="K1247" s="6" t="str">
        <f>IF(GameLog[[#This Row],[Date]]=MAX(GameLog[Date]),"Current","Previous")</f>
        <v>Previous</v>
      </c>
      <c r="L1247" s="6"/>
      <c r="M12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7" s="6" t="str">
        <f ca="1">IF(GameLog[[#This Row],[Check]]="","",COUNTIF(GameLog[[#Headers],[Check]]:GameLog[[#This Row],[Check]],"?*")-1)</f>
        <v/>
      </c>
      <c r="O1247" s="6" t="str">
        <f>IFERROR(INDEX(Players[New name],MATCH(GameLog[[#This Row],[Player]],Players[Name],0)),GameLog[[#This Row],[Player]])</f>
        <v>Brandon B</v>
      </c>
    </row>
    <row r="1248" spans="1:15" x14ac:dyDescent="0.45">
      <c r="A1248" s="6" t="s">
        <v>55</v>
      </c>
      <c r="B1248" s="6" t="s">
        <v>50</v>
      </c>
      <c r="C1248" s="6">
        <v>3</v>
      </c>
      <c r="D1248" s="6">
        <v>6</v>
      </c>
      <c r="E1248" s="6">
        <v>1</v>
      </c>
      <c r="F1248" s="10">
        <v>46111</v>
      </c>
      <c r="G1248" s="6" t="str">
        <f>_xlfn.TEXTJOIN("|",TRUE,GameLog[[#This Row],[Pod]],TEXT(INT(GameLog[[#This Row],[Round]]),"yyyymmdd"),GameLog[[#This Row],[Date]])</f>
        <v>6|19000101|46111</v>
      </c>
      <c r="H1248" s="6">
        <f>COUNTIF(GameLog[Pod ID],GameLog[[#This Row],[Pod ID]])</f>
        <v>3</v>
      </c>
      <c r="I1248" s="6">
        <f>YEAR(GameLog[[#This Row],[Date]])</f>
        <v>2026</v>
      </c>
      <c r="J1248" s="6">
        <f>MONTH(GameLog[[#This Row],[Date]])</f>
        <v>3</v>
      </c>
      <c r="K1248" s="6" t="str">
        <f>IF(GameLog[[#This Row],[Date]]=MAX(GameLog[Date]),"Current","Previous")</f>
        <v>Previous</v>
      </c>
      <c r="L1248" s="6"/>
      <c r="M12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8" s="6" t="str">
        <f ca="1">IF(GameLog[[#This Row],[Check]]="","",COUNTIF(GameLog[[#Headers],[Check]]:GameLog[[#This Row],[Check]],"?*")-1)</f>
        <v/>
      </c>
      <c r="O1248" s="6" t="str">
        <f>IFERROR(INDEX(Players[New name],MATCH(GameLog[[#This Row],[Player]],Players[Name],0)),GameLog[[#This Row],[Player]])</f>
        <v>Bryce C</v>
      </c>
    </row>
    <row r="1249" spans="1:15" x14ac:dyDescent="0.45">
      <c r="A1249" s="6" t="s">
        <v>98</v>
      </c>
      <c r="B1249" s="6" t="s">
        <v>50</v>
      </c>
      <c r="C1249" s="6">
        <v>1</v>
      </c>
      <c r="D1249" s="6">
        <v>1</v>
      </c>
      <c r="E1249" s="6">
        <v>2</v>
      </c>
      <c r="F1249" s="10">
        <v>46111</v>
      </c>
      <c r="G1249" s="6" t="str">
        <f>_xlfn.TEXTJOIN("|",TRUE,GameLog[[#This Row],[Pod]],TEXT(INT(GameLog[[#This Row],[Round]]),"yyyymmdd"),GameLog[[#This Row],[Date]])</f>
        <v>1|19000102|46111</v>
      </c>
      <c r="H1249" s="6">
        <f>COUNTIF(GameLog[Pod ID],GameLog[[#This Row],[Pod ID]])</f>
        <v>3</v>
      </c>
      <c r="I1249" s="6">
        <f>YEAR(GameLog[[#This Row],[Date]])</f>
        <v>2026</v>
      </c>
      <c r="J1249" s="6">
        <f>MONTH(GameLog[[#This Row],[Date]])</f>
        <v>3</v>
      </c>
      <c r="K1249" s="6" t="str">
        <f>IF(GameLog[[#This Row],[Date]]=MAX(GameLog[Date]),"Current","Previous")</f>
        <v>Previous</v>
      </c>
      <c r="L1249" s="6"/>
      <c r="M12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49" s="6" t="str">
        <f ca="1">IF(GameLog[[#This Row],[Check]]="","",COUNTIF(GameLog[[#Headers],[Check]]:GameLog[[#This Row],[Check]],"?*")-1)</f>
        <v/>
      </c>
      <c r="O1249" s="6" t="str">
        <f>IFERROR(INDEX(Players[New name],MATCH(GameLog[[#This Row],[Player]],Players[Name],0)),GameLog[[#This Row],[Player]])</f>
        <v>Charlie B</v>
      </c>
    </row>
    <row r="1250" spans="1:15" x14ac:dyDescent="0.45">
      <c r="A1250" s="6" t="s">
        <v>73</v>
      </c>
      <c r="B1250" s="6" t="s">
        <v>53</v>
      </c>
      <c r="C1250" s="6">
        <v>2</v>
      </c>
      <c r="D1250" s="6">
        <v>1</v>
      </c>
      <c r="E1250" s="6">
        <v>2</v>
      </c>
      <c r="F1250" s="10">
        <v>46111</v>
      </c>
      <c r="G1250" s="6" t="str">
        <f>_xlfn.TEXTJOIN("|",TRUE,GameLog[[#This Row],[Pod]],TEXT(INT(GameLog[[#This Row],[Round]]),"yyyymmdd"),GameLog[[#This Row],[Date]])</f>
        <v>1|19000102|46111</v>
      </c>
      <c r="H1250" s="6">
        <f>COUNTIF(GameLog[Pod ID],GameLog[[#This Row],[Pod ID]])</f>
        <v>3</v>
      </c>
      <c r="I1250" s="6">
        <f>YEAR(GameLog[[#This Row],[Date]])</f>
        <v>2026</v>
      </c>
      <c r="J1250" s="6">
        <f>MONTH(GameLog[[#This Row],[Date]])</f>
        <v>3</v>
      </c>
      <c r="K1250" s="6" t="str">
        <f>IF(GameLog[[#This Row],[Date]]=MAX(GameLog[Date]),"Current","Previous")</f>
        <v>Previous</v>
      </c>
      <c r="L1250" s="6"/>
      <c r="M12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0" s="6" t="str">
        <f ca="1">IF(GameLog[[#This Row],[Check]]="","",COUNTIF(GameLog[[#Headers],[Check]]:GameLog[[#This Row],[Check]],"?*")-1)</f>
        <v/>
      </c>
      <c r="O1250" s="6" t="str">
        <f>IFERROR(INDEX(Players[New name],MATCH(GameLog[[#This Row],[Player]],Players[Name],0)),GameLog[[#This Row],[Player]])</f>
        <v>Brandon B</v>
      </c>
    </row>
    <row r="1251" spans="1:15" x14ac:dyDescent="0.45">
      <c r="A1251" s="6" t="s">
        <v>63</v>
      </c>
      <c r="B1251" s="6" t="s">
        <v>53</v>
      </c>
      <c r="C1251" s="6">
        <v>3</v>
      </c>
      <c r="D1251" s="6">
        <v>1</v>
      </c>
      <c r="E1251" s="6">
        <v>2</v>
      </c>
      <c r="F1251" s="10">
        <v>46111</v>
      </c>
      <c r="G1251" s="6" t="str">
        <f>_xlfn.TEXTJOIN("|",TRUE,GameLog[[#This Row],[Pod]],TEXT(INT(GameLog[[#This Row],[Round]]),"yyyymmdd"),GameLog[[#This Row],[Date]])</f>
        <v>1|19000102|46111</v>
      </c>
      <c r="H1251" s="6">
        <f>COUNTIF(GameLog[Pod ID],GameLog[[#This Row],[Pod ID]])</f>
        <v>3</v>
      </c>
      <c r="I1251" s="6">
        <f>YEAR(GameLog[[#This Row],[Date]])</f>
        <v>2026</v>
      </c>
      <c r="J1251" s="6">
        <f>MONTH(GameLog[[#This Row],[Date]])</f>
        <v>3</v>
      </c>
      <c r="K1251" s="6" t="str">
        <f>IF(GameLog[[#This Row],[Date]]=MAX(GameLog[Date]),"Current","Previous")</f>
        <v>Previous</v>
      </c>
      <c r="L1251" s="6"/>
      <c r="M12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1" s="6" t="str">
        <f ca="1">IF(GameLog[[#This Row],[Check]]="","",COUNTIF(GameLog[[#Headers],[Check]]:GameLog[[#This Row],[Check]],"?*")-1)</f>
        <v/>
      </c>
      <c r="O1251" s="6" t="str">
        <f>IFERROR(INDEX(Players[New name],MATCH(GameLog[[#This Row],[Player]],Players[Name],0)),GameLog[[#This Row],[Player]])</f>
        <v>Jake D</v>
      </c>
    </row>
    <row r="1252" spans="1:15" x14ac:dyDescent="0.45">
      <c r="A1252" s="6" t="s">
        <v>83</v>
      </c>
      <c r="B1252" s="6" t="s">
        <v>53</v>
      </c>
      <c r="C1252" s="6">
        <v>1</v>
      </c>
      <c r="D1252" s="6">
        <v>2</v>
      </c>
      <c r="E1252" s="6">
        <v>2</v>
      </c>
      <c r="F1252" s="10">
        <v>46111</v>
      </c>
      <c r="G1252" s="6" t="str">
        <f>_xlfn.TEXTJOIN("|",TRUE,GameLog[[#This Row],[Pod]],TEXT(INT(GameLog[[#This Row],[Round]]),"yyyymmdd"),GameLog[[#This Row],[Date]])</f>
        <v>2|19000102|46111</v>
      </c>
      <c r="H1252" s="6">
        <f>COUNTIF(GameLog[Pod ID],GameLog[[#This Row],[Pod ID]])</f>
        <v>3</v>
      </c>
      <c r="I1252" s="6">
        <f>YEAR(GameLog[[#This Row],[Date]])</f>
        <v>2026</v>
      </c>
      <c r="J1252" s="6">
        <f>MONTH(GameLog[[#This Row],[Date]])</f>
        <v>3</v>
      </c>
      <c r="K1252" s="6" t="str">
        <f>IF(GameLog[[#This Row],[Date]]=MAX(GameLog[Date]),"Current","Previous")</f>
        <v>Previous</v>
      </c>
      <c r="L1252" s="6"/>
      <c r="M12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2" s="6" t="str">
        <f ca="1">IF(GameLog[[#This Row],[Check]]="","",COUNTIF(GameLog[[#Headers],[Check]]:GameLog[[#This Row],[Check]],"?*")-1)</f>
        <v/>
      </c>
      <c r="O1252" s="6" t="str">
        <f>IFERROR(INDEX(Players[New name],MATCH(GameLog[[#This Row],[Player]],Players[Name],0)),GameLog[[#This Row],[Player]])</f>
        <v>Devyn S</v>
      </c>
    </row>
    <row r="1253" spans="1:15" x14ac:dyDescent="0.45">
      <c r="A1253" s="6" t="s">
        <v>76</v>
      </c>
      <c r="B1253" s="6" t="s">
        <v>53</v>
      </c>
      <c r="C1253" s="6">
        <v>2</v>
      </c>
      <c r="D1253" s="6">
        <v>2</v>
      </c>
      <c r="E1253" s="6">
        <v>2</v>
      </c>
      <c r="F1253" s="10">
        <v>46111</v>
      </c>
      <c r="G1253" s="6" t="str">
        <f>_xlfn.TEXTJOIN("|",TRUE,GameLog[[#This Row],[Pod]],TEXT(INT(GameLog[[#This Row],[Round]]),"yyyymmdd"),GameLog[[#This Row],[Date]])</f>
        <v>2|19000102|46111</v>
      </c>
      <c r="H1253" s="6">
        <f>COUNTIF(GameLog[Pod ID],GameLog[[#This Row],[Pod ID]])</f>
        <v>3</v>
      </c>
      <c r="I1253" s="6">
        <f>YEAR(GameLog[[#This Row],[Date]])</f>
        <v>2026</v>
      </c>
      <c r="J1253" s="6">
        <f>MONTH(GameLog[[#This Row],[Date]])</f>
        <v>3</v>
      </c>
      <c r="K1253" s="6" t="str">
        <f>IF(GameLog[[#This Row],[Date]]=MAX(GameLog[Date]),"Current","Previous")</f>
        <v>Previous</v>
      </c>
      <c r="L1253" s="6"/>
      <c r="M12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3" s="6" t="str">
        <f ca="1">IF(GameLog[[#This Row],[Check]]="","",COUNTIF(GameLog[[#Headers],[Check]]:GameLog[[#This Row],[Check]],"?*")-1)</f>
        <v/>
      </c>
      <c r="O1253" s="6" t="str">
        <f>IFERROR(INDEX(Players[New name],MATCH(GameLog[[#This Row],[Player]],Players[Name],0)),GameLog[[#This Row],[Player]])</f>
        <v>Jon M</v>
      </c>
    </row>
    <row r="1254" spans="1:15" x14ac:dyDescent="0.45">
      <c r="A1254" s="6" t="s">
        <v>64</v>
      </c>
      <c r="B1254" s="6" t="s">
        <v>50</v>
      </c>
      <c r="C1254" s="6">
        <v>3</v>
      </c>
      <c r="D1254" s="6">
        <v>2</v>
      </c>
      <c r="E1254" s="6">
        <v>2</v>
      </c>
      <c r="F1254" s="10">
        <v>46111</v>
      </c>
      <c r="G1254" s="6" t="str">
        <f>_xlfn.TEXTJOIN("|",TRUE,GameLog[[#This Row],[Pod]],TEXT(INT(GameLog[[#This Row],[Round]]),"yyyymmdd"),GameLog[[#This Row],[Date]])</f>
        <v>2|19000102|46111</v>
      </c>
      <c r="H1254" s="6">
        <f>COUNTIF(GameLog[Pod ID],GameLog[[#This Row],[Pod ID]])</f>
        <v>3</v>
      </c>
      <c r="I1254" s="6">
        <f>YEAR(GameLog[[#This Row],[Date]])</f>
        <v>2026</v>
      </c>
      <c r="J1254" s="6">
        <f>MONTH(GameLog[[#This Row],[Date]])</f>
        <v>3</v>
      </c>
      <c r="K1254" s="6" t="str">
        <f>IF(GameLog[[#This Row],[Date]]=MAX(GameLog[Date]),"Current","Previous")</f>
        <v>Previous</v>
      </c>
      <c r="L1254" s="6"/>
      <c r="M12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4" s="6" t="str">
        <f ca="1">IF(GameLog[[#This Row],[Check]]="","",COUNTIF(GameLog[[#Headers],[Check]]:GameLog[[#This Row],[Check]],"?*")-1)</f>
        <v/>
      </c>
      <c r="O1254" s="6" t="str">
        <f>IFERROR(INDEX(Players[New name],MATCH(GameLog[[#This Row],[Player]],Players[Name],0)),GameLog[[#This Row],[Player]])</f>
        <v>Tyler B</v>
      </c>
    </row>
    <row r="1255" spans="1:15" x14ac:dyDescent="0.45">
      <c r="A1255" s="6" t="s">
        <v>61</v>
      </c>
      <c r="B1255" s="6" t="s">
        <v>90</v>
      </c>
      <c r="C1255" s="6">
        <v>1</v>
      </c>
      <c r="D1255" s="6">
        <v>3</v>
      </c>
      <c r="E1255" s="6">
        <v>2</v>
      </c>
      <c r="F1255" s="10">
        <v>46111</v>
      </c>
      <c r="G1255" s="6" t="str">
        <f>_xlfn.TEXTJOIN("|",TRUE,GameLog[[#This Row],[Pod]],TEXT(INT(GameLog[[#This Row],[Round]]),"yyyymmdd"),GameLog[[#This Row],[Date]])</f>
        <v>3|19000102|46111</v>
      </c>
      <c r="H1255" s="6">
        <f>COUNTIF(GameLog[Pod ID],GameLog[[#This Row],[Pod ID]])</f>
        <v>4</v>
      </c>
      <c r="I1255" s="6">
        <f>YEAR(GameLog[[#This Row],[Date]])</f>
        <v>2026</v>
      </c>
      <c r="J1255" s="6">
        <f>MONTH(GameLog[[#This Row],[Date]])</f>
        <v>3</v>
      </c>
      <c r="K1255" s="6" t="str">
        <f>IF(GameLog[[#This Row],[Date]]=MAX(GameLog[Date]),"Current","Previous")</f>
        <v>Previous</v>
      </c>
      <c r="L1255" s="6"/>
      <c r="M12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5" s="6" t="str">
        <f ca="1">IF(GameLog[[#This Row],[Check]]="","",COUNTIF(GameLog[[#Headers],[Check]]:GameLog[[#This Row],[Check]],"?*")-1)</f>
        <v/>
      </c>
      <c r="O1255" s="6" t="str">
        <f>IFERROR(INDEX(Players[New name],MATCH(GameLog[[#This Row],[Player]],Players[Name],0)),GameLog[[#This Row],[Player]])</f>
        <v>Trevor</v>
      </c>
    </row>
    <row r="1256" spans="1:15" x14ac:dyDescent="0.45">
      <c r="A1256" s="6" t="s">
        <v>70</v>
      </c>
      <c r="B1256" s="6" t="s">
        <v>90</v>
      </c>
      <c r="C1256" s="6">
        <v>2</v>
      </c>
      <c r="D1256" s="6">
        <v>3</v>
      </c>
      <c r="E1256" s="6">
        <v>2</v>
      </c>
      <c r="F1256" s="10">
        <v>46111</v>
      </c>
      <c r="G1256" s="6" t="str">
        <f>_xlfn.TEXTJOIN("|",TRUE,GameLog[[#This Row],[Pod]],TEXT(INT(GameLog[[#This Row],[Round]]),"yyyymmdd"),GameLog[[#This Row],[Date]])</f>
        <v>3|19000102|46111</v>
      </c>
      <c r="H1256" s="6">
        <f>COUNTIF(GameLog[Pod ID],GameLog[[#This Row],[Pod ID]])</f>
        <v>4</v>
      </c>
      <c r="I1256" s="6">
        <f>YEAR(GameLog[[#This Row],[Date]])</f>
        <v>2026</v>
      </c>
      <c r="J1256" s="6">
        <f>MONTH(GameLog[[#This Row],[Date]])</f>
        <v>3</v>
      </c>
      <c r="K1256" s="6" t="str">
        <f>IF(GameLog[[#This Row],[Date]]=MAX(GameLog[Date]),"Current","Previous")</f>
        <v>Previous</v>
      </c>
      <c r="L1256" s="6"/>
      <c r="M12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6" s="6" t="str">
        <f ca="1">IF(GameLog[[#This Row],[Check]]="","",COUNTIF(GameLog[[#Headers],[Check]]:GameLog[[#This Row],[Check]],"?*")-1)</f>
        <v/>
      </c>
      <c r="O1256" s="6" t="str">
        <f>IFERROR(INDEX(Players[New name],MATCH(GameLog[[#This Row],[Player]],Players[Name],0)),GameLog[[#This Row],[Player]])</f>
        <v>Brad F</v>
      </c>
    </row>
    <row r="1257" spans="1:15" x14ac:dyDescent="0.45">
      <c r="A1257" s="6" t="s">
        <v>55</v>
      </c>
      <c r="B1257" s="6" t="s">
        <v>90</v>
      </c>
      <c r="C1257" s="6">
        <v>3</v>
      </c>
      <c r="D1257" s="6">
        <v>3</v>
      </c>
      <c r="E1257" s="6">
        <v>2</v>
      </c>
      <c r="F1257" s="10">
        <v>46111</v>
      </c>
      <c r="G1257" s="6" t="str">
        <f>_xlfn.TEXTJOIN("|",TRUE,GameLog[[#This Row],[Pod]],TEXT(INT(GameLog[[#This Row],[Round]]),"yyyymmdd"),GameLog[[#This Row],[Date]])</f>
        <v>3|19000102|46111</v>
      </c>
      <c r="H1257" s="6">
        <f>COUNTIF(GameLog[Pod ID],GameLog[[#This Row],[Pod ID]])</f>
        <v>4</v>
      </c>
      <c r="I1257" s="6">
        <f>YEAR(GameLog[[#This Row],[Date]])</f>
        <v>2026</v>
      </c>
      <c r="J1257" s="6">
        <f>MONTH(GameLog[[#This Row],[Date]])</f>
        <v>3</v>
      </c>
      <c r="K1257" s="6" t="str">
        <f>IF(GameLog[[#This Row],[Date]]=MAX(GameLog[Date]),"Current","Previous")</f>
        <v>Previous</v>
      </c>
      <c r="L1257" s="6"/>
      <c r="M12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7" s="6" t="str">
        <f ca="1">IF(GameLog[[#This Row],[Check]]="","",COUNTIF(GameLog[[#Headers],[Check]]:GameLog[[#This Row],[Check]],"?*")-1)</f>
        <v/>
      </c>
      <c r="O1257" s="6" t="str">
        <f>IFERROR(INDEX(Players[New name],MATCH(GameLog[[#This Row],[Player]],Players[Name],0)),GameLog[[#This Row],[Player]])</f>
        <v>Bryce C</v>
      </c>
    </row>
    <row r="1258" spans="1:15" x14ac:dyDescent="0.45">
      <c r="A1258" s="6" t="s">
        <v>68</v>
      </c>
      <c r="B1258" s="6" t="s">
        <v>90</v>
      </c>
      <c r="C1258" s="6">
        <v>4</v>
      </c>
      <c r="D1258" s="6">
        <v>3</v>
      </c>
      <c r="E1258" s="6">
        <v>2</v>
      </c>
      <c r="F1258" s="10">
        <v>46111</v>
      </c>
      <c r="G1258" s="6" t="str">
        <f>_xlfn.TEXTJOIN("|",TRUE,GameLog[[#This Row],[Pod]],TEXT(INT(GameLog[[#This Row],[Round]]),"yyyymmdd"),GameLog[[#This Row],[Date]])</f>
        <v>3|19000102|46111</v>
      </c>
      <c r="H1258" s="6">
        <f>COUNTIF(GameLog[Pod ID],GameLog[[#This Row],[Pod ID]])</f>
        <v>4</v>
      </c>
      <c r="I1258" s="6">
        <f>YEAR(GameLog[[#This Row],[Date]])</f>
        <v>2026</v>
      </c>
      <c r="J1258" s="6">
        <f>MONTH(GameLog[[#This Row],[Date]])</f>
        <v>3</v>
      </c>
      <c r="K1258" s="6" t="str">
        <f>IF(GameLog[[#This Row],[Date]]=MAX(GameLog[Date]),"Current","Previous")</f>
        <v>Previous</v>
      </c>
      <c r="L1258" s="6"/>
      <c r="M12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8" s="6" t="str">
        <f ca="1">IF(GameLog[[#This Row],[Check]]="","",COUNTIF(GameLog[[#Headers],[Check]]:GameLog[[#This Row],[Check]],"?*")-1)</f>
        <v/>
      </c>
      <c r="O1258" s="6" t="str">
        <f>IFERROR(INDEX(Players[New name],MATCH(GameLog[[#This Row],[Player]],Players[Name],0)),GameLog[[#This Row],[Player]])</f>
        <v>Edwin M</v>
      </c>
    </row>
    <row r="1259" spans="1:15" x14ac:dyDescent="0.45">
      <c r="A1259" s="6" t="s">
        <v>97</v>
      </c>
      <c r="B1259" s="6" t="s">
        <v>53</v>
      </c>
      <c r="C1259" s="6">
        <v>1</v>
      </c>
      <c r="D1259" s="6">
        <v>4</v>
      </c>
      <c r="E1259" s="6">
        <v>2</v>
      </c>
      <c r="F1259" s="10">
        <v>46111</v>
      </c>
      <c r="G1259" s="6" t="str">
        <f>_xlfn.TEXTJOIN("|",TRUE,GameLog[[#This Row],[Pod]],TEXT(INT(GameLog[[#This Row],[Round]]),"yyyymmdd"),GameLog[[#This Row],[Date]])</f>
        <v>4|19000102|46111</v>
      </c>
      <c r="H1259" s="6">
        <f>COUNTIF(GameLog[Pod ID],GameLog[[#This Row],[Pod ID]])</f>
        <v>4</v>
      </c>
      <c r="I1259" s="6">
        <f>YEAR(GameLog[[#This Row],[Date]])</f>
        <v>2026</v>
      </c>
      <c r="J1259" s="6">
        <f>MONTH(GameLog[[#This Row],[Date]])</f>
        <v>3</v>
      </c>
      <c r="K1259" s="6" t="str">
        <f>IF(GameLog[[#This Row],[Date]]=MAX(GameLog[Date]),"Current","Previous")</f>
        <v>Previous</v>
      </c>
      <c r="L1259" s="6"/>
      <c r="M12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59" s="6" t="str">
        <f ca="1">IF(GameLog[[#This Row],[Check]]="","",COUNTIF(GameLog[[#Headers],[Check]]:GameLog[[#This Row],[Check]],"?*")-1)</f>
        <v/>
      </c>
      <c r="O1259" s="6" t="str">
        <f>IFERROR(INDEX(Players[New name],MATCH(GameLog[[#This Row],[Player]],Players[Name],0)),GameLog[[#This Row],[Player]])</f>
        <v>Arman H</v>
      </c>
    </row>
    <row r="1260" spans="1:15" x14ac:dyDescent="0.45">
      <c r="A1260" s="6" t="s">
        <v>57</v>
      </c>
      <c r="B1260" s="6" t="s">
        <v>53</v>
      </c>
      <c r="C1260" s="6">
        <v>2</v>
      </c>
      <c r="D1260" s="6">
        <v>4</v>
      </c>
      <c r="E1260" s="6">
        <v>2</v>
      </c>
      <c r="F1260" s="10">
        <v>46111</v>
      </c>
      <c r="G1260" s="6" t="str">
        <f>_xlfn.TEXTJOIN("|",TRUE,GameLog[[#This Row],[Pod]],TEXT(INT(GameLog[[#This Row],[Round]]),"yyyymmdd"),GameLog[[#This Row],[Date]])</f>
        <v>4|19000102|46111</v>
      </c>
      <c r="H1260" s="6">
        <f>COUNTIF(GameLog[Pod ID],GameLog[[#This Row],[Pod ID]])</f>
        <v>4</v>
      </c>
      <c r="I1260" s="6">
        <f>YEAR(GameLog[[#This Row],[Date]])</f>
        <v>2026</v>
      </c>
      <c r="J1260" s="6">
        <f>MONTH(GameLog[[#This Row],[Date]])</f>
        <v>3</v>
      </c>
      <c r="K1260" s="6" t="str">
        <f>IF(GameLog[[#This Row],[Date]]=MAX(GameLog[Date]),"Current","Previous")</f>
        <v>Previous</v>
      </c>
      <c r="L1260" s="6"/>
      <c r="M12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0" s="6" t="str">
        <f ca="1">IF(GameLog[[#This Row],[Check]]="","",COUNTIF(GameLog[[#Headers],[Check]]:GameLog[[#This Row],[Check]],"?*")-1)</f>
        <v/>
      </c>
      <c r="O1260" s="6" t="str">
        <f>IFERROR(INDEX(Players[New name],MATCH(GameLog[[#This Row],[Player]],Players[Name],0)),GameLog[[#This Row],[Player]])</f>
        <v>AJ W</v>
      </c>
    </row>
    <row r="1261" spans="1:15" x14ac:dyDescent="0.45">
      <c r="A1261" s="6" t="s">
        <v>78</v>
      </c>
      <c r="B1261" s="6" t="s">
        <v>53</v>
      </c>
      <c r="C1261" s="6">
        <v>3</v>
      </c>
      <c r="D1261" s="6">
        <v>4</v>
      </c>
      <c r="E1261" s="6">
        <v>2</v>
      </c>
      <c r="F1261" s="10">
        <v>46111</v>
      </c>
      <c r="G1261" s="6" t="str">
        <f>_xlfn.TEXTJOIN("|",TRUE,GameLog[[#This Row],[Pod]],TEXT(INT(GameLog[[#This Row],[Round]]),"yyyymmdd"),GameLog[[#This Row],[Date]])</f>
        <v>4|19000102|46111</v>
      </c>
      <c r="H1261" s="6">
        <f>COUNTIF(GameLog[Pod ID],GameLog[[#This Row],[Pod ID]])</f>
        <v>4</v>
      </c>
      <c r="I1261" s="6">
        <f>YEAR(GameLog[[#This Row],[Date]])</f>
        <v>2026</v>
      </c>
      <c r="J1261" s="6">
        <f>MONTH(GameLog[[#This Row],[Date]])</f>
        <v>3</v>
      </c>
      <c r="K1261" s="6" t="str">
        <f>IF(GameLog[[#This Row],[Date]]=MAX(GameLog[Date]),"Current","Previous")</f>
        <v>Previous</v>
      </c>
      <c r="L1261" s="6"/>
      <c r="M12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1" s="6" t="str">
        <f ca="1">IF(GameLog[[#This Row],[Check]]="","",COUNTIF(GameLog[[#Headers],[Check]]:GameLog[[#This Row],[Check]],"?*")-1)</f>
        <v/>
      </c>
      <c r="O1261" s="6" t="str">
        <f>IFERROR(INDEX(Players[New name],MATCH(GameLog[[#This Row],[Player]],Players[Name],0)),GameLog[[#This Row],[Player]])</f>
        <v>Justin M</v>
      </c>
    </row>
    <row r="1262" spans="1:15" x14ac:dyDescent="0.45">
      <c r="A1262" s="6" t="s">
        <v>89</v>
      </c>
      <c r="B1262" s="6" t="s">
        <v>50</v>
      </c>
      <c r="C1262" s="6">
        <v>4</v>
      </c>
      <c r="D1262" s="6">
        <v>4</v>
      </c>
      <c r="E1262" s="6">
        <v>2</v>
      </c>
      <c r="F1262" s="10">
        <v>46111</v>
      </c>
      <c r="G1262" s="6" t="str">
        <f>_xlfn.TEXTJOIN("|",TRUE,GameLog[[#This Row],[Pod]],TEXT(INT(GameLog[[#This Row],[Round]]),"yyyymmdd"),GameLog[[#This Row],[Date]])</f>
        <v>4|19000102|46111</v>
      </c>
      <c r="H1262" s="6">
        <f>COUNTIF(GameLog[Pod ID],GameLog[[#This Row],[Pod ID]])</f>
        <v>4</v>
      </c>
      <c r="I1262" s="6">
        <f>YEAR(GameLog[[#This Row],[Date]])</f>
        <v>2026</v>
      </c>
      <c r="J1262" s="6">
        <f>MONTH(GameLog[[#This Row],[Date]])</f>
        <v>3</v>
      </c>
      <c r="K1262" s="6" t="str">
        <f>IF(GameLog[[#This Row],[Date]]=MAX(GameLog[Date]),"Current","Previous")</f>
        <v>Previous</v>
      </c>
      <c r="L1262" s="6"/>
      <c r="M12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2" s="6" t="str">
        <f ca="1">IF(GameLog[[#This Row],[Check]]="","",COUNTIF(GameLog[[#Headers],[Check]]:GameLog[[#This Row],[Check]],"?*")-1)</f>
        <v/>
      </c>
      <c r="O1262" s="6" t="str">
        <f>IFERROR(INDEX(Players[New name],MATCH(GameLog[[#This Row],[Player]],Players[Name],0)),GameLog[[#This Row],[Player]])</f>
        <v>Fernando J</v>
      </c>
    </row>
    <row r="1263" spans="1:15" x14ac:dyDescent="0.45">
      <c r="A1263" s="6" t="s">
        <v>49</v>
      </c>
      <c r="B1263" s="6" t="s">
        <v>90</v>
      </c>
      <c r="C1263" s="6">
        <v>1</v>
      </c>
      <c r="D1263" s="6">
        <v>5</v>
      </c>
      <c r="E1263" s="6">
        <v>2</v>
      </c>
      <c r="F1263" s="10">
        <v>46111</v>
      </c>
      <c r="G1263" s="6" t="str">
        <f>_xlfn.TEXTJOIN("|",TRUE,GameLog[[#This Row],[Pod]],TEXT(INT(GameLog[[#This Row],[Round]]),"yyyymmdd"),GameLog[[#This Row],[Date]])</f>
        <v>5|19000102|46111</v>
      </c>
      <c r="H1263" s="6">
        <f>COUNTIF(GameLog[Pod ID],GameLog[[#This Row],[Pod ID]])</f>
        <v>4</v>
      </c>
      <c r="I1263" s="6">
        <f>YEAR(GameLog[[#This Row],[Date]])</f>
        <v>2026</v>
      </c>
      <c r="J1263" s="6">
        <f>MONTH(GameLog[[#This Row],[Date]])</f>
        <v>3</v>
      </c>
      <c r="K1263" s="6" t="str">
        <f>IF(GameLog[[#This Row],[Date]]=MAX(GameLog[Date]),"Current","Previous")</f>
        <v>Previous</v>
      </c>
      <c r="L1263" s="6"/>
      <c r="M12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3" s="6" t="str">
        <f ca="1">IF(GameLog[[#This Row],[Check]]="","",COUNTIF(GameLog[[#Headers],[Check]]:GameLog[[#This Row],[Check]],"?*")-1)</f>
        <v/>
      </c>
      <c r="O1263" s="6" t="str">
        <f>IFERROR(INDEX(Players[New name],MATCH(GameLog[[#This Row],[Player]],Players[Name],0)),GameLog[[#This Row],[Player]])</f>
        <v>Brett R</v>
      </c>
    </row>
    <row r="1264" spans="1:15" x14ac:dyDescent="0.45">
      <c r="A1264" s="6" t="s">
        <v>60</v>
      </c>
      <c r="B1264" s="6" t="s">
        <v>90</v>
      </c>
      <c r="C1264" s="6">
        <v>2</v>
      </c>
      <c r="D1264" s="6">
        <v>5</v>
      </c>
      <c r="E1264" s="6">
        <v>2</v>
      </c>
      <c r="F1264" s="10">
        <v>46111</v>
      </c>
      <c r="G1264" s="6" t="str">
        <f>_xlfn.TEXTJOIN("|",TRUE,GameLog[[#This Row],[Pod]],TEXT(INT(GameLog[[#This Row],[Round]]),"yyyymmdd"),GameLog[[#This Row],[Date]])</f>
        <v>5|19000102|46111</v>
      </c>
      <c r="H1264" s="6">
        <f>COUNTIF(GameLog[Pod ID],GameLog[[#This Row],[Pod ID]])</f>
        <v>4</v>
      </c>
      <c r="I1264" s="6">
        <f>YEAR(GameLog[[#This Row],[Date]])</f>
        <v>2026</v>
      </c>
      <c r="J1264" s="6">
        <f>MONTH(GameLog[[#This Row],[Date]])</f>
        <v>3</v>
      </c>
      <c r="K1264" s="6" t="str">
        <f>IF(GameLog[[#This Row],[Date]]=MAX(GameLog[Date]),"Current","Previous")</f>
        <v>Previous</v>
      </c>
      <c r="L1264" s="6"/>
      <c r="M12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4" s="6" t="str">
        <f ca="1">IF(GameLog[[#This Row],[Check]]="","",COUNTIF(GameLog[[#Headers],[Check]]:GameLog[[#This Row],[Check]],"?*")-1)</f>
        <v/>
      </c>
      <c r="O1264" s="6" t="str">
        <f>IFERROR(INDEX(Players[New name],MATCH(GameLog[[#This Row],[Player]],Players[Name],0)),GameLog[[#This Row],[Player]])</f>
        <v>Brendan H</v>
      </c>
    </row>
    <row r="1265" spans="1:15" x14ac:dyDescent="0.45">
      <c r="A1265" s="6" t="s">
        <v>75</v>
      </c>
      <c r="B1265" s="6" t="s">
        <v>90</v>
      </c>
      <c r="C1265" s="6">
        <v>3</v>
      </c>
      <c r="D1265" s="6">
        <v>5</v>
      </c>
      <c r="E1265" s="6">
        <v>2</v>
      </c>
      <c r="F1265" s="10">
        <v>46111</v>
      </c>
      <c r="G1265" s="6" t="str">
        <f>_xlfn.TEXTJOIN("|",TRUE,GameLog[[#This Row],[Pod]],TEXT(INT(GameLog[[#This Row],[Round]]),"yyyymmdd"),GameLog[[#This Row],[Date]])</f>
        <v>5|19000102|46111</v>
      </c>
      <c r="H1265" s="6">
        <f>COUNTIF(GameLog[Pod ID],GameLog[[#This Row],[Pod ID]])</f>
        <v>4</v>
      </c>
      <c r="I1265" s="6">
        <f>YEAR(GameLog[[#This Row],[Date]])</f>
        <v>2026</v>
      </c>
      <c r="J1265" s="6">
        <f>MONTH(GameLog[[#This Row],[Date]])</f>
        <v>3</v>
      </c>
      <c r="K1265" s="6" t="str">
        <f>IF(GameLog[[#This Row],[Date]]=MAX(GameLog[Date]),"Current","Previous")</f>
        <v>Previous</v>
      </c>
      <c r="L1265" s="6"/>
      <c r="M12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5" s="6" t="str">
        <f ca="1">IF(GameLog[[#This Row],[Check]]="","",COUNTIF(GameLog[[#Headers],[Check]]:GameLog[[#This Row],[Check]],"?*")-1)</f>
        <v/>
      </c>
      <c r="O1265" s="6" t="str">
        <f>IFERROR(INDEX(Players[New name],MATCH(GameLog[[#This Row],[Player]],Players[Name],0)),GameLog[[#This Row],[Player]])</f>
        <v>Eli T</v>
      </c>
    </row>
    <row r="1266" spans="1:15" x14ac:dyDescent="0.45">
      <c r="A1266" s="6" t="s">
        <v>96</v>
      </c>
      <c r="B1266" s="6" t="s">
        <v>90</v>
      </c>
      <c r="C1266" s="6">
        <v>4</v>
      </c>
      <c r="D1266" s="6">
        <v>5</v>
      </c>
      <c r="E1266" s="6">
        <v>2</v>
      </c>
      <c r="F1266" s="10">
        <v>46111</v>
      </c>
      <c r="G1266" s="6" t="str">
        <f>_xlfn.TEXTJOIN("|",TRUE,GameLog[[#This Row],[Pod]],TEXT(INT(GameLog[[#This Row],[Round]]),"yyyymmdd"),GameLog[[#This Row],[Date]])</f>
        <v>5|19000102|46111</v>
      </c>
      <c r="H1266" s="6">
        <f>COUNTIF(GameLog[Pod ID],GameLog[[#This Row],[Pod ID]])</f>
        <v>4</v>
      </c>
      <c r="I1266" s="6">
        <f>YEAR(GameLog[[#This Row],[Date]])</f>
        <v>2026</v>
      </c>
      <c r="J1266" s="6">
        <f>MONTH(GameLog[[#This Row],[Date]])</f>
        <v>3</v>
      </c>
      <c r="K1266" s="6" t="str">
        <f>IF(GameLog[[#This Row],[Date]]=MAX(GameLog[Date]),"Current","Previous")</f>
        <v>Previous</v>
      </c>
      <c r="L1266" s="6"/>
      <c r="M12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6" s="6" t="str">
        <f ca="1">IF(GameLog[[#This Row],[Check]]="","",COUNTIF(GameLog[[#Headers],[Check]]:GameLog[[#This Row],[Check]],"?*")-1)</f>
        <v/>
      </c>
      <c r="O1266" s="6" t="str">
        <f>IFERROR(INDEX(Players[New name],MATCH(GameLog[[#This Row],[Player]],Players[Name],0)),GameLog[[#This Row],[Player]])</f>
        <v>Brandon A</v>
      </c>
    </row>
    <row r="1267" spans="1:15" x14ac:dyDescent="0.45">
      <c r="A1267" s="6" t="s">
        <v>77</v>
      </c>
      <c r="B1267" s="6" t="s">
        <v>53</v>
      </c>
      <c r="C1267" s="6">
        <v>1</v>
      </c>
      <c r="D1267" s="6">
        <v>6</v>
      </c>
      <c r="E1267" s="6">
        <v>2</v>
      </c>
      <c r="F1267" s="10">
        <v>46111</v>
      </c>
      <c r="G1267" s="6" t="str">
        <f>_xlfn.TEXTJOIN("|",TRUE,GameLog[[#This Row],[Pod]],TEXT(INT(GameLog[[#This Row],[Round]]),"yyyymmdd"),GameLog[[#This Row],[Date]])</f>
        <v>6|19000102|46111</v>
      </c>
      <c r="H1267" s="6">
        <f>COUNTIF(GameLog[Pod ID],GameLog[[#This Row],[Pod ID]])</f>
        <v>3</v>
      </c>
      <c r="I1267" s="6">
        <f>YEAR(GameLog[[#This Row],[Date]])</f>
        <v>2026</v>
      </c>
      <c r="J1267" s="6">
        <f>MONTH(GameLog[[#This Row],[Date]])</f>
        <v>3</v>
      </c>
      <c r="K1267" s="6" t="str">
        <f>IF(GameLog[[#This Row],[Date]]=MAX(GameLog[Date]),"Current","Previous")</f>
        <v>Previous</v>
      </c>
      <c r="L1267" s="6"/>
      <c r="M12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7" s="6" t="str">
        <f ca="1">IF(GameLog[[#This Row],[Check]]="","",COUNTIF(GameLog[[#Headers],[Check]]:GameLog[[#This Row],[Check]],"?*")-1)</f>
        <v/>
      </c>
      <c r="O1267" s="6" t="str">
        <f>IFERROR(INDEX(Players[New name],MATCH(GameLog[[#This Row],[Player]],Players[Name],0)),GameLog[[#This Row],[Player]])</f>
        <v>Dave M</v>
      </c>
    </row>
    <row r="1268" spans="1:15" x14ac:dyDescent="0.45">
      <c r="A1268" s="6" t="s">
        <v>91</v>
      </c>
      <c r="B1268" s="6" t="s">
        <v>50</v>
      </c>
      <c r="C1268" s="6">
        <v>2</v>
      </c>
      <c r="D1268" s="6">
        <v>6</v>
      </c>
      <c r="E1268" s="6">
        <v>2</v>
      </c>
      <c r="F1268" s="10">
        <v>46111</v>
      </c>
      <c r="G1268" s="6" t="str">
        <f>_xlfn.TEXTJOIN("|",TRUE,GameLog[[#This Row],[Pod]],TEXT(INT(GameLog[[#This Row],[Round]]),"yyyymmdd"),GameLog[[#This Row],[Date]])</f>
        <v>6|19000102|46111</v>
      </c>
      <c r="H1268" s="6">
        <f>COUNTIF(GameLog[Pod ID],GameLog[[#This Row],[Pod ID]])</f>
        <v>3</v>
      </c>
      <c r="I1268" s="6">
        <f>YEAR(GameLog[[#This Row],[Date]])</f>
        <v>2026</v>
      </c>
      <c r="J1268" s="6">
        <f>MONTH(GameLog[[#This Row],[Date]])</f>
        <v>3</v>
      </c>
      <c r="K1268" s="6" t="str">
        <f>IF(GameLog[[#This Row],[Date]]=MAX(GameLog[Date]),"Current","Previous")</f>
        <v>Previous</v>
      </c>
      <c r="L1268" s="6"/>
      <c r="M12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8" s="6" t="str">
        <f ca="1">IF(GameLog[[#This Row],[Check]]="","",COUNTIF(GameLog[[#Headers],[Check]]:GameLog[[#This Row],[Check]],"?*")-1)</f>
        <v/>
      </c>
      <c r="O1268" s="6" t="str">
        <f>IFERROR(INDEX(Players[New name],MATCH(GameLog[[#This Row],[Player]],Players[Name],0)),GameLog[[#This Row],[Player]])</f>
        <v>Isaac B</v>
      </c>
    </row>
    <row r="1269" spans="1:15" x14ac:dyDescent="0.45">
      <c r="A1269" s="6" t="s">
        <v>104</v>
      </c>
      <c r="B1269" s="6" t="s">
        <v>53</v>
      </c>
      <c r="C1269" s="6">
        <v>3</v>
      </c>
      <c r="D1269" s="6">
        <v>6</v>
      </c>
      <c r="E1269" s="6">
        <v>2</v>
      </c>
      <c r="F1269" s="10">
        <v>46111</v>
      </c>
      <c r="G1269" s="6" t="str">
        <f>_xlfn.TEXTJOIN("|",TRUE,GameLog[[#This Row],[Pod]],TEXT(INT(GameLog[[#This Row],[Round]]),"yyyymmdd"),GameLog[[#This Row],[Date]])</f>
        <v>6|19000102|46111</v>
      </c>
      <c r="H1269" s="6">
        <f>COUNTIF(GameLog[Pod ID],GameLog[[#This Row],[Pod ID]])</f>
        <v>3</v>
      </c>
      <c r="I1269" s="6">
        <f>YEAR(GameLog[[#This Row],[Date]])</f>
        <v>2026</v>
      </c>
      <c r="J1269" s="6">
        <f>MONTH(GameLog[[#This Row],[Date]])</f>
        <v>3</v>
      </c>
      <c r="K1269" s="6" t="str">
        <f>IF(GameLog[[#This Row],[Date]]=MAX(GameLog[Date]),"Current","Previous")</f>
        <v>Previous</v>
      </c>
      <c r="L1269" s="6"/>
      <c r="M12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69" s="6" t="str">
        <f ca="1">IF(GameLog[[#This Row],[Check]]="","",COUNTIF(GameLog[[#Headers],[Check]]:GameLog[[#This Row],[Check]],"?*")-1)</f>
        <v/>
      </c>
      <c r="O1269" s="6" t="str">
        <f>IFERROR(INDEX(Players[New name],MATCH(GameLog[[#This Row],[Player]],Players[Name],0)),GameLog[[#This Row],[Player]])</f>
        <v>Eric E</v>
      </c>
    </row>
    <row r="1270" spans="1:15" x14ac:dyDescent="0.45">
      <c r="A1270" s="6" t="s">
        <v>55</v>
      </c>
      <c r="B1270" s="6" t="s">
        <v>53</v>
      </c>
      <c r="C1270" s="6">
        <v>1</v>
      </c>
      <c r="D1270" s="6">
        <v>1</v>
      </c>
      <c r="E1270" s="6">
        <v>1</v>
      </c>
      <c r="F1270" s="10">
        <v>46118</v>
      </c>
      <c r="G1270" s="6" t="str">
        <f>_xlfn.TEXTJOIN("|",TRUE,GameLog[[#This Row],[Pod]],TEXT(INT(GameLog[[#This Row],[Round]]),"yyyymmdd"),GameLog[[#This Row],[Date]])</f>
        <v>1|19000101|46118</v>
      </c>
      <c r="H1270" s="6">
        <f>COUNTIF(GameLog[Pod ID],GameLog[[#This Row],[Pod ID]])</f>
        <v>4</v>
      </c>
      <c r="I1270" s="6">
        <f>YEAR(GameLog[[#This Row],[Date]])</f>
        <v>2026</v>
      </c>
      <c r="J1270" s="6">
        <f>MONTH(GameLog[[#This Row],[Date]])</f>
        <v>4</v>
      </c>
      <c r="K1270" s="6" t="str">
        <f>IF(GameLog[[#This Row],[Date]]=MAX(GameLog[Date]),"Current","Previous")</f>
        <v>Previous</v>
      </c>
      <c r="L1270" s="6"/>
      <c r="M12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0" s="6" t="str">
        <f ca="1">IF(GameLog[[#This Row],[Check]]="","",COUNTIF(GameLog[[#Headers],[Check]]:GameLog[[#This Row],[Check]],"?*")-1)</f>
        <v/>
      </c>
      <c r="O1270" s="6" t="str">
        <f>IFERROR(INDEX(Players[New name],MATCH(GameLog[[#This Row],[Player]],Players[Name],0)),GameLog[[#This Row],[Player]])</f>
        <v>Bryce C</v>
      </c>
    </row>
    <row r="1271" spans="1:15" x14ac:dyDescent="0.45">
      <c r="A1271" s="6" t="s">
        <v>98</v>
      </c>
      <c r="B1271" s="6" t="s">
        <v>53</v>
      </c>
      <c r="C1271" s="6">
        <v>2</v>
      </c>
      <c r="D1271" s="6">
        <v>1</v>
      </c>
      <c r="E1271" s="6">
        <v>1</v>
      </c>
      <c r="F1271" s="10">
        <v>46118</v>
      </c>
      <c r="G1271" s="6" t="str">
        <f>_xlfn.TEXTJOIN("|",TRUE,GameLog[[#This Row],[Pod]],TEXT(INT(GameLog[[#This Row],[Round]]),"yyyymmdd"),GameLog[[#This Row],[Date]])</f>
        <v>1|19000101|46118</v>
      </c>
      <c r="H1271" s="6">
        <f>COUNTIF(GameLog[Pod ID],GameLog[[#This Row],[Pod ID]])</f>
        <v>4</v>
      </c>
      <c r="I1271" s="6">
        <f>YEAR(GameLog[[#This Row],[Date]])</f>
        <v>2026</v>
      </c>
      <c r="J1271" s="6">
        <f>MONTH(GameLog[[#This Row],[Date]])</f>
        <v>4</v>
      </c>
      <c r="K1271" s="6" t="str">
        <f>IF(GameLog[[#This Row],[Date]]=MAX(GameLog[Date]),"Current","Previous")</f>
        <v>Previous</v>
      </c>
      <c r="L1271" s="6"/>
      <c r="M12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1" s="6" t="str">
        <f ca="1">IF(GameLog[[#This Row],[Check]]="","",COUNTIF(GameLog[[#Headers],[Check]]:GameLog[[#This Row],[Check]],"?*")-1)</f>
        <v/>
      </c>
      <c r="O1271" s="6" t="str">
        <f>IFERROR(INDEX(Players[New name],MATCH(GameLog[[#This Row],[Player]],Players[Name],0)),GameLog[[#This Row],[Player]])</f>
        <v>Charlie B</v>
      </c>
    </row>
    <row r="1272" spans="1:15" x14ac:dyDescent="0.45">
      <c r="A1272" s="6" t="s">
        <v>61</v>
      </c>
      <c r="B1272" s="6" t="s">
        <v>53</v>
      </c>
      <c r="C1272" s="6">
        <v>3</v>
      </c>
      <c r="D1272" s="6">
        <v>1</v>
      </c>
      <c r="E1272" s="6">
        <v>1</v>
      </c>
      <c r="F1272" s="10">
        <v>46118</v>
      </c>
      <c r="G1272" s="6" t="str">
        <f>_xlfn.TEXTJOIN("|",TRUE,GameLog[[#This Row],[Pod]],TEXT(INT(GameLog[[#This Row],[Round]]),"yyyymmdd"),GameLog[[#This Row],[Date]])</f>
        <v>1|19000101|46118</v>
      </c>
      <c r="H1272" s="6">
        <f>COUNTIF(GameLog[Pod ID],GameLog[[#This Row],[Pod ID]])</f>
        <v>4</v>
      </c>
      <c r="I1272" s="6">
        <f>YEAR(GameLog[[#This Row],[Date]])</f>
        <v>2026</v>
      </c>
      <c r="J1272" s="6">
        <f>MONTH(GameLog[[#This Row],[Date]])</f>
        <v>4</v>
      </c>
      <c r="K1272" s="6" t="str">
        <f>IF(GameLog[[#This Row],[Date]]=MAX(GameLog[Date]),"Current","Previous")</f>
        <v>Previous</v>
      </c>
      <c r="L1272" s="6"/>
      <c r="M12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2" s="6" t="str">
        <f ca="1">IF(GameLog[[#This Row],[Check]]="","",COUNTIF(GameLog[[#Headers],[Check]]:GameLog[[#This Row],[Check]],"?*")-1)</f>
        <v/>
      </c>
      <c r="O1272" s="6" t="str">
        <f>IFERROR(INDEX(Players[New name],MATCH(GameLog[[#This Row],[Player]],Players[Name],0)),GameLog[[#This Row],[Player]])</f>
        <v>Trevor</v>
      </c>
    </row>
    <row r="1273" spans="1:15" x14ac:dyDescent="0.45">
      <c r="A1273" s="6" t="s">
        <v>92</v>
      </c>
      <c r="B1273" s="6" t="s">
        <v>50</v>
      </c>
      <c r="C1273" s="6">
        <v>4</v>
      </c>
      <c r="D1273" s="6">
        <v>1</v>
      </c>
      <c r="E1273" s="6">
        <v>1</v>
      </c>
      <c r="F1273" s="10">
        <v>46118</v>
      </c>
      <c r="G1273" s="6" t="str">
        <f>_xlfn.TEXTJOIN("|",TRUE,GameLog[[#This Row],[Pod]],TEXT(INT(GameLog[[#This Row],[Round]]),"yyyymmdd"),GameLog[[#This Row],[Date]])</f>
        <v>1|19000101|46118</v>
      </c>
      <c r="H1273" s="6">
        <f>COUNTIF(GameLog[Pod ID],GameLog[[#This Row],[Pod ID]])</f>
        <v>4</v>
      </c>
      <c r="I1273" s="6">
        <f>YEAR(GameLog[[#This Row],[Date]])</f>
        <v>2026</v>
      </c>
      <c r="J1273" s="6">
        <f>MONTH(GameLog[[#This Row],[Date]])</f>
        <v>4</v>
      </c>
      <c r="K1273" s="6" t="str">
        <f>IF(GameLog[[#This Row],[Date]]=MAX(GameLog[Date]),"Current","Previous")</f>
        <v>Previous</v>
      </c>
      <c r="L1273" s="6"/>
      <c r="M12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3" s="6" t="str">
        <f ca="1">IF(GameLog[[#This Row],[Check]]="","",COUNTIF(GameLog[[#Headers],[Check]]:GameLog[[#This Row],[Check]],"?*")-1)</f>
        <v/>
      </c>
      <c r="O1273" s="6" t="str">
        <f>IFERROR(INDEX(Players[New name],MATCH(GameLog[[#This Row],[Player]],Players[Name],0)),GameLog[[#This Row],[Player]])</f>
        <v>Harley A</v>
      </c>
    </row>
    <row r="1274" spans="1:15" x14ac:dyDescent="0.45">
      <c r="A1274" s="6" t="s">
        <v>59</v>
      </c>
      <c r="B1274" s="6" t="s">
        <v>53</v>
      </c>
      <c r="C1274" s="6">
        <v>1</v>
      </c>
      <c r="D1274" s="6">
        <v>2</v>
      </c>
      <c r="E1274" s="6">
        <v>1</v>
      </c>
      <c r="F1274" s="10">
        <v>46118</v>
      </c>
      <c r="G1274" s="6" t="str">
        <f>_xlfn.TEXTJOIN("|",TRUE,GameLog[[#This Row],[Pod]],TEXT(INT(GameLog[[#This Row],[Round]]),"yyyymmdd"),GameLog[[#This Row],[Date]])</f>
        <v>2|19000101|46118</v>
      </c>
      <c r="H1274" s="6">
        <f>COUNTIF(GameLog[Pod ID],GameLog[[#This Row],[Pod ID]])</f>
        <v>4</v>
      </c>
      <c r="I1274" s="6">
        <f>YEAR(GameLog[[#This Row],[Date]])</f>
        <v>2026</v>
      </c>
      <c r="J1274" s="6">
        <f>MONTH(GameLog[[#This Row],[Date]])</f>
        <v>4</v>
      </c>
      <c r="K1274" s="6" t="str">
        <f>IF(GameLog[[#This Row],[Date]]=MAX(GameLog[Date]),"Current","Previous")</f>
        <v>Previous</v>
      </c>
      <c r="L1274" s="6"/>
      <c r="M12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4" s="6" t="str">
        <f ca="1">IF(GameLog[[#This Row],[Check]]="","",COUNTIF(GameLog[[#Headers],[Check]]:GameLog[[#This Row],[Check]],"?*")-1)</f>
        <v/>
      </c>
      <c r="O1274" s="6" t="str">
        <f>IFERROR(INDEX(Players[New name],MATCH(GameLog[[#This Row],[Player]],Players[Name],0)),GameLog[[#This Row],[Player]])</f>
        <v>Zack B</v>
      </c>
    </row>
    <row r="1275" spans="1:15" x14ac:dyDescent="0.45">
      <c r="A1275" s="6" t="s">
        <v>75</v>
      </c>
      <c r="B1275" s="6" t="s">
        <v>53</v>
      </c>
      <c r="C1275" s="6">
        <v>2</v>
      </c>
      <c r="D1275" s="6">
        <v>2</v>
      </c>
      <c r="E1275" s="6">
        <v>1</v>
      </c>
      <c r="F1275" s="10">
        <v>46118</v>
      </c>
      <c r="G1275" s="6" t="str">
        <f>_xlfn.TEXTJOIN("|",TRUE,GameLog[[#This Row],[Pod]],TEXT(INT(GameLog[[#This Row],[Round]]),"yyyymmdd"),GameLog[[#This Row],[Date]])</f>
        <v>2|19000101|46118</v>
      </c>
      <c r="H1275" s="6">
        <f>COUNTIF(GameLog[Pod ID],GameLog[[#This Row],[Pod ID]])</f>
        <v>4</v>
      </c>
      <c r="I1275" s="6">
        <f>YEAR(GameLog[[#This Row],[Date]])</f>
        <v>2026</v>
      </c>
      <c r="J1275" s="6">
        <f>MONTH(GameLog[[#This Row],[Date]])</f>
        <v>4</v>
      </c>
      <c r="K1275" s="6" t="str">
        <f>IF(GameLog[[#This Row],[Date]]=MAX(GameLog[Date]),"Current","Previous")</f>
        <v>Previous</v>
      </c>
      <c r="L1275" s="6"/>
      <c r="M12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5" s="6" t="str">
        <f ca="1">IF(GameLog[[#This Row],[Check]]="","",COUNTIF(GameLog[[#Headers],[Check]]:GameLog[[#This Row],[Check]],"?*")-1)</f>
        <v/>
      </c>
      <c r="O1275" s="6" t="str">
        <f>IFERROR(INDEX(Players[New name],MATCH(GameLog[[#This Row],[Player]],Players[Name],0)),GameLog[[#This Row],[Player]])</f>
        <v>Eli T</v>
      </c>
    </row>
    <row r="1276" spans="1:15" x14ac:dyDescent="0.45">
      <c r="A1276" s="6" t="s">
        <v>107</v>
      </c>
      <c r="B1276" s="6" t="s">
        <v>53</v>
      </c>
      <c r="C1276" s="6">
        <v>3</v>
      </c>
      <c r="D1276" s="6">
        <v>2</v>
      </c>
      <c r="E1276" s="6">
        <v>1</v>
      </c>
      <c r="F1276" s="10">
        <v>46118</v>
      </c>
      <c r="G1276" s="6" t="str">
        <f>_xlfn.TEXTJOIN("|",TRUE,GameLog[[#This Row],[Pod]],TEXT(INT(GameLog[[#This Row],[Round]]),"yyyymmdd"),GameLog[[#This Row],[Date]])</f>
        <v>2|19000101|46118</v>
      </c>
      <c r="H1276" s="6">
        <f>COUNTIF(GameLog[Pod ID],GameLog[[#This Row],[Pod ID]])</f>
        <v>4</v>
      </c>
      <c r="I1276" s="6">
        <f>YEAR(GameLog[[#This Row],[Date]])</f>
        <v>2026</v>
      </c>
      <c r="J1276" s="6">
        <f>MONTH(GameLog[[#This Row],[Date]])</f>
        <v>4</v>
      </c>
      <c r="K1276" s="6" t="str">
        <f>IF(GameLog[[#This Row],[Date]]=MAX(GameLog[Date]),"Current","Previous")</f>
        <v>Previous</v>
      </c>
      <c r="L1276" s="6"/>
      <c r="M12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6" s="6" t="str">
        <f ca="1">IF(GameLog[[#This Row],[Check]]="","",COUNTIF(GameLog[[#Headers],[Check]]:GameLog[[#This Row],[Check]],"?*")-1)</f>
        <v/>
      </c>
      <c r="O1276" s="6" t="str">
        <f>IFERROR(INDEX(Players[New name],MATCH(GameLog[[#This Row],[Player]],Players[Name],0)),GameLog[[#This Row],[Player]])</f>
        <v>Lee C</v>
      </c>
    </row>
    <row r="1277" spans="1:15" x14ac:dyDescent="0.45">
      <c r="A1277" s="6" t="s">
        <v>70</v>
      </c>
      <c r="B1277" s="6" t="s">
        <v>50</v>
      </c>
      <c r="C1277" s="6">
        <v>4</v>
      </c>
      <c r="D1277" s="6">
        <v>2</v>
      </c>
      <c r="E1277" s="6">
        <v>1</v>
      </c>
      <c r="F1277" s="10">
        <v>46118</v>
      </c>
      <c r="G1277" s="6" t="str">
        <f>_xlfn.TEXTJOIN("|",TRUE,GameLog[[#This Row],[Pod]],TEXT(INT(GameLog[[#This Row],[Round]]),"yyyymmdd"),GameLog[[#This Row],[Date]])</f>
        <v>2|19000101|46118</v>
      </c>
      <c r="H1277" s="6">
        <f>COUNTIF(GameLog[Pod ID],GameLog[[#This Row],[Pod ID]])</f>
        <v>4</v>
      </c>
      <c r="I1277" s="6">
        <f>YEAR(GameLog[[#This Row],[Date]])</f>
        <v>2026</v>
      </c>
      <c r="J1277" s="6">
        <f>MONTH(GameLog[[#This Row],[Date]])</f>
        <v>4</v>
      </c>
      <c r="K1277" s="6" t="str">
        <f>IF(GameLog[[#This Row],[Date]]=MAX(GameLog[Date]),"Current","Previous")</f>
        <v>Previous</v>
      </c>
      <c r="L1277" s="6"/>
      <c r="M12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7" s="6" t="str">
        <f ca="1">IF(GameLog[[#This Row],[Check]]="","",COUNTIF(GameLog[[#Headers],[Check]]:GameLog[[#This Row],[Check]],"?*")-1)</f>
        <v/>
      </c>
      <c r="O1277" s="6" t="str">
        <f>IFERROR(INDEX(Players[New name],MATCH(GameLog[[#This Row],[Player]],Players[Name],0)),GameLog[[#This Row],[Player]])</f>
        <v>Brad F</v>
      </c>
    </row>
    <row r="1278" spans="1:15" x14ac:dyDescent="0.45">
      <c r="A1278" s="6" t="s">
        <v>73</v>
      </c>
      <c r="B1278" s="6" t="s">
        <v>53</v>
      </c>
      <c r="C1278" s="6">
        <v>1</v>
      </c>
      <c r="D1278" s="6">
        <v>3</v>
      </c>
      <c r="E1278" s="6">
        <v>1</v>
      </c>
      <c r="F1278" s="10">
        <v>46118</v>
      </c>
      <c r="G1278" s="6" t="str">
        <f>_xlfn.TEXTJOIN("|",TRUE,GameLog[[#This Row],[Pod]],TEXT(INT(GameLog[[#This Row],[Round]]),"yyyymmdd"),GameLog[[#This Row],[Date]])</f>
        <v>3|19000101|46118</v>
      </c>
      <c r="H1278" s="6">
        <f>COUNTIF(GameLog[Pod ID],GameLog[[#This Row],[Pod ID]])</f>
        <v>4</v>
      </c>
      <c r="I1278" s="6">
        <f>YEAR(GameLog[[#This Row],[Date]])</f>
        <v>2026</v>
      </c>
      <c r="J1278" s="6">
        <f>MONTH(GameLog[[#This Row],[Date]])</f>
        <v>4</v>
      </c>
      <c r="K1278" s="6" t="str">
        <f>IF(GameLog[[#This Row],[Date]]=MAX(GameLog[Date]),"Current","Previous")</f>
        <v>Previous</v>
      </c>
      <c r="L1278" s="6"/>
      <c r="M12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8" s="6" t="str">
        <f ca="1">IF(GameLog[[#This Row],[Check]]="","",COUNTIF(GameLog[[#Headers],[Check]]:GameLog[[#This Row],[Check]],"?*")-1)</f>
        <v/>
      </c>
      <c r="O1278" s="6" t="str">
        <f>IFERROR(INDEX(Players[New name],MATCH(GameLog[[#This Row],[Player]],Players[Name],0)),GameLog[[#This Row],[Player]])</f>
        <v>Brandon B</v>
      </c>
    </row>
    <row r="1279" spans="1:15" x14ac:dyDescent="0.45">
      <c r="A1279" s="6" t="s">
        <v>91</v>
      </c>
      <c r="B1279" s="6" t="s">
        <v>50</v>
      </c>
      <c r="C1279" s="6">
        <v>2</v>
      </c>
      <c r="D1279" s="6">
        <v>3</v>
      </c>
      <c r="E1279" s="6">
        <v>1</v>
      </c>
      <c r="F1279" s="10">
        <v>46118</v>
      </c>
      <c r="G1279" s="6" t="str">
        <f>_xlfn.TEXTJOIN("|",TRUE,GameLog[[#This Row],[Pod]],TEXT(INT(GameLog[[#This Row],[Round]]),"yyyymmdd"),GameLog[[#This Row],[Date]])</f>
        <v>3|19000101|46118</v>
      </c>
      <c r="H1279" s="6">
        <f>COUNTIF(GameLog[Pod ID],GameLog[[#This Row],[Pod ID]])</f>
        <v>4</v>
      </c>
      <c r="I1279" s="6">
        <f>YEAR(GameLog[[#This Row],[Date]])</f>
        <v>2026</v>
      </c>
      <c r="J1279" s="6">
        <f>MONTH(GameLog[[#This Row],[Date]])</f>
        <v>4</v>
      </c>
      <c r="K1279" s="6" t="str">
        <f>IF(GameLog[[#This Row],[Date]]=MAX(GameLog[Date]),"Current","Previous")</f>
        <v>Previous</v>
      </c>
      <c r="L1279" s="6"/>
      <c r="M12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79" s="6" t="str">
        <f ca="1">IF(GameLog[[#This Row],[Check]]="","",COUNTIF(GameLog[[#Headers],[Check]]:GameLog[[#This Row],[Check]],"?*")-1)</f>
        <v/>
      </c>
      <c r="O1279" s="6" t="str">
        <f>IFERROR(INDEX(Players[New name],MATCH(GameLog[[#This Row],[Player]],Players[Name],0)),GameLog[[#This Row],[Player]])</f>
        <v>Isaac B</v>
      </c>
    </row>
    <row r="1280" spans="1:15" x14ac:dyDescent="0.45">
      <c r="A1280" s="6" t="s">
        <v>77</v>
      </c>
      <c r="B1280" s="6" t="s">
        <v>53</v>
      </c>
      <c r="C1280" s="6">
        <v>3</v>
      </c>
      <c r="D1280" s="6">
        <v>3</v>
      </c>
      <c r="E1280" s="6">
        <v>1</v>
      </c>
      <c r="F1280" s="10">
        <v>46118</v>
      </c>
      <c r="G1280" s="6" t="str">
        <f>_xlfn.TEXTJOIN("|",TRUE,GameLog[[#This Row],[Pod]],TEXT(INT(GameLog[[#This Row],[Round]]),"yyyymmdd"),GameLog[[#This Row],[Date]])</f>
        <v>3|19000101|46118</v>
      </c>
      <c r="H1280" s="6">
        <f>COUNTIF(GameLog[Pod ID],GameLog[[#This Row],[Pod ID]])</f>
        <v>4</v>
      </c>
      <c r="I1280" s="6">
        <f>YEAR(GameLog[[#This Row],[Date]])</f>
        <v>2026</v>
      </c>
      <c r="J1280" s="6">
        <f>MONTH(GameLog[[#This Row],[Date]])</f>
        <v>4</v>
      </c>
      <c r="K1280" s="6" t="str">
        <f>IF(GameLog[[#This Row],[Date]]=MAX(GameLog[Date]),"Current","Previous")</f>
        <v>Previous</v>
      </c>
      <c r="L1280" s="6"/>
      <c r="M12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0" s="6" t="str">
        <f ca="1">IF(GameLog[[#This Row],[Check]]="","",COUNTIF(GameLog[[#Headers],[Check]]:GameLog[[#This Row],[Check]],"?*")-1)</f>
        <v/>
      </c>
      <c r="O1280" s="6" t="str">
        <f>IFERROR(INDEX(Players[New name],MATCH(GameLog[[#This Row],[Player]],Players[Name],0)),GameLog[[#This Row],[Player]])</f>
        <v>Dave M</v>
      </c>
    </row>
    <row r="1281" spans="1:15" x14ac:dyDescent="0.45">
      <c r="A1281" s="6" t="s">
        <v>57</v>
      </c>
      <c r="B1281" s="6" t="s">
        <v>53</v>
      </c>
      <c r="C1281" s="6">
        <v>4</v>
      </c>
      <c r="D1281" s="6">
        <v>3</v>
      </c>
      <c r="E1281" s="6">
        <v>1</v>
      </c>
      <c r="F1281" s="10">
        <v>46118</v>
      </c>
      <c r="G1281" s="6" t="str">
        <f>_xlfn.TEXTJOIN("|",TRUE,GameLog[[#This Row],[Pod]],TEXT(INT(GameLog[[#This Row],[Round]]),"yyyymmdd"),GameLog[[#This Row],[Date]])</f>
        <v>3|19000101|46118</v>
      </c>
      <c r="H1281" s="6">
        <f>COUNTIF(GameLog[Pod ID],GameLog[[#This Row],[Pod ID]])</f>
        <v>4</v>
      </c>
      <c r="I1281" s="6">
        <f>YEAR(GameLog[[#This Row],[Date]])</f>
        <v>2026</v>
      </c>
      <c r="J1281" s="6">
        <f>MONTH(GameLog[[#This Row],[Date]])</f>
        <v>4</v>
      </c>
      <c r="K1281" s="6" t="str">
        <f>IF(GameLog[[#This Row],[Date]]=MAX(GameLog[Date]),"Current","Previous")</f>
        <v>Previous</v>
      </c>
      <c r="L1281" s="6"/>
      <c r="M12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1" s="6" t="str">
        <f ca="1">IF(GameLog[[#This Row],[Check]]="","",COUNTIF(GameLog[[#Headers],[Check]]:GameLog[[#This Row],[Check]],"?*")-1)</f>
        <v/>
      </c>
      <c r="O1281" s="6" t="str">
        <f>IFERROR(INDEX(Players[New name],MATCH(GameLog[[#This Row],[Player]],Players[Name],0)),GameLog[[#This Row],[Player]])</f>
        <v>AJ W</v>
      </c>
    </row>
    <row r="1282" spans="1:15" x14ac:dyDescent="0.45">
      <c r="A1282" s="6" t="s">
        <v>97</v>
      </c>
      <c r="B1282" s="6" t="s">
        <v>53</v>
      </c>
      <c r="C1282" s="6">
        <v>1</v>
      </c>
      <c r="D1282" s="6">
        <v>4</v>
      </c>
      <c r="E1282" s="6">
        <v>1</v>
      </c>
      <c r="F1282" s="10">
        <v>46118</v>
      </c>
      <c r="G1282" s="6" t="str">
        <f>_xlfn.TEXTJOIN("|",TRUE,GameLog[[#This Row],[Pod]],TEXT(INT(GameLog[[#This Row],[Round]]),"yyyymmdd"),GameLog[[#This Row],[Date]])</f>
        <v>4|19000101|46118</v>
      </c>
      <c r="H1282" s="6">
        <f>COUNTIF(GameLog[Pod ID],GameLog[[#This Row],[Pod ID]])</f>
        <v>4</v>
      </c>
      <c r="I1282" s="6">
        <f>YEAR(GameLog[[#This Row],[Date]])</f>
        <v>2026</v>
      </c>
      <c r="J1282" s="6">
        <f>MONTH(GameLog[[#This Row],[Date]])</f>
        <v>4</v>
      </c>
      <c r="K1282" s="6" t="str">
        <f>IF(GameLog[[#This Row],[Date]]=MAX(GameLog[Date]),"Current","Previous")</f>
        <v>Previous</v>
      </c>
      <c r="L1282" s="6"/>
      <c r="M12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2" s="6" t="str">
        <f ca="1">IF(GameLog[[#This Row],[Check]]="","",COUNTIF(GameLog[[#Headers],[Check]]:GameLog[[#This Row],[Check]],"?*")-1)</f>
        <v/>
      </c>
      <c r="O1282" s="6" t="str">
        <f>IFERROR(INDEX(Players[New name],MATCH(GameLog[[#This Row],[Player]],Players[Name],0)),GameLog[[#This Row],[Player]])</f>
        <v>Arman H</v>
      </c>
    </row>
    <row r="1283" spans="1:15" x14ac:dyDescent="0.45">
      <c r="A1283" s="6" t="s">
        <v>49</v>
      </c>
      <c r="B1283" s="6" t="s">
        <v>53</v>
      </c>
      <c r="C1283" s="6">
        <v>2</v>
      </c>
      <c r="D1283" s="6">
        <v>4</v>
      </c>
      <c r="E1283" s="6">
        <v>1</v>
      </c>
      <c r="F1283" s="10">
        <v>46118</v>
      </c>
      <c r="G1283" s="6" t="str">
        <f>_xlfn.TEXTJOIN("|",TRUE,GameLog[[#This Row],[Pod]],TEXT(INT(GameLog[[#This Row],[Round]]),"yyyymmdd"),GameLog[[#This Row],[Date]])</f>
        <v>4|19000101|46118</v>
      </c>
      <c r="H1283" s="6">
        <f>COUNTIF(GameLog[Pod ID],GameLog[[#This Row],[Pod ID]])</f>
        <v>4</v>
      </c>
      <c r="I1283" s="6">
        <f>YEAR(GameLog[[#This Row],[Date]])</f>
        <v>2026</v>
      </c>
      <c r="J1283" s="6">
        <f>MONTH(GameLog[[#This Row],[Date]])</f>
        <v>4</v>
      </c>
      <c r="K1283" s="6" t="str">
        <f>IF(GameLog[[#This Row],[Date]]=MAX(GameLog[Date]),"Current","Previous")</f>
        <v>Previous</v>
      </c>
      <c r="L1283" s="6"/>
      <c r="M12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3" s="6" t="str">
        <f ca="1">IF(GameLog[[#This Row],[Check]]="","",COUNTIF(GameLog[[#Headers],[Check]]:GameLog[[#This Row],[Check]],"?*")-1)</f>
        <v/>
      </c>
      <c r="O1283" s="6" t="str">
        <f>IFERROR(INDEX(Players[New name],MATCH(GameLog[[#This Row],[Player]],Players[Name],0)),GameLog[[#This Row],[Player]])</f>
        <v>Brett R</v>
      </c>
    </row>
    <row r="1284" spans="1:15" x14ac:dyDescent="0.45">
      <c r="A1284" s="6" t="s">
        <v>94</v>
      </c>
      <c r="B1284" s="6" t="s">
        <v>53</v>
      </c>
      <c r="C1284" s="6">
        <v>3</v>
      </c>
      <c r="D1284" s="6">
        <v>4</v>
      </c>
      <c r="E1284" s="6">
        <v>1</v>
      </c>
      <c r="F1284" s="10">
        <v>46118</v>
      </c>
      <c r="G1284" s="6" t="str">
        <f>_xlfn.TEXTJOIN("|",TRUE,GameLog[[#This Row],[Pod]],TEXT(INT(GameLog[[#This Row],[Round]]),"yyyymmdd"),GameLog[[#This Row],[Date]])</f>
        <v>4|19000101|46118</v>
      </c>
      <c r="H1284" s="6">
        <f>COUNTIF(GameLog[Pod ID],GameLog[[#This Row],[Pod ID]])</f>
        <v>4</v>
      </c>
      <c r="I1284" s="6">
        <f>YEAR(GameLog[[#This Row],[Date]])</f>
        <v>2026</v>
      </c>
      <c r="J1284" s="6">
        <f>MONTH(GameLog[[#This Row],[Date]])</f>
        <v>4</v>
      </c>
      <c r="K1284" s="6" t="str">
        <f>IF(GameLog[[#This Row],[Date]]=MAX(GameLog[Date]),"Current","Previous")</f>
        <v>Previous</v>
      </c>
      <c r="L1284" s="6"/>
      <c r="M12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4" s="6" t="str">
        <f ca="1">IF(GameLog[[#This Row],[Check]]="","",COUNTIF(GameLog[[#Headers],[Check]]:GameLog[[#This Row],[Check]],"?*")-1)</f>
        <v/>
      </c>
      <c r="O1284" s="6" t="str">
        <f>IFERROR(INDEX(Players[New name],MATCH(GameLog[[#This Row],[Player]],Players[Name],0)),GameLog[[#This Row],[Player]])</f>
        <v>Austin D</v>
      </c>
    </row>
    <row r="1285" spans="1:15" x14ac:dyDescent="0.45">
      <c r="A1285" s="6" t="s">
        <v>71</v>
      </c>
      <c r="B1285" s="6" t="s">
        <v>50</v>
      </c>
      <c r="C1285" s="6">
        <v>4</v>
      </c>
      <c r="D1285" s="6">
        <v>4</v>
      </c>
      <c r="E1285" s="6">
        <v>1</v>
      </c>
      <c r="F1285" s="10">
        <v>46118</v>
      </c>
      <c r="G1285" s="6" t="str">
        <f>_xlfn.TEXTJOIN("|",TRUE,GameLog[[#This Row],[Pod]],TEXT(INT(GameLog[[#This Row],[Round]]),"yyyymmdd"),GameLog[[#This Row],[Date]])</f>
        <v>4|19000101|46118</v>
      </c>
      <c r="H1285" s="6">
        <f>COUNTIF(GameLog[Pod ID],GameLog[[#This Row],[Pod ID]])</f>
        <v>4</v>
      </c>
      <c r="I1285" s="6">
        <f>YEAR(GameLog[[#This Row],[Date]])</f>
        <v>2026</v>
      </c>
      <c r="J1285" s="6">
        <f>MONTH(GameLog[[#This Row],[Date]])</f>
        <v>4</v>
      </c>
      <c r="K1285" s="6" t="str">
        <f>IF(GameLog[[#This Row],[Date]]=MAX(GameLog[Date]),"Current","Previous")</f>
        <v>Previous</v>
      </c>
      <c r="L1285" s="6"/>
      <c r="M12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5" s="6" t="str">
        <f ca="1">IF(GameLog[[#This Row],[Check]]="","",COUNTIF(GameLog[[#Headers],[Check]]:GameLog[[#This Row],[Check]],"?*")-1)</f>
        <v/>
      </c>
      <c r="O1285" s="6" t="str">
        <f>IFERROR(INDEX(Players[New name],MATCH(GameLog[[#This Row],[Player]],Players[Name],0)),GameLog[[#This Row],[Player]])</f>
        <v>Rodney Y</v>
      </c>
    </row>
    <row r="1286" spans="1:15" x14ac:dyDescent="0.45">
      <c r="A1286" s="6" t="s">
        <v>64</v>
      </c>
      <c r="B1286" s="6" t="s">
        <v>53</v>
      </c>
      <c r="C1286" s="6">
        <v>1</v>
      </c>
      <c r="D1286" s="6">
        <v>5</v>
      </c>
      <c r="E1286" s="6">
        <v>1</v>
      </c>
      <c r="F1286" s="10">
        <v>46118</v>
      </c>
      <c r="G1286" s="6" t="str">
        <f>_xlfn.TEXTJOIN("|",TRUE,GameLog[[#This Row],[Pod]],TEXT(INT(GameLog[[#This Row],[Round]]),"yyyymmdd"),GameLog[[#This Row],[Date]])</f>
        <v>5|19000101|46118</v>
      </c>
      <c r="H1286" s="6">
        <f>COUNTIF(GameLog[Pod ID],GameLog[[#This Row],[Pod ID]])</f>
        <v>3</v>
      </c>
      <c r="I1286" s="6">
        <f>YEAR(GameLog[[#This Row],[Date]])</f>
        <v>2026</v>
      </c>
      <c r="J1286" s="6">
        <f>MONTH(GameLog[[#This Row],[Date]])</f>
        <v>4</v>
      </c>
      <c r="K1286" s="6" t="str">
        <f>IF(GameLog[[#This Row],[Date]]=MAX(GameLog[Date]),"Current","Previous")</f>
        <v>Previous</v>
      </c>
      <c r="L1286" s="6"/>
      <c r="M12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6" s="6" t="str">
        <f ca="1">IF(GameLog[[#This Row],[Check]]="","",COUNTIF(GameLog[[#Headers],[Check]]:GameLog[[#This Row],[Check]],"?*")-1)</f>
        <v/>
      </c>
      <c r="O1286" s="6" t="str">
        <f>IFERROR(INDEX(Players[New name],MATCH(GameLog[[#This Row],[Player]],Players[Name],0)),GameLog[[#This Row],[Player]])</f>
        <v>Tyler B</v>
      </c>
    </row>
    <row r="1287" spans="1:15" x14ac:dyDescent="0.45">
      <c r="A1287" s="6" t="s">
        <v>99</v>
      </c>
      <c r="B1287" s="6" t="s">
        <v>53</v>
      </c>
      <c r="C1287" s="6">
        <v>2</v>
      </c>
      <c r="D1287" s="6">
        <v>5</v>
      </c>
      <c r="E1287" s="6">
        <v>1</v>
      </c>
      <c r="F1287" s="10">
        <v>46118</v>
      </c>
      <c r="G1287" s="6" t="str">
        <f>_xlfn.TEXTJOIN("|",TRUE,GameLog[[#This Row],[Pod]],TEXT(INT(GameLog[[#This Row],[Round]]),"yyyymmdd"),GameLog[[#This Row],[Date]])</f>
        <v>5|19000101|46118</v>
      </c>
      <c r="H1287" s="6">
        <f>COUNTIF(GameLog[Pod ID],GameLog[[#This Row],[Pod ID]])</f>
        <v>3</v>
      </c>
      <c r="I1287" s="6">
        <f>YEAR(GameLog[[#This Row],[Date]])</f>
        <v>2026</v>
      </c>
      <c r="J1287" s="6">
        <f>MONTH(GameLog[[#This Row],[Date]])</f>
        <v>4</v>
      </c>
      <c r="K1287" s="6" t="str">
        <f>IF(GameLog[[#This Row],[Date]]=MAX(GameLog[Date]),"Current","Previous")</f>
        <v>Previous</v>
      </c>
      <c r="L1287" s="6"/>
      <c r="M12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7" s="6" t="str">
        <f ca="1">IF(GameLog[[#This Row],[Check]]="","",COUNTIF(GameLog[[#Headers],[Check]]:GameLog[[#This Row],[Check]],"?*")-1)</f>
        <v/>
      </c>
      <c r="O1287" s="6" t="str">
        <f>IFERROR(INDEX(Players[New name],MATCH(GameLog[[#This Row],[Player]],Players[Name],0)),GameLog[[#This Row],[Player]])</f>
        <v>Steve A-G</v>
      </c>
    </row>
    <row r="1288" spans="1:15" x14ac:dyDescent="0.45">
      <c r="A1288" s="6" t="s">
        <v>60</v>
      </c>
      <c r="B1288" s="6" t="s">
        <v>50</v>
      </c>
      <c r="C1288" s="6">
        <v>3</v>
      </c>
      <c r="D1288" s="6">
        <v>5</v>
      </c>
      <c r="E1288" s="6">
        <v>1</v>
      </c>
      <c r="F1288" s="10">
        <v>46118</v>
      </c>
      <c r="G1288" s="6" t="str">
        <f>_xlfn.TEXTJOIN("|",TRUE,GameLog[[#This Row],[Pod]],TEXT(INT(GameLog[[#This Row],[Round]]),"yyyymmdd"),GameLog[[#This Row],[Date]])</f>
        <v>5|19000101|46118</v>
      </c>
      <c r="H1288" s="6">
        <f>COUNTIF(GameLog[Pod ID],GameLog[[#This Row],[Pod ID]])</f>
        <v>3</v>
      </c>
      <c r="I1288" s="6">
        <f>YEAR(GameLog[[#This Row],[Date]])</f>
        <v>2026</v>
      </c>
      <c r="J1288" s="6">
        <f>MONTH(GameLog[[#This Row],[Date]])</f>
        <v>4</v>
      </c>
      <c r="K1288" s="6" t="str">
        <f>IF(GameLog[[#This Row],[Date]]=MAX(GameLog[Date]),"Current","Previous")</f>
        <v>Previous</v>
      </c>
      <c r="L1288" s="6"/>
      <c r="M12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8" s="6" t="str">
        <f ca="1">IF(GameLog[[#This Row],[Check]]="","",COUNTIF(GameLog[[#Headers],[Check]]:GameLog[[#This Row],[Check]],"?*")-1)</f>
        <v/>
      </c>
      <c r="O1288" s="6" t="str">
        <f>IFERROR(INDEX(Players[New name],MATCH(GameLog[[#This Row],[Player]],Players[Name],0)),GameLog[[#This Row],[Player]])</f>
        <v>Brendan H</v>
      </c>
    </row>
    <row r="1289" spans="1:15" x14ac:dyDescent="0.45">
      <c r="A1289" s="6" t="s">
        <v>108</v>
      </c>
      <c r="B1289" s="6" t="s">
        <v>53</v>
      </c>
      <c r="C1289" s="6">
        <v>1</v>
      </c>
      <c r="D1289" s="6">
        <v>6</v>
      </c>
      <c r="E1289" s="6">
        <v>1</v>
      </c>
      <c r="F1289" s="10">
        <v>46118</v>
      </c>
      <c r="G1289" s="6" t="str">
        <f>_xlfn.TEXTJOIN("|",TRUE,GameLog[[#This Row],[Pod]],TEXT(INT(GameLog[[#This Row],[Round]]),"yyyymmdd"),GameLog[[#This Row],[Date]])</f>
        <v>6|19000101|46118</v>
      </c>
      <c r="H1289" s="6">
        <f>COUNTIF(GameLog[Pod ID],GameLog[[#This Row],[Pod ID]])</f>
        <v>3</v>
      </c>
      <c r="I1289" s="6">
        <f>YEAR(GameLog[[#This Row],[Date]])</f>
        <v>2026</v>
      </c>
      <c r="J1289" s="6">
        <f>MONTH(GameLog[[#This Row],[Date]])</f>
        <v>4</v>
      </c>
      <c r="K1289" s="6" t="str">
        <f>IF(GameLog[[#This Row],[Date]]=MAX(GameLog[Date]),"Current","Previous")</f>
        <v>Previous</v>
      </c>
      <c r="L1289" s="6"/>
      <c r="M12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89" s="6" t="str">
        <f ca="1">IF(GameLog[[#This Row],[Check]]="","",COUNTIF(GameLog[[#Headers],[Check]]:GameLog[[#This Row],[Check]],"?*")-1)</f>
        <v/>
      </c>
      <c r="O1289" s="6" t="str">
        <f>IFERROR(INDEX(Players[New name],MATCH(GameLog[[#This Row],[Player]],Players[Name],0)),GameLog[[#This Row],[Player]])</f>
        <v>Alexander D</v>
      </c>
    </row>
    <row r="1290" spans="1:15" x14ac:dyDescent="0.45">
      <c r="A1290" s="6" t="s">
        <v>62</v>
      </c>
      <c r="B1290" s="6" t="s">
        <v>50</v>
      </c>
      <c r="C1290" s="6">
        <v>2</v>
      </c>
      <c r="D1290" s="6">
        <v>6</v>
      </c>
      <c r="E1290" s="6">
        <v>1</v>
      </c>
      <c r="F1290" s="10">
        <v>46118</v>
      </c>
      <c r="G1290" s="6" t="str">
        <f>_xlfn.TEXTJOIN("|",TRUE,GameLog[[#This Row],[Pod]],TEXT(INT(GameLog[[#This Row],[Round]]),"yyyymmdd"),GameLog[[#This Row],[Date]])</f>
        <v>6|19000101|46118</v>
      </c>
      <c r="H1290" s="6">
        <f>COUNTIF(GameLog[Pod ID],GameLog[[#This Row],[Pod ID]])</f>
        <v>3</v>
      </c>
      <c r="I1290" s="6">
        <f>YEAR(GameLog[[#This Row],[Date]])</f>
        <v>2026</v>
      </c>
      <c r="J1290" s="6">
        <f>MONTH(GameLog[[#This Row],[Date]])</f>
        <v>4</v>
      </c>
      <c r="K1290" s="6" t="str">
        <f>IF(GameLog[[#This Row],[Date]]=MAX(GameLog[Date]),"Current","Previous")</f>
        <v>Previous</v>
      </c>
      <c r="L1290" s="6"/>
      <c r="M12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0" s="6" t="str">
        <f ca="1">IF(GameLog[[#This Row],[Check]]="","",COUNTIF(GameLog[[#Headers],[Check]]:GameLog[[#This Row],[Check]],"?*")-1)</f>
        <v/>
      </c>
      <c r="O1290" s="6" t="str">
        <f>IFERROR(INDEX(Players[New name],MATCH(GameLog[[#This Row],[Player]],Players[Name],0)),GameLog[[#This Row],[Player]])</f>
        <v>Nicholas S</v>
      </c>
    </row>
    <row r="1291" spans="1:15" x14ac:dyDescent="0.45">
      <c r="A1291" s="6" t="s">
        <v>63</v>
      </c>
      <c r="B1291" s="6" t="s">
        <v>53</v>
      </c>
      <c r="C1291" s="6">
        <v>3</v>
      </c>
      <c r="D1291" s="6">
        <v>6</v>
      </c>
      <c r="E1291" s="6">
        <v>1</v>
      </c>
      <c r="F1291" s="10">
        <v>46118</v>
      </c>
      <c r="G1291" s="6" t="str">
        <f>_xlfn.TEXTJOIN("|",TRUE,GameLog[[#This Row],[Pod]],TEXT(INT(GameLog[[#This Row],[Round]]),"yyyymmdd"),GameLog[[#This Row],[Date]])</f>
        <v>6|19000101|46118</v>
      </c>
      <c r="H1291" s="6">
        <f>COUNTIF(GameLog[Pod ID],GameLog[[#This Row],[Pod ID]])</f>
        <v>3</v>
      </c>
      <c r="I1291" s="6">
        <f>YEAR(GameLog[[#This Row],[Date]])</f>
        <v>2026</v>
      </c>
      <c r="J1291" s="6">
        <f>MONTH(GameLog[[#This Row],[Date]])</f>
        <v>4</v>
      </c>
      <c r="K1291" s="6" t="str">
        <f>IF(GameLog[[#This Row],[Date]]=MAX(GameLog[Date]),"Current","Previous")</f>
        <v>Previous</v>
      </c>
      <c r="L1291" s="6"/>
      <c r="M12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1" s="6" t="str">
        <f ca="1">IF(GameLog[[#This Row],[Check]]="","",COUNTIF(GameLog[[#Headers],[Check]]:GameLog[[#This Row],[Check]],"?*")-1)</f>
        <v/>
      </c>
      <c r="O1291" s="6" t="str">
        <f>IFERROR(INDEX(Players[New name],MATCH(GameLog[[#This Row],[Player]],Players[Name],0)),GameLog[[#This Row],[Player]])</f>
        <v>Jake D</v>
      </c>
    </row>
    <row r="1292" spans="1:15" x14ac:dyDescent="0.45">
      <c r="A1292" s="6" t="s">
        <v>62</v>
      </c>
      <c r="B1292" s="6" t="s">
        <v>53</v>
      </c>
      <c r="C1292" s="6">
        <v>1</v>
      </c>
      <c r="D1292" s="6">
        <v>1</v>
      </c>
      <c r="E1292" s="6">
        <v>2</v>
      </c>
      <c r="F1292" s="10">
        <v>46118</v>
      </c>
      <c r="G1292" s="6" t="str">
        <f>_xlfn.TEXTJOIN("|",TRUE,GameLog[[#This Row],[Pod]],TEXT(INT(GameLog[[#This Row],[Round]]),"yyyymmdd"),GameLog[[#This Row],[Date]])</f>
        <v>1|19000102|46118</v>
      </c>
      <c r="H1292" s="6">
        <f>COUNTIF(GameLog[Pod ID],GameLog[[#This Row],[Pod ID]])</f>
        <v>4</v>
      </c>
      <c r="I1292" s="6">
        <f>YEAR(GameLog[[#This Row],[Date]])</f>
        <v>2026</v>
      </c>
      <c r="J1292" s="6">
        <f>MONTH(GameLog[[#This Row],[Date]])</f>
        <v>4</v>
      </c>
      <c r="K1292" s="6" t="str">
        <f>IF(GameLog[[#This Row],[Date]]=MAX(GameLog[Date]),"Current","Previous")</f>
        <v>Previous</v>
      </c>
      <c r="L1292" s="6"/>
      <c r="M12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2" s="6" t="str">
        <f ca="1">IF(GameLog[[#This Row],[Check]]="","",COUNTIF(GameLog[[#Headers],[Check]]:GameLog[[#This Row],[Check]],"?*")-1)</f>
        <v/>
      </c>
      <c r="O1292" s="6" t="str">
        <f>IFERROR(INDEX(Players[New name],MATCH(GameLog[[#This Row],[Player]],Players[Name],0)),GameLog[[#This Row],[Player]])</f>
        <v>Nicholas S</v>
      </c>
    </row>
    <row r="1293" spans="1:15" x14ac:dyDescent="0.45">
      <c r="A1293" s="6" t="s">
        <v>107</v>
      </c>
      <c r="B1293" s="6" t="s">
        <v>53</v>
      </c>
      <c r="C1293" s="6">
        <v>2</v>
      </c>
      <c r="D1293" s="6">
        <v>1</v>
      </c>
      <c r="E1293" s="6">
        <v>2</v>
      </c>
      <c r="F1293" s="10">
        <v>46118</v>
      </c>
      <c r="G1293" s="6" t="str">
        <f>_xlfn.TEXTJOIN("|",TRUE,GameLog[[#This Row],[Pod]],TEXT(INT(GameLog[[#This Row],[Round]]),"yyyymmdd"),GameLog[[#This Row],[Date]])</f>
        <v>1|19000102|46118</v>
      </c>
      <c r="H1293" s="6">
        <f>COUNTIF(GameLog[Pod ID],GameLog[[#This Row],[Pod ID]])</f>
        <v>4</v>
      </c>
      <c r="I1293" s="6">
        <f>YEAR(GameLog[[#This Row],[Date]])</f>
        <v>2026</v>
      </c>
      <c r="J1293" s="6">
        <f>MONTH(GameLog[[#This Row],[Date]])</f>
        <v>4</v>
      </c>
      <c r="K1293" s="6" t="str">
        <f>IF(GameLog[[#This Row],[Date]]=MAX(GameLog[Date]),"Current","Previous")</f>
        <v>Previous</v>
      </c>
      <c r="L1293" s="6"/>
      <c r="M12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3" s="6" t="str">
        <f ca="1">IF(GameLog[[#This Row],[Check]]="","",COUNTIF(GameLog[[#Headers],[Check]]:GameLog[[#This Row],[Check]],"?*")-1)</f>
        <v/>
      </c>
      <c r="O1293" s="6" t="str">
        <f>IFERROR(INDEX(Players[New name],MATCH(GameLog[[#This Row],[Player]],Players[Name],0)),GameLog[[#This Row],[Player]])</f>
        <v>Lee C</v>
      </c>
    </row>
    <row r="1294" spans="1:15" x14ac:dyDescent="0.45">
      <c r="A1294" s="6" t="s">
        <v>99</v>
      </c>
      <c r="B1294" s="6" t="s">
        <v>53</v>
      </c>
      <c r="C1294" s="6">
        <v>3</v>
      </c>
      <c r="D1294" s="6">
        <v>1</v>
      </c>
      <c r="E1294" s="6">
        <v>2</v>
      </c>
      <c r="F1294" s="10">
        <v>46118</v>
      </c>
      <c r="G1294" s="6" t="str">
        <f>_xlfn.TEXTJOIN("|",TRUE,GameLog[[#This Row],[Pod]],TEXT(INT(GameLog[[#This Row],[Round]]),"yyyymmdd"),GameLog[[#This Row],[Date]])</f>
        <v>1|19000102|46118</v>
      </c>
      <c r="H1294" s="6">
        <f>COUNTIF(GameLog[Pod ID],GameLog[[#This Row],[Pod ID]])</f>
        <v>4</v>
      </c>
      <c r="I1294" s="6">
        <f>YEAR(GameLog[[#This Row],[Date]])</f>
        <v>2026</v>
      </c>
      <c r="J1294" s="6">
        <f>MONTH(GameLog[[#This Row],[Date]])</f>
        <v>4</v>
      </c>
      <c r="K1294" s="6" t="str">
        <f>IF(GameLog[[#This Row],[Date]]=MAX(GameLog[Date]),"Current","Previous")</f>
        <v>Previous</v>
      </c>
      <c r="L1294" s="6"/>
      <c r="M12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4" s="6" t="str">
        <f ca="1">IF(GameLog[[#This Row],[Check]]="","",COUNTIF(GameLog[[#Headers],[Check]]:GameLog[[#This Row],[Check]],"?*")-1)</f>
        <v/>
      </c>
      <c r="O1294" s="6" t="str">
        <f>IFERROR(INDEX(Players[New name],MATCH(GameLog[[#This Row],[Player]],Players[Name],0)),GameLog[[#This Row],[Player]])</f>
        <v>Steve A-G</v>
      </c>
    </row>
    <row r="1295" spans="1:15" x14ac:dyDescent="0.45">
      <c r="A1295" s="6" t="s">
        <v>49</v>
      </c>
      <c r="B1295" s="6" t="s">
        <v>50</v>
      </c>
      <c r="C1295" s="6">
        <v>4</v>
      </c>
      <c r="D1295" s="6">
        <v>1</v>
      </c>
      <c r="E1295" s="6">
        <v>2</v>
      </c>
      <c r="F1295" s="10">
        <v>46118</v>
      </c>
      <c r="G1295" s="6" t="str">
        <f>_xlfn.TEXTJOIN("|",TRUE,GameLog[[#This Row],[Pod]],TEXT(INT(GameLog[[#This Row],[Round]]),"yyyymmdd"),GameLog[[#This Row],[Date]])</f>
        <v>1|19000102|46118</v>
      </c>
      <c r="H1295" s="6">
        <f>COUNTIF(GameLog[Pod ID],GameLog[[#This Row],[Pod ID]])</f>
        <v>4</v>
      </c>
      <c r="I1295" s="6">
        <f>YEAR(GameLog[[#This Row],[Date]])</f>
        <v>2026</v>
      </c>
      <c r="J1295" s="6">
        <f>MONTH(GameLog[[#This Row],[Date]])</f>
        <v>4</v>
      </c>
      <c r="K1295" s="6" t="str">
        <f>IF(GameLog[[#This Row],[Date]]=MAX(GameLog[Date]),"Current","Previous")</f>
        <v>Previous</v>
      </c>
      <c r="L1295" s="6"/>
      <c r="M12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5" s="6" t="str">
        <f ca="1">IF(GameLog[[#This Row],[Check]]="","",COUNTIF(GameLog[[#Headers],[Check]]:GameLog[[#This Row],[Check]],"?*")-1)</f>
        <v/>
      </c>
      <c r="O1295" s="6" t="str">
        <f>IFERROR(INDEX(Players[New name],MATCH(GameLog[[#This Row],[Player]],Players[Name],0)),GameLog[[#This Row],[Player]])</f>
        <v>Brett R</v>
      </c>
    </row>
    <row r="1296" spans="1:15" x14ac:dyDescent="0.45">
      <c r="A1296" s="6" t="s">
        <v>60</v>
      </c>
      <c r="B1296" s="6" t="s">
        <v>53</v>
      </c>
      <c r="C1296" s="6">
        <v>1</v>
      </c>
      <c r="D1296" s="6">
        <v>2</v>
      </c>
      <c r="E1296" s="6">
        <v>2</v>
      </c>
      <c r="F1296" s="10">
        <v>46118</v>
      </c>
      <c r="G1296" s="6" t="str">
        <f>_xlfn.TEXTJOIN("|",TRUE,GameLog[[#This Row],[Pod]],TEXT(INT(GameLog[[#This Row],[Round]]),"yyyymmdd"),GameLog[[#This Row],[Date]])</f>
        <v>2|19000102|46118</v>
      </c>
      <c r="H1296" s="6">
        <f>COUNTIF(GameLog[Pod ID],GameLog[[#This Row],[Pod ID]])</f>
        <v>4</v>
      </c>
      <c r="I1296" s="6">
        <f>YEAR(GameLog[[#This Row],[Date]])</f>
        <v>2026</v>
      </c>
      <c r="J1296" s="6">
        <f>MONTH(GameLog[[#This Row],[Date]])</f>
        <v>4</v>
      </c>
      <c r="K1296" s="6" t="str">
        <f>IF(GameLog[[#This Row],[Date]]=MAX(GameLog[Date]),"Current","Previous")</f>
        <v>Previous</v>
      </c>
      <c r="L1296" s="6"/>
      <c r="M12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6" s="6" t="str">
        <f ca="1">IF(GameLog[[#This Row],[Check]]="","",COUNTIF(GameLog[[#Headers],[Check]]:GameLog[[#This Row],[Check]],"?*")-1)</f>
        <v/>
      </c>
      <c r="O1296" s="6" t="str">
        <f>IFERROR(INDEX(Players[New name],MATCH(GameLog[[#This Row],[Player]],Players[Name],0)),GameLog[[#This Row],[Player]])</f>
        <v>Brendan H</v>
      </c>
    </row>
    <row r="1297" spans="1:15" x14ac:dyDescent="0.45">
      <c r="A1297" s="6" t="s">
        <v>94</v>
      </c>
      <c r="B1297" s="6" t="s">
        <v>50</v>
      </c>
      <c r="C1297" s="6">
        <v>2</v>
      </c>
      <c r="D1297" s="6">
        <v>2</v>
      </c>
      <c r="E1297" s="6">
        <v>2</v>
      </c>
      <c r="F1297" s="10">
        <v>46118</v>
      </c>
      <c r="G1297" s="6" t="str">
        <f>_xlfn.TEXTJOIN("|",TRUE,GameLog[[#This Row],[Pod]],TEXT(INT(GameLog[[#This Row],[Round]]),"yyyymmdd"),GameLog[[#This Row],[Date]])</f>
        <v>2|19000102|46118</v>
      </c>
      <c r="H1297" s="6">
        <f>COUNTIF(GameLog[Pod ID],GameLog[[#This Row],[Pod ID]])</f>
        <v>4</v>
      </c>
      <c r="I1297" s="6">
        <f>YEAR(GameLog[[#This Row],[Date]])</f>
        <v>2026</v>
      </c>
      <c r="J1297" s="6">
        <f>MONTH(GameLog[[#This Row],[Date]])</f>
        <v>4</v>
      </c>
      <c r="K1297" s="6" t="str">
        <f>IF(GameLog[[#This Row],[Date]]=MAX(GameLog[Date]),"Current","Previous")</f>
        <v>Previous</v>
      </c>
      <c r="L1297" s="6"/>
      <c r="M12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7" s="6" t="str">
        <f ca="1">IF(GameLog[[#This Row],[Check]]="","",COUNTIF(GameLog[[#Headers],[Check]]:GameLog[[#This Row],[Check]],"?*")-1)</f>
        <v/>
      </c>
      <c r="O1297" s="6" t="str">
        <f>IFERROR(INDEX(Players[New name],MATCH(GameLog[[#This Row],[Player]],Players[Name],0)),GameLog[[#This Row],[Player]])</f>
        <v>Austin D</v>
      </c>
    </row>
    <row r="1298" spans="1:15" x14ac:dyDescent="0.45">
      <c r="A1298" s="6" t="s">
        <v>98</v>
      </c>
      <c r="B1298" s="6" t="s">
        <v>53</v>
      </c>
      <c r="C1298" s="6">
        <v>3</v>
      </c>
      <c r="D1298" s="6">
        <v>2</v>
      </c>
      <c r="E1298" s="6">
        <v>2</v>
      </c>
      <c r="F1298" s="10">
        <v>46118</v>
      </c>
      <c r="G1298" s="6" t="str">
        <f>_xlfn.TEXTJOIN("|",TRUE,GameLog[[#This Row],[Pod]],TEXT(INT(GameLog[[#This Row],[Round]]),"yyyymmdd"),GameLog[[#This Row],[Date]])</f>
        <v>2|19000102|46118</v>
      </c>
      <c r="H1298" s="6">
        <f>COUNTIF(GameLog[Pod ID],GameLog[[#This Row],[Pod ID]])</f>
        <v>4</v>
      </c>
      <c r="I1298" s="6">
        <f>YEAR(GameLog[[#This Row],[Date]])</f>
        <v>2026</v>
      </c>
      <c r="J1298" s="6">
        <f>MONTH(GameLog[[#This Row],[Date]])</f>
        <v>4</v>
      </c>
      <c r="K1298" s="6" t="str">
        <f>IF(GameLog[[#This Row],[Date]]=MAX(GameLog[Date]),"Current","Previous")</f>
        <v>Previous</v>
      </c>
      <c r="L1298" s="6"/>
      <c r="M12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8" s="6" t="str">
        <f ca="1">IF(GameLog[[#This Row],[Check]]="","",COUNTIF(GameLog[[#Headers],[Check]]:GameLog[[#This Row],[Check]],"?*")-1)</f>
        <v/>
      </c>
      <c r="O1298" s="6" t="str">
        <f>IFERROR(INDEX(Players[New name],MATCH(GameLog[[#This Row],[Player]],Players[Name],0)),GameLog[[#This Row],[Player]])</f>
        <v>Charlie B</v>
      </c>
    </row>
    <row r="1299" spans="1:15" x14ac:dyDescent="0.45">
      <c r="A1299" s="6" t="s">
        <v>108</v>
      </c>
      <c r="B1299" s="6" t="s">
        <v>53</v>
      </c>
      <c r="C1299" s="6">
        <v>4</v>
      </c>
      <c r="D1299" s="6">
        <v>2</v>
      </c>
      <c r="E1299" s="6">
        <v>2</v>
      </c>
      <c r="F1299" s="10">
        <v>46118</v>
      </c>
      <c r="G1299" s="6" t="str">
        <f>_xlfn.TEXTJOIN("|",TRUE,GameLog[[#This Row],[Pod]],TEXT(INT(GameLog[[#This Row],[Round]]),"yyyymmdd"),GameLog[[#This Row],[Date]])</f>
        <v>2|19000102|46118</v>
      </c>
      <c r="H1299" s="6">
        <f>COUNTIF(GameLog[Pod ID],GameLog[[#This Row],[Pod ID]])</f>
        <v>4</v>
      </c>
      <c r="I1299" s="6">
        <f>YEAR(GameLog[[#This Row],[Date]])</f>
        <v>2026</v>
      </c>
      <c r="J1299" s="6">
        <f>MONTH(GameLog[[#This Row],[Date]])</f>
        <v>4</v>
      </c>
      <c r="K1299" s="6" t="str">
        <f>IF(GameLog[[#This Row],[Date]]=MAX(GameLog[Date]),"Current","Previous")</f>
        <v>Previous</v>
      </c>
      <c r="L1299" s="6"/>
      <c r="M12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299" s="6" t="str">
        <f ca="1">IF(GameLog[[#This Row],[Check]]="","",COUNTIF(GameLog[[#Headers],[Check]]:GameLog[[#This Row],[Check]],"?*")-1)</f>
        <v/>
      </c>
      <c r="O1299" s="6" t="str">
        <f>IFERROR(INDEX(Players[New name],MATCH(GameLog[[#This Row],[Player]],Players[Name],0)),GameLog[[#This Row],[Player]])</f>
        <v>Alexander D</v>
      </c>
    </row>
    <row r="1300" spans="1:15" x14ac:dyDescent="0.45">
      <c r="A1300" s="6" t="s">
        <v>63</v>
      </c>
      <c r="B1300" s="6" t="s">
        <v>53</v>
      </c>
      <c r="C1300" s="6">
        <v>1</v>
      </c>
      <c r="D1300" s="6">
        <v>3</v>
      </c>
      <c r="E1300" s="6">
        <v>2</v>
      </c>
      <c r="F1300" s="10">
        <v>46118</v>
      </c>
      <c r="G1300" s="6" t="str">
        <f>_xlfn.TEXTJOIN("|",TRUE,GameLog[[#This Row],[Pod]],TEXT(INT(GameLog[[#This Row],[Round]]),"yyyymmdd"),GameLog[[#This Row],[Date]])</f>
        <v>3|19000102|46118</v>
      </c>
      <c r="H1300" s="6">
        <f>COUNTIF(GameLog[Pod ID],GameLog[[#This Row],[Pod ID]])</f>
        <v>4</v>
      </c>
      <c r="I1300" s="6">
        <f>YEAR(GameLog[[#This Row],[Date]])</f>
        <v>2026</v>
      </c>
      <c r="J1300" s="6">
        <f>MONTH(GameLog[[#This Row],[Date]])</f>
        <v>4</v>
      </c>
      <c r="K1300" s="6" t="str">
        <f>IF(GameLog[[#This Row],[Date]]=MAX(GameLog[Date]),"Current","Previous")</f>
        <v>Previous</v>
      </c>
      <c r="L1300" s="6"/>
      <c r="M13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0" s="6" t="str">
        <f ca="1">IF(GameLog[[#This Row],[Check]]="","",COUNTIF(GameLog[[#Headers],[Check]]:GameLog[[#This Row],[Check]],"?*")-1)</f>
        <v/>
      </c>
      <c r="O1300" s="6" t="str">
        <f>IFERROR(INDEX(Players[New name],MATCH(GameLog[[#This Row],[Player]],Players[Name],0)),GameLog[[#This Row],[Player]])</f>
        <v>Jake D</v>
      </c>
    </row>
    <row r="1301" spans="1:15" x14ac:dyDescent="0.45">
      <c r="A1301" s="6" t="s">
        <v>73</v>
      </c>
      <c r="B1301" s="6" t="s">
        <v>53</v>
      </c>
      <c r="C1301" s="6">
        <v>2</v>
      </c>
      <c r="D1301" s="6">
        <v>3</v>
      </c>
      <c r="E1301" s="6">
        <v>2</v>
      </c>
      <c r="F1301" s="10">
        <v>46118</v>
      </c>
      <c r="G1301" s="6" t="str">
        <f>_xlfn.TEXTJOIN("|",TRUE,GameLog[[#This Row],[Pod]],TEXT(INT(GameLog[[#This Row],[Round]]),"yyyymmdd"),GameLog[[#This Row],[Date]])</f>
        <v>3|19000102|46118</v>
      </c>
      <c r="H1301" s="6">
        <f>COUNTIF(GameLog[Pod ID],GameLog[[#This Row],[Pod ID]])</f>
        <v>4</v>
      </c>
      <c r="I1301" s="6">
        <f>YEAR(GameLog[[#This Row],[Date]])</f>
        <v>2026</v>
      </c>
      <c r="J1301" s="6">
        <f>MONTH(GameLog[[#This Row],[Date]])</f>
        <v>4</v>
      </c>
      <c r="K1301" s="6" t="str">
        <f>IF(GameLog[[#This Row],[Date]]=MAX(GameLog[Date]),"Current","Previous")</f>
        <v>Previous</v>
      </c>
      <c r="L1301" s="6"/>
      <c r="M13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1" s="6" t="str">
        <f ca="1">IF(GameLog[[#This Row],[Check]]="","",COUNTIF(GameLog[[#Headers],[Check]]:GameLog[[#This Row],[Check]],"?*")-1)</f>
        <v/>
      </c>
      <c r="O1301" s="6" t="str">
        <f>IFERROR(INDEX(Players[New name],MATCH(GameLog[[#This Row],[Player]],Players[Name],0)),GameLog[[#This Row],[Player]])</f>
        <v>Brandon B</v>
      </c>
    </row>
    <row r="1302" spans="1:15" x14ac:dyDescent="0.45">
      <c r="A1302" s="6" t="s">
        <v>71</v>
      </c>
      <c r="B1302" s="6" t="s">
        <v>50</v>
      </c>
      <c r="C1302" s="6">
        <v>3</v>
      </c>
      <c r="D1302" s="6">
        <v>3</v>
      </c>
      <c r="E1302" s="6">
        <v>2</v>
      </c>
      <c r="F1302" s="10">
        <v>46118</v>
      </c>
      <c r="G1302" s="6" t="str">
        <f>_xlfn.TEXTJOIN("|",TRUE,GameLog[[#This Row],[Pod]],TEXT(INT(GameLog[[#This Row],[Round]]),"yyyymmdd"),GameLog[[#This Row],[Date]])</f>
        <v>3|19000102|46118</v>
      </c>
      <c r="H1302" s="6">
        <f>COUNTIF(GameLog[Pod ID],GameLog[[#This Row],[Pod ID]])</f>
        <v>4</v>
      </c>
      <c r="I1302" s="6">
        <f>YEAR(GameLog[[#This Row],[Date]])</f>
        <v>2026</v>
      </c>
      <c r="J1302" s="6">
        <f>MONTH(GameLog[[#This Row],[Date]])</f>
        <v>4</v>
      </c>
      <c r="K1302" s="6" t="str">
        <f>IF(GameLog[[#This Row],[Date]]=MAX(GameLog[Date]),"Current","Previous")</f>
        <v>Previous</v>
      </c>
      <c r="L1302" s="6"/>
      <c r="M13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2" s="6" t="str">
        <f ca="1">IF(GameLog[[#This Row],[Check]]="","",COUNTIF(GameLog[[#Headers],[Check]]:GameLog[[#This Row],[Check]],"?*")-1)</f>
        <v/>
      </c>
      <c r="O1302" s="6" t="str">
        <f>IFERROR(INDEX(Players[New name],MATCH(GameLog[[#This Row],[Player]],Players[Name],0)),GameLog[[#This Row],[Player]])</f>
        <v>Rodney Y</v>
      </c>
    </row>
    <row r="1303" spans="1:15" x14ac:dyDescent="0.45">
      <c r="A1303" s="6" t="s">
        <v>64</v>
      </c>
      <c r="B1303" s="6" t="s">
        <v>53</v>
      </c>
      <c r="C1303" s="6">
        <v>4</v>
      </c>
      <c r="D1303" s="6">
        <v>3</v>
      </c>
      <c r="E1303" s="6">
        <v>2</v>
      </c>
      <c r="F1303" s="10">
        <v>46118</v>
      </c>
      <c r="G1303" s="6" t="str">
        <f>_xlfn.TEXTJOIN("|",TRUE,GameLog[[#This Row],[Pod]],TEXT(INT(GameLog[[#This Row],[Round]]),"yyyymmdd"),GameLog[[#This Row],[Date]])</f>
        <v>3|19000102|46118</v>
      </c>
      <c r="H1303" s="6">
        <f>COUNTIF(GameLog[Pod ID],GameLog[[#This Row],[Pod ID]])</f>
        <v>4</v>
      </c>
      <c r="I1303" s="6">
        <f>YEAR(GameLog[[#This Row],[Date]])</f>
        <v>2026</v>
      </c>
      <c r="J1303" s="6">
        <f>MONTH(GameLog[[#This Row],[Date]])</f>
        <v>4</v>
      </c>
      <c r="K1303" s="6" t="str">
        <f>IF(GameLog[[#This Row],[Date]]=MAX(GameLog[Date]),"Current","Previous")</f>
        <v>Previous</v>
      </c>
      <c r="L1303" s="6"/>
      <c r="M13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3" s="6" t="str">
        <f ca="1">IF(GameLog[[#This Row],[Check]]="","",COUNTIF(GameLog[[#Headers],[Check]]:GameLog[[#This Row],[Check]],"?*")-1)</f>
        <v/>
      </c>
      <c r="O1303" s="6" t="str">
        <f>IFERROR(INDEX(Players[New name],MATCH(GameLog[[#This Row],[Player]],Players[Name],0)),GameLog[[#This Row],[Player]])</f>
        <v>Tyler B</v>
      </c>
    </row>
    <row r="1304" spans="1:15" x14ac:dyDescent="0.45">
      <c r="A1304" s="6" t="s">
        <v>91</v>
      </c>
      <c r="B1304" s="6" t="s">
        <v>90</v>
      </c>
      <c r="C1304" s="6">
        <v>1</v>
      </c>
      <c r="D1304" s="6">
        <v>4</v>
      </c>
      <c r="E1304" s="6">
        <v>2</v>
      </c>
      <c r="F1304" s="10">
        <v>46118</v>
      </c>
      <c r="G1304" s="6" t="str">
        <f>_xlfn.TEXTJOIN("|",TRUE,GameLog[[#This Row],[Pod]],TEXT(INT(GameLog[[#This Row],[Round]]),"yyyymmdd"),GameLog[[#This Row],[Date]])</f>
        <v>4|19000102|46118</v>
      </c>
      <c r="H1304" s="6">
        <f>COUNTIF(GameLog[Pod ID],GameLog[[#This Row],[Pod ID]])</f>
        <v>4</v>
      </c>
      <c r="I1304" s="6">
        <f>YEAR(GameLog[[#This Row],[Date]])</f>
        <v>2026</v>
      </c>
      <c r="J1304" s="6">
        <f>MONTH(GameLog[[#This Row],[Date]])</f>
        <v>4</v>
      </c>
      <c r="K1304" s="6" t="str">
        <f>IF(GameLog[[#This Row],[Date]]=MAX(GameLog[Date]),"Current","Previous")</f>
        <v>Previous</v>
      </c>
      <c r="L1304" s="6"/>
      <c r="M13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4" s="6" t="str">
        <f ca="1">IF(GameLog[[#This Row],[Check]]="","",COUNTIF(GameLog[[#Headers],[Check]]:GameLog[[#This Row],[Check]],"?*")-1)</f>
        <v/>
      </c>
      <c r="O1304" s="6" t="str">
        <f>IFERROR(INDEX(Players[New name],MATCH(GameLog[[#This Row],[Player]],Players[Name],0)),GameLog[[#This Row],[Player]])</f>
        <v>Isaac B</v>
      </c>
    </row>
    <row r="1305" spans="1:15" x14ac:dyDescent="0.45">
      <c r="A1305" s="6" t="s">
        <v>61</v>
      </c>
      <c r="B1305" s="6" t="s">
        <v>90</v>
      </c>
      <c r="C1305" s="6">
        <v>2</v>
      </c>
      <c r="D1305" s="6">
        <v>4</v>
      </c>
      <c r="E1305" s="6">
        <v>2</v>
      </c>
      <c r="F1305" s="10">
        <v>46118</v>
      </c>
      <c r="G1305" s="6" t="str">
        <f>_xlfn.TEXTJOIN("|",TRUE,GameLog[[#This Row],[Pod]],TEXT(INT(GameLog[[#This Row],[Round]]),"yyyymmdd"),GameLog[[#This Row],[Date]])</f>
        <v>4|19000102|46118</v>
      </c>
      <c r="H1305" s="6">
        <f>COUNTIF(GameLog[Pod ID],GameLog[[#This Row],[Pod ID]])</f>
        <v>4</v>
      </c>
      <c r="I1305" s="6">
        <f>YEAR(GameLog[[#This Row],[Date]])</f>
        <v>2026</v>
      </c>
      <c r="J1305" s="6">
        <f>MONTH(GameLog[[#This Row],[Date]])</f>
        <v>4</v>
      </c>
      <c r="K1305" s="6" t="str">
        <f>IF(GameLog[[#This Row],[Date]]=MAX(GameLog[Date]),"Current","Previous")</f>
        <v>Previous</v>
      </c>
      <c r="L1305" s="6"/>
      <c r="M13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5" s="6" t="str">
        <f ca="1">IF(GameLog[[#This Row],[Check]]="","",COUNTIF(GameLog[[#Headers],[Check]]:GameLog[[#This Row],[Check]],"?*")-1)</f>
        <v/>
      </c>
      <c r="O1305" s="6" t="str">
        <f>IFERROR(INDEX(Players[New name],MATCH(GameLog[[#This Row],[Player]],Players[Name],0)),GameLog[[#This Row],[Player]])</f>
        <v>Trevor</v>
      </c>
    </row>
    <row r="1306" spans="1:15" x14ac:dyDescent="0.45">
      <c r="A1306" s="6" t="s">
        <v>97</v>
      </c>
      <c r="B1306" s="6" t="s">
        <v>90</v>
      </c>
      <c r="C1306" s="6">
        <v>3</v>
      </c>
      <c r="D1306" s="6">
        <v>4</v>
      </c>
      <c r="E1306" s="6">
        <v>2</v>
      </c>
      <c r="F1306" s="10">
        <v>46118</v>
      </c>
      <c r="G1306" s="6" t="str">
        <f>_xlfn.TEXTJOIN("|",TRUE,GameLog[[#This Row],[Pod]],TEXT(INT(GameLog[[#This Row],[Round]]),"yyyymmdd"),GameLog[[#This Row],[Date]])</f>
        <v>4|19000102|46118</v>
      </c>
      <c r="H1306" s="6">
        <f>COUNTIF(GameLog[Pod ID],GameLog[[#This Row],[Pod ID]])</f>
        <v>4</v>
      </c>
      <c r="I1306" s="6">
        <f>YEAR(GameLog[[#This Row],[Date]])</f>
        <v>2026</v>
      </c>
      <c r="J1306" s="6">
        <f>MONTH(GameLog[[#This Row],[Date]])</f>
        <v>4</v>
      </c>
      <c r="K1306" s="6" t="str">
        <f>IF(GameLog[[#This Row],[Date]]=MAX(GameLog[Date]),"Current","Previous")</f>
        <v>Previous</v>
      </c>
      <c r="L1306" s="6"/>
      <c r="M13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6" s="6" t="str">
        <f ca="1">IF(GameLog[[#This Row],[Check]]="","",COUNTIF(GameLog[[#Headers],[Check]]:GameLog[[#This Row],[Check]],"?*")-1)</f>
        <v/>
      </c>
      <c r="O1306" s="6" t="str">
        <f>IFERROR(INDEX(Players[New name],MATCH(GameLog[[#This Row],[Player]],Players[Name],0)),GameLog[[#This Row],[Player]])</f>
        <v>Arman H</v>
      </c>
    </row>
    <row r="1307" spans="1:15" x14ac:dyDescent="0.45">
      <c r="A1307" s="6" t="s">
        <v>59</v>
      </c>
      <c r="B1307" s="6" t="s">
        <v>90</v>
      </c>
      <c r="C1307" s="6">
        <v>4</v>
      </c>
      <c r="D1307" s="6">
        <v>4</v>
      </c>
      <c r="E1307" s="6">
        <v>2</v>
      </c>
      <c r="F1307" s="10">
        <v>46118</v>
      </c>
      <c r="G1307" s="6" t="str">
        <f>_xlfn.TEXTJOIN("|",TRUE,GameLog[[#This Row],[Pod]],TEXT(INT(GameLog[[#This Row],[Round]]),"yyyymmdd"),GameLog[[#This Row],[Date]])</f>
        <v>4|19000102|46118</v>
      </c>
      <c r="H1307" s="6">
        <f>COUNTIF(GameLog[Pod ID],GameLog[[#This Row],[Pod ID]])</f>
        <v>4</v>
      </c>
      <c r="I1307" s="6">
        <f>YEAR(GameLog[[#This Row],[Date]])</f>
        <v>2026</v>
      </c>
      <c r="J1307" s="6">
        <f>MONTH(GameLog[[#This Row],[Date]])</f>
        <v>4</v>
      </c>
      <c r="K1307" s="6" t="str">
        <f>IF(GameLog[[#This Row],[Date]]=MAX(GameLog[Date]),"Current","Previous")</f>
        <v>Previous</v>
      </c>
      <c r="L1307" s="6"/>
      <c r="M13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7" s="6" t="str">
        <f ca="1">IF(GameLog[[#This Row],[Check]]="","",COUNTIF(GameLog[[#Headers],[Check]]:GameLog[[#This Row],[Check]],"?*")-1)</f>
        <v/>
      </c>
      <c r="O1307" s="6" t="str">
        <f>IFERROR(INDEX(Players[New name],MATCH(GameLog[[#This Row],[Player]],Players[Name],0)),GameLog[[#This Row],[Player]])</f>
        <v>Zack B</v>
      </c>
    </row>
    <row r="1308" spans="1:15" x14ac:dyDescent="0.45">
      <c r="A1308" s="6" t="s">
        <v>92</v>
      </c>
      <c r="B1308" s="6" t="s">
        <v>50</v>
      </c>
      <c r="C1308" s="6">
        <v>1</v>
      </c>
      <c r="D1308" s="6">
        <v>5</v>
      </c>
      <c r="E1308" s="6">
        <v>2</v>
      </c>
      <c r="F1308" s="10">
        <v>46118</v>
      </c>
      <c r="G1308" s="6" t="str">
        <f>_xlfn.TEXTJOIN("|",TRUE,GameLog[[#This Row],[Pod]],TEXT(INT(GameLog[[#This Row],[Round]]),"yyyymmdd"),GameLog[[#This Row],[Date]])</f>
        <v>5|19000102|46118</v>
      </c>
      <c r="H1308" s="6">
        <f>COUNTIF(GameLog[Pod ID],GameLog[[#This Row],[Pod ID]])</f>
        <v>3</v>
      </c>
      <c r="I1308" s="6">
        <f>YEAR(GameLog[[#This Row],[Date]])</f>
        <v>2026</v>
      </c>
      <c r="J1308" s="6">
        <f>MONTH(GameLog[[#This Row],[Date]])</f>
        <v>4</v>
      </c>
      <c r="K1308" s="6" t="str">
        <f>IF(GameLog[[#This Row],[Date]]=MAX(GameLog[Date]),"Current","Previous")</f>
        <v>Previous</v>
      </c>
      <c r="L1308" s="6"/>
      <c r="M13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8" s="6" t="str">
        <f ca="1">IF(GameLog[[#This Row],[Check]]="","",COUNTIF(GameLog[[#Headers],[Check]]:GameLog[[#This Row],[Check]],"?*")-1)</f>
        <v/>
      </c>
      <c r="O1308" s="6" t="str">
        <f>IFERROR(INDEX(Players[New name],MATCH(GameLog[[#This Row],[Player]],Players[Name],0)),GameLog[[#This Row],[Player]])</f>
        <v>Harley A</v>
      </c>
    </row>
    <row r="1309" spans="1:15" x14ac:dyDescent="0.45">
      <c r="A1309" s="6" t="s">
        <v>57</v>
      </c>
      <c r="B1309" s="6" t="s">
        <v>53</v>
      </c>
      <c r="C1309" s="6">
        <v>2</v>
      </c>
      <c r="D1309" s="6">
        <v>5</v>
      </c>
      <c r="E1309" s="6">
        <v>2</v>
      </c>
      <c r="F1309" s="10">
        <v>46118</v>
      </c>
      <c r="G1309" s="6" t="str">
        <f>_xlfn.TEXTJOIN("|",TRUE,GameLog[[#This Row],[Pod]],TEXT(INT(GameLog[[#This Row],[Round]]),"yyyymmdd"),GameLog[[#This Row],[Date]])</f>
        <v>5|19000102|46118</v>
      </c>
      <c r="H1309" s="6">
        <f>COUNTIF(GameLog[Pod ID],GameLog[[#This Row],[Pod ID]])</f>
        <v>3</v>
      </c>
      <c r="I1309" s="6">
        <f>YEAR(GameLog[[#This Row],[Date]])</f>
        <v>2026</v>
      </c>
      <c r="J1309" s="6">
        <f>MONTH(GameLog[[#This Row],[Date]])</f>
        <v>4</v>
      </c>
      <c r="K1309" s="6" t="str">
        <f>IF(GameLog[[#This Row],[Date]]=MAX(GameLog[Date]),"Current","Previous")</f>
        <v>Previous</v>
      </c>
      <c r="L1309" s="6"/>
      <c r="M13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09" s="6" t="str">
        <f ca="1">IF(GameLog[[#This Row],[Check]]="","",COUNTIF(GameLog[[#Headers],[Check]]:GameLog[[#This Row],[Check]],"?*")-1)</f>
        <v/>
      </c>
      <c r="O1309" s="6" t="str">
        <f>IFERROR(INDEX(Players[New name],MATCH(GameLog[[#This Row],[Player]],Players[Name],0)),GameLog[[#This Row],[Player]])</f>
        <v>AJ W</v>
      </c>
    </row>
    <row r="1310" spans="1:15" x14ac:dyDescent="0.45">
      <c r="A1310" s="6" t="s">
        <v>75</v>
      </c>
      <c r="B1310" s="6" t="s">
        <v>53</v>
      </c>
      <c r="C1310" s="6">
        <v>3</v>
      </c>
      <c r="D1310" s="6">
        <v>5</v>
      </c>
      <c r="E1310" s="6">
        <v>2</v>
      </c>
      <c r="F1310" s="10">
        <v>46118</v>
      </c>
      <c r="G1310" s="6" t="str">
        <f>_xlfn.TEXTJOIN("|",TRUE,GameLog[[#This Row],[Pod]],TEXT(INT(GameLog[[#This Row],[Round]]),"yyyymmdd"),GameLog[[#This Row],[Date]])</f>
        <v>5|19000102|46118</v>
      </c>
      <c r="H1310" s="6">
        <f>COUNTIF(GameLog[Pod ID],GameLog[[#This Row],[Pod ID]])</f>
        <v>3</v>
      </c>
      <c r="I1310" s="6">
        <f>YEAR(GameLog[[#This Row],[Date]])</f>
        <v>2026</v>
      </c>
      <c r="J1310" s="6">
        <f>MONTH(GameLog[[#This Row],[Date]])</f>
        <v>4</v>
      </c>
      <c r="K1310" s="6" t="str">
        <f>IF(GameLog[[#This Row],[Date]]=MAX(GameLog[Date]),"Current","Previous")</f>
        <v>Previous</v>
      </c>
      <c r="L1310" s="6"/>
      <c r="M13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0" s="6" t="str">
        <f ca="1">IF(GameLog[[#This Row],[Check]]="","",COUNTIF(GameLog[[#Headers],[Check]]:GameLog[[#This Row],[Check]],"?*")-1)</f>
        <v/>
      </c>
      <c r="O1310" s="6" t="str">
        <f>IFERROR(INDEX(Players[New name],MATCH(GameLog[[#This Row],[Player]],Players[Name],0)),GameLog[[#This Row],[Player]])</f>
        <v>Eli T</v>
      </c>
    </row>
    <row r="1311" spans="1:15" x14ac:dyDescent="0.45">
      <c r="A1311" s="6" t="s">
        <v>77</v>
      </c>
      <c r="B1311" s="6" t="s">
        <v>53</v>
      </c>
      <c r="C1311" s="6">
        <v>1</v>
      </c>
      <c r="D1311" s="6">
        <v>6</v>
      </c>
      <c r="E1311" s="6">
        <v>2</v>
      </c>
      <c r="F1311" s="10">
        <v>46118</v>
      </c>
      <c r="G1311" s="6" t="str">
        <f>_xlfn.TEXTJOIN("|",TRUE,GameLog[[#This Row],[Pod]],TEXT(INT(GameLog[[#This Row],[Round]]),"yyyymmdd"),GameLog[[#This Row],[Date]])</f>
        <v>6|19000102|46118</v>
      </c>
      <c r="H1311" s="6">
        <f>COUNTIF(GameLog[Pod ID],GameLog[[#This Row],[Pod ID]])</f>
        <v>3</v>
      </c>
      <c r="I1311" s="6">
        <f>YEAR(GameLog[[#This Row],[Date]])</f>
        <v>2026</v>
      </c>
      <c r="J1311" s="6">
        <f>MONTH(GameLog[[#This Row],[Date]])</f>
        <v>4</v>
      </c>
      <c r="K1311" s="6" t="str">
        <f>IF(GameLog[[#This Row],[Date]]=MAX(GameLog[Date]),"Current","Previous")</f>
        <v>Previous</v>
      </c>
      <c r="L1311" s="6"/>
      <c r="M13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1" s="6" t="str">
        <f ca="1">IF(GameLog[[#This Row],[Check]]="","",COUNTIF(GameLog[[#Headers],[Check]]:GameLog[[#This Row],[Check]],"?*")-1)</f>
        <v/>
      </c>
      <c r="O1311" s="6" t="str">
        <f>IFERROR(INDEX(Players[New name],MATCH(GameLog[[#This Row],[Player]],Players[Name],0)),GameLog[[#This Row],[Player]])</f>
        <v>Dave M</v>
      </c>
    </row>
    <row r="1312" spans="1:15" x14ac:dyDescent="0.45">
      <c r="A1312" s="6" t="s">
        <v>70</v>
      </c>
      <c r="B1312" s="6" t="s">
        <v>50</v>
      </c>
      <c r="C1312" s="6">
        <v>2</v>
      </c>
      <c r="D1312" s="6">
        <v>6</v>
      </c>
      <c r="E1312" s="6">
        <v>2</v>
      </c>
      <c r="F1312" s="10">
        <v>46118</v>
      </c>
      <c r="G1312" s="6" t="str">
        <f>_xlfn.TEXTJOIN("|",TRUE,GameLog[[#This Row],[Pod]],TEXT(INT(GameLog[[#This Row],[Round]]),"yyyymmdd"),GameLog[[#This Row],[Date]])</f>
        <v>6|19000102|46118</v>
      </c>
      <c r="H1312" s="6">
        <f>COUNTIF(GameLog[Pod ID],GameLog[[#This Row],[Pod ID]])</f>
        <v>3</v>
      </c>
      <c r="I1312" s="6">
        <f>YEAR(GameLog[[#This Row],[Date]])</f>
        <v>2026</v>
      </c>
      <c r="J1312" s="6">
        <f>MONTH(GameLog[[#This Row],[Date]])</f>
        <v>4</v>
      </c>
      <c r="K1312" s="6" t="str">
        <f>IF(GameLog[[#This Row],[Date]]=MAX(GameLog[Date]),"Current","Previous")</f>
        <v>Previous</v>
      </c>
      <c r="L1312" s="6"/>
      <c r="M13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2" s="6" t="str">
        <f ca="1">IF(GameLog[[#This Row],[Check]]="","",COUNTIF(GameLog[[#Headers],[Check]]:GameLog[[#This Row],[Check]],"?*")-1)</f>
        <v/>
      </c>
      <c r="O1312" s="6" t="str">
        <f>IFERROR(INDEX(Players[New name],MATCH(GameLog[[#This Row],[Player]],Players[Name],0)),GameLog[[#This Row],[Player]])</f>
        <v>Brad F</v>
      </c>
    </row>
    <row r="1313" spans="1:15" x14ac:dyDescent="0.45">
      <c r="A1313" s="6" t="s">
        <v>55</v>
      </c>
      <c r="B1313" s="6" t="s">
        <v>53</v>
      </c>
      <c r="C1313" s="6">
        <v>3</v>
      </c>
      <c r="D1313" s="6">
        <v>6</v>
      </c>
      <c r="E1313" s="6">
        <v>2</v>
      </c>
      <c r="F1313" s="10">
        <v>46118</v>
      </c>
      <c r="G1313" s="6" t="str">
        <f>_xlfn.TEXTJOIN("|",TRUE,GameLog[[#This Row],[Pod]],TEXT(INT(GameLog[[#This Row],[Round]]),"yyyymmdd"),GameLog[[#This Row],[Date]])</f>
        <v>6|19000102|46118</v>
      </c>
      <c r="H1313" s="6">
        <f>COUNTIF(GameLog[Pod ID],GameLog[[#This Row],[Pod ID]])</f>
        <v>3</v>
      </c>
      <c r="I1313" s="6">
        <f>YEAR(GameLog[[#This Row],[Date]])</f>
        <v>2026</v>
      </c>
      <c r="J1313" s="6">
        <f>MONTH(GameLog[[#This Row],[Date]])</f>
        <v>4</v>
      </c>
      <c r="K1313" s="6" t="str">
        <f>IF(GameLog[[#This Row],[Date]]=MAX(GameLog[Date]),"Current","Previous")</f>
        <v>Previous</v>
      </c>
      <c r="L1313" s="6"/>
      <c r="M13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3" s="6" t="str">
        <f ca="1">IF(GameLog[[#This Row],[Check]]="","",COUNTIF(GameLog[[#Headers],[Check]]:GameLog[[#This Row],[Check]],"?*")-1)</f>
        <v/>
      </c>
      <c r="O1313" s="6" t="str">
        <f>IFERROR(INDEX(Players[New name],MATCH(GameLog[[#This Row],[Player]],Players[Name],0)),GameLog[[#This Row],[Player]])</f>
        <v>Bryce C</v>
      </c>
    </row>
    <row r="1314" spans="1:15" x14ac:dyDescent="0.45">
      <c r="A1314" s="6" t="s">
        <v>64</v>
      </c>
      <c r="B1314" s="6" t="s">
        <v>53</v>
      </c>
      <c r="C1314" s="6">
        <v>1</v>
      </c>
      <c r="D1314" s="6">
        <v>1</v>
      </c>
      <c r="E1314" s="6">
        <v>1</v>
      </c>
      <c r="F1314" s="10">
        <v>46125</v>
      </c>
      <c r="G1314" s="6" t="str">
        <f>_xlfn.TEXTJOIN("|",TRUE,GameLog[[#This Row],[Pod]],TEXT(INT(GameLog[[#This Row],[Round]]),"yyyymmdd"),GameLog[[#This Row],[Date]])</f>
        <v>1|19000101|46125</v>
      </c>
      <c r="H1314" s="6">
        <f>COUNTIF(GameLog[Pod ID],GameLog[[#This Row],[Pod ID]])</f>
        <v>4</v>
      </c>
      <c r="I1314" s="6">
        <f>YEAR(GameLog[[#This Row],[Date]])</f>
        <v>2026</v>
      </c>
      <c r="J1314" s="6">
        <f>MONTH(GameLog[[#This Row],[Date]])</f>
        <v>4</v>
      </c>
      <c r="K1314" s="6" t="str">
        <f>IF(GameLog[[#This Row],[Date]]=MAX(GameLog[Date]),"Current","Previous")</f>
        <v>Previous</v>
      </c>
      <c r="L1314" s="6"/>
      <c r="M13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4" s="6" t="str">
        <f ca="1">IF(GameLog[[#This Row],[Check]]="","",COUNTIF(GameLog[[#Headers],[Check]]:GameLog[[#This Row],[Check]],"?*")-1)</f>
        <v/>
      </c>
      <c r="O1314" s="6" t="str">
        <f>IFERROR(INDEX(Players[New name],MATCH(GameLog[[#This Row],[Player]],Players[Name],0)),GameLog[[#This Row],[Player]])</f>
        <v>Tyler B</v>
      </c>
    </row>
    <row r="1315" spans="1:15" x14ac:dyDescent="0.45">
      <c r="A1315" s="6" t="s">
        <v>98</v>
      </c>
      <c r="B1315" s="6" t="s">
        <v>53</v>
      </c>
      <c r="C1315" s="6">
        <v>2</v>
      </c>
      <c r="D1315" s="6">
        <v>1</v>
      </c>
      <c r="E1315" s="6">
        <v>1</v>
      </c>
      <c r="F1315" s="10">
        <v>46125</v>
      </c>
      <c r="G1315" s="6" t="str">
        <f>_xlfn.TEXTJOIN("|",TRUE,GameLog[[#This Row],[Pod]],TEXT(INT(GameLog[[#This Row],[Round]]),"yyyymmdd"),GameLog[[#This Row],[Date]])</f>
        <v>1|19000101|46125</v>
      </c>
      <c r="H1315" s="6">
        <f>COUNTIF(GameLog[Pod ID],GameLog[[#This Row],[Pod ID]])</f>
        <v>4</v>
      </c>
      <c r="I1315" s="6">
        <f>YEAR(GameLog[[#This Row],[Date]])</f>
        <v>2026</v>
      </c>
      <c r="J1315" s="6">
        <f>MONTH(GameLog[[#This Row],[Date]])</f>
        <v>4</v>
      </c>
      <c r="K1315" s="6" t="str">
        <f>IF(GameLog[[#This Row],[Date]]=MAX(GameLog[Date]),"Current","Previous")</f>
        <v>Previous</v>
      </c>
      <c r="L1315" s="6"/>
      <c r="M13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5" s="6" t="str">
        <f ca="1">IF(GameLog[[#This Row],[Check]]="","",COUNTIF(GameLog[[#Headers],[Check]]:GameLog[[#This Row],[Check]],"?*")-1)</f>
        <v/>
      </c>
      <c r="O1315" s="6" t="str">
        <f>IFERROR(INDEX(Players[New name],MATCH(GameLog[[#This Row],[Player]],Players[Name],0)),GameLog[[#This Row],[Player]])</f>
        <v>Charlie B</v>
      </c>
    </row>
    <row r="1316" spans="1:15" x14ac:dyDescent="0.45">
      <c r="A1316" s="6" t="s">
        <v>77</v>
      </c>
      <c r="B1316" s="6" t="s">
        <v>53</v>
      </c>
      <c r="C1316" s="6">
        <v>3</v>
      </c>
      <c r="D1316" s="6">
        <v>1</v>
      </c>
      <c r="E1316" s="6">
        <v>1</v>
      </c>
      <c r="F1316" s="10">
        <v>46125</v>
      </c>
      <c r="G1316" s="6" t="str">
        <f>_xlfn.TEXTJOIN("|",TRUE,GameLog[[#This Row],[Pod]],TEXT(INT(GameLog[[#This Row],[Round]]),"yyyymmdd"),GameLog[[#This Row],[Date]])</f>
        <v>1|19000101|46125</v>
      </c>
      <c r="H1316" s="6">
        <f>COUNTIF(GameLog[Pod ID],GameLog[[#This Row],[Pod ID]])</f>
        <v>4</v>
      </c>
      <c r="I1316" s="6">
        <f>YEAR(GameLog[[#This Row],[Date]])</f>
        <v>2026</v>
      </c>
      <c r="J1316" s="6">
        <f>MONTH(GameLog[[#This Row],[Date]])</f>
        <v>4</v>
      </c>
      <c r="K1316" s="6" t="str">
        <f>IF(GameLog[[#This Row],[Date]]=MAX(GameLog[Date]),"Current","Previous")</f>
        <v>Previous</v>
      </c>
      <c r="L1316" s="6"/>
      <c r="M13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6" s="6" t="str">
        <f ca="1">IF(GameLog[[#This Row],[Check]]="","",COUNTIF(GameLog[[#Headers],[Check]]:GameLog[[#This Row],[Check]],"?*")-1)</f>
        <v/>
      </c>
      <c r="O1316" s="6" t="str">
        <f>IFERROR(INDEX(Players[New name],MATCH(GameLog[[#This Row],[Player]],Players[Name],0)),GameLog[[#This Row],[Player]])</f>
        <v>Dave M</v>
      </c>
    </row>
    <row r="1317" spans="1:15" x14ac:dyDescent="0.45">
      <c r="A1317" s="6" t="s">
        <v>59</v>
      </c>
      <c r="B1317" s="6" t="s">
        <v>50</v>
      </c>
      <c r="C1317" s="6">
        <v>4</v>
      </c>
      <c r="D1317" s="6">
        <v>1</v>
      </c>
      <c r="E1317" s="6">
        <v>1</v>
      </c>
      <c r="F1317" s="10">
        <v>46125</v>
      </c>
      <c r="G1317" s="6" t="str">
        <f>_xlfn.TEXTJOIN("|",TRUE,GameLog[[#This Row],[Pod]],TEXT(INT(GameLog[[#This Row],[Round]]),"yyyymmdd"),GameLog[[#This Row],[Date]])</f>
        <v>1|19000101|46125</v>
      </c>
      <c r="H1317" s="6">
        <f>COUNTIF(GameLog[Pod ID],GameLog[[#This Row],[Pod ID]])</f>
        <v>4</v>
      </c>
      <c r="I1317" s="6">
        <f>YEAR(GameLog[[#This Row],[Date]])</f>
        <v>2026</v>
      </c>
      <c r="J1317" s="6">
        <f>MONTH(GameLog[[#This Row],[Date]])</f>
        <v>4</v>
      </c>
      <c r="K1317" s="6" t="str">
        <f>IF(GameLog[[#This Row],[Date]]=MAX(GameLog[Date]),"Current","Previous")</f>
        <v>Previous</v>
      </c>
      <c r="L1317" s="6"/>
      <c r="M13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7" s="6" t="str">
        <f ca="1">IF(GameLog[[#This Row],[Check]]="","",COUNTIF(GameLog[[#Headers],[Check]]:GameLog[[#This Row],[Check]],"?*")-1)</f>
        <v/>
      </c>
      <c r="O1317" s="6" t="str">
        <f>IFERROR(INDEX(Players[New name],MATCH(GameLog[[#This Row],[Player]],Players[Name],0)),GameLog[[#This Row],[Player]])</f>
        <v>Zack B</v>
      </c>
    </row>
    <row r="1318" spans="1:15" x14ac:dyDescent="0.45">
      <c r="A1318" s="6" t="s">
        <v>55</v>
      </c>
      <c r="B1318" s="6" t="s">
        <v>90</v>
      </c>
      <c r="C1318" s="6">
        <v>1</v>
      </c>
      <c r="D1318" s="6">
        <v>2</v>
      </c>
      <c r="E1318" s="6">
        <v>1</v>
      </c>
      <c r="F1318" s="10">
        <v>46125</v>
      </c>
      <c r="G1318" s="6" t="str">
        <f>_xlfn.TEXTJOIN("|",TRUE,GameLog[[#This Row],[Pod]],TEXT(INT(GameLog[[#This Row],[Round]]),"yyyymmdd"),GameLog[[#This Row],[Date]])</f>
        <v>2|19000101|46125</v>
      </c>
      <c r="H1318" s="6">
        <f>COUNTIF(GameLog[Pod ID],GameLog[[#This Row],[Pod ID]])</f>
        <v>4</v>
      </c>
      <c r="I1318" s="6">
        <f>YEAR(GameLog[[#This Row],[Date]])</f>
        <v>2026</v>
      </c>
      <c r="J1318" s="6">
        <f>MONTH(GameLog[[#This Row],[Date]])</f>
        <v>4</v>
      </c>
      <c r="K1318" s="6" t="str">
        <f>IF(GameLog[[#This Row],[Date]]=MAX(GameLog[Date]),"Current","Previous")</f>
        <v>Previous</v>
      </c>
      <c r="L1318" s="6"/>
      <c r="M13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8" s="6" t="str">
        <f ca="1">IF(GameLog[[#This Row],[Check]]="","",COUNTIF(GameLog[[#Headers],[Check]]:GameLog[[#This Row],[Check]],"?*")-1)</f>
        <v/>
      </c>
      <c r="O1318" s="6" t="str">
        <f>IFERROR(INDEX(Players[New name],MATCH(GameLog[[#This Row],[Player]],Players[Name],0)),GameLog[[#This Row],[Player]])</f>
        <v>Bryce C</v>
      </c>
    </row>
    <row r="1319" spans="1:15" x14ac:dyDescent="0.45">
      <c r="A1319" s="6" t="s">
        <v>52</v>
      </c>
      <c r="B1319" s="6" t="s">
        <v>90</v>
      </c>
      <c r="C1319" s="6">
        <v>2</v>
      </c>
      <c r="D1319" s="6">
        <v>2</v>
      </c>
      <c r="E1319" s="6">
        <v>1</v>
      </c>
      <c r="F1319" s="10">
        <v>46125</v>
      </c>
      <c r="G1319" s="6" t="str">
        <f>_xlfn.TEXTJOIN("|",TRUE,GameLog[[#This Row],[Pod]],TEXT(INT(GameLog[[#This Row],[Round]]),"yyyymmdd"),GameLog[[#This Row],[Date]])</f>
        <v>2|19000101|46125</v>
      </c>
      <c r="H1319" s="6">
        <f>COUNTIF(GameLog[Pod ID],GameLog[[#This Row],[Pod ID]])</f>
        <v>4</v>
      </c>
      <c r="I1319" s="6">
        <f>YEAR(GameLog[[#This Row],[Date]])</f>
        <v>2026</v>
      </c>
      <c r="J1319" s="6">
        <f>MONTH(GameLog[[#This Row],[Date]])</f>
        <v>4</v>
      </c>
      <c r="K1319" s="6" t="str">
        <f>IF(GameLog[[#This Row],[Date]]=MAX(GameLog[Date]),"Current","Previous")</f>
        <v>Previous</v>
      </c>
      <c r="L1319" s="6"/>
      <c r="M13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19" s="6" t="str">
        <f ca="1">IF(GameLog[[#This Row],[Check]]="","",COUNTIF(GameLog[[#Headers],[Check]]:GameLog[[#This Row],[Check]],"?*")-1)</f>
        <v/>
      </c>
      <c r="O1319" s="6" t="str">
        <f>IFERROR(INDEX(Players[New name],MATCH(GameLog[[#This Row],[Player]],Players[Name],0)),GameLog[[#This Row],[Player]])</f>
        <v>Unknown</v>
      </c>
    </row>
    <row r="1320" spans="1:15" x14ac:dyDescent="0.45">
      <c r="A1320" s="6" t="s">
        <v>58</v>
      </c>
      <c r="B1320" s="6" t="s">
        <v>90</v>
      </c>
      <c r="C1320" s="6">
        <v>3</v>
      </c>
      <c r="D1320" s="6">
        <v>2</v>
      </c>
      <c r="E1320" s="6">
        <v>1</v>
      </c>
      <c r="F1320" s="10">
        <v>46125</v>
      </c>
      <c r="G1320" s="6" t="str">
        <f>_xlfn.TEXTJOIN("|",TRUE,GameLog[[#This Row],[Pod]],TEXT(INT(GameLog[[#This Row],[Round]]),"yyyymmdd"),GameLog[[#This Row],[Date]])</f>
        <v>2|19000101|46125</v>
      </c>
      <c r="H1320" s="6">
        <f>COUNTIF(GameLog[Pod ID],GameLog[[#This Row],[Pod ID]])</f>
        <v>4</v>
      </c>
      <c r="I1320" s="6">
        <f>YEAR(GameLog[[#This Row],[Date]])</f>
        <v>2026</v>
      </c>
      <c r="J1320" s="6">
        <f>MONTH(GameLog[[#This Row],[Date]])</f>
        <v>4</v>
      </c>
      <c r="K1320" s="6" t="str">
        <f>IF(GameLog[[#This Row],[Date]]=MAX(GameLog[Date]),"Current","Previous")</f>
        <v>Previous</v>
      </c>
      <c r="L1320" s="6"/>
      <c r="M13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0" s="6" t="str">
        <f ca="1">IF(GameLog[[#This Row],[Check]]="","",COUNTIF(GameLog[[#Headers],[Check]]:GameLog[[#This Row],[Check]],"?*")-1)</f>
        <v/>
      </c>
      <c r="O1320" s="6" t="str">
        <f>IFERROR(INDEX(Players[New name],MATCH(GameLog[[#This Row],[Player]],Players[Name],0)),GameLog[[#This Row],[Player]])</f>
        <v>Dakota P</v>
      </c>
    </row>
    <row r="1321" spans="1:15" x14ac:dyDescent="0.45">
      <c r="A1321" s="6" t="s">
        <v>75</v>
      </c>
      <c r="B1321" s="6" t="s">
        <v>90</v>
      </c>
      <c r="C1321" s="6">
        <v>4</v>
      </c>
      <c r="D1321" s="6">
        <v>2</v>
      </c>
      <c r="E1321" s="6">
        <v>1</v>
      </c>
      <c r="F1321" s="10">
        <v>46125</v>
      </c>
      <c r="G1321" s="6" t="str">
        <f>_xlfn.TEXTJOIN("|",TRUE,GameLog[[#This Row],[Pod]],TEXT(INT(GameLog[[#This Row],[Round]]),"yyyymmdd"),GameLog[[#This Row],[Date]])</f>
        <v>2|19000101|46125</v>
      </c>
      <c r="H1321" s="6">
        <f>COUNTIF(GameLog[Pod ID],GameLog[[#This Row],[Pod ID]])</f>
        <v>4</v>
      </c>
      <c r="I1321" s="6">
        <f>YEAR(GameLog[[#This Row],[Date]])</f>
        <v>2026</v>
      </c>
      <c r="J1321" s="6">
        <f>MONTH(GameLog[[#This Row],[Date]])</f>
        <v>4</v>
      </c>
      <c r="K1321" s="6" t="str">
        <f>IF(GameLog[[#This Row],[Date]]=MAX(GameLog[Date]),"Current","Previous")</f>
        <v>Previous</v>
      </c>
      <c r="L1321" s="6"/>
      <c r="M13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1" s="6" t="str">
        <f ca="1">IF(GameLog[[#This Row],[Check]]="","",COUNTIF(GameLog[[#Headers],[Check]]:GameLog[[#This Row],[Check]],"?*")-1)</f>
        <v/>
      </c>
      <c r="O1321" s="6" t="str">
        <f>IFERROR(INDEX(Players[New name],MATCH(GameLog[[#This Row],[Player]],Players[Name],0)),GameLog[[#This Row],[Player]])</f>
        <v>Eli T</v>
      </c>
    </row>
    <row r="1322" spans="1:15" x14ac:dyDescent="0.45">
      <c r="A1322" s="6" t="s">
        <v>104</v>
      </c>
      <c r="B1322" s="6" t="s">
        <v>50</v>
      </c>
      <c r="C1322" s="6">
        <v>1</v>
      </c>
      <c r="D1322" s="6">
        <v>3</v>
      </c>
      <c r="E1322" s="6">
        <v>1</v>
      </c>
      <c r="F1322" s="10">
        <v>46125</v>
      </c>
      <c r="G1322" s="6" t="str">
        <f>_xlfn.TEXTJOIN("|",TRUE,GameLog[[#This Row],[Pod]],TEXT(INT(GameLog[[#This Row],[Round]]),"yyyymmdd"),GameLog[[#This Row],[Date]])</f>
        <v>3|19000101|46125</v>
      </c>
      <c r="H1322" s="6">
        <f>COUNTIF(GameLog[Pod ID],GameLog[[#This Row],[Pod ID]])</f>
        <v>3</v>
      </c>
      <c r="I1322" s="6">
        <f>YEAR(GameLog[[#This Row],[Date]])</f>
        <v>2026</v>
      </c>
      <c r="J1322" s="6">
        <f>MONTH(GameLog[[#This Row],[Date]])</f>
        <v>4</v>
      </c>
      <c r="K1322" s="6" t="str">
        <f>IF(GameLog[[#This Row],[Date]]=MAX(GameLog[Date]),"Current","Previous")</f>
        <v>Previous</v>
      </c>
      <c r="L1322" s="6"/>
      <c r="M13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2" s="6" t="str">
        <f ca="1">IF(GameLog[[#This Row],[Check]]="","",COUNTIF(GameLog[[#Headers],[Check]]:GameLog[[#This Row],[Check]],"?*")-1)</f>
        <v/>
      </c>
      <c r="O1322" s="6" t="str">
        <f>IFERROR(INDEX(Players[New name],MATCH(GameLog[[#This Row],[Player]],Players[Name],0)),GameLog[[#This Row],[Player]])</f>
        <v>Eric E</v>
      </c>
    </row>
    <row r="1323" spans="1:15" x14ac:dyDescent="0.45">
      <c r="A1323" s="6" t="s">
        <v>57</v>
      </c>
      <c r="B1323" s="6" t="s">
        <v>53</v>
      </c>
      <c r="C1323" s="6">
        <v>2</v>
      </c>
      <c r="D1323" s="6">
        <v>3</v>
      </c>
      <c r="E1323" s="6">
        <v>1</v>
      </c>
      <c r="F1323" s="10">
        <v>46125</v>
      </c>
      <c r="G1323" s="6" t="str">
        <f>_xlfn.TEXTJOIN("|",TRUE,GameLog[[#This Row],[Pod]],TEXT(INT(GameLog[[#This Row],[Round]]),"yyyymmdd"),GameLog[[#This Row],[Date]])</f>
        <v>3|19000101|46125</v>
      </c>
      <c r="H1323" s="6">
        <f>COUNTIF(GameLog[Pod ID],GameLog[[#This Row],[Pod ID]])</f>
        <v>3</v>
      </c>
      <c r="I1323" s="6">
        <f>YEAR(GameLog[[#This Row],[Date]])</f>
        <v>2026</v>
      </c>
      <c r="J1323" s="6">
        <f>MONTH(GameLog[[#This Row],[Date]])</f>
        <v>4</v>
      </c>
      <c r="K1323" s="6" t="str">
        <f>IF(GameLog[[#This Row],[Date]]=MAX(GameLog[Date]),"Current","Previous")</f>
        <v>Previous</v>
      </c>
      <c r="L1323" s="6"/>
      <c r="M13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3" s="6" t="str">
        <f ca="1">IF(GameLog[[#This Row],[Check]]="","",COUNTIF(GameLog[[#Headers],[Check]]:GameLog[[#This Row],[Check]],"?*")-1)</f>
        <v/>
      </c>
      <c r="O1323" s="6" t="str">
        <f>IFERROR(INDEX(Players[New name],MATCH(GameLog[[#This Row],[Player]],Players[Name],0)),GameLog[[#This Row],[Player]])</f>
        <v>AJ W</v>
      </c>
    </row>
    <row r="1324" spans="1:15" x14ac:dyDescent="0.45">
      <c r="A1324" s="6" t="s">
        <v>60</v>
      </c>
      <c r="B1324" s="6" t="s">
        <v>53</v>
      </c>
      <c r="C1324" s="6">
        <v>3</v>
      </c>
      <c r="D1324" s="6">
        <v>3</v>
      </c>
      <c r="E1324" s="6">
        <v>1</v>
      </c>
      <c r="F1324" s="10">
        <v>46125</v>
      </c>
      <c r="G1324" s="6" t="str">
        <f>_xlfn.TEXTJOIN("|",TRUE,GameLog[[#This Row],[Pod]],TEXT(INT(GameLog[[#This Row],[Round]]),"yyyymmdd"),GameLog[[#This Row],[Date]])</f>
        <v>3|19000101|46125</v>
      </c>
      <c r="H1324" s="6">
        <f>COUNTIF(GameLog[Pod ID],GameLog[[#This Row],[Pod ID]])</f>
        <v>3</v>
      </c>
      <c r="I1324" s="6">
        <f>YEAR(GameLog[[#This Row],[Date]])</f>
        <v>2026</v>
      </c>
      <c r="J1324" s="6">
        <f>MONTH(GameLog[[#This Row],[Date]])</f>
        <v>4</v>
      </c>
      <c r="K1324" s="6" t="str">
        <f>IF(GameLog[[#This Row],[Date]]=MAX(GameLog[Date]),"Current","Previous")</f>
        <v>Previous</v>
      </c>
      <c r="L1324" s="6"/>
      <c r="M13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4" s="6" t="str">
        <f ca="1">IF(GameLog[[#This Row],[Check]]="","",COUNTIF(GameLog[[#Headers],[Check]]:GameLog[[#This Row],[Check]],"?*")-1)</f>
        <v/>
      </c>
      <c r="O1324" s="6" t="str">
        <f>IFERROR(INDEX(Players[New name],MATCH(GameLog[[#This Row],[Player]],Players[Name],0)),GameLog[[#This Row],[Player]])</f>
        <v>Brendan H</v>
      </c>
    </row>
    <row r="1325" spans="1:15" x14ac:dyDescent="0.45">
      <c r="A1325" s="6" t="s">
        <v>78</v>
      </c>
      <c r="B1325" s="6" t="s">
        <v>53</v>
      </c>
      <c r="C1325" s="6">
        <v>1</v>
      </c>
      <c r="D1325" s="6">
        <v>4</v>
      </c>
      <c r="E1325" s="6">
        <v>1</v>
      </c>
      <c r="F1325" s="10">
        <v>46125</v>
      </c>
      <c r="G1325" s="6" t="str">
        <f>_xlfn.TEXTJOIN("|",TRUE,GameLog[[#This Row],[Pod]],TEXT(INT(GameLog[[#This Row],[Round]]),"yyyymmdd"),GameLog[[#This Row],[Date]])</f>
        <v>4|19000101|46125</v>
      </c>
      <c r="H1325" s="6">
        <f>COUNTIF(GameLog[Pod ID],GameLog[[#This Row],[Pod ID]])</f>
        <v>3</v>
      </c>
      <c r="I1325" s="6">
        <f>YEAR(GameLog[[#This Row],[Date]])</f>
        <v>2026</v>
      </c>
      <c r="J1325" s="6">
        <f>MONTH(GameLog[[#This Row],[Date]])</f>
        <v>4</v>
      </c>
      <c r="K1325" s="6" t="str">
        <f>IF(GameLog[[#This Row],[Date]]=MAX(GameLog[Date]),"Current","Previous")</f>
        <v>Previous</v>
      </c>
      <c r="L1325" s="6"/>
      <c r="M13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5" s="6" t="str">
        <f ca="1">IF(GameLog[[#This Row],[Check]]="","",COUNTIF(GameLog[[#Headers],[Check]]:GameLog[[#This Row],[Check]],"?*")-1)</f>
        <v/>
      </c>
      <c r="O1325" s="6" t="str">
        <f>IFERROR(INDEX(Players[New name],MATCH(GameLog[[#This Row],[Player]],Players[Name],0)),GameLog[[#This Row],[Player]])</f>
        <v>Justin M</v>
      </c>
    </row>
    <row r="1326" spans="1:15" x14ac:dyDescent="0.45">
      <c r="A1326" s="6" t="s">
        <v>62</v>
      </c>
      <c r="B1326" s="6" t="s">
        <v>50</v>
      </c>
      <c r="C1326" s="6">
        <v>2</v>
      </c>
      <c r="D1326" s="6">
        <v>4</v>
      </c>
      <c r="E1326" s="6">
        <v>1</v>
      </c>
      <c r="F1326" s="10">
        <v>46125</v>
      </c>
      <c r="G1326" s="6" t="str">
        <f>_xlfn.TEXTJOIN("|",TRUE,GameLog[[#This Row],[Pod]],TEXT(INT(GameLog[[#This Row],[Round]]),"yyyymmdd"),GameLog[[#This Row],[Date]])</f>
        <v>4|19000101|46125</v>
      </c>
      <c r="H1326" s="6">
        <f>COUNTIF(GameLog[Pod ID],GameLog[[#This Row],[Pod ID]])</f>
        <v>3</v>
      </c>
      <c r="I1326" s="6">
        <f>YEAR(GameLog[[#This Row],[Date]])</f>
        <v>2026</v>
      </c>
      <c r="J1326" s="6">
        <f>MONTH(GameLog[[#This Row],[Date]])</f>
        <v>4</v>
      </c>
      <c r="K1326" s="6" t="str">
        <f>IF(GameLog[[#This Row],[Date]]=MAX(GameLog[Date]),"Current","Previous")</f>
        <v>Previous</v>
      </c>
      <c r="L1326" s="6"/>
      <c r="M13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6" s="6" t="str">
        <f ca="1">IF(GameLog[[#This Row],[Check]]="","",COUNTIF(GameLog[[#Headers],[Check]]:GameLog[[#This Row],[Check]],"?*")-1)</f>
        <v/>
      </c>
      <c r="O1326" s="6" t="str">
        <f>IFERROR(INDEX(Players[New name],MATCH(GameLog[[#This Row],[Player]],Players[Name],0)),GameLog[[#This Row],[Player]])</f>
        <v>Nicholas S</v>
      </c>
    </row>
    <row r="1327" spans="1:15" x14ac:dyDescent="0.45">
      <c r="A1327" s="6" t="s">
        <v>70</v>
      </c>
      <c r="B1327" s="6" t="s">
        <v>53</v>
      </c>
      <c r="C1327" s="6">
        <v>3</v>
      </c>
      <c r="D1327" s="6">
        <v>4</v>
      </c>
      <c r="E1327" s="6">
        <v>1</v>
      </c>
      <c r="F1327" s="10">
        <v>46125</v>
      </c>
      <c r="G1327" s="6" t="str">
        <f>_xlfn.TEXTJOIN("|",TRUE,GameLog[[#This Row],[Pod]],TEXT(INT(GameLog[[#This Row],[Round]]),"yyyymmdd"),GameLog[[#This Row],[Date]])</f>
        <v>4|19000101|46125</v>
      </c>
      <c r="H1327" s="6">
        <f>COUNTIF(GameLog[Pod ID],GameLog[[#This Row],[Pod ID]])</f>
        <v>3</v>
      </c>
      <c r="I1327" s="6">
        <f>YEAR(GameLog[[#This Row],[Date]])</f>
        <v>2026</v>
      </c>
      <c r="J1327" s="6">
        <f>MONTH(GameLog[[#This Row],[Date]])</f>
        <v>4</v>
      </c>
      <c r="K1327" s="6" t="str">
        <f>IF(GameLog[[#This Row],[Date]]=MAX(GameLog[Date]),"Current","Previous")</f>
        <v>Previous</v>
      </c>
      <c r="L1327" s="6"/>
      <c r="M13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7" s="6" t="str">
        <f ca="1">IF(GameLog[[#This Row],[Check]]="","",COUNTIF(GameLog[[#Headers],[Check]]:GameLog[[#This Row],[Check]],"?*")-1)</f>
        <v/>
      </c>
      <c r="O1327" s="6" t="str">
        <f>IFERROR(INDEX(Players[New name],MATCH(GameLog[[#This Row],[Player]],Players[Name],0)),GameLog[[#This Row],[Player]])</f>
        <v>Brad F</v>
      </c>
    </row>
    <row r="1328" spans="1:15" x14ac:dyDescent="0.45">
      <c r="A1328" s="6" t="s">
        <v>76</v>
      </c>
      <c r="B1328" s="6" t="s">
        <v>53</v>
      </c>
      <c r="C1328" s="6">
        <v>1</v>
      </c>
      <c r="D1328" s="6">
        <v>5</v>
      </c>
      <c r="E1328" s="6">
        <v>1</v>
      </c>
      <c r="F1328" s="10">
        <v>46125</v>
      </c>
      <c r="G1328" s="6" t="str">
        <f>_xlfn.TEXTJOIN("|",TRUE,GameLog[[#This Row],[Pod]],TEXT(INT(GameLog[[#This Row],[Round]]),"yyyymmdd"),GameLog[[#This Row],[Date]])</f>
        <v>5|19000101|46125</v>
      </c>
      <c r="H1328" s="6">
        <f>COUNTIF(GameLog[Pod ID],GameLog[[#This Row],[Pod ID]])</f>
        <v>3</v>
      </c>
      <c r="I1328" s="6">
        <f>YEAR(GameLog[[#This Row],[Date]])</f>
        <v>2026</v>
      </c>
      <c r="J1328" s="6">
        <f>MONTH(GameLog[[#This Row],[Date]])</f>
        <v>4</v>
      </c>
      <c r="K1328" s="6" t="str">
        <f>IF(GameLog[[#This Row],[Date]]=MAX(GameLog[Date]),"Current","Previous")</f>
        <v>Previous</v>
      </c>
      <c r="L1328" s="6"/>
      <c r="M13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8" s="6" t="str">
        <f ca="1">IF(GameLog[[#This Row],[Check]]="","",COUNTIF(GameLog[[#Headers],[Check]]:GameLog[[#This Row],[Check]],"?*")-1)</f>
        <v/>
      </c>
      <c r="O1328" s="6" t="str">
        <f>IFERROR(INDEX(Players[New name],MATCH(GameLog[[#This Row],[Player]],Players[Name],0)),GameLog[[#This Row],[Player]])</f>
        <v>Jon M</v>
      </c>
    </row>
    <row r="1329" spans="1:15" x14ac:dyDescent="0.45">
      <c r="A1329" s="6" t="s">
        <v>49</v>
      </c>
      <c r="B1329" s="6" t="s">
        <v>50</v>
      </c>
      <c r="C1329" s="6">
        <v>2</v>
      </c>
      <c r="D1329" s="6">
        <v>5</v>
      </c>
      <c r="E1329" s="6">
        <v>1</v>
      </c>
      <c r="F1329" s="10">
        <v>46125</v>
      </c>
      <c r="G1329" s="6" t="str">
        <f>_xlfn.TEXTJOIN("|",TRUE,GameLog[[#This Row],[Pod]],TEXT(INT(GameLog[[#This Row],[Round]]),"yyyymmdd"),GameLog[[#This Row],[Date]])</f>
        <v>5|19000101|46125</v>
      </c>
      <c r="H1329" s="6">
        <f>COUNTIF(GameLog[Pod ID],GameLog[[#This Row],[Pod ID]])</f>
        <v>3</v>
      </c>
      <c r="I1329" s="6">
        <f>YEAR(GameLog[[#This Row],[Date]])</f>
        <v>2026</v>
      </c>
      <c r="J1329" s="6">
        <f>MONTH(GameLog[[#This Row],[Date]])</f>
        <v>4</v>
      </c>
      <c r="K1329" s="6" t="str">
        <f>IF(GameLog[[#This Row],[Date]]=MAX(GameLog[Date]),"Current","Previous")</f>
        <v>Previous</v>
      </c>
      <c r="L1329" s="6"/>
      <c r="M13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29" s="6" t="str">
        <f ca="1">IF(GameLog[[#This Row],[Check]]="","",COUNTIF(GameLog[[#Headers],[Check]]:GameLog[[#This Row],[Check]],"?*")-1)</f>
        <v/>
      </c>
      <c r="O1329" s="6" t="str">
        <f>IFERROR(INDEX(Players[New name],MATCH(GameLog[[#This Row],[Player]],Players[Name],0)),GameLog[[#This Row],[Player]])</f>
        <v>Brett R</v>
      </c>
    </row>
    <row r="1330" spans="1:15" x14ac:dyDescent="0.45">
      <c r="A1330" s="6" t="s">
        <v>63</v>
      </c>
      <c r="B1330" s="6" t="s">
        <v>53</v>
      </c>
      <c r="C1330" s="6">
        <v>3</v>
      </c>
      <c r="D1330" s="6">
        <v>5</v>
      </c>
      <c r="E1330" s="6">
        <v>1</v>
      </c>
      <c r="F1330" s="10">
        <v>46125</v>
      </c>
      <c r="G1330" s="6" t="str">
        <f>_xlfn.TEXTJOIN("|",TRUE,GameLog[[#This Row],[Pod]],TEXT(INT(GameLog[[#This Row],[Round]]),"yyyymmdd"),GameLog[[#This Row],[Date]])</f>
        <v>5|19000101|46125</v>
      </c>
      <c r="H1330" s="6">
        <f>COUNTIF(GameLog[Pod ID],GameLog[[#This Row],[Pod ID]])</f>
        <v>3</v>
      </c>
      <c r="I1330" s="6">
        <f>YEAR(GameLog[[#This Row],[Date]])</f>
        <v>2026</v>
      </c>
      <c r="J1330" s="6">
        <f>MONTH(GameLog[[#This Row],[Date]])</f>
        <v>4</v>
      </c>
      <c r="K1330" s="6" t="str">
        <f>IF(GameLog[[#This Row],[Date]]=MAX(GameLog[Date]),"Current","Previous")</f>
        <v>Previous</v>
      </c>
      <c r="L1330" s="6"/>
      <c r="M13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0" s="6" t="str">
        <f ca="1">IF(GameLog[[#This Row],[Check]]="","",COUNTIF(GameLog[[#Headers],[Check]]:GameLog[[#This Row],[Check]],"?*")-1)</f>
        <v/>
      </c>
      <c r="O1330" s="6" t="str">
        <f>IFERROR(INDEX(Players[New name],MATCH(GameLog[[#This Row],[Player]],Players[Name],0)),GameLog[[#This Row],[Player]])</f>
        <v>Jake D</v>
      </c>
    </row>
    <row r="1331" spans="1:15" x14ac:dyDescent="0.45">
      <c r="A1331" s="6" t="s">
        <v>75</v>
      </c>
      <c r="B1331" s="6" t="s">
        <v>50</v>
      </c>
      <c r="C1331" s="6">
        <v>1</v>
      </c>
      <c r="D1331" s="6">
        <v>1</v>
      </c>
      <c r="E1331" s="6">
        <v>2</v>
      </c>
      <c r="F1331" s="10">
        <v>46125</v>
      </c>
      <c r="G1331" s="6" t="str">
        <f>_xlfn.TEXTJOIN("|",TRUE,GameLog[[#This Row],[Pod]],TEXT(INT(GameLog[[#This Row],[Round]]),"yyyymmdd"),GameLog[[#This Row],[Date]])</f>
        <v>1|19000102|46125</v>
      </c>
      <c r="H1331" s="6">
        <f>COUNTIF(GameLog[Pod ID],GameLog[[#This Row],[Pod ID]])</f>
        <v>3</v>
      </c>
      <c r="I1331" s="6">
        <f>YEAR(GameLog[[#This Row],[Date]])</f>
        <v>2026</v>
      </c>
      <c r="J1331" s="6">
        <f>MONTH(GameLog[[#This Row],[Date]])</f>
        <v>4</v>
      </c>
      <c r="K1331" s="6" t="str">
        <f>IF(GameLog[[#This Row],[Date]]=MAX(GameLog[Date]),"Current","Previous")</f>
        <v>Previous</v>
      </c>
      <c r="L1331" s="6"/>
      <c r="M13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1" s="6" t="str">
        <f ca="1">IF(GameLog[[#This Row],[Check]]="","",COUNTIF(GameLog[[#Headers],[Check]]:GameLog[[#This Row],[Check]],"?*")-1)</f>
        <v/>
      </c>
      <c r="O1331" s="6" t="str">
        <f>IFERROR(INDEX(Players[New name],MATCH(GameLog[[#This Row],[Player]],Players[Name],0)),GameLog[[#This Row],[Player]])</f>
        <v>Eli T</v>
      </c>
    </row>
    <row r="1332" spans="1:15" x14ac:dyDescent="0.45">
      <c r="A1332" s="6" t="s">
        <v>77</v>
      </c>
      <c r="B1332" s="6" t="s">
        <v>53</v>
      </c>
      <c r="C1332" s="6">
        <v>2</v>
      </c>
      <c r="D1332" s="6">
        <v>1</v>
      </c>
      <c r="E1332" s="6">
        <v>2</v>
      </c>
      <c r="F1332" s="10">
        <v>46125</v>
      </c>
      <c r="G1332" s="6" t="str">
        <f>_xlfn.TEXTJOIN("|",TRUE,GameLog[[#This Row],[Pod]],TEXT(INT(GameLog[[#This Row],[Round]]),"yyyymmdd"),GameLog[[#This Row],[Date]])</f>
        <v>1|19000102|46125</v>
      </c>
      <c r="H1332" s="6">
        <f>COUNTIF(GameLog[Pod ID],GameLog[[#This Row],[Pod ID]])</f>
        <v>3</v>
      </c>
      <c r="I1332" s="6">
        <f>YEAR(GameLog[[#This Row],[Date]])</f>
        <v>2026</v>
      </c>
      <c r="J1332" s="6">
        <f>MONTH(GameLog[[#This Row],[Date]])</f>
        <v>4</v>
      </c>
      <c r="K1332" s="6" t="str">
        <f>IF(GameLog[[#This Row],[Date]]=MAX(GameLog[Date]),"Current","Previous")</f>
        <v>Previous</v>
      </c>
      <c r="L1332" s="6"/>
      <c r="M13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2" s="6" t="str">
        <f ca="1">IF(GameLog[[#This Row],[Check]]="","",COUNTIF(GameLog[[#Headers],[Check]]:GameLog[[#This Row],[Check]],"?*")-1)</f>
        <v/>
      </c>
      <c r="O1332" s="6" t="str">
        <f>IFERROR(INDEX(Players[New name],MATCH(GameLog[[#This Row],[Player]],Players[Name],0)),GameLog[[#This Row],[Player]])</f>
        <v>Dave M</v>
      </c>
    </row>
    <row r="1333" spans="1:15" x14ac:dyDescent="0.45">
      <c r="A1333" s="6" t="s">
        <v>76</v>
      </c>
      <c r="B1333" s="6" t="s">
        <v>53</v>
      </c>
      <c r="C1333" s="6">
        <v>3</v>
      </c>
      <c r="D1333" s="6">
        <v>1</v>
      </c>
      <c r="E1333" s="6">
        <v>2</v>
      </c>
      <c r="F1333" s="10">
        <v>46125</v>
      </c>
      <c r="G1333" s="6" t="str">
        <f>_xlfn.TEXTJOIN("|",TRUE,GameLog[[#This Row],[Pod]],TEXT(INT(GameLog[[#This Row],[Round]]),"yyyymmdd"),GameLog[[#This Row],[Date]])</f>
        <v>1|19000102|46125</v>
      </c>
      <c r="H1333" s="6">
        <f>COUNTIF(GameLog[Pod ID],GameLog[[#This Row],[Pod ID]])</f>
        <v>3</v>
      </c>
      <c r="I1333" s="6">
        <f>YEAR(GameLog[[#This Row],[Date]])</f>
        <v>2026</v>
      </c>
      <c r="J1333" s="6">
        <f>MONTH(GameLog[[#This Row],[Date]])</f>
        <v>4</v>
      </c>
      <c r="K1333" s="6" t="str">
        <f>IF(GameLog[[#This Row],[Date]]=MAX(GameLog[Date]),"Current","Previous")</f>
        <v>Previous</v>
      </c>
      <c r="L1333" s="6"/>
      <c r="M13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3" s="6" t="str">
        <f ca="1">IF(GameLog[[#This Row],[Check]]="","",COUNTIF(GameLog[[#Headers],[Check]]:GameLog[[#This Row],[Check]],"?*")-1)</f>
        <v/>
      </c>
      <c r="O1333" s="6" t="str">
        <f>IFERROR(INDEX(Players[New name],MATCH(GameLog[[#This Row],[Player]],Players[Name],0)),GameLog[[#This Row],[Player]])</f>
        <v>Jon M</v>
      </c>
    </row>
    <row r="1334" spans="1:15" x14ac:dyDescent="0.45">
      <c r="A1334" s="6" t="s">
        <v>60</v>
      </c>
      <c r="B1334" s="6" t="s">
        <v>50</v>
      </c>
      <c r="C1334" s="6">
        <v>1</v>
      </c>
      <c r="D1334" s="6">
        <v>2</v>
      </c>
      <c r="E1334" s="6">
        <v>2</v>
      </c>
      <c r="F1334" s="10">
        <v>46125</v>
      </c>
      <c r="G1334" s="6" t="str">
        <f>_xlfn.TEXTJOIN("|",TRUE,GameLog[[#This Row],[Pod]],TEXT(INT(GameLog[[#This Row],[Round]]),"yyyymmdd"),GameLog[[#This Row],[Date]])</f>
        <v>2|19000102|46125</v>
      </c>
      <c r="H1334" s="6">
        <f>COUNTIF(GameLog[Pod ID],GameLog[[#This Row],[Pod ID]])</f>
        <v>3</v>
      </c>
      <c r="I1334" s="6">
        <f>YEAR(GameLog[[#This Row],[Date]])</f>
        <v>2026</v>
      </c>
      <c r="J1334" s="6">
        <f>MONTH(GameLog[[#This Row],[Date]])</f>
        <v>4</v>
      </c>
      <c r="K1334" s="6" t="str">
        <f>IF(GameLog[[#This Row],[Date]]=MAX(GameLog[Date]),"Current","Previous")</f>
        <v>Previous</v>
      </c>
      <c r="L1334" s="6"/>
      <c r="M13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4" s="6" t="str">
        <f ca="1">IF(GameLog[[#This Row],[Check]]="","",COUNTIF(GameLog[[#Headers],[Check]]:GameLog[[#This Row],[Check]],"?*")-1)</f>
        <v/>
      </c>
      <c r="O1334" s="6" t="str">
        <f>IFERROR(INDEX(Players[New name],MATCH(GameLog[[#This Row],[Player]],Players[Name],0)),GameLog[[#This Row],[Player]])</f>
        <v>Brendan H</v>
      </c>
    </row>
    <row r="1335" spans="1:15" x14ac:dyDescent="0.45">
      <c r="A1335" s="6" t="s">
        <v>70</v>
      </c>
      <c r="B1335" s="6" t="s">
        <v>53</v>
      </c>
      <c r="C1335" s="6">
        <v>2</v>
      </c>
      <c r="D1335" s="6">
        <v>2</v>
      </c>
      <c r="E1335" s="6">
        <v>2</v>
      </c>
      <c r="F1335" s="10">
        <v>46125</v>
      </c>
      <c r="G1335" s="6" t="str">
        <f>_xlfn.TEXTJOIN("|",TRUE,GameLog[[#This Row],[Pod]],TEXT(INT(GameLog[[#This Row],[Round]]),"yyyymmdd"),GameLog[[#This Row],[Date]])</f>
        <v>2|19000102|46125</v>
      </c>
      <c r="H1335" s="6">
        <f>COUNTIF(GameLog[Pod ID],GameLog[[#This Row],[Pod ID]])</f>
        <v>3</v>
      </c>
      <c r="I1335" s="6">
        <f>YEAR(GameLog[[#This Row],[Date]])</f>
        <v>2026</v>
      </c>
      <c r="J1335" s="6">
        <f>MONTH(GameLog[[#This Row],[Date]])</f>
        <v>4</v>
      </c>
      <c r="K1335" s="6" t="str">
        <f>IF(GameLog[[#This Row],[Date]]=MAX(GameLog[Date]),"Current","Previous")</f>
        <v>Previous</v>
      </c>
      <c r="L1335" s="6"/>
      <c r="M13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5" s="6" t="str">
        <f ca="1">IF(GameLog[[#This Row],[Check]]="","",COUNTIF(GameLog[[#Headers],[Check]]:GameLog[[#This Row],[Check]],"?*")-1)</f>
        <v/>
      </c>
      <c r="O1335" s="6" t="str">
        <f>IFERROR(INDEX(Players[New name],MATCH(GameLog[[#This Row],[Player]],Players[Name],0)),GameLog[[#This Row],[Player]])</f>
        <v>Brad F</v>
      </c>
    </row>
    <row r="1336" spans="1:15" x14ac:dyDescent="0.45">
      <c r="A1336" s="6" t="s">
        <v>58</v>
      </c>
      <c r="B1336" s="6" t="s">
        <v>53</v>
      </c>
      <c r="C1336" s="6">
        <v>3</v>
      </c>
      <c r="D1336" s="6">
        <v>2</v>
      </c>
      <c r="E1336" s="6">
        <v>2</v>
      </c>
      <c r="F1336" s="10">
        <v>46125</v>
      </c>
      <c r="G1336" s="6" t="str">
        <f>_xlfn.TEXTJOIN("|",TRUE,GameLog[[#This Row],[Pod]],TEXT(INT(GameLog[[#This Row],[Round]]),"yyyymmdd"),GameLog[[#This Row],[Date]])</f>
        <v>2|19000102|46125</v>
      </c>
      <c r="H1336" s="6">
        <f>COUNTIF(GameLog[Pod ID],GameLog[[#This Row],[Pod ID]])</f>
        <v>3</v>
      </c>
      <c r="I1336" s="6">
        <f>YEAR(GameLog[[#This Row],[Date]])</f>
        <v>2026</v>
      </c>
      <c r="J1336" s="6">
        <f>MONTH(GameLog[[#This Row],[Date]])</f>
        <v>4</v>
      </c>
      <c r="K1336" s="6" t="str">
        <f>IF(GameLog[[#This Row],[Date]]=MAX(GameLog[Date]),"Current","Previous")</f>
        <v>Previous</v>
      </c>
      <c r="L1336" s="6"/>
      <c r="M13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6" s="6" t="str">
        <f ca="1">IF(GameLog[[#This Row],[Check]]="","",COUNTIF(GameLog[[#Headers],[Check]]:GameLog[[#This Row],[Check]],"?*")-1)</f>
        <v/>
      </c>
      <c r="O1336" s="6" t="str">
        <f>IFERROR(INDEX(Players[New name],MATCH(GameLog[[#This Row],[Player]],Players[Name],0)),GameLog[[#This Row],[Player]])</f>
        <v>Dakota P</v>
      </c>
    </row>
    <row r="1337" spans="1:15" x14ac:dyDescent="0.45">
      <c r="A1337" s="6" t="s">
        <v>62</v>
      </c>
      <c r="B1337" s="6" t="s">
        <v>53</v>
      </c>
      <c r="C1337" s="6">
        <v>1</v>
      </c>
      <c r="D1337" s="6">
        <v>3</v>
      </c>
      <c r="E1337" s="6">
        <v>2</v>
      </c>
      <c r="F1337" s="10">
        <v>46125</v>
      </c>
      <c r="G1337" s="6" t="str">
        <f>_xlfn.TEXTJOIN("|",TRUE,GameLog[[#This Row],[Pod]],TEXT(INT(GameLog[[#This Row],[Round]]),"yyyymmdd"),GameLog[[#This Row],[Date]])</f>
        <v>3|19000102|46125</v>
      </c>
      <c r="H1337" s="6">
        <f>COUNTIF(GameLog[Pod ID],GameLog[[#This Row],[Pod ID]])</f>
        <v>4</v>
      </c>
      <c r="I1337" s="6">
        <f>YEAR(GameLog[[#This Row],[Date]])</f>
        <v>2026</v>
      </c>
      <c r="J1337" s="6">
        <f>MONTH(GameLog[[#This Row],[Date]])</f>
        <v>4</v>
      </c>
      <c r="K1337" s="6" t="str">
        <f>IF(GameLog[[#This Row],[Date]]=MAX(GameLog[Date]),"Current","Previous")</f>
        <v>Previous</v>
      </c>
      <c r="L1337" s="6"/>
      <c r="M13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7" s="6" t="str">
        <f ca="1">IF(GameLog[[#This Row],[Check]]="","",COUNTIF(GameLog[[#Headers],[Check]]:GameLog[[#This Row],[Check]],"?*")-1)</f>
        <v/>
      </c>
      <c r="O1337" s="6" t="str">
        <f>IFERROR(INDEX(Players[New name],MATCH(GameLog[[#This Row],[Player]],Players[Name],0)),GameLog[[#This Row],[Player]])</f>
        <v>Nicholas S</v>
      </c>
    </row>
    <row r="1338" spans="1:15" x14ac:dyDescent="0.45">
      <c r="A1338" s="6" t="s">
        <v>59</v>
      </c>
      <c r="B1338" s="6" t="s">
        <v>53</v>
      </c>
      <c r="C1338" s="6">
        <v>2</v>
      </c>
      <c r="D1338" s="6">
        <v>3</v>
      </c>
      <c r="E1338" s="6">
        <v>2</v>
      </c>
      <c r="F1338" s="10">
        <v>46125</v>
      </c>
      <c r="G1338" s="6" t="str">
        <f>_xlfn.TEXTJOIN("|",TRUE,GameLog[[#This Row],[Pod]],TEXT(INT(GameLog[[#This Row],[Round]]),"yyyymmdd"),GameLog[[#This Row],[Date]])</f>
        <v>3|19000102|46125</v>
      </c>
      <c r="H1338" s="6">
        <f>COUNTIF(GameLog[Pod ID],GameLog[[#This Row],[Pod ID]])</f>
        <v>4</v>
      </c>
      <c r="I1338" s="6">
        <f>YEAR(GameLog[[#This Row],[Date]])</f>
        <v>2026</v>
      </c>
      <c r="J1338" s="6">
        <f>MONTH(GameLog[[#This Row],[Date]])</f>
        <v>4</v>
      </c>
      <c r="K1338" s="6" t="str">
        <f>IF(GameLog[[#This Row],[Date]]=MAX(GameLog[Date]),"Current","Previous")</f>
        <v>Previous</v>
      </c>
      <c r="L1338" s="6"/>
      <c r="M13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8" s="6" t="str">
        <f ca="1">IF(GameLog[[#This Row],[Check]]="","",COUNTIF(GameLog[[#Headers],[Check]]:GameLog[[#This Row],[Check]],"?*")-1)</f>
        <v/>
      </c>
      <c r="O1338" s="6" t="str">
        <f>IFERROR(INDEX(Players[New name],MATCH(GameLog[[#This Row],[Player]],Players[Name],0)),GameLog[[#This Row],[Player]])</f>
        <v>Zack B</v>
      </c>
    </row>
    <row r="1339" spans="1:15" x14ac:dyDescent="0.45">
      <c r="A1339" s="6" t="s">
        <v>49</v>
      </c>
      <c r="B1339" s="6" t="s">
        <v>53</v>
      </c>
      <c r="C1339" s="6">
        <v>3</v>
      </c>
      <c r="D1339" s="6">
        <v>3</v>
      </c>
      <c r="E1339" s="6">
        <v>2</v>
      </c>
      <c r="F1339" s="10">
        <v>46125</v>
      </c>
      <c r="G1339" s="6" t="str">
        <f>_xlfn.TEXTJOIN("|",TRUE,GameLog[[#This Row],[Pod]],TEXT(INT(GameLog[[#This Row],[Round]]),"yyyymmdd"),GameLog[[#This Row],[Date]])</f>
        <v>3|19000102|46125</v>
      </c>
      <c r="H1339" s="6">
        <f>COUNTIF(GameLog[Pod ID],GameLog[[#This Row],[Pod ID]])</f>
        <v>4</v>
      </c>
      <c r="I1339" s="6">
        <f>YEAR(GameLog[[#This Row],[Date]])</f>
        <v>2026</v>
      </c>
      <c r="J1339" s="6">
        <f>MONTH(GameLog[[#This Row],[Date]])</f>
        <v>4</v>
      </c>
      <c r="K1339" s="6" t="str">
        <f>IF(GameLog[[#This Row],[Date]]=MAX(GameLog[Date]),"Current","Previous")</f>
        <v>Previous</v>
      </c>
      <c r="L1339" s="6"/>
      <c r="M13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39" s="6" t="str">
        <f ca="1">IF(GameLog[[#This Row],[Check]]="","",COUNTIF(GameLog[[#Headers],[Check]]:GameLog[[#This Row],[Check]],"?*")-1)</f>
        <v/>
      </c>
      <c r="O1339" s="6" t="str">
        <f>IFERROR(INDEX(Players[New name],MATCH(GameLog[[#This Row],[Player]],Players[Name],0)),GameLog[[#This Row],[Player]])</f>
        <v>Brett R</v>
      </c>
    </row>
    <row r="1340" spans="1:15" x14ac:dyDescent="0.45">
      <c r="A1340" s="6" t="s">
        <v>104</v>
      </c>
      <c r="B1340" s="6" t="s">
        <v>50</v>
      </c>
      <c r="C1340" s="6">
        <v>4</v>
      </c>
      <c r="D1340" s="6">
        <v>3</v>
      </c>
      <c r="E1340" s="6">
        <v>2</v>
      </c>
      <c r="F1340" s="10">
        <v>46125</v>
      </c>
      <c r="G1340" s="6" t="str">
        <f>_xlfn.TEXTJOIN("|",TRUE,GameLog[[#This Row],[Pod]],TEXT(INT(GameLog[[#This Row],[Round]]),"yyyymmdd"),GameLog[[#This Row],[Date]])</f>
        <v>3|19000102|46125</v>
      </c>
      <c r="H1340" s="6">
        <f>COUNTIF(GameLog[Pod ID],GameLog[[#This Row],[Pod ID]])</f>
        <v>4</v>
      </c>
      <c r="I1340" s="6">
        <f>YEAR(GameLog[[#This Row],[Date]])</f>
        <v>2026</v>
      </c>
      <c r="J1340" s="6">
        <f>MONTH(GameLog[[#This Row],[Date]])</f>
        <v>4</v>
      </c>
      <c r="K1340" s="6" t="str">
        <f>IF(GameLog[[#This Row],[Date]]=MAX(GameLog[Date]),"Current","Previous")</f>
        <v>Previous</v>
      </c>
      <c r="L1340" s="6"/>
      <c r="M13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0" s="6" t="str">
        <f ca="1">IF(GameLog[[#This Row],[Check]]="","",COUNTIF(GameLog[[#Headers],[Check]]:GameLog[[#This Row],[Check]],"?*")-1)</f>
        <v/>
      </c>
      <c r="O1340" s="6" t="str">
        <f>IFERROR(INDEX(Players[New name],MATCH(GameLog[[#This Row],[Player]],Players[Name],0)),GameLog[[#This Row],[Player]])</f>
        <v>Eric E</v>
      </c>
    </row>
    <row r="1341" spans="1:15" x14ac:dyDescent="0.45">
      <c r="A1341" s="6" t="s">
        <v>63</v>
      </c>
      <c r="B1341" s="6" t="s">
        <v>53</v>
      </c>
      <c r="C1341" s="6">
        <v>1</v>
      </c>
      <c r="D1341" s="6">
        <v>4</v>
      </c>
      <c r="E1341" s="6">
        <v>2</v>
      </c>
      <c r="F1341" s="10">
        <v>46125</v>
      </c>
      <c r="G1341" s="6" t="str">
        <f>_xlfn.TEXTJOIN("|",TRUE,GameLog[[#This Row],[Pod]],TEXT(INT(GameLog[[#This Row],[Round]]),"yyyymmdd"),GameLog[[#This Row],[Date]])</f>
        <v>4|19000102|46125</v>
      </c>
      <c r="H1341" s="6">
        <f>COUNTIF(GameLog[Pod ID],GameLog[[#This Row],[Pod ID]])</f>
        <v>4</v>
      </c>
      <c r="I1341" s="6">
        <f>YEAR(GameLog[[#This Row],[Date]])</f>
        <v>2026</v>
      </c>
      <c r="J1341" s="6">
        <f>MONTH(GameLog[[#This Row],[Date]])</f>
        <v>4</v>
      </c>
      <c r="K1341" s="6" t="str">
        <f>IF(GameLog[[#This Row],[Date]]=MAX(GameLog[Date]),"Current","Previous")</f>
        <v>Previous</v>
      </c>
      <c r="L1341" s="6"/>
      <c r="M13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1" s="6" t="str">
        <f ca="1">IF(GameLog[[#This Row],[Check]]="","",COUNTIF(GameLog[[#Headers],[Check]]:GameLog[[#This Row],[Check]],"?*")-1)</f>
        <v/>
      </c>
      <c r="O1341" s="6" t="str">
        <f>IFERROR(INDEX(Players[New name],MATCH(GameLog[[#This Row],[Player]],Players[Name],0)),GameLog[[#This Row],[Player]])</f>
        <v>Jake D</v>
      </c>
    </row>
    <row r="1342" spans="1:15" x14ac:dyDescent="0.45">
      <c r="A1342" s="6" t="s">
        <v>57</v>
      </c>
      <c r="B1342" s="6" t="s">
        <v>53</v>
      </c>
      <c r="C1342" s="6">
        <v>2</v>
      </c>
      <c r="D1342" s="6">
        <v>4</v>
      </c>
      <c r="E1342" s="6">
        <v>2</v>
      </c>
      <c r="F1342" s="10">
        <v>46125</v>
      </c>
      <c r="G1342" s="6" t="str">
        <f>_xlfn.TEXTJOIN("|",TRUE,GameLog[[#This Row],[Pod]],TEXT(INT(GameLog[[#This Row],[Round]]),"yyyymmdd"),GameLog[[#This Row],[Date]])</f>
        <v>4|19000102|46125</v>
      </c>
      <c r="H1342" s="6">
        <f>COUNTIF(GameLog[Pod ID],GameLog[[#This Row],[Pod ID]])</f>
        <v>4</v>
      </c>
      <c r="I1342" s="6">
        <f>YEAR(GameLog[[#This Row],[Date]])</f>
        <v>2026</v>
      </c>
      <c r="J1342" s="6">
        <f>MONTH(GameLog[[#This Row],[Date]])</f>
        <v>4</v>
      </c>
      <c r="K1342" s="6" t="str">
        <f>IF(GameLog[[#This Row],[Date]]=MAX(GameLog[Date]),"Current","Previous")</f>
        <v>Previous</v>
      </c>
      <c r="L1342" s="6"/>
      <c r="M13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2" s="6" t="str">
        <f ca="1">IF(GameLog[[#This Row],[Check]]="","",COUNTIF(GameLog[[#Headers],[Check]]:GameLog[[#This Row],[Check]],"?*")-1)</f>
        <v/>
      </c>
      <c r="O1342" s="6" t="str">
        <f>IFERROR(INDEX(Players[New name],MATCH(GameLog[[#This Row],[Player]],Players[Name],0)),GameLog[[#This Row],[Player]])</f>
        <v>AJ W</v>
      </c>
    </row>
    <row r="1343" spans="1:15" x14ac:dyDescent="0.45">
      <c r="A1343" s="6" t="s">
        <v>98</v>
      </c>
      <c r="B1343" s="6" t="s">
        <v>53</v>
      </c>
      <c r="C1343" s="6">
        <v>3</v>
      </c>
      <c r="D1343" s="6">
        <v>4</v>
      </c>
      <c r="E1343" s="6">
        <v>2</v>
      </c>
      <c r="F1343" s="10">
        <v>46125</v>
      </c>
      <c r="G1343" s="6" t="str">
        <f>_xlfn.TEXTJOIN("|",TRUE,GameLog[[#This Row],[Pod]],TEXT(INT(GameLog[[#This Row],[Round]]),"yyyymmdd"),GameLog[[#This Row],[Date]])</f>
        <v>4|19000102|46125</v>
      </c>
      <c r="H1343" s="6">
        <f>COUNTIF(GameLog[Pod ID],GameLog[[#This Row],[Pod ID]])</f>
        <v>4</v>
      </c>
      <c r="I1343" s="6">
        <f>YEAR(GameLog[[#This Row],[Date]])</f>
        <v>2026</v>
      </c>
      <c r="J1343" s="6">
        <f>MONTH(GameLog[[#This Row],[Date]])</f>
        <v>4</v>
      </c>
      <c r="K1343" s="6" t="str">
        <f>IF(GameLog[[#This Row],[Date]]=MAX(GameLog[Date]),"Current","Previous")</f>
        <v>Previous</v>
      </c>
      <c r="L1343" s="6"/>
      <c r="M13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3" s="6" t="str">
        <f ca="1">IF(GameLog[[#This Row],[Check]]="","",COUNTIF(GameLog[[#Headers],[Check]]:GameLog[[#This Row],[Check]],"?*")-1)</f>
        <v/>
      </c>
      <c r="O1343" s="6" t="str">
        <f>IFERROR(INDEX(Players[New name],MATCH(GameLog[[#This Row],[Player]],Players[Name],0)),GameLog[[#This Row],[Player]])</f>
        <v>Charlie B</v>
      </c>
    </row>
    <row r="1344" spans="1:15" x14ac:dyDescent="0.45">
      <c r="A1344" s="6" t="s">
        <v>55</v>
      </c>
      <c r="B1344" s="6" t="s">
        <v>50</v>
      </c>
      <c r="C1344" s="6">
        <v>4</v>
      </c>
      <c r="D1344" s="6">
        <v>4</v>
      </c>
      <c r="E1344" s="6">
        <v>2</v>
      </c>
      <c r="F1344" s="10">
        <v>46125</v>
      </c>
      <c r="G1344" s="6" t="str">
        <f>_xlfn.TEXTJOIN("|",TRUE,GameLog[[#This Row],[Pod]],TEXT(INT(GameLog[[#This Row],[Round]]),"yyyymmdd"),GameLog[[#This Row],[Date]])</f>
        <v>4|19000102|46125</v>
      </c>
      <c r="H1344" s="6">
        <f>COUNTIF(GameLog[Pod ID],GameLog[[#This Row],[Pod ID]])</f>
        <v>4</v>
      </c>
      <c r="I1344" s="6">
        <f>YEAR(GameLog[[#This Row],[Date]])</f>
        <v>2026</v>
      </c>
      <c r="J1344" s="6">
        <f>MONTH(GameLog[[#This Row],[Date]])</f>
        <v>4</v>
      </c>
      <c r="K1344" s="6" t="str">
        <f>IF(GameLog[[#This Row],[Date]]=MAX(GameLog[Date]),"Current","Previous")</f>
        <v>Previous</v>
      </c>
      <c r="L1344" s="6"/>
      <c r="M13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4" s="6" t="str">
        <f ca="1">IF(GameLog[[#This Row],[Check]]="","",COUNTIF(GameLog[[#Headers],[Check]]:GameLog[[#This Row],[Check]],"?*")-1)</f>
        <v/>
      </c>
      <c r="O1344" s="6" t="str">
        <f>IFERROR(INDEX(Players[New name],MATCH(GameLog[[#This Row],[Player]],Players[Name],0)),GameLog[[#This Row],[Player]])</f>
        <v>Bryce C</v>
      </c>
    </row>
    <row r="1345" spans="1:15" x14ac:dyDescent="0.45">
      <c r="A1345" s="6" t="s">
        <v>64</v>
      </c>
      <c r="B1345" s="6" t="s">
        <v>50</v>
      </c>
      <c r="C1345" s="6">
        <v>1</v>
      </c>
      <c r="D1345" s="6">
        <v>5</v>
      </c>
      <c r="E1345" s="6">
        <v>2</v>
      </c>
      <c r="F1345" s="10">
        <v>46125</v>
      </c>
      <c r="G1345" s="6" t="str">
        <f>_xlfn.TEXTJOIN("|",TRUE,GameLog[[#This Row],[Pod]],TEXT(INT(GameLog[[#This Row],[Round]]),"yyyymmdd"),GameLog[[#This Row],[Date]])</f>
        <v>5|19000102|46125</v>
      </c>
      <c r="H1345" s="6">
        <f>COUNTIF(GameLog[Pod ID],GameLog[[#This Row],[Pod ID]])</f>
        <v>3</v>
      </c>
      <c r="I1345" s="6">
        <f>YEAR(GameLog[[#This Row],[Date]])</f>
        <v>2026</v>
      </c>
      <c r="J1345" s="6">
        <f>MONTH(GameLog[[#This Row],[Date]])</f>
        <v>4</v>
      </c>
      <c r="K1345" s="6" t="str">
        <f>IF(GameLog[[#This Row],[Date]]=MAX(GameLog[Date]),"Current","Previous")</f>
        <v>Previous</v>
      </c>
      <c r="L1345" s="6"/>
      <c r="M13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5" s="6" t="str">
        <f ca="1">IF(GameLog[[#This Row],[Check]]="","",COUNTIF(GameLog[[#Headers],[Check]]:GameLog[[#This Row],[Check]],"?*")-1)</f>
        <v/>
      </c>
      <c r="O1345" s="6" t="str">
        <f>IFERROR(INDEX(Players[New name],MATCH(GameLog[[#This Row],[Player]],Players[Name],0)),GameLog[[#This Row],[Player]])</f>
        <v>Tyler B</v>
      </c>
    </row>
    <row r="1346" spans="1:15" x14ac:dyDescent="0.45">
      <c r="A1346" s="6" t="s">
        <v>52</v>
      </c>
      <c r="B1346" s="6" t="s">
        <v>53</v>
      </c>
      <c r="C1346" s="6">
        <v>2</v>
      </c>
      <c r="D1346" s="6">
        <v>5</v>
      </c>
      <c r="E1346" s="6">
        <v>2</v>
      </c>
      <c r="F1346" s="10">
        <v>46125</v>
      </c>
      <c r="G1346" s="6" t="str">
        <f>_xlfn.TEXTJOIN("|",TRUE,GameLog[[#This Row],[Pod]],TEXT(INT(GameLog[[#This Row],[Round]]),"yyyymmdd"),GameLog[[#This Row],[Date]])</f>
        <v>5|19000102|46125</v>
      </c>
      <c r="H1346" s="6">
        <f>COUNTIF(GameLog[Pod ID],GameLog[[#This Row],[Pod ID]])</f>
        <v>3</v>
      </c>
      <c r="I1346" s="6">
        <f>YEAR(GameLog[[#This Row],[Date]])</f>
        <v>2026</v>
      </c>
      <c r="J1346" s="6">
        <f>MONTH(GameLog[[#This Row],[Date]])</f>
        <v>4</v>
      </c>
      <c r="K1346" s="6" t="str">
        <f>IF(GameLog[[#This Row],[Date]]=MAX(GameLog[Date]),"Current","Previous")</f>
        <v>Previous</v>
      </c>
      <c r="L1346" s="6"/>
      <c r="M13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6" s="6" t="str">
        <f ca="1">IF(GameLog[[#This Row],[Check]]="","",COUNTIF(GameLog[[#Headers],[Check]]:GameLog[[#This Row],[Check]],"?*")-1)</f>
        <v/>
      </c>
      <c r="O1346" s="6" t="str">
        <f>IFERROR(INDEX(Players[New name],MATCH(GameLog[[#This Row],[Player]],Players[Name],0)),GameLog[[#This Row],[Player]])</f>
        <v>Unknown</v>
      </c>
    </row>
    <row r="1347" spans="1:15" x14ac:dyDescent="0.45">
      <c r="A1347" s="6" t="s">
        <v>78</v>
      </c>
      <c r="B1347" s="6" t="s">
        <v>53</v>
      </c>
      <c r="C1347" s="6">
        <v>3</v>
      </c>
      <c r="D1347" s="6">
        <v>5</v>
      </c>
      <c r="E1347" s="6">
        <v>2</v>
      </c>
      <c r="F1347" s="10">
        <v>46125</v>
      </c>
      <c r="G1347" s="6" t="str">
        <f>_xlfn.TEXTJOIN("|",TRUE,GameLog[[#This Row],[Pod]],TEXT(INT(GameLog[[#This Row],[Round]]),"yyyymmdd"),GameLog[[#This Row],[Date]])</f>
        <v>5|19000102|46125</v>
      </c>
      <c r="H1347" s="6">
        <f>COUNTIF(GameLog[Pod ID],GameLog[[#This Row],[Pod ID]])</f>
        <v>3</v>
      </c>
      <c r="I1347" s="6">
        <f>YEAR(GameLog[[#This Row],[Date]])</f>
        <v>2026</v>
      </c>
      <c r="J1347" s="6">
        <f>MONTH(GameLog[[#This Row],[Date]])</f>
        <v>4</v>
      </c>
      <c r="K1347" s="6" t="str">
        <f>IF(GameLog[[#This Row],[Date]]=MAX(GameLog[Date]),"Current","Previous")</f>
        <v>Previous</v>
      </c>
      <c r="L1347" s="6"/>
      <c r="M13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7" s="6" t="str">
        <f ca="1">IF(GameLog[[#This Row],[Check]]="","",COUNTIF(GameLog[[#Headers],[Check]]:GameLog[[#This Row],[Check]],"?*")-1)</f>
        <v/>
      </c>
      <c r="O1347" s="6" t="str">
        <f>IFERROR(INDEX(Players[New name],MATCH(GameLog[[#This Row],[Player]],Players[Name],0)),GameLog[[#This Row],[Player]])</f>
        <v>Justin M</v>
      </c>
    </row>
    <row r="1348" spans="1:15" x14ac:dyDescent="0.45">
      <c r="A1348" s="6" t="s">
        <v>71</v>
      </c>
      <c r="B1348" s="6" t="s">
        <v>53</v>
      </c>
      <c r="C1348" s="6">
        <v>1</v>
      </c>
      <c r="D1348" s="6">
        <v>1</v>
      </c>
      <c r="E1348" s="6">
        <v>1</v>
      </c>
      <c r="F1348" s="10">
        <v>46132</v>
      </c>
      <c r="G1348" s="6" t="str">
        <f>_xlfn.TEXTJOIN("|",TRUE,GameLog[[#This Row],[Pod]],TEXT(INT(GameLog[[#This Row],[Round]]),"yyyymmdd"),GameLog[[#This Row],[Date]])</f>
        <v>1|19000101|46132</v>
      </c>
      <c r="H1348" s="6">
        <f>COUNTIF(GameLog[Pod ID],GameLog[[#This Row],[Pod ID]])</f>
        <v>4</v>
      </c>
      <c r="I1348" s="6">
        <f>YEAR(GameLog[[#This Row],[Date]])</f>
        <v>2026</v>
      </c>
      <c r="J1348" s="6">
        <f>MONTH(GameLog[[#This Row],[Date]])</f>
        <v>4</v>
      </c>
      <c r="K1348" s="6" t="str">
        <f>IF(GameLog[[#This Row],[Date]]=MAX(GameLog[Date]),"Current","Previous")</f>
        <v>Previous</v>
      </c>
      <c r="L1348" s="6"/>
      <c r="M13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8" s="6" t="str">
        <f ca="1">IF(GameLog[[#This Row],[Check]]="","",COUNTIF(GameLog[[#Headers],[Check]]:GameLog[[#This Row],[Check]],"?*")-1)</f>
        <v/>
      </c>
      <c r="O1348" s="6" t="str">
        <f>IFERROR(INDEX(Players[New name],MATCH(GameLog[[#This Row],[Player]],Players[Name],0)),GameLog[[#This Row],[Player]])</f>
        <v>Rodney Y</v>
      </c>
    </row>
    <row r="1349" spans="1:15" x14ac:dyDescent="0.45">
      <c r="A1349" s="6" t="s">
        <v>62</v>
      </c>
      <c r="B1349" s="6" t="s">
        <v>50</v>
      </c>
      <c r="C1349" s="6">
        <v>2</v>
      </c>
      <c r="D1349" s="6">
        <v>1</v>
      </c>
      <c r="E1349" s="6">
        <v>1</v>
      </c>
      <c r="F1349" s="10">
        <v>46132</v>
      </c>
      <c r="G1349" s="6" t="str">
        <f>_xlfn.TEXTJOIN("|",TRUE,GameLog[[#This Row],[Pod]],TEXT(INT(GameLog[[#This Row],[Round]]),"yyyymmdd"),GameLog[[#This Row],[Date]])</f>
        <v>1|19000101|46132</v>
      </c>
      <c r="H1349" s="6">
        <f>COUNTIF(GameLog[Pod ID],GameLog[[#This Row],[Pod ID]])</f>
        <v>4</v>
      </c>
      <c r="I1349" s="6">
        <f>YEAR(GameLog[[#This Row],[Date]])</f>
        <v>2026</v>
      </c>
      <c r="J1349" s="6">
        <f>MONTH(GameLog[[#This Row],[Date]])</f>
        <v>4</v>
      </c>
      <c r="K1349" s="6" t="str">
        <f>IF(GameLog[[#This Row],[Date]]=MAX(GameLog[Date]),"Current","Previous")</f>
        <v>Previous</v>
      </c>
      <c r="L1349" s="6"/>
      <c r="M13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49" s="6" t="str">
        <f ca="1">IF(GameLog[[#This Row],[Check]]="","",COUNTIF(GameLog[[#Headers],[Check]]:GameLog[[#This Row],[Check]],"?*")-1)</f>
        <v/>
      </c>
      <c r="O1349" s="6" t="str">
        <f>IFERROR(INDEX(Players[New name],MATCH(GameLog[[#This Row],[Player]],Players[Name],0)),GameLog[[#This Row],[Player]])</f>
        <v>Nicholas S</v>
      </c>
    </row>
    <row r="1350" spans="1:15" x14ac:dyDescent="0.45">
      <c r="A1350" s="6" t="s">
        <v>88</v>
      </c>
      <c r="B1350" s="6" t="s">
        <v>53</v>
      </c>
      <c r="C1350" s="6">
        <v>3</v>
      </c>
      <c r="D1350" s="6">
        <v>1</v>
      </c>
      <c r="E1350" s="6">
        <v>1</v>
      </c>
      <c r="F1350" s="10">
        <v>46132</v>
      </c>
      <c r="G1350" s="6" t="str">
        <f>_xlfn.TEXTJOIN("|",TRUE,GameLog[[#This Row],[Pod]],TEXT(INT(GameLog[[#This Row],[Round]]),"yyyymmdd"),GameLog[[#This Row],[Date]])</f>
        <v>1|19000101|46132</v>
      </c>
      <c r="H1350" s="6">
        <f>COUNTIF(GameLog[Pod ID],GameLog[[#This Row],[Pod ID]])</f>
        <v>4</v>
      </c>
      <c r="I1350" s="6">
        <f>YEAR(GameLog[[#This Row],[Date]])</f>
        <v>2026</v>
      </c>
      <c r="J1350" s="6">
        <f>MONTH(GameLog[[#This Row],[Date]])</f>
        <v>4</v>
      </c>
      <c r="K1350" s="6" t="str">
        <f>IF(GameLog[[#This Row],[Date]]=MAX(GameLog[Date]),"Current","Previous")</f>
        <v>Previous</v>
      </c>
      <c r="L1350" s="6"/>
      <c r="M13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0" s="6" t="str">
        <f ca="1">IF(GameLog[[#This Row],[Check]]="","",COUNTIF(GameLog[[#Headers],[Check]]:GameLog[[#This Row],[Check]],"?*")-1)</f>
        <v/>
      </c>
      <c r="O1350" s="6" t="str">
        <f>IFERROR(INDEX(Players[New name],MATCH(GameLog[[#This Row],[Player]],Players[Name],0)),GameLog[[#This Row],[Player]])</f>
        <v>Andrew R</v>
      </c>
    </row>
    <row r="1351" spans="1:15" x14ac:dyDescent="0.45">
      <c r="A1351" s="6" t="s">
        <v>106</v>
      </c>
      <c r="B1351" s="6" t="s">
        <v>53</v>
      </c>
      <c r="C1351" s="6">
        <v>4</v>
      </c>
      <c r="D1351" s="6">
        <v>1</v>
      </c>
      <c r="E1351" s="6">
        <v>1</v>
      </c>
      <c r="F1351" s="10">
        <v>46132</v>
      </c>
      <c r="G1351" s="6" t="str">
        <f>_xlfn.TEXTJOIN("|",TRUE,GameLog[[#This Row],[Pod]],TEXT(INT(GameLog[[#This Row],[Round]]),"yyyymmdd"),GameLog[[#This Row],[Date]])</f>
        <v>1|19000101|46132</v>
      </c>
      <c r="H1351" s="6">
        <f>COUNTIF(GameLog[Pod ID],GameLog[[#This Row],[Pod ID]])</f>
        <v>4</v>
      </c>
      <c r="I1351" s="6">
        <f>YEAR(GameLog[[#This Row],[Date]])</f>
        <v>2026</v>
      </c>
      <c r="J1351" s="6">
        <f>MONTH(GameLog[[#This Row],[Date]])</f>
        <v>4</v>
      </c>
      <c r="K1351" s="6" t="str">
        <f>IF(GameLog[[#This Row],[Date]]=MAX(GameLog[Date]),"Current","Previous")</f>
        <v>Previous</v>
      </c>
      <c r="L1351" s="6"/>
      <c r="M13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1" s="6" t="str">
        <f ca="1">IF(GameLog[[#This Row],[Check]]="","",COUNTIF(GameLog[[#Headers],[Check]]:GameLog[[#This Row],[Check]],"?*")-1)</f>
        <v/>
      </c>
      <c r="O1351" s="6" t="str">
        <f>IFERROR(INDEX(Players[New name],MATCH(GameLog[[#This Row],[Player]],Players[Name],0)),GameLog[[#This Row],[Player]])</f>
        <v>Tony W</v>
      </c>
    </row>
    <row r="1352" spans="1:15" x14ac:dyDescent="0.45">
      <c r="A1352" s="6" t="s">
        <v>49</v>
      </c>
      <c r="B1352" s="6" t="s">
        <v>53</v>
      </c>
      <c r="C1352" s="6">
        <v>1</v>
      </c>
      <c r="D1352" s="6">
        <v>2</v>
      </c>
      <c r="E1352" s="6">
        <v>1</v>
      </c>
      <c r="F1352" s="10">
        <v>46132</v>
      </c>
      <c r="G1352" s="6" t="str">
        <f>_xlfn.TEXTJOIN("|",TRUE,GameLog[[#This Row],[Pod]],TEXT(INT(GameLog[[#This Row],[Round]]),"yyyymmdd"),GameLog[[#This Row],[Date]])</f>
        <v>2|19000101|46132</v>
      </c>
      <c r="H1352" s="6">
        <f>COUNTIF(GameLog[Pod ID],GameLog[[#This Row],[Pod ID]])</f>
        <v>4</v>
      </c>
      <c r="I1352" s="6">
        <f>YEAR(GameLog[[#This Row],[Date]])</f>
        <v>2026</v>
      </c>
      <c r="J1352" s="6">
        <f>MONTH(GameLog[[#This Row],[Date]])</f>
        <v>4</v>
      </c>
      <c r="K1352" s="6" t="str">
        <f>IF(GameLog[[#This Row],[Date]]=MAX(GameLog[Date]),"Current","Previous")</f>
        <v>Previous</v>
      </c>
      <c r="L1352" s="6"/>
      <c r="M13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2" s="6" t="str">
        <f ca="1">IF(GameLog[[#This Row],[Check]]="","",COUNTIF(GameLog[[#Headers],[Check]]:GameLog[[#This Row],[Check]],"?*")-1)</f>
        <v/>
      </c>
      <c r="O1352" s="6" t="str">
        <f>IFERROR(INDEX(Players[New name],MATCH(GameLog[[#This Row],[Player]],Players[Name],0)),GameLog[[#This Row],[Player]])</f>
        <v>Brett R</v>
      </c>
    </row>
    <row r="1353" spans="1:15" x14ac:dyDescent="0.45">
      <c r="A1353" s="6" t="s">
        <v>60</v>
      </c>
      <c r="B1353" s="6" t="s">
        <v>50</v>
      </c>
      <c r="C1353" s="6">
        <v>2</v>
      </c>
      <c r="D1353" s="6">
        <v>2</v>
      </c>
      <c r="E1353" s="6">
        <v>1</v>
      </c>
      <c r="F1353" s="10">
        <v>46132</v>
      </c>
      <c r="G1353" s="6" t="str">
        <f>_xlfn.TEXTJOIN("|",TRUE,GameLog[[#This Row],[Pod]],TEXT(INT(GameLog[[#This Row],[Round]]),"yyyymmdd"),GameLog[[#This Row],[Date]])</f>
        <v>2|19000101|46132</v>
      </c>
      <c r="H1353" s="6">
        <f>COUNTIF(GameLog[Pod ID],GameLog[[#This Row],[Pod ID]])</f>
        <v>4</v>
      </c>
      <c r="I1353" s="6">
        <f>YEAR(GameLog[[#This Row],[Date]])</f>
        <v>2026</v>
      </c>
      <c r="J1353" s="6">
        <f>MONTH(GameLog[[#This Row],[Date]])</f>
        <v>4</v>
      </c>
      <c r="K1353" s="6" t="str">
        <f>IF(GameLog[[#This Row],[Date]]=MAX(GameLog[Date]),"Current","Previous")</f>
        <v>Previous</v>
      </c>
      <c r="L1353" s="6"/>
      <c r="M13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3" s="6" t="str">
        <f ca="1">IF(GameLog[[#This Row],[Check]]="","",COUNTIF(GameLog[[#Headers],[Check]]:GameLog[[#This Row],[Check]],"?*")-1)</f>
        <v/>
      </c>
      <c r="O1353" s="6" t="str">
        <f>IFERROR(INDEX(Players[New name],MATCH(GameLog[[#This Row],[Player]],Players[Name],0)),GameLog[[#This Row],[Player]])</f>
        <v>Brendan H</v>
      </c>
    </row>
    <row r="1354" spans="1:15" x14ac:dyDescent="0.45">
      <c r="A1354" s="6" t="s">
        <v>57</v>
      </c>
      <c r="B1354" s="6" t="s">
        <v>53</v>
      </c>
      <c r="C1354" s="6">
        <v>3</v>
      </c>
      <c r="D1354" s="6">
        <v>2</v>
      </c>
      <c r="E1354" s="6">
        <v>1</v>
      </c>
      <c r="F1354" s="10">
        <v>46132</v>
      </c>
      <c r="G1354" s="6" t="str">
        <f>_xlfn.TEXTJOIN("|",TRUE,GameLog[[#This Row],[Pod]],TEXT(INT(GameLog[[#This Row],[Round]]),"yyyymmdd"),GameLog[[#This Row],[Date]])</f>
        <v>2|19000101|46132</v>
      </c>
      <c r="H1354" s="6">
        <f>COUNTIF(GameLog[Pod ID],GameLog[[#This Row],[Pod ID]])</f>
        <v>4</v>
      </c>
      <c r="I1354" s="6">
        <f>YEAR(GameLog[[#This Row],[Date]])</f>
        <v>2026</v>
      </c>
      <c r="J1354" s="6">
        <f>MONTH(GameLog[[#This Row],[Date]])</f>
        <v>4</v>
      </c>
      <c r="K1354" s="6" t="str">
        <f>IF(GameLog[[#This Row],[Date]]=MAX(GameLog[Date]),"Current","Previous")</f>
        <v>Previous</v>
      </c>
      <c r="L1354" s="6"/>
      <c r="M13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4" s="6" t="str">
        <f ca="1">IF(GameLog[[#This Row],[Check]]="","",COUNTIF(GameLog[[#Headers],[Check]]:GameLog[[#This Row],[Check]],"?*")-1)</f>
        <v/>
      </c>
      <c r="O1354" s="6" t="str">
        <f>IFERROR(INDEX(Players[New name],MATCH(GameLog[[#This Row],[Player]],Players[Name],0)),GameLog[[#This Row],[Player]])</f>
        <v>AJ W</v>
      </c>
    </row>
    <row r="1355" spans="1:15" x14ac:dyDescent="0.45">
      <c r="A1355" s="6" t="s">
        <v>96</v>
      </c>
      <c r="B1355" s="6" t="s">
        <v>53</v>
      </c>
      <c r="C1355" s="6">
        <v>4</v>
      </c>
      <c r="D1355" s="6">
        <v>2</v>
      </c>
      <c r="E1355" s="6">
        <v>1</v>
      </c>
      <c r="F1355" s="10">
        <v>46132</v>
      </c>
      <c r="G1355" s="6" t="str">
        <f>_xlfn.TEXTJOIN("|",TRUE,GameLog[[#This Row],[Pod]],TEXT(INT(GameLog[[#This Row],[Round]]),"yyyymmdd"),GameLog[[#This Row],[Date]])</f>
        <v>2|19000101|46132</v>
      </c>
      <c r="H1355" s="6">
        <f>COUNTIF(GameLog[Pod ID],GameLog[[#This Row],[Pod ID]])</f>
        <v>4</v>
      </c>
      <c r="I1355" s="6">
        <f>YEAR(GameLog[[#This Row],[Date]])</f>
        <v>2026</v>
      </c>
      <c r="J1355" s="6">
        <f>MONTH(GameLog[[#This Row],[Date]])</f>
        <v>4</v>
      </c>
      <c r="K1355" s="6" t="str">
        <f>IF(GameLog[[#This Row],[Date]]=MAX(GameLog[Date]),"Current","Previous")</f>
        <v>Previous</v>
      </c>
      <c r="L1355" s="6"/>
      <c r="M13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5" s="6" t="str">
        <f ca="1">IF(GameLog[[#This Row],[Check]]="","",COUNTIF(GameLog[[#Headers],[Check]]:GameLog[[#This Row],[Check]],"?*")-1)</f>
        <v/>
      </c>
      <c r="O1355" s="6" t="str">
        <f>IFERROR(INDEX(Players[New name],MATCH(GameLog[[#This Row],[Player]],Players[Name],0)),GameLog[[#This Row],[Player]])</f>
        <v>Brandon A</v>
      </c>
    </row>
    <row r="1356" spans="1:15" x14ac:dyDescent="0.45">
      <c r="A1356" s="6" t="s">
        <v>77</v>
      </c>
      <c r="B1356" s="6" t="s">
        <v>53</v>
      </c>
      <c r="C1356" s="6">
        <v>1</v>
      </c>
      <c r="D1356" s="6">
        <v>3</v>
      </c>
      <c r="E1356" s="6">
        <v>1</v>
      </c>
      <c r="F1356" s="10">
        <v>46132</v>
      </c>
      <c r="G1356" s="6" t="str">
        <f>_xlfn.TEXTJOIN("|",TRUE,GameLog[[#This Row],[Pod]],TEXT(INT(GameLog[[#This Row],[Round]]),"yyyymmdd"),GameLog[[#This Row],[Date]])</f>
        <v>3|19000101|46132</v>
      </c>
      <c r="H1356" s="6">
        <f>COUNTIF(GameLog[Pod ID],GameLog[[#This Row],[Pod ID]])</f>
        <v>4</v>
      </c>
      <c r="I1356" s="6">
        <f>YEAR(GameLog[[#This Row],[Date]])</f>
        <v>2026</v>
      </c>
      <c r="J1356" s="6">
        <f>MONTH(GameLog[[#This Row],[Date]])</f>
        <v>4</v>
      </c>
      <c r="K1356" s="6" t="str">
        <f>IF(GameLog[[#This Row],[Date]]=MAX(GameLog[Date]),"Current","Previous")</f>
        <v>Previous</v>
      </c>
      <c r="L1356" s="6"/>
      <c r="M13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6" s="6" t="str">
        <f ca="1">IF(GameLog[[#This Row],[Check]]="","",COUNTIF(GameLog[[#Headers],[Check]]:GameLog[[#This Row],[Check]],"?*")-1)</f>
        <v/>
      </c>
      <c r="O1356" s="6" t="str">
        <f>IFERROR(INDEX(Players[New name],MATCH(GameLog[[#This Row],[Player]],Players[Name],0)),GameLog[[#This Row],[Player]])</f>
        <v>Dave M</v>
      </c>
    </row>
    <row r="1357" spans="1:15" x14ac:dyDescent="0.45">
      <c r="A1357" s="6" t="s">
        <v>70</v>
      </c>
      <c r="B1357" s="6" t="s">
        <v>50</v>
      </c>
      <c r="C1357" s="6">
        <v>2</v>
      </c>
      <c r="D1357" s="6">
        <v>3</v>
      </c>
      <c r="E1357" s="6">
        <v>1</v>
      </c>
      <c r="F1357" s="10">
        <v>46132</v>
      </c>
      <c r="G1357" s="6" t="str">
        <f>_xlfn.TEXTJOIN("|",TRUE,GameLog[[#This Row],[Pod]],TEXT(INT(GameLog[[#This Row],[Round]]),"yyyymmdd"),GameLog[[#This Row],[Date]])</f>
        <v>3|19000101|46132</v>
      </c>
      <c r="H1357" s="6">
        <f>COUNTIF(GameLog[Pod ID],GameLog[[#This Row],[Pod ID]])</f>
        <v>4</v>
      </c>
      <c r="I1357" s="6">
        <f>YEAR(GameLog[[#This Row],[Date]])</f>
        <v>2026</v>
      </c>
      <c r="J1357" s="6">
        <f>MONTH(GameLog[[#This Row],[Date]])</f>
        <v>4</v>
      </c>
      <c r="K1357" s="6" t="str">
        <f>IF(GameLog[[#This Row],[Date]]=MAX(GameLog[Date]),"Current","Previous")</f>
        <v>Previous</v>
      </c>
      <c r="L1357" s="6"/>
      <c r="M13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7" s="6" t="str">
        <f ca="1">IF(GameLog[[#This Row],[Check]]="","",COUNTIF(GameLog[[#Headers],[Check]]:GameLog[[#This Row],[Check]],"?*")-1)</f>
        <v/>
      </c>
      <c r="O1357" s="6" t="str">
        <f>IFERROR(INDEX(Players[New name],MATCH(GameLog[[#This Row],[Player]],Players[Name],0)),GameLog[[#This Row],[Player]])</f>
        <v>Brad F</v>
      </c>
    </row>
    <row r="1358" spans="1:15" x14ac:dyDescent="0.45">
      <c r="A1358" s="6" t="s">
        <v>73</v>
      </c>
      <c r="B1358" s="6" t="s">
        <v>53</v>
      </c>
      <c r="C1358" s="6">
        <v>3</v>
      </c>
      <c r="D1358" s="6">
        <v>3</v>
      </c>
      <c r="E1358" s="6">
        <v>1</v>
      </c>
      <c r="F1358" s="10">
        <v>46132</v>
      </c>
      <c r="G1358" s="6" t="str">
        <f>_xlfn.TEXTJOIN("|",TRUE,GameLog[[#This Row],[Pod]],TEXT(INT(GameLog[[#This Row],[Round]]),"yyyymmdd"),GameLog[[#This Row],[Date]])</f>
        <v>3|19000101|46132</v>
      </c>
      <c r="H1358" s="6">
        <f>COUNTIF(GameLog[Pod ID],GameLog[[#This Row],[Pod ID]])</f>
        <v>4</v>
      </c>
      <c r="I1358" s="6">
        <f>YEAR(GameLog[[#This Row],[Date]])</f>
        <v>2026</v>
      </c>
      <c r="J1358" s="6">
        <f>MONTH(GameLog[[#This Row],[Date]])</f>
        <v>4</v>
      </c>
      <c r="K1358" s="6" t="str">
        <f>IF(GameLog[[#This Row],[Date]]=MAX(GameLog[Date]),"Current","Previous")</f>
        <v>Previous</v>
      </c>
      <c r="L1358" s="6"/>
      <c r="M13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8" s="6" t="str">
        <f ca="1">IF(GameLog[[#This Row],[Check]]="","",COUNTIF(GameLog[[#Headers],[Check]]:GameLog[[#This Row],[Check]],"?*")-1)</f>
        <v/>
      </c>
      <c r="O1358" s="6" t="str">
        <f>IFERROR(INDEX(Players[New name],MATCH(GameLog[[#This Row],[Player]],Players[Name],0)),GameLog[[#This Row],[Player]])</f>
        <v>Brandon B</v>
      </c>
    </row>
    <row r="1359" spans="1:15" x14ac:dyDescent="0.45">
      <c r="A1359" s="6" t="s">
        <v>91</v>
      </c>
      <c r="B1359" s="6" t="s">
        <v>53</v>
      </c>
      <c r="C1359" s="6">
        <v>4</v>
      </c>
      <c r="D1359" s="6">
        <v>3</v>
      </c>
      <c r="E1359" s="6">
        <v>1</v>
      </c>
      <c r="F1359" s="10">
        <v>46132</v>
      </c>
      <c r="G1359" s="6" t="str">
        <f>_xlfn.TEXTJOIN("|",TRUE,GameLog[[#This Row],[Pod]],TEXT(INT(GameLog[[#This Row],[Round]]),"yyyymmdd"),GameLog[[#This Row],[Date]])</f>
        <v>3|19000101|46132</v>
      </c>
      <c r="H1359" s="6">
        <f>COUNTIF(GameLog[Pod ID],GameLog[[#This Row],[Pod ID]])</f>
        <v>4</v>
      </c>
      <c r="I1359" s="6">
        <f>YEAR(GameLog[[#This Row],[Date]])</f>
        <v>2026</v>
      </c>
      <c r="J1359" s="6">
        <f>MONTH(GameLog[[#This Row],[Date]])</f>
        <v>4</v>
      </c>
      <c r="K1359" s="6" t="str">
        <f>IF(GameLog[[#This Row],[Date]]=MAX(GameLog[Date]),"Current","Previous")</f>
        <v>Previous</v>
      </c>
      <c r="L1359" s="6"/>
      <c r="M13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59" s="6" t="str">
        <f ca="1">IF(GameLog[[#This Row],[Check]]="","",COUNTIF(GameLog[[#Headers],[Check]]:GameLog[[#This Row],[Check]],"?*")-1)</f>
        <v/>
      </c>
      <c r="O1359" s="6" t="str">
        <f>IFERROR(INDEX(Players[New name],MATCH(GameLog[[#This Row],[Player]],Players[Name],0)),GameLog[[#This Row],[Player]])</f>
        <v>Isaac B</v>
      </c>
    </row>
    <row r="1360" spans="1:15" x14ac:dyDescent="0.45">
      <c r="A1360" s="6" t="s">
        <v>63</v>
      </c>
      <c r="B1360" s="6" t="s">
        <v>50</v>
      </c>
      <c r="C1360" s="6">
        <v>1</v>
      </c>
      <c r="D1360" s="6">
        <v>4</v>
      </c>
      <c r="E1360" s="6">
        <v>1</v>
      </c>
      <c r="F1360" s="10">
        <v>46132</v>
      </c>
      <c r="G1360" s="6" t="str">
        <f>_xlfn.TEXTJOIN("|",TRUE,GameLog[[#This Row],[Pod]],TEXT(INT(GameLog[[#This Row],[Round]]),"yyyymmdd"),GameLog[[#This Row],[Date]])</f>
        <v>4|19000101|46132</v>
      </c>
      <c r="H1360" s="6">
        <f>COUNTIF(GameLog[Pod ID],GameLog[[#This Row],[Pod ID]])</f>
        <v>3</v>
      </c>
      <c r="I1360" s="6">
        <f>YEAR(GameLog[[#This Row],[Date]])</f>
        <v>2026</v>
      </c>
      <c r="J1360" s="6">
        <f>MONTH(GameLog[[#This Row],[Date]])</f>
        <v>4</v>
      </c>
      <c r="K1360" s="6" t="str">
        <f>IF(GameLog[[#This Row],[Date]]=MAX(GameLog[Date]),"Current","Previous")</f>
        <v>Previous</v>
      </c>
      <c r="L1360" s="6"/>
      <c r="M13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0" s="6" t="str">
        <f ca="1">IF(GameLog[[#This Row],[Check]]="","",COUNTIF(GameLog[[#Headers],[Check]]:GameLog[[#This Row],[Check]],"?*")-1)</f>
        <v/>
      </c>
      <c r="O1360" s="6" t="str">
        <f>IFERROR(INDEX(Players[New name],MATCH(GameLog[[#This Row],[Player]],Players[Name],0)),GameLog[[#This Row],[Player]])</f>
        <v>Jake D</v>
      </c>
    </row>
    <row r="1361" spans="1:15" x14ac:dyDescent="0.45">
      <c r="A1361" s="6" t="s">
        <v>68</v>
      </c>
      <c r="B1361" s="6" t="s">
        <v>53</v>
      </c>
      <c r="C1361" s="6">
        <v>2</v>
      </c>
      <c r="D1361" s="6">
        <v>4</v>
      </c>
      <c r="E1361" s="6">
        <v>1</v>
      </c>
      <c r="F1361" s="10">
        <v>46132</v>
      </c>
      <c r="G1361" s="6" t="str">
        <f>_xlfn.TEXTJOIN("|",TRUE,GameLog[[#This Row],[Pod]],TEXT(INT(GameLog[[#This Row],[Round]]),"yyyymmdd"),GameLog[[#This Row],[Date]])</f>
        <v>4|19000101|46132</v>
      </c>
      <c r="H1361" s="6">
        <f>COUNTIF(GameLog[Pod ID],GameLog[[#This Row],[Pod ID]])</f>
        <v>3</v>
      </c>
      <c r="I1361" s="6">
        <f>YEAR(GameLog[[#This Row],[Date]])</f>
        <v>2026</v>
      </c>
      <c r="J1361" s="6">
        <f>MONTH(GameLog[[#This Row],[Date]])</f>
        <v>4</v>
      </c>
      <c r="K1361" s="6" t="str">
        <f>IF(GameLog[[#This Row],[Date]]=MAX(GameLog[Date]),"Current","Previous")</f>
        <v>Previous</v>
      </c>
      <c r="L1361" s="6"/>
      <c r="M13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1" s="6" t="str">
        <f ca="1">IF(GameLog[[#This Row],[Check]]="","",COUNTIF(GameLog[[#Headers],[Check]]:GameLog[[#This Row],[Check]],"?*")-1)</f>
        <v/>
      </c>
      <c r="O1361" s="6" t="str">
        <f>IFERROR(INDEX(Players[New name],MATCH(GameLog[[#This Row],[Player]],Players[Name],0)),GameLog[[#This Row],[Player]])</f>
        <v>Edwin M</v>
      </c>
    </row>
    <row r="1362" spans="1:15" x14ac:dyDescent="0.45">
      <c r="A1362" s="6" t="s">
        <v>98</v>
      </c>
      <c r="B1362" s="6" t="s">
        <v>53</v>
      </c>
      <c r="C1362" s="6">
        <v>3</v>
      </c>
      <c r="D1362" s="6">
        <v>4</v>
      </c>
      <c r="E1362" s="6">
        <v>1</v>
      </c>
      <c r="F1362" s="10">
        <v>46132</v>
      </c>
      <c r="G1362" s="6" t="str">
        <f>_xlfn.TEXTJOIN("|",TRUE,GameLog[[#This Row],[Pod]],TEXT(INT(GameLog[[#This Row],[Round]]),"yyyymmdd"),GameLog[[#This Row],[Date]])</f>
        <v>4|19000101|46132</v>
      </c>
      <c r="H1362" s="6">
        <f>COUNTIF(GameLog[Pod ID],GameLog[[#This Row],[Pod ID]])</f>
        <v>3</v>
      </c>
      <c r="I1362" s="6">
        <f>YEAR(GameLog[[#This Row],[Date]])</f>
        <v>2026</v>
      </c>
      <c r="J1362" s="6">
        <f>MONTH(GameLog[[#This Row],[Date]])</f>
        <v>4</v>
      </c>
      <c r="K1362" s="6" t="str">
        <f>IF(GameLog[[#This Row],[Date]]=MAX(GameLog[Date]),"Current","Previous")</f>
        <v>Previous</v>
      </c>
      <c r="L1362" s="6"/>
      <c r="M13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2" s="6" t="str">
        <f ca="1">IF(GameLog[[#This Row],[Check]]="","",COUNTIF(GameLog[[#Headers],[Check]]:GameLog[[#This Row],[Check]],"?*")-1)</f>
        <v/>
      </c>
      <c r="O1362" s="6" t="str">
        <f>IFERROR(INDEX(Players[New name],MATCH(GameLog[[#This Row],[Player]],Players[Name],0)),GameLog[[#This Row],[Player]])</f>
        <v>Charlie B</v>
      </c>
    </row>
    <row r="1363" spans="1:15" x14ac:dyDescent="0.45">
      <c r="A1363" s="6" t="s">
        <v>78</v>
      </c>
      <c r="B1363" s="6" t="s">
        <v>50</v>
      </c>
      <c r="C1363" s="6">
        <v>1</v>
      </c>
      <c r="D1363" s="6">
        <v>5</v>
      </c>
      <c r="E1363" s="6">
        <v>1</v>
      </c>
      <c r="F1363" s="10">
        <v>46132</v>
      </c>
      <c r="G1363" s="6" t="str">
        <f>_xlfn.TEXTJOIN("|",TRUE,GameLog[[#This Row],[Pod]],TEXT(INT(GameLog[[#This Row],[Round]]),"yyyymmdd"),GameLog[[#This Row],[Date]])</f>
        <v>5|19000101|46132</v>
      </c>
      <c r="H1363" s="6">
        <f>COUNTIF(GameLog[Pod ID],GameLog[[#This Row],[Pod ID]])</f>
        <v>3</v>
      </c>
      <c r="I1363" s="6">
        <f>YEAR(GameLog[[#This Row],[Date]])</f>
        <v>2026</v>
      </c>
      <c r="J1363" s="6">
        <f>MONTH(GameLog[[#This Row],[Date]])</f>
        <v>4</v>
      </c>
      <c r="K1363" s="6" t="str">
        <f>IF(GameLog[[#This Row],[Date]]=MAX(GameLog[Date]),"Current","Previous")</f>
        <v>Previous</v>
      </c>
      <c r="L1363" s="6"/>
      <c r="M13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3" s="6" t="str">
        <f ca="1">IF(GameLog[[#This Row],[Check]]="","",COUNTIF(GameLog[[#Headers],[Check]]:GameLog[[#This Row],[Check]],"?*")-1)</f>
        <v/>
      </c>
      <c r="O1363" s="6" t="str">
        <f>IFERROR(INDEX(Players[New name],MATCH(GameLog[[#This Row],[Player]],Players[Name],0)),GameLog[[#This Row],[Player]])</f>
        <v>Justin M</v>
      </c>
    </row>
    <row r="1364" spans="1:15" x14ac:dyDescent="0.45">
      <c r="A1364" s="6" t="s">
        <v>64</v>
      </c>
      <c r="B1364" s="6" t="s">
        <v>53</v>
      </c>
      <c r="C1364" s="6">
        <v>2</v>
      </c>
      <c r="D1364" s="6">
        <v>5</v>
      </c>
      <c r="E1364" s="6">
        <v>1</v>
      </c>
      <c r="F1364" s="10">
        <v>46132</v>
      </c>
      <c r="G1364" s="6" t="str">
        <f>_xlfn.TEXTJOIN("|",TRUE,GameLog[[#This Row],[Pod]],TEXT(INT(GameLog[[#This Row],[Round]]),"yyyymmdd"),GameLog[[#This Row],[Date]])</f>
        <v>5|19000101|46132</v>
      </c>
      <c r="H1364" s="6">
        <f>COUNTIF(GameLog[Pod ID],GameLog[[#This Row],[Pod ID]])</f>
        <v>3</v>
      </c>
      <c r="I1364" s="6">
        <f>YEAR(GameLog[[#This Row],[Date]])</f>
        <v>2026</v>
      </c>
      <c r="J1364" s="6">
        <f>MONTH(GameLog[[#This Row],[Date]])</f>
        <v>4</v>
      </c>
      <c r="K1364" s="6" t="str">
        <f>IF(GameLog[[#This Row],[Date]]=MAX(GameLog[Date]),"Current","Previous")</f>
        <v>Previous</v>
      </c>
      <c r="L1364" s="6"/>
      <c r="M13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4" s="6" t="str">
        <f ca="1">IF(GameLog[[#This Row],[Check]]="","",COUNTIF(GameLog[[#Headers],[Check]]:GameLog[[#This Row],[Check]],"?*")-1)</f>
        <v/>
      </c>
      <c r="O1364" s="6" t="str">
        <f>IFERROR(INDEX(Players[New name],MATCH(GameLog[[#This Row],[Player]],Players[Name],0)),GameLog[[#This Row],[Player]])</f>
        <v>Tyler B</v>
      </c>
    </row>
    <row r="1365" spans="1:15" x14ac:dyDescent="0.45">
      <c r="A1365" s="6" t="s">
        <v>59</v>
      </c>
      <c r="B1365" s="6" t="s">
        <v>53</v>
      </c>
      <c r="C1365" s="6">
        <v>3</v>
      </c>
      <c r="D1365" s="6">
        <v>5</v>
      </c>
      <c r="E1365" s="6">
        <v>1</v>
      </c>
      <c r="F1365" s="10">
        <v>46132</v>
      </c>
      <c r="G1365" s="6" t="str">
        <f>_xlfn.TEXTJOIN("|",TRUE,GameLog[[#This Row],[Pod]],TEXT(INT(GameLog[[#This Row],[Round]]),"yyyymmdd"),GameLog[[#This Row],[Date]])</f>
        <v>5|19000101|46132</v>
      </c>
      <c r="H1365" s="6">
        <f>COUNTIF(GameLog[Pod ID],GameLog[[#This Row],[Pod ID]])</f>
        <v>3</v>
      </c>
      <c r="I1365" s="6">
        <f>YEAR(GameLog[[#This Row],[Date]])</f>
        <v>2026</v>
      </c>
      <c r="J1365" s="6">
        <f>MONTH(GameLog[[#This Row],[Date]])</f>
        <v>4</v>
      </c>
      <c r="K1365" s="6" t="str">
        <f>IF(GameLog[[#This Row],[Date]]=MAX(GameLog[Date]),"Current","Previous")</f>
        <v>Previous</v>
      </c>
      <c r="L1365" s="6"/>
      <c r="M13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5" s="6" t="str">
        <f ca="1">IF(GameLog[[#This Row],[Check]]="","",COUNTIF(GameLog[[#Headers],[Check]]:GameLog[[#This Row],[Check]],"?*")-1)</f>
        <v/>
      </c>
      <c r="O1365" s="6" t="str">
        <f>IFERROR(INDEX(Players[New name],MATCH(GameLog[[#This Row],[Player]],Players[Name],0)),GameLog[[#This Row],[Player]])</f>
        <v>Zack B</v>
      </c>
    </row>
    <row r="1366" spans="1:15" x14ac:dyDescent="0.45">
      <c r="A1366" s="6" t="s">
        <v>104</v>
      </c>
      <c r="B1366" s="6" t="s">
        <v>53</v>
      </c>
      <c r="C1366" s="6">
        <v>1</v>
      </c>
      <c r="D1366" s="6">
        <v>6</v>
      </c>
      <c r="E1366" s="6">
        <v>1</v>
      </c>
      <c r="F1366" s="10">
        <v>46132</v>
      </c>
      <c r="G1366" s="6" t="str">
        <f>_xlfn.TEXTJOIN("|",TRUE,GameLog[[#This Row],[Pod]],TEXT(INT(GameLog[[#This Row],[Round]]),"yyyymmdd"),GameLog[[#This Row],[Date]])</f>
        <v>6|19000101|46132</v>
      </c>
      <c r="H1366" s="6">
        <f>COUNTIF(GameLog[Pod ID],GameLog[[#This Row],[Pod ID]])</f>
        <v>3</v>
      </c>
      <c r="I1366" s="6">
        <f>YEAR(GameLog[[#This Row],[Date]])</f>
        <v>2026</v>
      </c>
      <c r="J1366" s="6">
        <f>MONTH(GameLog[[#This Row],[Date]])</f>
        <v>4</v>
      </c>
      <c r="K1366" s="6" t="str">
        <f>IF(GameLog[[#This Row],[Date]]=MAX(GameLog[Date]),"Current","Previous")</f>
        <v>Previous</v>
      </c>
      <c r="L1366" s="6"/>
      <c r="M13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6" s="6" t="str">
        <f ca="1">IF(GameLog[[#This Row],[Check]]="","",COUNTIF(GameLog[[#Headers],[Check]]:GameLog[[#This Row],[Check]],"?*")-1)</f>
        <v/>
      </c>
      <c r="O1366" s="6" t="str">
        <f>IFERROR(INDEX(Players[New name],MATCH(GameLog[[#This Row],[Player]],Players[Name],0)),GameLog[[#This Row],[Player]])</f>
        <v>Eric E</v>
      </c>
    </row>
    <row r="1367" spans="1:15" x14ac:dyDescent="0.45">
      <c r="A1367" s="6" t="s">
        <v>55</v>
      </c>
      <c r="B1367" s="6" t="s">
        <v>50</v>
      </c>
      <c r="C1367" s="6">
        <v>2</v>
      </c>
      <c r="D1367" s="6">
        <v>6</v>
      </c>
      <c r="E1367" s="6">
        <v>1</v>
      </c>
      <c r="F1367" s="10">
        <v>46132</v>
      </c>
      <c r="G1367" s="6" t="str">
        <f>_xlfn.TEXTJOIN("|",TRUE,GameLog[[#This Row],[Pod]],TEXT(INT(GameLog[[#This Row],[Round]]),"yyyymmdd"),GameLog[[#This Row],[Date]])</f>
        <v>6|19000101|46132</v>
      </c>
      <c r="H1367" s="6">
        <f>COUNTIF(GameLog[Pod ID],GameLog[[#This Row],[Pod ID]])</f>
        <v>3</v>
      </c>
      <c r="I1367" s="6">
        <f>YEAR(GameLog[[#This Row],[Date]])</f>
        <v>2026</v>
      </c>
      <c r="J1367" s="6">
        <f>MONTH(GameLog[[#This Row],[Date]])</f>
        <v>4</v>
      </c>
      <c r="K1367" s="6" t="str">
        <f>IF(GameLog[[#This Row],[Date]]=MAX(GameLog[Date]),"Current","Previous")</f>
        <v>Previous</v>
      </c>
      <c r="L1367" s="6"/>
      <c r="M13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7" s="6" t="str">
        <f ca="1">IF(GameLog[[#This Row],[Check]]="","",COUNTIF(GameLog[[#Headers],[Check]]:GameLog[[#This Row],[Check]],"?*")-1)</f>
        <v/>
      </c>
      <c r="O1367" s="6" t="str">
        <f>IFERROR(INDEX(Players[New name],MATCH(GameLog[[#This Row],[Player]],Players[Name],0)),GameLog[[#This Row],[Player]])</f>
        <v>Bryce C</v>
      </c>
    </row>
    <row r="1368" spans="1:15" x14ac:dyDescent="0.45">
      <c r="A1368" s="6" t="s">
        <v>75</v>
      </c>
      <c r="B1368" s="6" t="s">
        <v>53</v>
      </c>
      <c r="C1368" s="6">
        <v>3</v>
      </c>
      <c r="D1368" s="6">
        <v>6</v>
      </c>
      <c r="E1368" s="6">
        <v>1</v>
      </c>
      <c r="F1368" s="10">
        <v>46132</v>
      </c>
      <c r="G1368" s="6" t="str">
        <f>_xlfn.TEXTJOIN("|",TRUE,GameLog[[#This Row],[Pod]],TEXT(INT(GameLog[[#This Row],[Round]]),"yyyymmdd"),GameLog[[#This Row],[Date]])</f>
        <v>6|19000101|46132</v>
      </c>
      <c r="H1368" s="6">
        <f>COUNTIF(GameLog[Pod ID],GameLog[[#This Row],[Pod ID]])</f>
        <v>3</v>
      </c>
      <c r="I1368" s="6">
        <f>YEAR(GameLog[[#This Row],[Date]])</f>
        <v>2026</v>
      </c>
      <c r="J1368" s="6">
        <f>MONTH(GameLog[[#This Row],[Date]])</f>
        <v>4</v>
      </c>
      <c r="K1368" s="6" t="str">
        <f>IF(GameLog[[#This Row],[Date]]=MAX(GameLog[Date]),"Current","Previous")</f>
        <v>Previous</v>
      </c>
      <c r="L1368" s="6"/>
      <c r="M13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8" s="6" t="str">
        <f ca="1">IF(GameLog[[#This Row],[Check]]="","",COUNTIF(GameLog[[#Headers],[Check]]:GameLog[[#This Row],[Check]],"?*")-1)</f>
        <v/>
      </c>
      <c r="O1368" s="6" t="str">
        <f>IFERROR(INDEX(Players[New name],MATCH(GameLog[[#This Row],[Player]],Players[Name],0)),GameLog[[#This Row],[Player]])</f>
        <v>Eli T</v>
      </c>
    </row>
    <row r="1369" spans="1:15" x14ac:dyDescent="0.45">
      <c r="A1369" s="6" t="s">
        <v>77</v>
      </c>
      <c r="B1369" s="6" t="s">
        <v>50</v>
      </c>
      <c r="C1369" s="6">
        <v>1</v>
      </c>
      <c r="D1369" s="6">
        <v>1</v>
      </c>
      <c r="E1369" s="6">
        <v>2</v>
      </c>
      <c r="F1369" s="10">
        <v>46132</v>
      </c>
      <c r="G1369" s="6" t="str">
        <f>_xlfn.TEXTJOIN("|",TRUE,GameLog[[#This Row],[Pod]],TEXT(INT(GameLog[[#This Row],[Round]]),"yyyymmdd"),GameLog[[#This Row],[Date]])</f>
        <v>1|19000102|46132</v>
      </c>
      <c r="H1369" s="6">
        <f>COUNTIF(GameLog[Pod ID],GameLog[[#This Row],[Pod ID]])</f>
        <v>3</v>
      </c>
      <c r="I1369" s="6">
        <f>YEAR(GameLog[[#This Row],[Date]])</f>
        <v>2026</v>
      </c>
      <c r="J1369" s="6">
        <f>MONTH(GameLog[[#This Row],[Date]])</f>
        <v>4</v>
      </c>
      <c r="K1369" s="6" t="str">
        <f>IF(GameLog[[#This Row],[Date]]=MAX(GameLog[Date]),"Current","Previous")</f>
        <v>Previous</v>
      </c>
      <c r="L1369" s="6"/>
      <c r="M13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69" s="6" t="str">
        <f ca="1">IF(GameLog[[#This Row],[Check]]="","",COUNTIF(GameLog[[#Headers],[Check]]:GameLog[[#This Row],[Check]],"?*")-1)</f>
        <v/>
      </c>
      <c r="O1369" s="6" t="str">
        <f>IFERROR(INDEX(Players[New name],MATCH(GameLog[[#This Row],[Player]],Players[Name],0)),GameLog[[#This Row],[Player]])</f>
        <v>Dave M</v>
      </c>
    </row>
    <row r="1370" spans="1:15" x14ac:dyDescent="0.45">
      <c r="A1370" s="6" t="s">
        <v>106</v>
      </c>
      <c r="B1370" s="6" t="s">
        <v>53</v>
      </c>
      <c r="C1370" s="6">
        <v>2</v>
      </c>
      <c r="D1370" s="6">
        <v>1</v>
      </c>
      <c r="E1370" s="6">
        <v>2</v>
      </c>
      <c r="F1370" s="10">
        <v>46132</v>
      </c>
      <c r="G1370" s="6" t="str">
        <f>_xlfn.TEXTJOIN("|",TRUE,GameLog[[#This Row],[Pod]],TEXT(INT(GameLog[[#This Row],[Round]]),"yyyymmdd"),GameLog[[#This Row],[Date]])</f>
        <v>1|19000102|46132</v>
      </c>
      <c r="H1370" s="6">
        <f>COUNTIF(GameLog[Pod ID],GameLog[[#This Row],[Pod ID]])</f>
        <v>3</v>
      </c>
      <c r="I1370" s="6">
        <f>YEAR(GameLog[[#This Row],[Date]])</f>
        <v>2026</v>
      </c>
      <c r="J1370" s="6">
        <f>MONTH(GameLog[[#This Row],[Date]])</f>
        <v>4</v>
      </c>
      <c r="K1370" s="6" t="str">
        <f>IF(GameLog[[#This Row],[Date]]=MAX(GameLog[Date]),"Current","Previous")</f>
        <v>Previous</v>
      </c>
      <c r="L1370" s="6"/>
      <c r="M13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0" s="6" t="str">
        <f ca="1">IF(GameLog[[#This Row],[Check]]="","",COUNTIF(GameLog[[#Headers],[Check]]:GameLog[[#This Row],[Check]],"?*")-1)</f>
        <v/>
      </c>
      <c r="O1370" s="6" t="str">
        <f>IFERROR(INDEX(Players[New name],MATCH(GameLog[[#This Row],[Player]],Players[Name],0)),GameLog[[#This Row],[Player]])</f>
        <v>Tony W</v>
      </c>
    </row>
    <row r="1371" spans="1:15" x14ac:dyDescent="0.45">
      <c r="A1371" s="6" t="s">
        <v>60</v>
      </c>
      <c r="B1371" s="6" t="s">
        <v>53</v>
      </c>
      <c r="C1371" s="6">
        <v>3</v>
      </c>
      <c r="D1371" s="6">
        <v>1</v>
      </c>
      <c r="E1371" s="6">
        <v>2</v>
      </c>
      <c r="F1371" s="10">
        <v>46132</v>
      </c>
      <c r="G1371" s="6" t="str">
        <f>_xlfn.TEXTJOIN("|",TRUE,GameLog[[#This Row],[Pod]],TEXT(INT(GameLog[[#This Row],[Round]]),"yyyymmdd"),GameLog[[#This Row],[Date]])</f>
        <v>1|19000102|46132</v>
      </c>
      <c r="H1371" s="6">
        <f>COUNTIF(GameLog[Pod ID],GameLog[[#This Row],[Pod ID]])</f>
        <v>3</v>
      </c>
      <c r="I1371" s="6">
        <f>YEAR(GameLog[[#This Row],[Date]])</f>
        <v>2026</v>
      </c>
      <c r="J1371" s="6">
        <f>MONTH(GameLog[[#This Row],[Date]])</f>
        <v>4</v>
      </c>
      <c r="K1371" s="6" t="str">
        <f>IF(GameLog[[#This Row],[Date]]=MAX(GameLog[Date]),"Current","Previous")</f>
        <v>Previous</v>
      </c>
      <c r="L1371" s="6"/>
      <c r="M13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1" s="6" t="str">
        <f ca="1">IF(GameLog[[#This Row],[Check]]="","",COUNTIF(GameLog[[#Headers],[Check]]:GameLog[[#This Row],[Check]],"?*")-1)</f>
        <v/>
      </c>
      <c r="O1371" s="6" t="str">
        <f>IFERROR(INDEX(Players[New name],MATCH(GameLog[[#This Row],[Player]],Players[Name],0)),GameLog[[#This Row],[Player]])</f>
        <v>Brendan H</v>
      </c>
    </row>
    <row r="1372" spans="1:15" x14ac:dyDescent="0.45">
      <c r="A1372" s="6" t="s">
        <v>91</v>
      </c>
      <c r="B1372" s="6" t="s">
        <v>53</v>
      </c>
      <c r="C1372" s="6">
        <v>1</v>
      </c>
      <c r="D1372" s="6">
        <v>2</v>
      </c>
      <c r="E1372" s="6">
        <v>2</v>
      </c>
      <c r="F1372" s="10">
        <v>46132</v>
      </c>
      <c r="G1372" s="6" t="str">
        <f>_xlfn.TEXTJOIN("|",TRUE,GameLog[[#This Row],[Pod]],TEXT(INT(GameLog[[#This Row],[Round]]),"yyyymmdd"),GameLog[[#This Row],[Date]])</f>
        <v>2|19000102|46132</v>
      </c>
      <c r="H1372" s="6">
        <f>COUNTIF(GameLog[Pod ID],GameLog[[#This Row],[Pod ID]])</f>
        <v>3</v>
      </c>
      <c r="I1372" s="6">
        <f>YEAR(GameLog[[#This Row],[Date]])</f>
        <v>2026</v>
      </c>
      <c r="J1372" s="6">
        <f>MONTH(GameLog[[#This Row],[Date]])</f>
        <v>4</v>
      </c>
      <c r="K1372" s="6" t="str">
        <f>IF(GameLog[[#This Row],[Date]]=MAX(GameLog[Date]),"Current","Previous")</f>
        <v>Previous</v>
      </c>
      <c r="L1372" s="6"/>
      <c r="M13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2" s="6" t="str">
        <f ca="1">IF(GameLog[[#This Row],[Check]]="","",COUNTIF(GameLog[[#Headers],[Check]]:GameLog[[#This Row],[Check]],"?*")-1)</f>
        <v/>
      </c>
      <c r="O1372" s="6" t="str">
        <f>IFERROR(INDEX(Players[New name],MATCH(GameLog[[#This Row],[Player]],Players[Name],0)),GameLog[[#This Row],[Player]])</f>
        <v>Isaac B</v>
      </c>
    </row>
    <row r="1373" spans="1:15" x14ac:dyDescent="0.45">
      <c r="A1373" s="6" t="s">
        <v>73</v>
      </c>
      <c r="B1373" s="6" t="s">
        <v>50</v>
      </c>
      <c r="C1373" s="6">
        <v>2</v>
      </c>
      <c r="D1373" s="6">
        <v>2</v>
      </c>
      <c r="E1373" s="6">
        <v>2</v>
      </c>
      <c r="F1373" s="10">
        <v>46132</v>
      </c>
      <c r="G1373" s="6" t="str">
        <f>_xlfn.TEXTJOIN("|",TRUE,GameLog[[#This Row],[Pod]],TEXT(INT(GameLog[[#This Row],[Round]]),"yyyymmdd"),GameLog[[#This Row],[Date]])</f>
        <v>2|19000102|46132</v>
      </c>
      <c r="H1373" s="6">
        <f>COUNTIF(GameLog[Pod ID],GameLog[[#This Row],[Pod ID]])</f>
        <v>3</v>
      </c>
      <c r="I1373" s="6">
        <f>YEAR(GameLog[[#This Row],[Date]])</f>
        <v>2026</v>
      </c>
      <c r="J1373" s="6">
        <f>MONTH(GameLog[[#This Row],[Date]])</f>
        <v>4</v>
      </c>
      <c r="K1373" s="6" t="str">
        <f>IF(GameLog[[#This Row],[Date]]=MAX(GameLog[Date]),"Current","Previous")</f>
        <v>Previous</v>
      </c>
      <c r="L1373" s="6"/>
      <c r="M13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3" s="6" t="str">
        <f ca="1">IF(GameLog[[#This Row],[Check]]="","",COUNTIF(GameLog[[#Headers],[Check]]:GameLog[[#This Row],[Check]],"?*")-1)</f>
        <v/>
      </c>
      <c r="O1373" s="6" t="str">
        <f>IFERROR(INDEX(Players[New name],MATCH(GameLog[[#This Row],[Player]],Players[Name],0)),GameLog[[#This Row],[Player]])</f>
        <v>Brandon B</v>
      </c>
    </row>
    <row r="1374" spans="1:15" x14ac:dyDescent="0.45">
      <c r="A1374" s="6" t="s">
        <v>62</v>
      </c>
      <c r="B1374" s="6" t="s">
        <v>53</v>
      </c>
      <c r="C1374" s="6">
        <v>3</v>
      </c>
      <c r="D1374" s="6">
        <v>2</v>
      </c>
      <c r="E1374" s="6">
        <v>2</v>
      </c>
      <c r="F1374" s="10">
        <v>46132</v>
      </c>
      <c r="G1374" s="6" t="str">
        <f>_xlfn.TEXTJOIN("|",TRUE,GameLog[[#This Row],[Pod]],TEXT(INT(GameLog[[#This Row],[Round]]),"yyyymmdd"),GameLog[[#This Row],[Date]])</f>
        <v>2|19000102|46132</v>
      </c>
      <c r="H1374" s="6">
        <f>COUNTIF(GameLog[Pod ID],GameLog[[#This Row],[Pod ID]])</f>
        <v>3</v>
      </c>
      <c r="I1374" s="6">
        <f>YEAR(GameLog[[#This Row],[Date]])</f>
        <v>2026</v>
      </c>
      <c r="J1374" s="6">
        <f>MONTH(GameLog[[#This Row],[Date]])</f>
        <v>4</v>
      </c>
      <c r="K1374" s="6" t="str">
        <f>IF(GameLog[[#This Row],[Date]]=MAX(GameLog[Date]),"Current","Previous")</f>
        <v>Previous</v>
      </c>
      <c r="L1374" s="6"/>
      <c r="M13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4" s="6" t="str">
        <f ca="1">IF(GameLog[[#This Row],[Check]]="","",COUNTIF(GameLog[[#Headers],[Check]]:GameLog[[#This Row],[Check]],"?*")-1)</f>
        <v/>
      </c>
      <c r="O1374" s="6" t="str">
        <f>IFERROR(INDEX(Players[New name],MATCH(GameLog[[#This Row],[Player]],Players[Name],0)),GameLog[[#This Row],[Player]])</f>
        <v>Nicholas S</v>
      </c>
    </row>
    <row r="1375" spans="1:15" x14ac:dyDescent="0.45">
      <c r="A1375" s="6" t="s">
        <v>59</v>
      </c>
      <c r="B1375" s="6" t="s">
        <v>53</v>
      </c>
      <c r="C1375" s="6">
        <v>1</v>
      </c>
      <c r="D1375" s="6">
        <v>3</v>
      </c>
      <c r="E1375" s="6">
        <v>2</v>
      </c>
      <c r="F1375" s="10">
        <v>46132</v>
      </c>
      <c r="G1375" s="6" t="str">
        <f>_xlfn.TEXTJOIN("|",TRUE,GameLog[[#This Row],[Pod]],TEXT(INT(GameLog[[#This Row],[Round]]),"yyyymmdd"),GameLog[[#This Row],[Date]])</f>
        <v>3|19000102|46132</v>
      </c>
      <c r="H1375" s="6">
        <f>COUNTIF(GameLog[Pod ID],GameLog[[#This Row],[Pod ID]])</f>
        <v>4</v>
      </c>
      <c r="I1375" s="6">
        <f>YEAR(GameLog[[#This Row],[Date]])</f>
        <v>2026</v>
      </c>
      <c r="J1375" s="6">
        <f>MONTH(GameLog[[#This Row],[Date]])</f>
        <v>4</v>
      </c>
      <c r="K1375" s="6" t="str">
        <f>IF(GameLog[[#This Row],[Date]]=MAX(GameLog[Date]),"Current","Previous")</f>
        <v>Previous</v>
      </c>
      <c r="L1375" s="6"/>
      <c r="M13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5" s="6" t="str">
        <f ca="1">IF(GameLog[[#This Row],[Check]]="","",COUNTIF(GameLog[[#Headers],[Check]]:GameLog[[#This Row],[Check]],"?*")-1)</f>
        <v/>
      </c>
      <c r="O1375" s="6" t="str">
        <f>IFERROR(INDEX(Players[New name],MATCH(GameLog[[#This Row],[Player]],Players[Name],0)),GameLog[[#This Row],[Player]])</f>
        <v>Zack B</v>
      </c>
    </row>
    <row r="1376" spans="1:15" x14ac:dyDescent="0.45">
      <c r="A1376" s="6" t="s">
        <v>49</v>
      </c>
      <c r="B1376" s="6" t="s">
        <v>53</v>
      </c>
      <c r="C1376" s="6">
        <v>2</v>
      </c>
      <c r="D1376" s="6">
        <v>3</v>
      </c>
      <c r="E1376" s="6">
        <v>2</v>
      </c>
      <c r="F1376" s="10">
        <v>46132</v>
      </c>
      <c r="G1376" s="6" t="str">
        <f>_xlfn.TEXTJOIN("|",TRUE,GameLog[[#This Row],[Pod]],TEXT(INT(GameLog[[#This Row],[Round]]),"yyyymmdd"),GameLog[[#This Row],[Date]])</f>
        <v>3|19000102|46132</v>
      </c>
      <c r="H1376" s="6">
        <f>COUNTIF(GameLog[Pod ID],GameLog[[#This Row],[Pod ID]])</f>
        <v>4</v>
      </c>
      <c r="I1376" s="6">
        <f>YEAR(GameLog[[#This Row],[Date]])</f>
        <v>2026</v>
      </c>
      <c r="J1376" s="6">
        <f>MONTH(GameLog[[#This Row],[Date]])</f>
        <v>4</v>
      </c>
      <c r="K1376" s="6" t="str">
        <f>IF(GameLog[[#This Row],[Date]]=MAX(GameLog[Date]),"Current","Previous")</f>
        <v>Previous</v>
      </c>
      <c r="L1376" s="6"/>
      <c r="M13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6" s="6" t="str">
        <f ca="1">IF(GameLog[[#This Row],[Check]]="","",COUNTIF(GameLog[[#Headers],[Check]]:GameLog[[#This Row],[Check]],"?*")-1)</f>
        <v/>
      </c>
      <c r="O1376" s="6" t="str">
        <f>IFERROR(INDEX(Players[New name],MATCH(GameLog[[#This Row],[Player]],Players[Name],0)),GameLog[[#This Row],[Player]])</f>
        <v>Brett R</v>
      </c>
    </row>
    <row r="1377" spans="1:15" x14ac:dyDescent="0.45">
      <c r="A1377" s="6" t="s">
        <v>104</v>
      </c>
      <c r="B1377" s="6" t="s">
        <v>53</v>
      </c>
      <c r="C1377" s="6">
        <v>3</v>
      </c>
      <c r="D1377" s="6">
        <v>3</v>
      </c>
      <c r="E1377" s="6">
        <v>2</v>
      </c>
      <c r="F1377" s="10">
        <v>46132</v>
      </c>
      <c r="G1377" s="6" t="str">
        <f>_xlfn.TEXTJOIN("|",TRUE,GameLog[[#This Row],[Pod]],TEXT(INT(GameLog[[#This Row],[Round]]),"yyyymmdd"),GameLog[[#This Row],[Date]])</f>
        <v>3|19000102|46132</v>
      </c>
      <c r="H1377" s="6">
        <f>COUNTIF(GameLog[Pod ID],GameLog[[#This Row],[Pod ID]])</f>
        <v>4</v>
      </c>
      <c r="I1377" s="6">
        <f>YEAR(GameLog[[#This Row],[Date]])</f>
        <v>2026</v>
      </c>
      <c r="J1377" s="6">
        <f>MONTH(GameLog[[#This Row],[Date]])</f>
        <v>4</v>
      </c>
      <c r="K1377" s="6" t="str">
        <f>IF(GameLog[[#This Row],[Date]]=MAX(GameLog[Date]),"Current","Previous")</f>
        <v>Previous</v>
      </c>
      <c r="L1377" s="6"/>
      <c r="M13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7" s="6" t="str">
        <f ca="1">IF(GameLog[[#This Row],[Check]]="","",COUNTIF(GameLog[[#Headers],[Check]]:GameLog[[#This Row],[Check]],"?*")-1)</f>
        <v/>
      </c>
      <c r="O1377" s="6" t="str">
        <f>IFERROR(INDEX(Players[New name],MATCH(GameLog[[#This Row],[Player]],Players[Name],0)),GameLog[[#This Row],[Player]])</f>
        <v>Eric E</v>
      </c>
    </row>
    <row r="1378" spans="1:15" x14ac:dyDescent="0.45">
      <c r="A1378" s="6" t="s">
        <v>63</v>
      </c>
      <c r="B1378" s="6" t="s">
        <v>50</v>
      </c>
      <c r="C1378" s="6">
        <v>4</v>
      </c>
      <c r="D1378" s="6">
        <v>3</v>
      </c>
      <c r="E1378" s="6">
        <v>2</v>
      </c>
      <c r="F1378" s="10">
        <v>46132</v>
      </c>
      <c r="G1378" s="6" t="str">
        <f>_xlfn.TEXTJOIN("|",TRUE,GameLog[[#This Row],[Pod]],TEXT(INT(GameLog[[#This Row],[Round]]),"yyyymmdd"),GameLog[[#This Row],[Date]])</f>
        <v>3|19000102|46132</v>
      </c>
      <c r="H1378" s="6">
        <f>COUNTIF(GameLog[Pod ID],GameLog[[#This Row],[Pod ID]])</f>
        <v>4</v>
      </c>
      <c r="I1378" s="6">
        <f>YEAR(GameLog[[#This Row],[Date]])</f>
        <v>2026</v>
      </c>
      <c r="J1378" s="6">
        <f>MONTH(GameLog[[#This Row],[Date]])</f>
        <v>4</v>
      </c>
      <c r="K1378" s="6" t="str">
        <f>IF(GameLog[[#This Row],[Date]]=MAX(GameLog[Date]),"Current","Previous")</f>
        <v>Previous</v>
      </c>
      <c r="L1378" s="6"/>
      <c r="M13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8" s="6" t="str">
        <f ca="1">IF(GameLog[[#This Row],[Check]]="","",COUNTIF(GameLog[[#Headers],[Check]]:GameLog[[#This Row],[Check]],"?*")-1)</f>
        <v/>
      </c>
      <c r="O1378" s="6" t="str">
        <f>IFERROR(INDEX(Players[New name],MATCH(GameLog[[#This Row],[Player]],Players[Name],0)),GameLog[[#This Row],[Player]])</f>
        <v>Jake D</v>
      </c>
    </row>
    <row r="1379" spans="1:15" x14ac:dyDescent="0.45">
      <c r="A1379" s="6" t="s">
        <v>96</v>
      </c>
      <c r="B1379" s="6" t="s">
        <v>53</v>
      </c>
      <c r="C1379" s="6">
        <v>1</v>
      </c>
      <c r="D1379" s="6">
        <v>4</v>
      </c>
      <c r="E1379" s="6">
        <v>2</v>
      </c>
      <c r="F1379" s="10">
        <v>46132</v>
      </c>
      <c r="G1379" s="6" t="str">
        <f>_xlfn.TEXTJOIN("|",TRUE,GameLog[[#This Row],[Pod]],TEXT(INT(GameLog[[#This Row],[Round]]),"yyyymmdd"),GameLog[[#This Row],[Date]])</f>
        <v>4|19000102|46132</v>
      </c>
      <c r="H1379" s="6">
        <f>COUNTIF(GameLog[Pod ID],GameLog[[#This Row],[Pod ID]])</f>
        <v>4</v>
      </c>
      <c r="I1379" s="6">
        <f>YEAR(GameLog[[#This Row],[Date]])</f>
        <v>2026</v>
      </c>
      <c r="J1379" s="6">
        <f>MONTH(GameLog[[#This Row],[Date]])</f>
        <v>4</v>
      </c>
      <c r="K1379" s="6" t="str">
        <f>IF(GameLog[[#This Row],[Date]]=MAX(GameLog[Date]),"Current","Previous")</f>
        <v>Previous</v>
      </c>
      <c r="L1379" s="6"/>
      <c r="M13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79" s="6" t="str">
        <f ca="1">IF(GameLog[[#This Row],[Check]]="","",COUNTIF(GameLog[[#Headers],[Check]]:GameLog[[#This Row],[Check]],"?*")-1)</f>
        <v/>
      </c>
      <c r="O1379" s="6" t="str">
        <f>IFERROR(INDEX(Players[New name],MATCH(GameLog[[#This Row],[Player]],Players[Name],0)),GameLog[[#This Row],[Player]])</f>
        <v>Brandon A</v>
      </c>
    </row>
    <row r="1380" spans="1:15" x14ac:dyDescent="0.45">
      <c r="A1380" s="6" t="s">
        <v>55</v>
      </c>
      <c r="B1380" s="6" t="s">
        <v>53</v>
      </c>
      <c r="C1380" s="6">
        <v>2</v>
      </c>
      <c r="D1380" s="6">
        <v>4</v>
      </c>
      <c r="E1380" s="6">
        <v>2</v>
      </c>
      <c r="F1380" s="10">
        <v>46132</v>
      </c>
      <c r="G1380" s="6" t="str">
        <f>_xlfn.TEXTJOIN("|",TRUE,GameLog[[#This Row],[Pod]],TEXT(INT(GameLog[[#This Row],[Round]]),"yyyymmdd"),GameLog[[#This Row],[Date]])</f>
        <v>4|19000102|46132</v>
      </c>
      <c r="H1380" s="6">
        <f>COUNTIF(GameLog[Pod ID],GameLog[[#This Row],[Pod ID]])</f>
        <v>4</v>
      </c>
      <c r="I1380" s="6">
        <f>YEAR(GameLog[[#This Row],[Date]])</f>
        <v>2026</v>
      </c>
      <c r="J1380" s="6">
        <f>MONTH(GameLog[[#This Row],[Date]])</f>
        <v>4</v>
      </c>
      <c r="K1380" s="6" t="str">
        <f>IF(GameLog[[#This Row],[Date]]=MAX(GameLog[Date]),"Current","Previous")</f>
        <v>Previous</v>
      </c>
      <c r="L1380" s="6"/>
      <c r="M13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0" s="6" t="str">
        <f ca="1">IF(GameLog[[#This Row],[Check]]="","",COUNTIF(GameLog[[#Headers],[Check]]:GameLog[[#This Row],[Check]],"?*")-1)</f>
        <v/>
      </c>
      <c r="O1380" s="6" t="str">
        <f>IFERROR(INDEX(Players[New name],MATCH(GameLog[[#This Row],[Player]],Players[Name],0)),GameLog[[#This Row],[Player]])</f>
        <v>Bryce C</v>
      </c>
    </row>
    <row r="1381" spans="1:15" x14ac:dyDescent="0.45">
      <c r="A1381" s="6" t="s">
        <v>68</v>
      </c>
      <c r="B1381" s="6" t="s">
        <v>53</v>
      </c>
      <c r="C1381" s="6">
        <v>3</v>
      </c>
      <c r="D1381" s="6">
        <v>4</v>
      </c>
      <c r="E1381" s="6">
        <v>2</v>
      </c>
      <c r="F1381" s="10">
        <v>46132</v>
      </c>
      <c r="G1381" s="6" t="str">
        <f>_xlfn.TEXTJOIN("|",TRUE,GameLog[[#This Row],[Pod]],TEXT(INT(GameLog[[#This Row],[Round]]),"yyyymmdd"),GameLog[[#This Row],[Date]])</f>
        <v>4|19000102|46132</v>
      </c>
      <c r="H1381" s="6">
        <f>COUNTIF(GameLog[Pod ID],GameLog[[#This Row],[Pod ID]])</f>
        <v>4</v>
      </c>
      <c r="I1381" s="6">
        <f>YEAR(GameLog[[#This Row],[Date]])</f>
        <v>2026</v>
      </c>
      <c r="J1381" s="6">
        <f>MONTH(GameLog[[#This Row],[Date]])</f>
        <v>4</v>
      </c>
      <c r="K1381" s="6" t="str">
        <f>IF(GameLog[[#This Row],[Date]]=MAX(GameLog[Date]),"Current","Previous")</f>
        <v>Previous</v>
      </c>
      <c r="L1381" s="6"/>
      <c r="M13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1" s="6" t="str">
        <f ca="1">IF(GameLog[[#This Row],[Check]]="","",COUNTIF(GameLog[[#Headers],[Check]]:GameLog[[#This Row],[Check]],"?*")-1)</f>
        <v/>
      </c>
      <c r="O1381" s="6" t="str">
        <f>IFERROR(INDEX(Players[New name],MATCH(GameLog[[#This Row],[Player]],Players[Name],0)),GameLog[[#This Row],[Player]])</f>
        <v>Edwin M</v>
      </c>
    </row>
    <row r="1382" spans="1:15" x14ac:dyDescent="0.45">
      <c r="A1382" s="6" t="s">
        <v>64</v>
      </c>
      <c r="B1382" s="6" t="s">
        <v>50</v>
      </c>
      <c r="C1382" s="6">
        <v>4</v>
      </c>
      <c r="D1382" s="6">
        <v>4</v>
      </c>
      <c r="E1382" s="6">
        <v>2</v>
      </c>
      <c r="F1382" s="10">
        <v>46132</v>
      </c>
      <c r="G1382" s="6" t="str">
        <f>_xlfn.TEXTJOIN("|",TRUE,GameLog[[#This Row],[Pod]],TEXT(INT(GameLog[[#This Row],[Round]]),"yyyymmdd"),GameLog[[#This Row],[Date]])</f>
        <v>4|19000102|46132</v>
      </c>
      <c r="H1382" s="6">
        <f>COUNTIF(GameLog[Pod ID],GameLog[[#This Row],[Pod ID]])</f>
        <v>4</v>
      </c>
      <c r="I1382" s="6">
        <f>YEAR(GameLog[[#This Row],[Date]])</f>
        <v>2026</v>
      </c>
      <c r="J1382" s="6">
        <f>MONTH(GameLog[[#This Row],[Date]])</f>
        <v>4</v>
      </c>
      <c r="K1382" s="6" t="str">
        <f>IF(GameLog[[#This Row],[Date]]=MAX(GameLog[Date]),"Current","Previous")</f>
        <v>Previous</v>
      </c>
      <c r="L1382" s="6"/>
      <c r="M13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2" s="6" t="str">
        <f ca="1">IF(GameLog[[#This Row],[Check]]="","",COUNTIF(GameLog[[#Headers],[Check]]:GameLog[[#This Row],[Check]],"?*")-1)</f>
        <v/>
      </c>
      <c r="O1382" s="6" t="str">
        <f>IFERROR(INDEX(Players[New name],MATCH(GameLog[[#This Row],[Player]],Players[Name],0)),GameLog[[#This Row],[Player]])</f>
        <v>Tyler B</v>
      </c>
    </row>
    <row r="1383" spans="1:15" x14ac:dyDescent="0.45">
      <c r="A1383" s="6" t="s">
        <v>88</v>
      </c>
      <c r="B1383" s="6" t="s">
        <v>53</v>
      </c>
      <c r="C1383" s="6">
        <v>1</v>
      </c>
      <c r="D1383" s="6">
        <v>5</v>
      </c>
      <c r="E1383" s="6">
        <v>2</v>
      </c>
      <c r="F1383" s="10">
        <v>46132</v>
      </c>
      <c r="G1383" s="6" t="str">
        <f>_xlfn.TEXTJOIN("|",TRUE,GameLog[[#This Row],[Pod]],TEXT(INT(GameLog[[#This Row],[Round]]),"yyyymmdd"),GameLog[[#This Row],[Date]])</f>
        <v>5|19000102|46132</v>
      </c>
      <c r="H1383" s="6">
        <f>COUNTIF(GameLog[Pod ID],GameLog[[#This Row],[Pod ID]])</f>
        <v>4</v>
      </c>
      <c r="I1383" s="6">
        <f>YEAR(GameLog[[#This Row],[Date]])</f>
        <v>2026</v>
      </c>
      <c r="J1383" s="6">
        <f>MONTH(GameLog[[#This Row],[Date]])</f>
        <v>4</v>
      </c>
      <c r="K1383" s="6" t="str">
        <f>IF(GameLog[[#This Row],[Date]]=MAX(GameLog[Date]),"Current","Previous")</f>
        <v>Previous</v>
      </c>
      <c r="L1383" s="6"/>
      <c r="M13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3" s="6" t="str">
        <f ca="1">IF(GameLog[[#This Row],[Check]]="","",COUNTIF(GameLog[[#Headers],[Check]]:GameLog[[#This Row],[Check]],"?*")-1)</f>
        <v/>
      </c>
      <c r="O1383" s="6" t="str">
        <f>IFERROR(INDEX(Players[New name],MATCH(GameLog[[#This Row],[Player]],Players[Name],0)),GameLog[[#This Row],[Player]])</f>
        <v>Andrew R</v>
      </c>
    </row>
    <row r="1384" spans="1:15" x14ac:dyDescent="0.45">
      <c r="A1384" s="6" t="s">
        <v>98</v>
      </c>
      <c r="B1384" s="6" t="s">
        <v>53</v>
      </c>
      <c r="C1384" s="6">
        <v>2</v>
      </c>
      <c r="D1384" s="6">
        <v>5</v>
      </c>
      <c r="E1384" s="6">
        <v>2</v>
      </c>
      <c r="F1384" s="10">
        <v>46132</v>
      </c>
      <c r="G1384" s="6" t="str">
        <f>_xlfn.TEXTJOIN("|",TRUE,GameLog[[#This Row],[Pod]],TEXT(INT(GameLog[[#This Row],[Round]]),"yyyymmdd"),GameLog[[#This Row],[Date]])</f>
        <v>5|19000102|46132</v>
      </c>
      <c r="H1384" s="6">
        <f>COUNTIF(GameLog[Pod ID],GameLog[[#This Row],[Pod ID]])</f>
        <v>4</v>
      </c>
      <c r="I1384" s="6">
        <f>YEAR(GameLog[[#This Row],[Date]])</f>
        <v>2026</v>
      </c>
      <c r="J1384" s="6">
        <f>MONTH(GameLog[[#This Row],[Date]])</f>
        <v>4</v>
      </c>
      <c r="K1384" s="6" t="str">
        <f>IF(GameLog[[#This Row],[Date]]=MAX(GameLog[Date]),"Current","Previous")</f>
        <v>Previous</v>
      </c>
      <c r="L1384" s="6"/>
      <c r="M13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4" s="6" t="str">
        <f ca="1">IF(GameLog[[#This Row],[Check]]="","",COUNTIF(GameLog[[#Headers],[Check]]:GameLog[[#This Row],[Check]],"?*")-1)</f>
        <v/>
      </c>
      <c r="O1384" s="6" t="str">
        <f>IFERROR(INDEX(Players[New name],MATCH(GameLog[[#This Row],[Player]],Players[Name],0)),GameLog[[#This Row],[Player]])</f>
        <v>Charlie B</v>
      </c>
    </row>
    <row r="1385" spans="1:15" x14ac:dyDescent="0.45">
      <c r="A1385" s="6" t="s">
        <v>75</v>
      </c>
      <c r="B1385" s="6" t="s">
        <v>53</v>
      </c>
      <c r="C1385" s="6">
        <v>3</v>
      </c>
      <c r="D1385" s="6">
        <v>5</v>
      </c>
      <c r="E1385" s="6">
        <v>2</v>
      </c>
      <c r="F1385" s="10">
        <v>46132</v>
      </c>
      <c r="G1385" s="6" t="str">
        <f>_xlfn.TEXTJOIN("|",TRUE,GameLog[[#This Row],[Pod]],TEXT(INT(GameLog[[#This Row],[Round]]),"yyyymmdd"),GameLog[[#This Row],[Date]])</f>
        <v>5|19000102|46132</v>
      </c>
      <c r="H1385" s="6">
        <f>COUNTIF(GameLog[Pod ID],GameLog[[#This Row],[Pod ID]])</f>
        <v>4</v>
      </c>
      <c r="I1385" s="6">
        <f>YEAR(GameLog[[#This Row],[Date]])</f>
        <v>2026</v>
      </c>
      <c r="J1385" s="6">
        <f>MONTH(GameLog[[#This Row],[Date]])</f>
        <v>4</v>
      </c>
      <c r="K1385" s="6" t="str">
        <f>IF(GameLog[[#This Row],[Date]]=MAX(GameLog[Date]),"Current","Previous")</f>
        <v>Previous</v>
      </c>
      <c r="L1385" s="6"/>
      <c r="M13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5" s="6" t="str">
        <f ca="1">IF(GameLog[[#This Row],[Check]]="","",COUNTIF(GameLog[[#Headers],[Check]]:GameLog[[#This Row],[Check]],"?*")-1)</f>
        <v/>
      </c>
      <c r="O1385" s="6" t="str">
        <f>IFERROR(INDEX(Players[New name],MATCH(GameLog[[#This Row],[Player]],Players[Name],0)),GameLog[[#This Row],[Player]])</f>
        <v>Eli T</v>
      </c>
    </row>
    <row r="1386" spans="1:15" x14ac:dyDescent="0.45">
      <c r="A1386" s="6" t="s">
        <v>78</v>
      </c>
      <c r="B1386" s="6" t="s">
        <v>50</v>
      </c>
      <c r="C1386" s="6">
        <v>4</v>
      </c>
      <c r="D1386" s="6">
        <v>5</v>
      </c>
      <c r="E1386" s="6">
        <v>2</v>
      </c>
      <c r="F1386" s="10">
        <v>46132</v>
      </c>
      <c r="G1386" s="6" t="str">
        <f>_xlfn.TEXTJOIN("|",TRUE,GameLog[[#This Row],[Pod]],TEXT(INT(GameLog[[#This Row],[Round]]),"yyyymmdd"),GameLog[[#This Row],[Date]])</f>
        <v>5|19000102|46132</v>
      </c>
      <c r="H1386" s="6">
        <f>COUNTIF(GameLog[Pod ID],GameLog[[#This Row],[Pod ID]])</f>
        <v>4</v>
      </c>
      <c r="I1386" s="6">
        <f>YEAR(GameLog[[#This Row],[Date]])</f>
        <v>2026</v>
      </c>
      <c r="J1386" s="6">
        <f>MONTH(GameLog[[#This Row],[Date]])</f>
        <v>4</v>
      </c>
      <c r="K1386" s="6" t="str">
        <f>IF(GameLog[[#This Row],[Date]]=MAX(GameLog[Date]),"Current","Previous")</f>
        <v>Previous</v>
      </c>
      <c r="L1386" s="6"/>
      <c r="M13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6" s="6" t="str">
        <f ca="1">IF(GameLog[[#This Row],[Check]]="","",COUNTIF(GameLog[[#Headers],[Check]]:GameLog[[#This Row],[Check]],"?*")-1)</f>
        <v/>
      </c>
      <c r="O1386" s="6" t="str">
        <f>IFERROR(INDEX(Players[New name],MATCH(GameLog[[#This Row],[Player]],Players[Name],0)),GameLog[[#This Row],[Player]])</f>
        <v>Justin M</v>
      </c>
    </row>
    <row r="1387" spans="1:15" x14ac:dyDescent="0.45">
      <c r="A1387" s="6" t="s">
        <v>57</v>
      </c>
      <c r="B1387" s="6" t="s">
        <v>53</v>
      </c>
      <c r="C1387" s="6">
        <v>1</v>
      </c>
      <c r="D1387" s="6">
        <v>6</v>
      </c>
      <c r="E1387" s="6">
        <v>2</v>
      </c>
      <c r="F1387" s="10">
        <v>46132</v>
      </c>
      <c r="G1387" s="6" t="str">
        <f>_xlfn.TEXTJOIN("|",TRUE,GameLog[[#This Row],[Pod]],TEXT(INT(GameLog[[#This Row],[Round]]),"yyyymmdd"),GameLog[[#This Row],[Date]])</f>
        <v>6|19000102|46132</v>
      </c>
      <c r="H1387" s="6">
        <f>COUNTIF(GameLog[Pod ID],GameLog[[#This Row],[Pod ID]])</f>
        <v>3</v>
      </c>
      <c r="I1387" s="6">
        <f>YEAR(GameLog[[#This Row],[Date]])</f>
        <v>2026</v>
      </c>
      <c r="J1387" s="6">
        <f>MONTH(GameLog[[#This Row],[Date]])</f>
        <v>4</v>
      </c>
      <c r="K1387" s="6" t="str">
        <f>IF(GameLog[[#This Row],[Date]]=MAX(GameLog[Date]),"Current","Previous")</f>
        <v>Previous</v>
      </c>
      <c r="L1387" s="6"/>
      <c r="M13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7" s="6" t="str">
        <f ca="1">IF(GameLog[[#This Row],[Check]]="","",COUNTIF(GameLog[[#Headers],[Check]]:GameLog[[#This Row],[Check]],"?*")-1)</f>
        <v/>
      </c>
      <c r="O1387" s="6" t="str">
        <f>IFERROR(INDEX(Players[New name],MATCH(GameLog[[#This Row],[Player]],Players[Name],0)),GameLog[[#This Row],[Player]])</f>
        <v>AJ W</v>
      </c>
    </row>
    <row r="1388" spans="1:15" x14ac:dyDescent="0.45">
      <c r="A1388" s="6" t="s">
        <v>70</v>
      </c>
      <c r="B1388" s="6" t="s">
        <v>53</v>
      </c>
      <c r="C1388" s="6">
        <v>2</v>
      </c>
      <c r="D1388" s="6">
        <v>6</v>
      </c>
      <c r="E1388" s="6">
        <v>2</v>
      </c>
      <c r="F1388" s="10">
        <v>46132</v>
      </c>
      <c r="G1388" s="6" t="str">
        <f>_xlfn.TEXTJOIN("|",TRUE,GameLog[[#This Row],[Pod]],TEXT(INT(GameLog[[#This Row],[Round]]),"yyyymmdd"),GameLog[[#This Row],[Date]])</f>
        <v>6|19000102|46132</v>
      </c>
      <c r="H1388" s="6">
        <f>COUNTIF(GameLog[Pod ID],GameLog[[#This Row],[Pod ID]])</f>
        <v>3</v>
      </c>
      <c r="I1388" s="6">
        <f>YEAR(GameLog[[#This Row],[Date]])</f>
        <v>2026</v>
      </c>
      <c r="J1388" s="6">
        <f>MONTH(GameLog[[#This Row],[Date]])</f>
        <v>4</v>
      </c>
      <c r="K1388" s="6" t="str">
        <f>IF(GameLog[[#This Row],[Date]]=MAX(GameLog[Date]),"Current","Previous")</f>
        <v>Previous</v>
      </c>
      <c r="L1388" s="6"/>
      <c r="M13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8" s="6" t="str">
        <f ca="1">IF(GameLog[[#This Row],[Check]]="","",COUNTIF(GameLog[[#Headers],[Check]]:GameLog[[#This Row],[Check]],"?*")-1)</f>
        <v/>
      </c>
      <c r="O1388" s="6" t="str">
        <f>IFERROR(INDEX(Players[New name],MATCH(GameLog[[#This Row],[Player]],Players[Name],0)),GameLog[[#This Row],[Player]])</f>
        <v>Brad F</v>
      </c>
    </row>
    <row r="1389" spans="1:15" x14ac:dyDescent="0.45">
      <c r="A1389" s="6" t="s">
        <v>71</v>
      </c>
      <c r="B1389" s="6" t="s">
        <v>50</v>
      </c>
      <c r="C1389" s="6">
        <v>3</v>
      </c>
      <c r="D1389" s="6">
        <v>6</v>
      </c>
      <c r="E1389" s="6">
        <v>2</v>
      </c>
      <c r="F1389" s="10">
        <v>46132</v>
      </c>
      <c r="G1389" s="6" t="str">
        <f>_xlfn.TEXTJOIN("|",TRUE,GameLog[[#This Row],[Pod]],TEXT(INT(GameLog[[#This Row],[Round]]),"yyyymmdd"),GameLog[[#This Row],[Date]])</f>
        <v>6|19000102|46132</v>
      </c>
      <c r="H1389" s="6">
        <f>COUNTIF(GameLog[Pod ID],GameLog[[#This Row],[Pod ID]])</f>
        <v>3</v>
      </c>
      <c r="I1389" s="6">
        <f>YEAR(GameLog[[#This Row],[Date]])</f>
        <v>2026</v>
      </c>
      <c r="J1389" s="6">
        <f>MONTH(GameLog[[#This Row],[Date]])</f>
        <v>4</v>
      </c>
      <c r="K1389" s="6" t="str">
        <f>IF(GameLog[[#This Row],[Date]]=MAX(GameLog[Date]),"Current","Previous")</f>
        <v>Previous</v>
      </c>
      <c r="L1389" s="6"/>
      <c r="M13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89" s="6" t="str">
        <f ca="1">IF(GameLog[[#This Row],[Check]]="","",COUNTIF(GameLog[[#Headers],[Check]]:GameLog[[#This Row],[Check]],"?*")-1)</f>
        <v/>
      </c>
      <c r="O1389" s="6" t="str">
        <f>IFERROR(INDEX(Players[New name],MATCH(GameLog[[#This Row],[Player]],Players[Name],0)),GameLog[[#This Row],[Player]])</f>
        <v>Rodney Y</v>
      </c>
    </row>
    <row r="1390" spans="1:15" x14ac:dyDescent="0.45">
      <c r="A1390" s="6" t="s">
        <v>70</v>
      </c>
      <c r="B1390" s="6" t="s">
        <v>90</v>
      </c>
      <c r="C1390" s="6">
        <v>1</v>
      </c>
      <c r="D1390" s="6">
        <v>1</v>
      </c>
      <c r="E1390" s="6">
        <v>1</v>
      </c>
      <c r="F1390" s="10">
        <v>46139</v>
      </c>
      <c r="G1390" s="6" t="str">
        <f>_xlfn.TEXTJOIN("|",TRUE,GameLog[[#This Row],[Pod]],TEXT(INT(GameLog[[#This Row],[Round]]),"yyyymmdd"),GameLog[[#This Row],[Date]])</f>
        <v>1|19000101|46139</v>
      </c>
      <c r="H1390" s="6">
        <f>COUNTIF(GameLog[Pod ID],GameLog[[#This Row],[Pod ID]])</f>
        <v>4</v>
      </c>
      <c r="I1390" s="6">
        <f>YEAR(GameLog[[#This Row],[Date]])</f>
        <v>2026</v>
      </c>
      <c r="J1390" s="6">
        <f>MONTH(GameLog[[#This Row],[Date]])</f>
        <v>4</v>
      </c>
      <c r="K1390" s="6" t="str">
        <f>IF(GameLog[[#This Row],[Date]]=MAX(GameLog[Date]),"Current","Previous")</f>
        <v>Previous</v>
      </c>
      <c r="L1390" s="6"/>
      <c r="M13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0" s="6" t="str">
        <f ca="1">IF(GameLog[[#This Row],[Check]]="","",COUNTIF(GameLog[[#Headers],[Check]]:GameLog[[#This Row],[Check]],"?*")-1)</f>
        <v/>
      </c>
      <c r="O1390" s="6" t="str">
        <f>IFERROR(INDEX(Players[New name],MATCH(GameLog[[#This Row],[Player]],Players[Name],0)),GameLog[[#This Row],[Player]])</f>
        <v>Brad F</v>
      </c>
    </row>
    <row r="1391" spans="1:15" x14ac:dyDescent="0.45">
      <c r="A1391" s="6" t="s">
        <v>71</v>
      </c>
      <c r="B1391" s="6" t="s">
        <v>90</v>
      </c>
      <c r="C1391" s="6">
        <v>2</v>
      </c>
      <c r="D1391" s="6">
        <v>1</v>
      </c>
      <c r="E1391" s="6">
        <v>1</v>
      </c>
      <c r="F1391" s="10">
        <v>46139</v>
      </c>
      <c r="G1391" s="6" t="str">
        <f>_xlfn.TEXTJOIN("|",TRUE,GameLog[[#This Row],[Pod]],TEXT(INT(GameLog[[#This Row],[Round]]),"yyyymmdd"),GameLog[[#This Row],[Date]])</f>
        <v>1|19000101|46139</v>
      </c>
      <c r="H1391" s="6">
        <f>COUNTIF(GameLog[Pod ID],GameLog[[#This Row],[Pod ID]])</f>
        <v>4</v>
      </c>
      <c r="I1391" s="6">
        <f>YEAR(GameLog[[#This Row],[Date]])</f>
        <v>2026</v>
      </c>
      <c r="J1391" s="6">
        <f>MONTH(GameLog[[#This Row],[Date]])</f>
        <v>4</v>
      </c>
      <c r="K1391" s="6" t="str">
        <f>IF(GameLog[[#This Row],[Date]]=MAX(GameLog[Date]),"Current","Previous")</f>
        <v>Previous</v>
      </c>
      <c r="L1391" s="6"/>
      <c r="M13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1" s="6" t="str">
        <f ca="1">IF(GameLog[[#This Row],[Check]]="","",COUNTIF(GameLog[[#Headers],[Check]]:GameLog[[#This Row],[Check]],"?*")-1)</f>
        <v/>
      </c>
      <c r="O1391" s="6" t="str">
        <f>IFERROR(INDEX(Players[New name],MATCH(GameLog[[#This Row],[Player]],Players[Name],0)),GameLog[[#This Row],[Player]])</f>
        <v>Rodney Y</v>
      </c>
    </row>
    <row r="1392" spans="1:15" x14ac:dyDescent="0.45">
      <c r="A1392" s="6" t="s">
        <v>73</v>
      </c>
      <c r="B1392" s="6" t="s">
        <v>90</v>
      </c>
      <c r="C1392" s="6">
        <v>3</v>
      </c>
      <c r="D1392" s="6">
        <v>1</v>
      </c>
      <c r="E1392" s="6">
        <v>1</v>
      </c>
      <c r="F1392" s="10">
        <v>46139</v>
      </c>
      <c r="G1392" s="6" t="str">
        <f>_xlfn.TEXTJOIN("|",TRUE,GameLog[[#This Row],[Pod]],TEXT(INT(GameLog[[#This Row],[Round]]),"yyyymmdd"),GameLog[[#This Row],[Date]])</f>
        <v>1|19000101|46139</v>
      </c>
      <c r="H1392" s="6">
        <f>COUNTIF(GameLog[Pod ID],GameLog[[#This Row],[Pod ID]])</f>
        <v>4</v>
      </c>
      <c r="I1392" s="6">
        <f>YEAR(GameLog[[#This Row],[Date]])</f>
        <v>2026</v>
      </c>
      <c r="J1392" s="6">
        <f>MONTH(GameLog[[#This Row],[Date]])</f>
        <v>4</v>
      </c>
      <c r="K1392" s="6" t="str">
        <f>IF(GameLog[[#This Row],[Date]]=MAX(GameLog[Date]),"Current","Previous")</f>
        <v>Previous</v>
      </c>
      <c r="L1392" s="6"/>
      <c r="M13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2" s="6" t="str">
        <f ca="1">IF(GameLog[[#This Row],[Check]]="","",COUNTIF(GameLog[[#Headers],[Check]]:GameLog[[#This Row],[Check]],"?*")-1)</f>
        <v/>
      </c>
      <c r="O1392" s="6" t="str">
        <f>IFERROR(INDEX(Players[New name],MATCH(GameLog[[#This Row],[Player]],Players[Name],0)),GameLog[[#This Row],[Player]])</f>
        <v>Brandon B</v>
      </c>
    </row>
    <row r="1393" spans="1:15" x14ac:dyDescent="0.45">
      <c r="A1393" s="6" t="s">
        <v>58</v>
      </c>
      <c r="B1393" s="6" t="s">
        <v>90</v>
      </c>
      <c r="C1393" s="6">
        <v>4</v>
      </c>
      <c r="D1393" s="6">
        <v>1</v>
      </c>
      <c r="E1393" s="6">
        <v>1</v>
      </c>
      <c r="F1393" s="10">
        <v>46139</v>
      </c>
      <c r="G1393" s="6" t="str">
        <f>_xlfn.TEXTJOIN("|",TRUE,GameLog[[#This Row],[Pod]],TEXT(INT(GameLog[[#This Row],[Round]]),"yyyymmdd"),GameLog[[#This Row],[Date]])</f>
        <v>1|19000101|46139</v>
      </c>
      <c r="H1393" s="6">
        <f>COUNTIF(GameLog[Pod ID],GameLog[[#This Row],[Pod ID]])</f>
        <v>4</v>
      </c>
      <c r="I1393" s="6">
        <f>YEAR(GameLog[[#This Row],[Date]])</f>
        <v>2026</v>
      </c>
      <c r="J1393" s="6">
        <f>MONTH(GameLog[[#This Row],[Date]])</f>
        <v>4</v>
      </c>
      <c r="K1393" s="6" t="str">
        <f>IF(GameLog[[#This Row],[Date]]=MAX(GameLog[Date]),"Current","Previous")</f>
        <v>Previous</v>
      </c>
      <c r="L1393" s="6"/>
      <c r="M13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3" s="6" t="str">
        <f ca="1">IF(GameLog[[#This Row],[Check]]="","",COUNTIF(GameLog[[#Headers],[Check]]:GameLog[[#This Row],[Check]],"?*")-1)</f>
        <v/>
      </c>
      <c r="O1393" s="6" t="str">
        <f>IFERROR(INDEX(Players[New name],MATCH(GameLog[[#This Row],[Player]],Players[Name],0)),GameLog[[#This Row],[Player]])</f>
        <v>Dakota P</v>
      </c>
    </row>
    <row r="1394" spans="1:15" x14ac:dyDescent="0.45">
      <c r="A1394" s="6" t="s">
        <v>62</v>
      </c>
      <c r="B1394" s="6" t="s">
        <v>90</v>
      </c>
      <c r="C1394" s="6">
        <v>1</v>
      </c>
      <c r="D1394" s="6">
        <v>2</v>
      </c>
      <c r="E1394" s="6">
        <v>1</v>
      </c>
      <c r="F1394" s="10">
        <v>46139</v>
      </c>
      <c r="G1394" s="6" t="str">
        <f>_xlfn.TEXTJOIN("|",TRUE,GameLog[[#This Row],[Pod]],TEXT(INT(GameLog[[#This Row],[Round]]),"yyyymmdd"),GameLog[[#This Row],[Date]])</f>
        <v>2|19000101|46139</v>
      </c>
      <c r="H1394" s="6">
        <f>COUNTIF(GameLog[Pod ID],GameLog[[#This Row],[Pod ID]])</f>
        <v>4</v>
      </c>
      <c r="I1394" s="6">
        <f>YEAR(GameLog[[#This Row],[Date]])</f>
        <v>2026</v>
      </c>
      <c r="J1394" s="6">
        <f>MONTH(GameLog[[#This Row],[Date]])</f>
        <v>4</v>
      </c>
      <c r="K1394" s="6" t="str">
        <f>IF(GameLog[[#This Row],[Date]]=MAX(GameLog[Date]),"Current","Previous")</f>
        <v>Previous</v>
      </c>
      <c r="L1394" s="6"/>
      <c r="M13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4" s="6" t="str">
        <f ca="1">IF(GameLog[[#This Row],[Check]]="","",COUNTIF(GameLog[[#Headers],[Check]]:GameLog[[#This Row],[Check]],"?*")-1)</f>
        <v/>
      </c>
      <c r="O1394" s="6" t="str">
        <f>IFERROR(INDEX(Players[New name],MATCH(GameLog[[#This Row],[Player]],Players[Name],0)),GameLog[[#This Row],[Player]])</f>
        <v>Nicholas S</v>
      </c>
    </row>
    <row r="1395" spans="1:15" x14ac:dyDescent="0.45">
      <c r="A1395" s="6" t="s">
        <v>76</v>
      </c>
      <c r="B1395" s="6" t="s">
        <v>90</v>
      </c>
      <c r="C1395" s="6">
        <v>2</v>
      </c>
      <c r="D1395" s="6">
        <v>2</v>
      </c>
      <c r="E1395" s="6">
        <v>1</v>
      </c>
      <c r="F1395" s="10">
        <v>46139</v>
      </c>
      <c r="G1395" s="6" t="str">
        <f>_xlfn.TEXTJOIN("|",TRUE,GameLog[[#This Row],[Pod]],TEXT(INT(GameLog[[#This Row],[Round]]),"yyyymmdd"),GameLog[[#This Row],[Date]])</f>
        <v>2|19000101|46139</v>
      </c>
      <c r="H1395" s="6">
        <f>COUNTIF(GameLog[Pod ID],GameLog[[#This Row],[Pod ID]])</f>
        <v>4</v>
      </c>
      <c r="I1395" s="6">
        <f>YEAR(GameLog[[#This Row],[Date]])</f>
        <v>2026</v>
      </c>
      <c r="J1395" s="6">
        <f>MONTH(GameLog[[#This Row],[Date]])</f>
        <v>4</v>
      </c>
      <c r="K1395" s="6" t="str">
        <f>IF(GameLog[[#This Row],[Date]]=MAX(GameLog[Date]),"Current","Previous")</f>
        <v>Previous</v>
      </c>
      <c r="L1395" s="6"/>
      <c r="M13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5" s="6" t="str">
        <f ca="1">IF(GameLog[[#This Row],[Check]]="","",COUNTIF(GameLog[[#Headers],[Check]]:GameLog[[#This Row],[Check]],"?*")-1)</f>
        <v/>
      </c>
      <c r="O1395" s="6" t="str">
        <f>IFERROR(INDEX(Players[New name],MATCH(GameLog[[#This Row],[Player]],Players[Name],0)),GameLog[[#This Row],[Player]])</f>
        <v>Jon M</v>
      </c>
    </row>
    <row r="1396" spans="1:15" x14ac:dyDescent="0.45">
      <c r="A1396" s="6" t="s">
        <v>59</v>
      </c>
      <c r="B1396" s="6" t="s">
        <v>90</v>
      </c>
      <c r="C1396" s="6">
        <v>3</v>
      </c>
      <c r="D1396" s="6">
        <v>2</v>
      </c>
      <c r="E1396" s="6">
        <v>1</v>
      </c>
      <c r="F1396" s="10">
        <v>46139</v>
      </c>
      <c r="G1396" s="6" t="str">
        <f>_xlfn.TEXTJOIN("|",TRUE,GameLog[[#This Row],[Pod]],TEXT(INT(GameLog[[#This Row],[Round]]),"yyyymmdd"),GameLog[[#This Row],[Date]])</f>
        <v>2|19000101|46139</v>
      </c>
      <c r="H1396" s="6">
        <f>COUNTIF(GameLog[Pod ID],GameLog[[#This Row],[Pod ID]])</f>
        <v>4</v>
      </c>
      <c r="I1396" s="6">
        <f>YEAR(GameLog[[#This Row],[Date]])</f>
        <v>2026</v>
      </c>
      <c r="J1396" s="6">
        <f>MONTH(GameLog[[#This Row],[Date]])</f>
        <v>4</v>
      </c>
      <c r="K1396" s="6" t="str">
        <f>IF(GameLog[[#This Row],[Date]]=MAX(GameLog[Date]),"Current","Previous")</f>
        <v>Previous</v>
      </c>
      <c r="L1396" s="6"/>
      <c r="M13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6" s="6" t="str">
        <f ca="1">IF(GameLog[[#This Row],[Check]]="","",COUNTIF(GameLog[[#Headers],[Check]]:GameLog[[#This Row],[Check]],"?*")-1)</f>
        <v/>
      </c>
      <c r="O1396" s="6" t="str">
        <f>IFERROR(INDEX(Players[New name],MATCH(GameLog[[#This Row],[Player]],Players[Name],0)),GameLog[[#This Row],[Player]])</f>
        <v>Zack B</v>
      </c>
    </row>
    <row r="1397" spans="1:15" x14ac:dyDescent="0.45">
      <c r="A1397" s="6" t="s">
        <v>49</v>
      </c>
      <c r="B1397" s="6" t="s">
        <v>90</v>
      </c>
      <c r="C1397" s="6">
        <v>4</v>
      </c>
      <c r="D1397" s="6">
        <v>2</v>
      </c>
      <c r="E1397" s="6">
        <v>1</v>
      </c>
      <c r="F1397" s="10">
        <v>46139</v>
      </c>
      <c r="G1397" s="6" t="str">
        <f>_xlfn.TEXTJOIN("|",TRUE,GameLog[[#This Row],[Pod]],TEXT(INT(GameLog[[#This Row],[Round]]),"yyyymmdd"),GameLog[[#This Row],[Date]])</f>
        <v>2|19000101|46139</v>
      </c>
      <c r="H1397" s="6">
        <f>COUNTIF(GameLog[Pod ID],GameLog[[#This Row],[Pod ID]])</f>
        <v>4</v>
      </c>
      <c r="I1397" s="6">
        <f>YEAR(GameLog[[#This Row],[Date]])</f>
        <v>2026</v>
      </c>
      <c r="J1397" s="6">
        <f>MONTH(GameLog[[#This Row],[Date]])</f>
        <v>4</v>
      </c>
      <c r="K1397" s="6" t="str">
        <f>IF(GameLog[[#This Row],[Date]]=MAX(GameLog[Date]),"Current","Previous")</f>
        <v>Previous</v>
      </c>
      <c r="L1397" s="6"/>
      <c r="M13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7" s="6" t="str">
        <f ca="1">IF(GameLog[[#This Row],[Check]]="","",COUNTIF(GameLog[[#Headers],[Check]]:GameLog[[#This Row],[Check]],"?*")-1)</f>
        <v/>
      </c>
      <c r="O1397" s="6" t="str">
        <f>IFERROR(INDEX(Players[New name],MATCH(GameLog[[#This Row],[Player]],Players[Name],0)),GameLog[[#This Row],[Player]])</f>
        <v>Brett R</v>
      </c>
    </row>
    <row r="1398" spans="1:15" x14ac:dyDescent="0.45">
      <c r="A1398" s="6" t="s">
        <v>64</v>
      </c>
      <c r="B1398" s="6" t="s">
        <v>90</v>
      </c>
      <c r="C1398" s="6">
        <v>1</v>
      </c>
      <c r="D1398" s="6">
        <v>3</v>
      </c>
      <c r="E1398" s="6">
        <v>1</v>
      </c>
      <c r="F1398" s="10">
        <v>46139</v>
      </c>
      <c r="G1398" s="6" t="str">
        <f>_xlfn.TEXTJOIN("|",TRUE,GameLog[[#This Row],[Pod]],TEXT(INT(GameLog[[#This Row],[Round]]),"yyyymmdd"),GameLog[[#This Row],[Date]])</f>
        <v>3|19000101|46139</v>
      </c>
      <c r="H1398" s="6">
        <f>COUNTIF(GameLog[Pod ID],GameLog[[#This Row],[Pod ID]])</f>
        <v>3</v>
      </c>
      <c r="I1398" s="6">
        <f>YEAR(GameLog[[#This Row],[Date]])</f>
        <v>2026</v>
      </c>
      <c r="J1398" s="6">
        <f>MONTH(GameLog[[#This Row],[Date]])</f>
        <v>4</v>
      </c>
      <c r="K1398" s="6" t="str">
        <f>IF(GameLog[[#This Row],[Date]]=MAX(GameLog[Date]),"Current","Previous")</f>
        <v>Previous</v>
      </c>
      <c r="L1398" s="6"/>
      <c r="M13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8" s="6" t="str">
        <f ca="1">IF(GameLog[[#This Row],[Check]]="","",COUNTIF(GameLog[[#Headers],[Check]]:GameLog[[#This Row],[Check]],"?*")-1)</f>
        <v/>
      </c>
      <c r="O1398" s="6" t="str">
        <f>IFERROR(INDEX(Players[New name],MATCH(GameLog[[#This Row],[Player]],Players[Name],0)),GameLog[[#This Row],[Player]])</f>
        <v>Tyler B</v>
      </c>
    </row>
    <row r="1399" spans="1:15" x14ac:dyDescent="0.45">
      <c r="A1399" s="6" t="s">
        <v>104</v>
      </c>
      <c r="B1399" s="6" t="s">
        <v>90</v>
      </c>
      <c r="C1399" s="6">
        <v>2</v>
      </c>
      <c r="D1399" s="6">
        <v>3</v>
      </c>
      <c r="E1399" s="6">
        <v>1</v>
      </c>
      <c r="F1399" s="10">
        <v>46139</v>
      </c>
      <c r="G1399" s="6" t="str">
        <f>_xlfn.TEXTJOIN("|",TRUE,GameLog[[#This Row],[Pod]],TEXT(INT(GameLog[[#This Row],[Round]]),"yyyymmdd"),GameLog[[#This Row],[Date]])</f>
        <v>3|19000101|46139</v>
      </c>
      <c r="H1399" s="6">
        <f>COUNTIF(GameLog[Pod ID],GameLog[[#This Row],[Pod ID]])</f>
        <v>3</v>
      </c>
      <c r="I1399" s="6">
        <f>YEAR(GameLog[[#This Row],[Date]])</f>
        <v>2026</v>
      </c>
      <c r="J1399" s="6">
        <f>MONTH(GameLog[[#This Row],[Date]])</f>
        <v>4</v>
      </c>
      <c r="K1399" s="6" t="str">
        <f>IF(GameLog[[#This Row],[Date]]=MAX(GameLog[Date]),"Current","Previous")</f>
        <v>Previous</v>
      </c>
      <c r="L1399" s="6"/>
      <c r="M13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399" s="6" t="str">
        <f ca="1">IF(GameLog[[#This Row],[Check]]="","",COUNTIF(GameLog[[#Headers],[Check]]:GameLog[[#This Row],[Check]],"?*")-1)</f>
        <v/>
      </c>
      <c r="O1399" s="6" t="str">
        <f>IFERROR(INDEX(Players[New name],MATCH(GameLog[[#This Row],[Player]],Players[Name],0)),GameLog[[#This Row],[Player]])</f>
        <v>Eric E</v>
      </c>
    </row>
    <row r="1400" spans="1:15" x14ac:dyDescent="0.45">
      <c r="A1400" s="6" t="s">
        <v>75</v>
      </c>
      <c r="B1400" s="6" t="s">
        <v>90</v>
      </c>
      <c r="C1400" s="6">
        <v>3</v>
      </c>
      <c r="D1400" s="6">
        <v>3</v>
      </c>
      <c r="E1400" s="6">
        <v>1</v>
      </c>
      <c r="F1400" s="10">
        <v>46139</v>
      </c>
      <c r="G1400" s="6" t="str">
        <f>_xlfn.TEXTJOIN("|",TRUE,GameLog[[#This Row],[Pod]],TEXT(INT(GameLog[[#This Row],[Round]]),"yyyymmdd"),GameLog[[#This Row],[Date]])</f>
        <v>3|19000101|46139</v>
      </c>
      <c r="H1400" s="6">
        <f>COUNTIF(GameLog[Pod ID],GameLog[[#This Row],[Pod ID]])</f>
        <v>3</v>
      </c>
      <c r="I1400" s="6">
        <f>YEAR(GameLog[[#This Row],[Date]])</f>
        <v>2026</v>
      </c>
      <c r="J1400" s="6">
        <f>MONTH(GameLog[[#This Row],[Date]])</f>
        <v>4</v>
      </c>
      <c r="K1400" s="6" t="str">
        <f>IF(GameLog[[#This Row],[Date]]=MAX(GameLog[Date]),"Current","Previous")</f>
        <v>Previous</v>
      </c>
      <c r="L1400" s="6"/>
      <c r="M14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0" s="6" t="str">
        <f ca="1">IF(GameLog[[#This Row],[Check]]="","",COUNTIF(GameLog[[#Headers],[Check]]:GameLog[[#This Row],[Check]],"?*")-1)</f>
        <v/>
      </c>
      <c r="O1400" s="6" t="str">
        <f>IFERROR(INDEX(Players[New name],MATCH(GameLog[[#This Row],[Player]],Players[Name],0)),GameLog[[#This Row],[Player]])</f>
        <v>Eli T</v>
      </c>
    </row>
    <row r="1401" spans="1:15" x14ac:dyDescent="0.45">
      <c r="A1401" s="6" t="s">
        <v>97</v>
      </c>
      <c r="B1401" s="6" t="s">
        <v>53</v>
      </c>
      <c r="C1401" s="6">
        <v>1</v>
      </c>
      <c r="D1401" s="6">
        <v>4</v>
      </c>
      <c r="E1401" s="6">
        <v>1</v>
      </c>
      <c r="F1401" s="10">
        <v>46139</v>
      </c>
      <c r="G1401" s="6" t="str">
        <f>_xlfn.TEXTJOIN("|",TRUE,GameLog[[#This Row],[Pod]],TEXT(INT(GameLog[[#This Row],[Round]]),"yyyymmdd"),GameLog[[#This Row],[Date]])</f>
        <v>4|19000101|46139</v>
      </c>
      <c r="H1401" s="6">
        <f>COUNTIF(GameLog[Pod ID],GameLog[[#This Row],[Pod ID]])</f>
        <v>3</v>
      </c>
      <c r="I1401" s="6">
        <f>YEAR(GameLog[[#This Row],[Date]])</f>
        <v>2026</v>
      </c>
      <c r="J1401" s="6">
        <f>MONTH(GameLog[[#This Row],[Date]])</f>
        <v>4</v>
      </c>
      <c r="K1401" s="6" t="str">
        <f>IF(GameLog[[#This Row],[Date]]=MAX(GameLog[Date]),"Current","Previous")</f>
        <v>Previous</v>
      </c>
      <c r="L1401" s="6"/>
      <c r="M14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1" s="6" t="str">
        <f ca="1">IF(GameLog[[#This Row],[Check]]="","",COUNTIF(GameLog[[#Headers],[Check]]:GameLog[[#This Row],[Check]],"?*")-1)</f>
        <v/>
      </c>
      <c r="O1401" s="6" t="str">
        <f>IFERROR(INDEX(Players[New name],MATCH(GameLog[[#This Row],[Player]],Players[Name],0)),GameLog[[#This Row],[Player]])</f>
        <v>Arman H</v>
      </c>
    </row>
    <row r="1402" spans="1:15" x14ac:dyDescent="0.45">
      <c r="A1402" s="6" t="s">
        <v>60</v>
      </c>
      <c r="B1402" s="6" t="s">
        <v>50</v>
      </c>
      <c r="C1402" s="6">
        <v>2</v>
      </c>
      <c r="D1402" s="6">
        <v>4</v>
      </c>
      <c r="E1402" s="6">
        <v>1</v>
      </c>
      <c r="F1402" s="10">
        <v>46139</v>
      </c>
      <c r="G1402" s="6" t="str">
        <f>_xlfn.TEXTJOIN("|",TRUE,GameLog[[#This Row],[Pod]],TEXT(INT(GameLog[[#This Row],[Round]]),"yyyymmdd"),GameLog[[#This Row],[Date]])</f>
        <v>4|19000101|46139</v>
      </c>
      <c r="H1402" s="6">
        <f>COUNTIF(GameLog[Pod ID],GameLog[[#This Row],[Pod ID]])</f>
        <v>3</v>
      </c>
      <c r="I1402" s="6">
        <f>YEAR(GameLog[[#This Row],[Date]])</f>
        <v>2026</v>
      </c>
      <c r="J1402" s="6">
        <f>MONTH(GameLog[[#This Row],[Date]])</f>
        <v>4</v>
      </c>
      <c r="K1402" s="6" t="str">
        <f>IF(GameLog[[#This Row],[Date]]=MAX(GameLog[Date]),"Current","Previous")</f>
        <v>Previous</v>
      </c>
      <c r="L1402" s="6"/>
      <c r="M14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2" s="6" t="str">
        <f ca="1">IF(GameLog[[#This Row],[Check]]="","",COUNTIF(GameLog[[#Headers],[Check]]:GameLog[[#This Row],[Check]],"?*")-1)</f>
        <v/>
      </c>
      <c r="O1402" s="6" t="str">
        <f>IFERROR(INDEX(Players[New name],MATCH(GameLog[[#This Row],[Player]],Players[Name],0)),GameLog[[#This Row],[Player]])</f>
        <v>Brendan H</v>
      </c>
    </row>
    <row r="1403" spans="1:15" x14ac:dyDescent="0.45">
      <c r="A1403" s="6" t="s">
        <v>57</v>
      </c>
      <c r="B1403" s="6" t="s">
        <v>53</v>
      </c>
      <c r="C1403" s="6">
        <v>3</v>
      </c>
      <c r="D1403" s="6">
        <v>4</v>
      </c>
      <c r="E1403" s="6">
        <v>1</v>
      </c>
      <c r="F1403" s="10">
        <v>46139</v>
      </c>
      <c r="G1403" s="6" t="str">
        <f>_xlfn.TEXTJOIN("|",TRUE,GameLog[[#This Row],[Pod]],TEXT(INT(GameLog[[#This Row],[Round]]),"yyyymmdd"),GameLog[[#This Row],[Date]])</f>
        <v>4|19000101|46139</v>
      </c>
      <c r="H1403" s="6">
        <f>COUNTIF(GameLog[Pod ID],GameLog[[#This Row],[Pod ID]])</f>
        <v>3</v>
      </c>
      <c r="I1403" s="6">
        <f>YEAR(GameLog[[#This Row],[Date]])</f>
        <v>2026</v>
      </c>
      <c r="J1403" s="6">
        <f>MONTH(GameLog[[#This Row],[Date]])</f>
        <v>4</v>
      </c>
      <c r="K1403" s="6" t="str">
        <f>IF(GameLog[[#This Row],[Date]]=MAX(GameLog[Date]),"Current","Previous")</f>
        <v>Previous</v>
      </c>
      <c r="L1403" s="6"/>
      <c r="M14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3" s="6" t="str">
        <f ca="1">IF(GameLog[[#This Row],[Check]]="","",COUNTIF(GameLog[[#Headers],[Check]]:GameLog[[#This Row],[Check]],"?*")-1)</f>
        <v/>
      </c>
      <c r="O1403" s="6" t="str">
        <f>IFERROR(INDEX(Players[New name],MATCH(GameLog[[#This Row],[Player]],Players[Name],0)),GameLog[[#This Row],[Player]])</f>
        <v>AJ W</v>
      </c>
    </row>
    <row r="1404" spans="1:15" x14ac:dyDescent="0.45">
      <c r="A1404" s="6" t="s">
        <v>55</v>
      </c>
      <c r="B1404" s="6" t="s">
        <v>50</v>
      </c>
      <c r="C1404" s="6">
        <v>1</v>
      </c>
      <c r="D1404" s="6">
        <v>5</v>
      </c>
      <c r="E1404" s="6">
        <v>1</v>
      </c>
      <c r="F1404" s="10">
        <v>46139</v>
      </c>
      <c r="G1404" s="6" t="str">
        <f>_xlfn.TEXTJOIN("|",TRUE,GameLog[[#This Row],[Pod]],TEXT(INT(GameLog[[#This Row],[Round]]),"yyyymmdd"),GameLog[[#This Row],[Date]])</f>
        <v>5|19000101|46139</v>
      </c>
      <c r="H1404" s="6">
        <f>COUNTIF(GameLog[Pod ID],GameLog[[#This Row],[Pod ID]])</f>
        <v>3</v>
      </c>
      <c r="I1404" s="6">
        <f>YEAR(GameLog[[#This Row],[Date]])</f>
        <v>2026</v>
      </c>
      <c r="J1404" s="6">
        <f>MONTH(GameLog[[#This Row],[Date]])</f>
        <v>4</v>
      </c>
      <c r="K1404" s="6" t="str">
        <f>IF(GameLog[[#This Row],[Date]]=MAX(GameLog[Date]),"Current","Previous")</f>
        <v>Previous</v>
      </c>
      <c r="L1404" s="6"/>
      <c r="M14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4" s="6" t="str">
        <f ca="1">IF(GameLog[[#This Row],[Check]]="","",COUNTIF(GameLog[[#Headers],[Check]]:GameLog[[#This Row],[Check]],"?*")-1)</f>
        <v/>
      </c>
      <c r="O1404" s="6" t="str">
        <f>IFERROR(INDEX(Players[New name],MATCH(GameLog[[#This Row],[Player]],Players[Name],0)),GameLog[[#This Row],[Player]])</f>
        <v>Bryce C</v>
      </c>
    </row>
    <row r="1405" spans="1:15" x14ac:dyDescent="0.45">
      <c r="A1405" s="6" t="s">
        <v>63</v>
      </c>
      <c r="B1405" s="6" t="s">
        <v>53</v>
      </c>
      <c r="C1405" s="6">
        <v>2</v>
      </c>
      <c r="D1405" s="6">
        <v>5</v>
      </c>
      <c r="E1405" s="6">
        <v>1</v>
      </c>
      <c r="F1405" s="10">
        <v>46139</v>
      </c>
      <c r="G1405" s="6" t="str">
        <f>_xlfn.TEXTJOIN("|",TRUE,GameLog[[#This Row],[Pod]],TEXT(INT(GameLog[[#This Row],[Round]]),"yyyymmdd"),GameLog[[#This Row],[Date]])</f>
        <v>5|19000101|46139</v>
      </c>
      <c r="H1405" s="6">
        <f>COUNTIF(GameLog[Pod ID],GameLog[[#This Row],[Pod ID]])</f>
        <v>3</v>
      </c>
      <c r="I1405" s="6">
        <f>YEAR(GameLog[[#This Row],[Date]])</f>
        <v>2026</v>
      </c>
      <c r="J1405" s="6">
        <f>MONTH(GameLog[[#This Row],[Date]])</f>
        <v>4</v>
      </c>
      <c r="K1405" s="6" t="str">
        <f>IF(GameLog[[#This Row],[Date]]=MAX(GameLog[Date]),"Current","Previous")</f>
        <v>Previous</v>
      </c>
      <c r="L1405" s="6"/>
      <c r="M14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5" s="6" t="str">
        <f ca="1">IF(GameLog[[#This Row],[Check]]="","",COUNTIF(GameLog[[#Headers],[Check]]:GameLog[[#This Row],[Check]],"?*")-1)</f>
        <v/>
      </c>
      <c r="O1405" s="6" t="str">
        <f>IFERROR(INDEX(Players[New name],MATCH(GameLog[[#This Row],[Player]],Players[Name],0)),GameLog[[#This Row],[Player]])</f>
        <v>Jake D</v>
      </c>
    </row>
    <row r="1406" spans="1:15" x14ac:dyDescent="0.45">
      <c r="A1406" s="6" t="s">
        <v>77</v>
      </c>
      <c r="B1406" s="6" t="s">
        <v>53</v>
      </c>
      <c r="C1406" s="6">
        <v>3</v>
      </c>
      <c r="D1406" s="6">
        <v>5</v>
      </c>
      <c r="E1406" s="6">
        <v>1</v>
      </c>
      <c r="F1406" s="10">
        <v>46139</v>
      </c>
      <c r="G1406" s="6" t="str">
        <f>_xlfn.TEXTJOIN("|",TRUE,GameLog[[#This Row],[Pod]],TEXT(INT(GameLog[[#This Row],[Round]]),"yyyymmdd"),GameLog[[#This Row],[Date]])</f>
        <v>5|19000101|46139</v>
      </c>
      <c r="H1406" s="6">
        <f>COUNTIF(GameLog[Pod ID],GameLog[[#This Row],[Pod ID]])</f>
        <v>3</v>
      </c>
      <c r="I1406" s="6">
        <f>YEAR(GameLog[[#This Row],[Date]])</f>
        <v>2026</v>
      </c>
      <c r="J1406" s="6">
        <f>MONTH(GameLog[[#This Row],[Date]])</f>
        <v>4</v>
      </c>
      <c r="K1406" s="6" t="str">
        <f>IF(GameLog[[#This Row],[Date]]=MAX(GameLog[Date]),"Current","Previous")</f>
        <v>Previous</v>
      </c>
      <c r="L1406" s="6"/>
      <c r="M14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6" s="6" t="str">
        <f ca="1">IF(GameLog[[#This Row],[Check]]="","",COUNTIF(GameLog[[#Headers],[Check]]:GameLog[[#This Row],[Check]],"?*")-1)</f>
        <v/>
      </c>
      <c r="O1406" s="6" t="str">
        <f>IFERROR(INDEX(Players[New name],MATCH(GameLog[[#This Row],[Player]],Players[Name],0)),GameLog[[#This Row],[Player]])</f>
        <v>Dave M</v>
      </c>
    </row>
    <row r="1407" spans="1:15" x14ac:dyDescent="0.45">
      <c r="A1407" s="6" t="s">
        <v>58</v>
      </c>
      <c r="B1407" s="6" t="s">
        <v>90</v>
      </c>
      <c r="C1407" s="6">
        <v>1</v>
      </c>
      <c r="D1407" s="6">
        <v>1</v>
      </c>
      <c r="E1407" s="6">
        <v>2</v>
      </c>
      <c r="F1407" s="10">
        <v>46139</v>
      </c>
      <c r="G1407" s="6" t="str">
        <f>_xlfn.TEXTJOIN("|",TRUE,GameLog[[#This Row],[Pod]],TEXT(INT(GameLog[[#This Row],[Round]]),"yyyymmdd"),GameLog[[#This Row],[Date]])</f>
        <v>1|19000102|46139</v>
      </c>
      <c r="H1407" s="6">
        <f>COUNTIF(GameLog[Pod ID],GameLog[[#This Row],[Pod ID]])</f>
        <v>4</v>
      </c>
      <c r="I1407" s="6">
        <f>YEAR(GameLog[[#This Row],[Date]])</f>
        <v>2026</v>
      </c>
      <c r="J1407" s="6">
        <f>MONTH(GameLog[[#This Row],[Date]])</f>
        <v>4</v>
      </c>
      <c r="K1407" s="6" t="str">
        <f>IF(GameLog[[#This Row],[Date]]=MAX(GameLog[Date]),"Current","Previous")</f>
        <v>Previous</v>
      </c>
      <c r="L1407" s="6"/>
      <c r="M14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7" s="6" t="str">
        <f ca="1">IF(GameLog[[#This Row],[Check]]="","",COUNTIF(GameLog[[#Headers],[Check]]:GameLog[[#This Row],[Check]],"?*")-1)</f>
        <v/>
      </c>
      <c r="O1407" s="6" t="str">
        <f>IFERROR(INDEX(Players[New name],MATCH(GameLog[[#This Row],[Player]],Players[Name],0)),GameLog[[#This Row],[Player]])</f>
        <v>Dakota P</v>
      </c>
    </row>
    <row r="1408" spans="1:15" x14ac:dyDescent="0.45">
      <c r="A1408" s="6" t="s">
        <v>60</v>
      </c>
      <c r="B1408" s="6" t="s">
        <v>90</v>
      </c>
      <c r="C1408" s="6">
        <v>2</v>
      </c>
      <c r="D1408" s="6">
        <v>1</v>
      </c>
      <c r="E1408" s="6">
        <v>2</v>
      </c>
      <c r="F1408" s="10">
        <v>46139</v>
      </c>
      <c r="G1408" s="6" t="str">
        <f>_xlfn.TEXTJOIN("|",TRUE,GameLog[[#This Row],[Pod]],TEXT(INT(GameLog[[#This Row],[Round]]),"yyyymmdd"),GameLog[[#This Row],[Date]])</f>
        <v>1|19000102|46139</v>
      </c>
      <c r="H1408" s="6">
        <f>COUNTIF(GameLog[Pod ID],GameLog[[#This Row],[Pod ID]])</f>
        <v>4</v>
      </c>
      <c r="I1408" s="6">
        <f>YEAR(GameLog[[#This Row],[Date]])</f>
        <v>2026</v>
      </c>
      <c r="J1408" s="6">
        <f>MONTH(GameLog[[#This Row],[Date]])</f>
        <v>4</v>
      </c>
      <c r="K1408" s="6" t="str">
        <f>IF(GameLog[[#This Row],[Date]]=MAX(GameLog[Date]),"Current","Previous")</f>
        <v>Previous</v>
      </c>
      <c r="L1408" s="6"/>
      <c r="M14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8" s="6" t="str">
        <f ca="1">IF(GameLog[[#This Row],[Check]]="","",COUNTIF(GameLog[[#Headers],[Check]]:GameLog[[#This Row],[Check]],"?*")-1)</f>
        <v/>
      </c>
      <c r="O1408" s="6" t="str">
        <f>IFERROR(INDEX(Players[New name],MATCH(GameLog[[#This Row],[Player]],Players[Name],0)),GameLog[[#This Row],[Player]])</f>
        <v>Brendan H</v>
      </c>
    </row>
    <row r="1409" spans="1:15" x14ac:dyDescent="0.45">
      <c r="A1409" s="6" t="s">
        <v>55</v>
      </c>
      <c r="B1409" s="6" t="s">
        <v>90</v>
      </c>
      <c r="C1409" s="6">
        <v>3</v>
      </c>
      <c r="D1409" s="6">
        <v>1</v>
      </c>
      <c r="E1409" s="6">
        <v>2</v>
      </c>
      <c r="F1409" s="10">
        <v>46139</v>
      </c>
      <c r="G1409" s="6" t="str">
        <f>_xlfn.TEXTJOIN("|",TRUE,GameLog[[#This Row],[Pod]],TEXT(INT(GameLog[[#This Row],[Round]]),"yyyymmdd"),GameLog[[#This Row],[Date]])</f>
        <v>1|19000102|46139</v>
      </c>
      <c r="H1409" s="6">
        <f>COUNTIF(GameLog[Pod ID],GameLog[[#This Row],[Pod ID]])</f>
        <v>4</v>
      </c>
      <c r="I1409" s="6">
        <f>YEAR(GameLog[[#This Row],[Date]])</f>
        <v>2026</v>
      </c>
      <c r="J1409" s="6">
        <f>MONTH(GameLog[[#This Row],[Date]])</f>
        <v>4</v>
      </c>
      <c r="K1409" s="6" t="str">
        <f>IF(GameLog[[#This Row],[Date]]=MAX(GameLog[Date]),"Current","Previous")</f>
        <v>Previous</v>
      </c>
      <c r="L1409" s="6"/>
      <c r="M14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09" s="6" t="str">
        <f ca="1">IF(GameLog[[#This Row],[Check]]="","",COUNTIF(GameLog[[#Headers],[Check]]:GameLog[[#This Row],[Check]],"?*")-1)</f>
        <v/>
      </c>
      <c r="O1409" s="6" t="str">
        <f>IFERROR(INDEX(Players[New name],MATCH(GameLog[[#This Row],[Player]],Players[Name],0)),GameLog[[#This Row],[Player]])</f>
        <v>Bryce C</v>
      </c>
    </row>
    <row r="1410" spans="1:15" x14ac:dyDescent="0.45">
      <c r="A1410" s="6" t="s">
        <v>76</v>
      </c>
      <c r="B1410" s="6" t="s">
        <v>90</v>
      </c>
      <c r="C1410" s="6">
        <v>4</v>
      </c>
      <c r="D1410" s="6">
        <v>1</v>
      </c>
      <c r="E1410" s="6">
        <v>2</v>
      </c>
      <c r="F1410" s="10">
        <v>46139</v>
      </c>
      <c r="G1410" s="6" t="str">
        <f>_xlfn.TEXTJOIN("|",TRUE,GameLog[[#This Row],[Pod]],TEXT(INT(GameLog[[#This Row],[Round]]),"yyyymmdd"),GameLog[[#This Row],[Date]])</f>
        <v>1|19000102|46139</v>
      </c>
      <c r="H1410" s="6">
        <f>COUNTIF(GameLog[Pod ID],GameLog[[#This Row],[Pod ID]])</f>
        <v>4</v>
      </c>
      <c r="I1410" s="6">
        <f>YEAR(GameLog[[#This Row],[Date]])</f>
        <v>2026</v>
      </c>
      <c r="J1410" s="6">
        <f>MONTH(GameLog[[#This Row],[Date]])</f>
        <v>4</v>
      </c>
      <c r="K1410" s="6" t="str">
        <f>IF(GameLog[[#This Row],[Date]]=MAX(GameLog[Date]),"Current","Previous")</f>
        <v>Previous</v>
      </c>
      <c r="L1410" s="6"/>
      <c r="M14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0" s="6" t="str">
        <f ca="1">IF(GameLog[[#This Row],[Check]]="","",COUNTIF(GameLog[[#Headers],[Check]]:GameLog[[#This Row],[Check]],"?*")-1)</f>
        <v/>
      </c>
      <c r="O1410" s="6" t="str">
        <f>IFERROR(INDEX(Players[New name],MATCH(GameLog[[#This Row],[Player]],Players[Name],0)),GameLog[[#This Row],[Player]])</f>
        <v>Jon M</v>
      </c>
    </row>
    <row r="1411" spans="1:15" x14ac:dyDescent="0.45">
      <c r="A1411" s="6" t="s">
        <v>104</v>
      </c>
      <c r="B1411" s="6" t="s">
        <v>53</v>
      </c>
      <c r="C1411" s="6">
        <v>1</v>
      </c>
      <c r="D1411" s="6">
        <v>2</v>
      </c>
      <c r="E1411" s="6">
        <v>2</v>
      </c>
      <c r="F1411" s="10">
        <v>46139</v>
      </c>
      <c r="G1411" s="6" t="str">
        <f>_xlfn.TEXTJOIN("|",TRUE,GameLog[[#This Row],[Pod]],TEXT(INT(GameLog[[#This Row],[Round]]),"yyyymmdd"),GameLog[[#This Row],[Date]])</f>
        <v>2|19000102|46139</v>
      </c>
      <c r="H1411" s="6">
        <f>COUNTIF(GameLog[Pod ID],GameLog[[#This Row],[Pod ID]])</f>
        <v>4</v>
      </c>
      <c r="I1411" s="6">
        <f>YEAR(GameLog[[#This Row],[Date]])</f>
        <v>2026</v>
      </c>
      <c r="J1411" s="6">
        <f>MONTH(GameLog[[#This Row],[Date]])</f>
        <v>4</v>
      </c>
      <c r="K1411" s="6" t="str">
        <f>IF(GameLog[[#This Row],[Date]]=MAX(GameLog[Date]),"Current","Previous")</f>
        <v>Previous</v>
      </c>
      <c r="L1411" s="6"/>
      <c r="M14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1" s="6" t="str">
        <f ca="1">IF(GameLog[[#This Row],[Check]]="","",COUNTIF(GameLog[[#Headers],[Check]]:GameLog[[#This Row],[Check]],"?*")-1)</f>
        <v/>
      </c>
      <c r="O1411" s="6" t="str">
        <f>IFERROR(INDEX(Players[New name],MATCH(GameLog[[#This Row],[Player]],Players[Name],0)),GameLog[[#This Row],[Player]])</f>
        <v>Eric E</v>
      </c>
    </row>
    <row r="1412" spans="1:15" x14ac:dyDescent="0.45">
      <c r="A1412" s="6" t="s">
        <v>62</v>
      </c>
      <c r="B1412" s="6" t="s">
        <v>53</v>
      </c>
      <c r="C1412" s="6">
        <v>2</v>
      </c>
      <c r="D1412" s="6">
        <v>2</v>
      </c>
      <c r="E1412" s="6">
        <v>2</v>
      </c>
      <c r="F1412" s="10">
        <v>46139</v>
      </c>
      <c r="G1412" s="6" t="str">
        <f>_xlfn.TEXTJOIN("|",TRUE,GameLog[[#This Row],[Pod]],TEXT(INT(GameLog[[#This Row],[Round]]),"yyyymmdd"),GameLog[[#This Row],[Date]])</f>
        <v>2|19000102|46139</v>
      </c>
      <c r="H1412" s="6">
        <f>COUNTIF(GameLog[Pod ID],GameLog[[#This Row],[Pod ID]])</f>
        <v>4</v>
      </c>
      <c r="I1412" s="6">
        <f>YEAR(GameLog[[#This Row],[Date]])</f>
        <v>2026</v>
      </c>
      <c r="J1412" s="6">
        <f>MONTH(GameLog[[#This Row],[Date]])</f>
        <v>4</v>
      </c>
      <c r="K1412" s="6" t="str">
        <f>IF(GameLog[[#This Row],[Date]]=MAX(GameLog[Date]),"Current","Previous")</f>
        <v>Previous</v>
      </c>
      <c r="L1412" s="6"/>
      <c r="M14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2" s="6" t="str">
        <f ca="1">IF(GameLog[[#This Row],[Check]]="","",COUNTIF(GameLog[[#Headers],[Check]]:GameLog[[#This Row],[Check]],"?*")-1)</f>
        <v/>
      </c>
      <c r="O1412" s="6" t="str">
        <f>IFERROR(INDEX(Players[New name],MATCH(GameLog[[#This Row],[Player]],Players[Name],0)),GameLog[[#This Row],[Player]])</f>
        <v>Nicholas S</v>
      </c>
    </row>
    <row r="1413" spans="1:15" x14ac:dyDescent="0.45">
      <c r="A1413" s="6" t="s">
        <v>97</v>
      </c>
      <c r="B1413" s="6" t="s">
        <v>53</v>
      </c>
      <c r="C1413" s="6">
        <v>3</v>
      </c>
      <c r="D1413" s="6">
        <v>2</v>
      </c>
      <c r="E1413" s="6">
        <v>2</v>
      </c>
      <c r="F1413" s="10">
        <v>46139</v>
      </c>
      <c r="G1413" s="6" t="str">
        <f>_xlfn.TEXTJOIN("|",TRUE,GameLog[[#This Row],[Pod]],TEXT(INT(GameLog[[#This Row],[Round]]),"yyyymmdd"),GameLog[[#This Row],[Date]])</f>
        <v>2|19000102|46139</v>
      </c>
      <c r="H1413" s="6">
        <f>COUNTIF(GameLog[Pod ID],GameLog[[#This Row],[Pod ID]])</f>
        <v>4</v>
      </c>
      <c r="I1413" s="6">
        <f>YEAR(GameLog[[#This Row],[Date]])</f>
        <v>2026</v>
      </c>
      <c r="J1413" s="6">
        <f>MONTH(GameLog[[#This Row],[Date]])</f>
        <v>4</v>
      </c>
      <c r="K1413" s="6" t="str">
        <f>IF(GameLog[[#This Row],[Date]]=MAX(GameLog[Date]),"Current","Previous")</f>
        <v>Previous</v>
      </c>
      <c r="L1413" s="6"/>
      <c r="M14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3" s="6" t="str">
        <f ca="1">IF(GameLog[[#This Row],[Check]]="","",COUNTIF(GameLog[[#Headers],[Check]]:GameLog[[#This Row],[Check]],"?*")-1)</f>
        <v/>
      </c>
      <c r="O1413" s="6" t="str">
        <f>IFERROR(INDEX(Players[New name],MATCH(GameLog[[#This Row],[Player]],Players[Name],0)),GameLog[[#This Row],[Player]])</f>
        <v>Arman H</v>
      </c>
    </row>
    <row r="1414" spans="1:15" x14ac:dyDescent="0.45">
      <c r="A1414" s="6" t="s">
        <v>70</v>
      </c>
      <c r="B1414" s="6" t="s">
        <v>50</v>
      </c>
      <c r="C1414" s="6">
        <v>4</v>
      </c>
      <c r="D1414" s="6">
        <v>2</v>
      </c>
      <c r="E1414" s="6">
        <v>2</v>
      </c>
      <c r="F1414" s="10">
        <v>46139</v>
      </c>
      <c r="G1414" s="6" t="str">
        <f>_xlfn.TEXTJOIN("|",TRUE,GameLog[[#This Row],[Pod]],TEXT(INT(GameLog[[#This Row],[Round]]),"yyyymmdd"),GameLog[[#This Row],[Date]])</f>
        <v>2|19000102|46139</v>
      </c>
      <c r="H1414" s="6">
        <f>COUNTIF(GameLog[Pod ID],GameLog[[#This Row],[Pod ID]])</f>
        <v>4</v>
      </c>
      <c r="I1414" s="6">
        <f>YEAR(GameLog[[#This Row],[Date]])</f>
        <v>2026</v>
      </c>
      <c r="J1414" s="6">
        <f>MONTH(GameLog[[#This Row],[Date]])</f>
        <v>4</v>
      </c>
      <c r="K1414" s="6" t="str">
        <f>IF(GameLog[[#This Row],[Date]]=MAX(GameLog[Date]),"Current","Previous")</f>
        <v>Previous</v>
      </c>
      <c r="L1414" s="6"/>
      <c r="M14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4" s="6" t="str">
        <f ca="1">IF(GameLog[[#This Row],[Check]]="","",COUNTIF(GameLog[[#Headers],[Check]]:GameLog[[#This Row],[Check]],"?*")-1)</f>
        <v/>
      </c>
      <c r="O1414" s="6" t="str">
        <f>IFERROR(INDEX(Players[New name],MATCH(GameLog[[#This Row],[Player]],Players[Name],0)),GameLog[[#This Row],[Player]])</f>
        <v>Brad F</v>
      </c>
    </row>
    <row r="1415" spans="1:15" x14ac:dyDescent="0.45">
      <c r="A1415" s="6" t="s">
        <v>75</v>
      </c>
      <c r="B1415" s="6" t="s">
        <v>50</v>
      </c>
      <c r="C1415" s="6">
        <v>1</v>
      </c>
      <c r="D1415" s="6">
        <v>3</v>
      </c>
      <c r="E1415" s="6">
        <v>2</v>
      </c>
      <c r="F1415" s="10">
        <v>46139</v>
      </c>
      <c r="G1415" s="6" t="str">
        <f>_xlfn.TEXTJOIN("|",TRUE,GameLog[[#This Row],[Pod]],TEXT(INT(GameLog[[#This Row],[Round]]),"yyyymmdd"),GameLog[[#This Row],[Date]])</f>
        <v>3|19000102|46139</v>
      </c>
      <c r="H1415" s="6">
        <f>COUNTIF(GameLog[Pod ID],GameLog[[#This Row],[Pod ID]])</f>
        <v>3</v>
      </c>
      <c r="I1415" s="6">
        <f>YEAR(GameLog[[#This Row],[Date]])</f>
        <v>2026</v>
      </c>
      <c r="J1415" s="6">
        <f>MONTH(GameLog[[#This Row],[Date]])</f>
        <v>4</v>
      </c>
      <c r="K1415" s="6" t="str">
        <f>IF(GameLog[[#This Row],[Date]]=MAX(GameLog[Date]),"Current","Previous")</f>
        <v>Previous</v>
      </c>
      <c r="L1415" s="6"/>
      <c r="M14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5" s="6" t="str">
        <f ca="1">IF(GameLog[[#This Row],[Check]]="","",COUNTIF(GameLog[[#Headers],[Check]]:GameLog[[#This Row],[Check]],"?*")-1)</f>
        <v/>
      </c>
      <c r="O1415" s="6" t="str">
        <f>IFERROR(INDEX(Players[New name],MATCH(GameLog[[#This Row],[Player]],Players[Name],0)),GameLog[[#This Row],[Player]])</f>
        <v>Eli T</v>
      </c>
    </row>
    <row r="1416" spans="1:15" x14ac:dyDescent="0.45">
      <c r="A1416" s="6" t="s">
        <v>49</v>
      </c>
      <c r="B1416" s="6" t="s">
        <v>53</v>
      </c>
      <c r="C1416" s="6">
        <v>2</v>
      </c>
      <c r="D1416" s="6">
        <v>3</v>
      </c>
      <c r="E1416" s="6">
        <v>2</v>
      </c>
      <c r="F1416" s="10">
        <v>46139</v>
      </c>
      <c r="G1416" s="6" t="str">
        <f>_xlfn.TEXTJOIN("|",TRUE,GameLog[[#This Row],[Pod]],TEXT(INT(GameLog[[#This Row],[Round]]),"yyyymmdd"),GameLog[[#This Row],[Date]])</f>
        <v>3|19000102|46139</v>
      </c>
      <c r="H1416" s="6">
        <f>COUNTIF(GameLog[Pod ID],GameLog[[#This Row],[Pod ID]])</f>
        <v>3</v>
      </c>
      <c r="I1416" s="6">
        <f>YEAR(GameLog[[#This Row],[Date]])</f>
        <v>2026</v>
      </c>
      <c r="J1416" s="6">
        <f>MONTH(GameLog[[#This Row],[Date]])</f>
        <v>4</v>
      </c>
      <c r="K1416" s="6" t="str">
        <f>IF(GameLog[[#This Row],[Date]]=MAX(GameLog[Date]),"Current","Previous")</f>
        <v>Previous</v>
      </c>
      <c r="L1416" s="6"/>
      <c r="M14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6" s="6" t="str">
        <f ca="1">IF(GameLog[[#This Row],[Check]]="","",COUNTIF(GameLog[[#Headers],[Check]]:GameLog[[#This Row],[Check]],"?*")-1)</f>
        <v/>
      </c>
      <c r="O1416" s="6" t="str">
        <f>IFERROR(INDEX(Players[New name],MATCH(GameLog[[#This Row],[Player]],Players[Name],0)),GameLog[[#This Row],[Player]])</f>
        <v>Brett R</v>
      </c>
    </row>
    <row r="1417" spans="1:15" x14ac:dyDescent="0.45">
      <c r="A1417" s="6" t="s">
        <v>73</v>
      </c>
      <c r="B1417" s="6" t="s">
        <v>53</v>
      </c>
      <c r="C1417" s="6">
        <v>3</v>
      </c>
      <c r="D1417" s="6">
        <v>3</v>
      </c>
      <c r="E1417" s="6">
        <v>2</v>
      </c>
      <c r="F1417" s="10">
        <v>46139</v>
      </c>
      <c r="G1417" s="6" t="str">
        <f>_xlfn.TEXTJOIN("|",TRUE,GameLog[[#This Row],[Pod]],TEXT(INT(GameLog[[#This Row],[Round]]),"yyyymmdd"),GameLog[[#This Row],[Date]])</f>
        <v>3|19000102|46139</v>
      </c>
      <c r="H1417" s="6">
        <f>COUNTIF(GameLog[Pod ID],GameLog[[#This Row],[Pod ID]])</f>
        <v>3</v>
      </c>
      <c r="I1417" s="6">
        <f>YEAR(GameLog[[#This Row],[Date]])</f>
        <v>2026</v>
      </c>
      <c r="J1417" s="6">
        <f>MONTH(GameLog[[#This Row],[Date]])</f>
        <v>4</v>
      </c>
      <c r="K1417" s="6" t="str">
        <f>IF(GameLog[[#This Row],[Date]]=MAX(GameLog[Date]),"Current","Previous")</f>
        <v>Previous</v>
      </c>
      <c r="L1417" s="6"/>
      <c r="M14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7" s="6" t="str">
        <f ca="1">IF(GameLog[[#This Row],[Check]]="","",COUNTIF(GameLog[[#Headers],[Check]]:GameLog[[#This Row],[Check]],"?*")-1)</f>
        <v/>
      </c>
      <c r="O1417" s="6" t="str">
        <f>IFERROR(INDEX(Players[New name],MATCH(GameLog[[#This Row],[Player]],Players[Name],0)),GameLog[[#This Row],[Player]])</f>
        <v>Brandon B</v>
      </c>
    </row>
    <row r="1418" spans="1:15" x14ac:dyDescent="0.45">
      <c r="A1418" s="6" t="s">
        <v>63</v>
      </c>
      <c r="B1418" s="6" t="s">
        <v>53</v>
      </c>
      <c r="C1418" s="6">
        <v>1</v>
      </c>
      <c r="D1418" s="6">
        <v>4</v>
      </c>
      <c r="E1418" s="6">
        <v>2</v>
      </c>
      <c r="F1418" s="10">
        <v>46139</v>
      </c>
      <c r="G1418" s="6" t="str">
        <f>_xlfn.TEXTJOIN("|",TRUE,GameLog[[#This Row],[Pod]],TEXT(INT(GameLog[[#This Row],[Round]]),"yyyymmdd"),GameLog[[#This Row],[Date]])</f>
        <v>4|19000102|46139</v>
      </c>
      <c r="H1418" s="6">
        <f>COUNTIF(GameLog[Pod ID],GameLog[[#This Row],[Pod ID]])</f>
        <v>3</v>
      </c>
      <c r="I1418" s="6">
        <f>YEAR(GameLog[[#This Row],[Date]])</f>
        <v>2026</v>
      </c>
      <c r="J1418" s="6">
        <f>MONTH(GameLog[[#This Row],[Date]])</f>
        <v>4</v>
      </c>
      <c r="K1418" s="6" t="str">
        <f>IF(GameLog[[#This Row],[Date]]=MAX(GameLog[Date]),"Current","Previous")</f>
        <v>Previous</v>
      </c>
      <c r="L1418" s="6"/>
      <c r="M14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8" s="6" t="str">
        <f ca="1">IF(GameLog[[#This Row],[Check]]="","",COUNTIF(GameLog[[#Headers],[Check]]:GameLog[[#This Row],[Check]],"?*")-1)</f>
        <v/>
      </c>
      <c r="O1418" s="6" t="str">
        <f>IFERROR(INDEX(Players[New name],MATCH(GameLog[[#This Row],[Player]],Players[Name],0)),GameLog[[#This Row],[Player]])</f>
        <v>Jake D</v>
      </c>
    </row>
    <row r="1419" spans="1:15" x14ac:dyDescent="0.45">
      <c r="A1419" s="6" t="s">
        <v>64</v>
      </c>
      <c r="B1419" s="6" t="s">
        <v>53</v>
      </c>
      <c r="C1419" s="6">
        <v>2</v>
      </c>
      <c r="D1419" s="6">
        <v>4</v>
      </c>
      <c r="E1419" s="6">
        <v>2</v>
      </c>
      <c r="F1419" s="10">
        <v>46139</v>
      </c>
      <c r="G1419" s="6" t="str">
        <f>_xlfn.TEXTJOIN("|",TRUE,GameLog[[#This Row],[Pod]],TEXT(INT(GameLog[[#This Row],[Round]]),"yyyymmdd"),GameLog[[#This Row],[Date]])</f>
        <v>4|19000102|46139</v>
      </c>
      <c r="H1419" s="6">
        <f>COUNTIF(GameLog[Pod ID],GameLog[[#This Row],[Pod ID]])</f>
        <v>3</v>
      </c>
      <c r="I1419" s="6">
        <f>YEAR(GameLog[[#This Row],[Date]])</f>
        <v>2026</v>
      </c>
      <c r="J1419" s="6">
        <f>MONTH(GameLog[[#This Row],[Date]])</f>
        <v>4</v>
      </c>
      <c r="K1419" s="6" t="str">
        <f>IF(GameLog[[#This Row],[Date]]=MAX(GameLog[Date]),"Current","Previous")</f>
        <v>Previous</v>
      </c>
      <c r="L1419" s="6"/>
      <c r="M14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19" s="6" t="str">
        <f ca="1">IF(GameLog[[#This Row],[Check]]="","",COUNTIF(GameLog[[#Headers],[Check]]:GameLog[[#This Row],[Check]],"?*")-1)</f>
        <v/>
      </c>
      <c r="O1419" s="6" t="str">
        <f>IFERROR(INDEX(Players[New name],MATCH(GameLog[[#This Row],[Player]],Players[Name],0)),GameLog[[#This Row],[Player]])</f>
        <v>Tyler B</v>
      </c>
    </row>
    <row r="1420" spans="1:15" x14ac:dyDescent="0.45">
      <c r="A1420" s="6" t="s">
        <v>71</v>
      </c>
      <c r="B1420" s="6" t="s">
        <v>50</v>
      </c>
      <c r="C1420" s="6">
        <v>3</v>
      </c>
      <c r="D1420" s="6">
        <v>4</v>
      </c>
      <c r="E1420" s="6">
        <v>2</v>
      </c>
      <c r="F1420" s="10">
        <v>46139</v>
      </c>
      <c r="G1420" s="6" t="str">
        <f>_xlfn.TEXTJOIN("|",TRUE,GameLog[[#This Row],[Pod]],TEXT(INT(GameLog[[#This Row],[Round]]),"yyyymmdd"),GameLog[[#This Row],[Date]])</f>
        <v>4|19000102|46139</v>
      </c>
      <c r="H1420" s="6">
        <f>COUNTIF(GameLog[Pod ID],GameLog[[#This Row],[Pod ID]])</f>
        <v>3</v>
      </c>
      <c r="I1420" s="6">
        <f>YEAR(GameLog[[#This Row],[Date]])</f>
        <v>2026</v>
      </c>
      <c r="J1420" s="6">
        <f>MONTH(GameLog[[#This Row],[Date]])</f>
        <v>4</v>
      </c>
      <c r="K1420" s="6" t="str">
        <f>IF(GameLog[[#This Row],[Date]]=MAX(GameLog[Date]),"Current","Previous")</f>
        <v>Previous</v>
      </c>
      <c r="L1420" s="6"/>
      <c r="M14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0" s="6" t="str">
        <f ca="1">IF(GameLog[[#This Row],[Check]]="","",COUNTIF(GameLog[[#Headers],[Check]]:GameLog[[#This Row],[Check]],"?*")-1)</f>
        <v/>
      </c>
      <c r="O1420" s="6" t="str">
        <f>IFERROR(INDEX(Players[New name],MATCH(GameLog[[#This Row],[Player]],Players[Name],0)),GameLog[[#This Row],[Player]])</f>
        <v>Rodney Y</v>
      </c>
    </row>
    <row r="1421" spans="1:15" x14ac:dyDescent="0.45">
      <c r="A1421" s="6" t="s">
        <v>57</v>
      </c>
      <c r="B1421" s="6" t="s">
        <v>90</v>
      </c>
      <c r="C1421" s="6">
        <v>1</v>
      </c>
      <c r="D1421" s="6">
        <v>5</v>
      </c>
      <c r="E1421" s="6">
        <v>2</v>
      </c>
      <c r="F1421" s="10">
        <v>46139</v>
      </c>
      <c r="G1421" s="6" t="str">
        <f>_xlfn.TEXTJOIN("|",TRUE,GameLog[[#This Row],[Pod]],TEXT(INT(GameLog[[#This Row],[Round]]),"yyyymmdd"),GameLog[[#This Row],[Date]])</f>
        <v>5|19000102|46139</v>
      </c>
      <c r="H1421" s="6">
        <f>COUNTIF(GameLog[Pod ID],GameLog[[#This Row],[Pod ID]])</f>
        <v>3</v>
      </c>
      <c r="I1421" s="6">
        <f>YEAR(GameLog[[#This Row],[Date]])</f>
        <v>2026</v>
      </c>
      <c r="J1421" s="6">
        <f>MONTH(GameLog[[#This Row],[Date]])</f>
        <v>4</v>
      </c>
      <c r="K1421" s="6" t="str">
        <f>IF(GameLog[[#This Row],[Date]]=MAX(GameLog[Date]),"Current","Previous")</f>
        <v>Previous</v>
      </c>
      <c r="L1421" s="6"/>
      <c r="M14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1" s="6" t="str">
        <f ca="1">IF(GameLog[[#This Row],[Check]]="","",COUNTIF(GameLog[[#Headers],[Check]]:GameLog[[#This Row],[Check]],"?*")-1)</f>
        <v/>
      </c>
      <c r="O1421" s="6" t="str">
        <f>IFERROR(INDEX(Players[New name],MATCH(GameLog[[#This Row],[Player]],Players[Name],0)),GameLog[[#This Row],[Player]])</f>
        <v>AJ W</v>
      </c>
    </row>
    <row r="1422" spans="1:15" x14ac:dyDescent="0.45">
      <c r="A1422" s="6" t="s">
        <v>77</v>
      </c>
      <c r="B1422" s="6" t="s">
        <v>90</v>
      </c>
      <c r="C1422" s="6">
        <v>2</v>
      </c>
      <c r="D1422" s="6">
        <v>5</v>
      </c>
      <c r="E1422" s="6">
        <v>2</v>
      </c>
      <c r="F1422" s="10">
        <v>46139</v>
      </c>
      <c r="G1422" s="6" t="str">
        <f>_xlfn.TEXTJOIN("|",TRUE,GameLog[[#This Row],[Pod]],TEXT(INT(GameLog[[#This Row],[Round]]),"yyyymmdd"),GameLog[[#This Row],[Date]])</f>
        <v>5|19000102|46139</v>
      </c>
      <c r="H1422" s="6">
        <f>COUNTIF(GameLog[Pod ID],GameLog[[#This Row],[Pod ID]])</f>
        <v>3</v>
      </c>
      <c r="I1422" s="6">
        <f>YEAR(GameLog[[#This Row],[Date]])</f>
        <v>2026</v>
      </c>
      <c r="J1422" s="6">
        <f>MONTH(GameLog[[#This Row],[Date]])</f>
        <v>4</v>
      </c>
      <c r="K1422" s="6" t="str">
        <f>IF(GameLog[[#This Row],[Date]]=MAX(GameLog[Date]),"Current","Previous")</f>
        <v>Previous</v>
      </c>
      <c r="L1422" s="6"/>
      <c r="M14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2" s="6" t="str">
        <f ca="1">IF(GameLog[[#This Row],[Check]]="","",COUNTIF(GameLog[[#Headers],[Check]]:GameLog[[#This Row],[Check]],"?*")-1)</f>
        <v/>
      </c>
      <c r="O1422" s="6" t="str">
        <f>IFERROR(INDEX(Players[New name],MATCH(GameLog[[#This Row],[Player]],Players[Name],0)),GameLog[[#This Row],[Player]])</f>
        <v>Dave M</v>
      </c>
    </row>
    <row r="1423" spans="1:15" x14ac:dyDescent="0.45">
      <c r="A1423" s="6" t="s">
        <v>59</v>
      </c>
      <c r="B1423" s="6" t="s">
        <v>90</v>
      </c>
      <c r="C1423" s="6">
        <v>3</v>
      </c>
      <c r="D1423" s="6">
        <v>5</v>
      </c>
      <c r="E1423" s="6">
        <v>2</v>
      </c>
      <c r="F1423" s="10">
        <v>46139</v>
      </c>
      <c r="G1423" s="6" t="str">
        <f>_xlfn.TEXTJOIN("|",TRUE,GameLog[[#This Row],[Pod]],TEXT(INT(GameLog[[#This Row],[Round]]),"yyyymmdd"),GameLog[[#This Row],[Date]])</f>
        <v>5|19000102|46139</v>
      </c>
      <c r="H1423" s="6">
        <f>COUNTIF(GameLog[Pod ID],GameLog[[#This Row],[Pod ID]])</f>
        <v>3</v>
      </c>
      <c r="I1423" s="6">
        <f>YEAR(GameLog[[#This Row],[Date]])</f>
        <v>2026</v>
      </c>
      <c r="J1423" s="6">
        <f>MONTH(GameLog[[#This Row],[Date]])</f>
        <v>4</v>
      </c>
      <c r="K1423" s="6" t="str">
        <f>IF(GameLog[[#This Row],[Date]]=MAX(GameLog[Date]),"Current","Previous")</f>
        <v>Previous</v>
      </c>
      <c r="L1423" s="6"/>
      <c r="M14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3" s="6" t="str">
        <f ca="1">IF(GameLog[[#This Row],[Check]]="","",COUNTIF(GameLog[[#Headers],[Check]]:GameLog[[#This Row],[Check]],"?*")-1)</f>
        <v/>
      </c>
      <c r="O1423" s="6" t="str">
        <f>IFERROR(INDEX(Players[New name],MATCH(GameLog[[#This Row],[Player]],Players[Name],0)),GameLog[[#This Row],[Player]])</f>
        <v>Zack B</v>
      </c>
    </row>
    <row r="1424" spans="1:15" x14ac:dyDescent="0.45">
      <c r="A1424" s="6" t="s">
        <v>63</v>
      </c>
      <c r="B1424" s="6" t="s">
        <v>53</v>
      </c>
      <c r="C1424" s="6">
        <v>1</v>
      </c>
      <c r="D1424" s="6">
        <v>1</v>
      </c>
      <c r="E1424" s="6">
        <v>1</v>
      </c>
      <c r="F1424" s="10">
        <v>46146</v>
      </c>
      <c r="G1424" s="6" t="str">
        <f>_xlfn.TEXTJOIN("|",TRUE,GameLog[[#This Row],[Pod]],TEXT(INT(GameLog[[#This Row],[Round]]),"yyyymmdd"),GameLog[[#This Row],[Date]])</f>
        <v>1|19000101|46146</v>
      </c>
      <c r="H1424" s="6">
        <f>COUNTIF(GameLog[Pod ID],GameLog[[#This Row],[Pod ID]])</f>
        <v>4</v>
      </c>
      <c r="I1424" s="6">
        <f>YEAR(GameLog[[#This Row],[Date]])</f>
        <v>2026</v>
      </c>
      <c r="J1424" s="6">
        <f>MONTH(GameLog[[#This Row],[Date]])</f>
        <v>5</v>
      </c>
      <c r="K1424" s="6" t="str">
        <f>IF(GameLog[[#This Row],[Date]]=MAX(GameLog[Date]),"Current","Previous")</f>
        <v>Previous</v>
      </c>
      <c r="L1424" s="6"/>
      <c r="M14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4" s="6" t="str">
        <f ca="1">IF(GameLog[[#This Row],[Check]]="","",COUNTIF(GameLog[[#Headers],[Check]]:GameLog[[#This Row],[Check]],"?*")-1)</f>
        <v/>
      </c>
      <c r="O1424" s="6" t="str">
        <f>IFERROR(INDEX(Players[New name],MATCH(GameLog[[#This Row],[Player]],Players[Name],0)),GameLog[[#This Row],[Player]])</f>
        <v>Jake D</v>
      </c>
    </row>
    <row r="1425" spans="1:15" x14ac:dyDescent="0.45">
      <c r="A1425" s="6" t="s">
        <v>59</v>
      </c>
      <c r="B1425" s="6" t="s">
        <v>50</v>
      </c>
      <c r="C1425" s="6">
        <v>2</v>
      </c>
      <c r="D1425" s="6">
        <v>1</v>
      </c>
      <c r="E1425" s="6">
        <v>1</v>
      </c>
      <c r="F1425" s="10">
        <v>46146</v>
      </c>
      <c r="G1425" s="6" t="str">
        <f>_xlfn.TEXTJOIN("|",TRUE,GameLog[[#This Row],[Pod]],TEXT(INT(GameLog[[#This Row],[Round]]),"yyyymmdd"),GameLog[[#This Row],[Date]])</f>
        <v>1|19000101|46146</v>
      </c>
      <c r="H1425" s="6">
        <f>COUNTIF(GameLog[Pod ID],GameLog[[#This Row],[Pod ID]])</f>
        <v>4</v>
      </c>
      <c r="I1425" s="6">
        <f>YEAR(GameLog[[#This Row],[Date]])</f>
        <v>2026</v>
      </c>
      <c r="J1425" s="6">
        <f>MONTH(GameLog[[#This Row],[Date]])</f>
        <v>5</v>
      </c>
      <c r="K1425" s="6" t="str">
        <f>IF(GameLog[[#This Row],[Date]]=MAX(GameLog[Date]),"Current","Previous")</f>
        <v>Previous</v>
      </c>
      <c r="L1425" s="6"/>
      <c r="M14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5" s="6" t="str">
        <f ca="1">IF(GameLog[[#This Row],[Check]]="","",COUNTIF(GameLog[[#Headers],[Check]]:GameLog[[#This Row],[Check]],"?*")-1)</f>
        <v/>
      </c>
      <c r="O1425" s="6" t="str">
        <f>IFERROR(INDEX(Players[New name],MATCH(GameLog[[#This Row],[Player]],Players[Name],0)),GameLog[[#This Row],[Player]])</f>
        <v>Zack B</v>
      </c>
    </row>
    <row r="1426" spans="1:15" x14ac:dyDescent="0.45">
      <c r="A1426" s="6" t="s">
        <v>98</v>
      </c>
      <c r="B1426" s="6" t="s">
        <v>53</v>
      </c>
      <c r="C1426" s="6">
        <v>3</v>
      </c>
      <c r="D1426" s="6">
        <v>1</v>
      </c>
      <c r="E1426" s="6">
        <v>1</v>
      </c>
      <c r="F1426" s="10">
        <v>46146</v>
      </c>
      <c r="G1426" s="6" t="str">
        <f>_xlfn.TEXTJOIN("|",TRUE,GameLog[[#This Row],[Pod]],TEXT(INT(GameLog[[#This Row],[Round]]),"yyyymmdd"),GameLog[[#This Row],[Date]])</f>
        <v>1|19000101|46146</v>
      </c>
      <c r="H1426" s="6">
        <f>COUNTIF(GameLog[Pod ID],GameLog[[#This Row],[Pod ID]])</f>
        <v>4</v>
      </c>
      <c r="I1426" s="6">
        <f>YEAR(GameLog[[#This Row],[Date]])</f>
        <v>2026</v>
      </c>
      <c r="J1426" s="6">
        <f>MONTH(GameLog[[#This Row],[Date]])</f>
        <v>5</v>
      </c>
      <c r="K1426" s="6" t="str">
        <f>IF(GameLog[[#This Row],[Date]]=MAX(GameLog[Date]),"Current","Previous")</f>
        <v>Previous</v>
      </c>
      <c r="L1426" s="6"/>
      <c r="M14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6" s="6" t="str">
        <f ca="1">IF(GameLog[[#This Row],[Check]]="","",COUNTIF(GameLog[[#Headers],[Check]]:GameLog[[#This Row],[Check]],"?*")-1)</f>
        <v/>
      </c>
      <c r="O1426" s="6" t="str">
        <f>IFERROR(INDEX(Players[New name],MATCH(GameLog[[#This Row],[Player]],Players[Name],0)),GameLog[[#This Row],[Player]])</f>
        <v>Charlie B</v>
      </c>
    </row>
    <row r="1427" spans="1:15" x14ac:dyDescent="0.45">
      <c r="A1427" s="6" t="s">
        <v>61</v>
      </c>
      <c r="B1427" s="6" t="s">
        <v>53</v>
      </c>
      <c r="C1427" s="6">
        <v>4</v>
      </c>
      <c r="D1427" s="6">
        <v>1</v>
      </c>
      <c r="E1427" s="6">
        <v>1</v>
      </c>
      <c r="F1427" s="10">
        <v>46146</v>
      </c>
      <c r="G1427" s="6" t="str">
        <f>_xlfn.TEXTJOIN("|",TRUE,GameLog[[#This Row],[Pod]],TEXT(INT(GameLog[[#This Row],[Round]]),"yyyymmdd"),GameLog[[#This Row],[Date]])</f>
        <v>1|19000101|46146</v>
      </c>
      <c r="H1427" s="6">
        <f>COUNTIF(GameLog[Pod ID],GameLog[[#This Row],[Pod ID]])</f>
        <v>4</v>
      </c>
      <c r="I1427" s="6">
        <f>YEAR(GameLog[[#This Row],[Date]])</f>
        <v>2026</v>
      </c>
      <c r="J1427" s="6">
        <f>MONTH(GameLog[[#This Row],[Date]])</f>
        <v>5</v>
      </c>
      <c r="K1427" s="6" t="str">
        <f>IF(GameLog[[#This Row],[Date]]=MAX(GameLog[Date]),"Current","Previous")</f>
        <v>Previous</v>
      </c>
      <c r="L1427" s="6"/>
      <c r="M14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7" s="6" t="str">
        <f ca="1">IF(GameLog[[#This Row],[Check]]="","",COUNTIF(GameLog[[#Headers],[Check]]:GameLog[[#This Row],[Check]],"?*")-1)</f>
        <v/>
      </c>
      <c r="O1427" s="6" t="str">
        <f>IFERROR(INDEX(Players[New name],MATCH(GameLog[[#This Row],[Player]],Players[Name],0)),GameLog[[#This Row],[Player]])</f>
        <v>Trevor</v>
      </c>
    </row>
    <row r="1428" spans="1:15" x14ac:dyDescent="0.45">
      <c r="A1428" s="6" t="s">
        <v>77</v>
      </c>
      <c r="B1428" s="6" t="s">
        <v>53</v>
      </c>
      <c r="C1428" s="6">
        <v>1</v>
      </c>
      <c r="D1428" s="6">
        <v>2</v>
      </c>
      <c r="E1428" s="6">
        <v>1</v>
      </c>
      <c r="F1428" s="10">
        <v>46146</v>
      </c>
      <c r="G1428" s="6" t="str">
        <f>_xlfn.TEXTJOIN("|",TRUE,GameLog[[#This Row],[Pod]],TEXT(INT(GameLog[[#This Row],[Round]]),"yyyymmdd"),GameLog[[#This Row],[Date]])</f>
        <v>2|19000101|46146</v>
      </c>
      <c r="H1428" s="6">
        <f>COUNTIF(GameLog[Pod ID],GameLog[[#This Row],[Pod ID]])</f>
        <v>3</v>
      </c>
      <c r="I1428" s="6">
        <f>YEAR(GameLog[[#This Row],[Date]])</f>
        <v>2026</v>
      </c>
      <c r="J1428" s="6">
        <f>MONTH(GameLog[[#This Row],[Date]])</f>
        <v>5</v>
      </c>
      <c r="K1428" s="6" t="str">
        <f>IF(GameLog[[#This Row],[Date]]=MAX(GameLog[Date]),"Current","Previous")</f>
        <v>Previous</v>
      </c>
      <c r="L1428" s="6"/>
      <c r="M14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8" s="6" t="str">
        <f ca="1">IF(GameLog[[#This Row],[Check]]="","",COUNTIF(GameLog[[#Headers],[Check]]:GameLog[[#This Row],[Check]],"?*")-1)</f>
        <v/>
      </c>
      <c r="O1428" s="6" t="str">
        <f>IFERROR(INDEX(Players[New name],MATCH(GameLog[[#This Row],[Player]],Players[Name],0)),GameLog[[#This Row],[Player]])</f>
        <v>Dave M</v>
      </c>
    </row>
    <row r="1429" spans="1:15" x14ac:dyDescent="0.45">
      <c r="A1429" s="6" t="s">
        <v>75</v>
      </c>
      <c r="B1429" s="6" t="s">
        <v>53</v>
      </c>
      <c r="C1429" s="6">
        <v>2</v>
      </c>
      <c r="D1429" s="6">
        <v>2</v>
      </c>
      <c r="E1429" s="6">
        <v>1</v>
      </c>
      <c r="F1429" s="10">
        <v>46146</v>
      </c>
      <c r="G1429" s="6" t="str">
        <f>_xlfn.TEXTJOIN("|",TRUE,GameLog[[#This Row],[Pod]],TEXT(INT(GameLog[[#This Row],[Round]]),"yyyymmdd"),GameLog[[#This Row],[Date]])</f>
        <v>2|19000101|46146</v>
      </c>
      <c r="H1429" s="6">
        <f>COUNTIF(GameLog[Pod ID],GameLog[[#This Row],[Pod ID]])</f>
        <v>3</v>
      </c>
      <c r="I1429" s="6">
        <f>YEAR(GameLog[[#This Row],[Date]])</f>
        <v>2026</v>
      </c>
      <c r="J1429" s="6">
        <f>MONTH(GameLog[[#This Row],[Date]])</f>
        <v>5</v>
      </c>
      <c r="K1429" s="6" t="str">
        <f>IF(GameLog[[#This Row],[Date]]=MAX(GameLog[Date]),"Current","Previous")</f>
        <v>Previous</v>
      </c>
      <c r="L1429" s="6"/>
      <c r="M14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29" s="6" t="str">
        <f ca="1">IF(GameLog[[#This Row],[Check]]="","",COUNTIF(GameLog[[#Headers],[Check]]:GameLog[[#This Row],[Check]],"?*")-1)</f>
        <v/>
      </c>
      <c r="O1429" s="6" t="str">
        <f>IFERROR(INDEX(Players[New name],MATCH(GameLog[[#This Row],[Player]],Players[Name],0)),GameLog[[#This Row],[Player]])</f>
        <v>Eli T</v>
      </c>
    </row>
    <row r="1430" spans="1:15" x14ac:dyDescent="0.45">
      <c r="A1430" s="6" t="s">
        <v>57</v>
      </c>
      <c r="B1430" s="6" t="s">
        <v>50</v>
      </c>
      <c r="C1430" s="6">
        <v>3</v>
      </c>
      <c r="D1430" s="6">
        <v>2</v>
      </c>
      <c r="E1430" s="6">
        <v>1</v>
      </c>
      <c r="F1430" s="10">
        <v>46146</v>
      </c>
      <c r="G1430" s="6" t="str">
        <f>_xlfn.TEXTJOIN("|",TRUE,GameLog[[#This Row],[Pod]],TEXT(INT(GameLog[[#This Row],[Round]]),"yyyymmdd"),GameLog[[#This Row],[Date]])</f>
        <v>2|19000101|46146</v>
      </c>
      <c r="H1430" s="6">
        <f>COUNTIF(GameLog[Pod ID],GameLog[[#This Row],[Pod ID]])</f>
        <v>3</v>
      </c>
      <c r="I1430" s="6">
        <f>YEAR(GameLog[[#This Row],[Date]])</f>
        <v>2026</v>
      </c>
      <c r="J1430" s="6">
        <f>MONTH(GameLog[[#This Row],[Date]])</f>
        <v>5</v>
      </c>
      <c r="K1430" s="6" t="str">
        <f>IF(GameLog[[#This Row],[Date]]=MAX(GameLog[Date]),"Current","Previous")</f>
        <v>Previous</v>
      </c>
      <c r="L1430" s="6"/>
      <c r="M14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0" s="6" t="str">
        <f ca="1">IF(GameLog[[#This Row],[Check]]="","",COUNTIF(GameLog[[#Headers],[Check]]:GameLog[[#This Row],[Check]],"?*")-1)</f>
        <v/>
      </c>
      <c r="O1430" s="6" t="str">
        <f>IFERROR(INDEX(Players[New name],MATCH(GameLog[[#This Row],[Player]],Players[Name],0)),GameLog[[#This Row],[Player]])</f>
        <v>AJ W</v>
      </c>
    </row>
    <row r="1431" spans="1:15" x14ac:dyDescent="0.45">
      <c r="A1431" s="6" t="s">
        <v>55</v>
      </c>
      <c r="B1431" s="6" t="s">
        <v>90</v>
      </c>
      <c r="C1431" s="6">
        <v>1</v>
      </c>
      <c r="D1431" s="6">
        <v>3</v>
      </c>
      <c r="E1431" s="6">
        <v>1</v>
      </c>
      <c r="F1431" s="10">
        <v>46146</v>
      </c>
      <c r="G1431" s="6" t="str">
        <f>_xlfn.TEXTJOIN("|",TRUE,GameLog[[#This Row],[Pod]],TEXT(INT(GameLog[[#This Row],[Round]]),"yyyymmdd"),GameLog[[#This Row],[Date]])</f>
        <v>3|19000101|46146</v>
      </c>
      <c r="H1431" s="6">
        <f>COUNTIF(GameLog[Pod ID],GameLog[[#This Row],[Pod ID]])</f>
        <v>3</v>
      </c>
      <c r="I1431" s="6">
        <f>YEAR(GameLog[[#This Row],[Date]])</f>
        <v>2026</v>
      </c>
      <c r="J1431" s="6">
        <f>MONTH(GameLog[[#This Row],[Date]])</f>
        <v>5</v>
      </c>
      <c r="K1431" s="6" t="str">
        <f>IF(GameLog[[#This Row],[Date]]=MAX(GameLog[Date]),"Current","Previous")</f>
        <v>Previous</v>
      </c>
      <c r="L1431" s="6"/>
      <c r="M14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1" s="6" t="str">
        <f ca="1">IF(GameLog[[#This Row],[Check]]="","",COUNTIF(GameLog[[#Headers],[Check]]:GameLog[[#This Row],[Check]],"?*")-1)</f>
        <v/>
      </c>
      <c r="O1431" s="6" t="str">
        <f>IFERROR(INDEX(Players[New name],MATCH(GameLog[[#This Row],[Player]],Players[Name],0)),GameLog[[#This Row],[Player]])</f>
        <v>Bryce C</v>
      </c>
    </row>
    <row r="1432" spans="1:15" x14ac:dyDescent="0.45">
      <c r="A1432" s="6" t="s">
        <v>60</v>
      </c>
      <c r="B1432" s="6" t="s">
        <v>90</v>
      </c>
      <c r="C1432" s="6">
        <v>2</v>
      </c>
      <c r="D1432" s="6">
        <v>3</v>
      </c>
      <c r="E1432" s="6">
        <v>1</v>
      </c>
      <c r="F1432" s="10">
        <v>46146</v>
      </c>
      <c r="G1432" s="6" t="str">
        <f>_xlfn.TEXTJOIN("|",TRUE,GameLog[[#This Row],[Pod]],TEXT(INT(GameLog[[#This Row],[Round]]),"yyyymmdd"),GameLog[[#This Row],[Date]])</f>
        <v>3|19000101|46146</v>
      </c>
      <c r="H1432" s="6">
        <f>COUNTIF(GameLog[Pod ID],GameLog[[#This Row],[Pod ID]])</f>
        <v>3</v>
      </c>
      <c r="I1432" s="6">
        <f>YEAR(GameLog[[#This Row],[Date]])</f>
        <v>2026</v>
      </c>
      <c r="J1432" s="6">
        <f>MONTH(GameLog[[#This Row],[Date]])</f>
        <v>5</v>
      </c>
      <c r="K1432" s="6" t="str">
        <f>IF(GameLog[[#This Row],[Date]]=MAX(GameLog[Date]),"Current","Previous")</f>
        <v>Previous</v>
      </c>
      <c r="L1432" s="6"/>
      <c r="M14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2" s="6" t="str">
        <f ca="1">IF(GameLog[[#This Row],[Check]]="","",COUNTIF(GameLog[[#Headers],[Check]]:GameLog[[#This Row],[Check]],"?*")-1)</f>
        <v/>
      </c>
      <c r="O1432" s="6" t="str">
        <f>IFERROR(INDEX(Players[New name],MATCH(GameLog[[#This Row],[Player]],Players[Name],0)),GameLog[[#This Row],[Player]])</f>
        <v>Brendan H</v>
      </c>
    </row>
    <row r="1433" spans="1:15" x14ac:dyDescent="0.45">
      <c r="A1433" s="6" t="s">
        <v>104</v>
      </c>
      <c r="B1433" s="6" t="s">
        <v>90</v>
      </c>
      <c r="C1433" s="6">
        <v>3</v>
      </c>
      <c r="D1433" s="6">
        <v>3</v>
      </c>
      <c r="E1433" s="6">
        <v>1</v>
      </c>
      <c r="F1433" s="10">
        <v>46146</v>
      </c>
      <c r="G1433" s="6" t="str">
        <f>_xlfn.TEXTJOIN("|",TRUE,GameLog[[#This Row],[Pod]],TEXT(INT(GameLog[[#This Row],[Round]]),"yyyymmdd"),GameLog[[#This Row],[Date]])</f>
        <v>3|19000101|46146</v>
      </c>
      <c r="H1433" s="6">
        <f>COUNTIF(GameLog[Pod ID],GameLog[[#This Row],[Pod ID]])</f>
        <v>3</v>
      </c>
      <c r="I1433" s="6">
        <f>YEAR(GameLog[[#This Row],[Date]])</f>
        <v>2026</v>
      </c>
      <c r="J1433" s="6">
        <f>MONTH(GameLog[[#This Row],[Date]])</f>
        <v>5</v>
      </c>
      <c r="K1433" s="6" t="str">
        <f>IF(GameLog[[#This Row],[Date]]=MAX(GameLog[Date]),"Current","Previous")</f>
        <v>Previous</v>
      </c>
      <c r="L1433" s="6"/>
      <c r="M14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3" s="6" t="str">
        <f ca="1">IF(GameLog[[#This Row],[Check]]="","",COUNTIF(GameLog[[#Headers],[Check]]:GameLog[[#This Row],[Check]],"?*")-1)</f>
        <v/>
      </c>
      <c r="O1433" s="6" t="str">
        <f>IFERROR(INDEX(Players[New name],MATCH(GameLog[[#This Row],[Player]],Players[Name],0)),GameLog[[#This Row],[Player]])</f>
        <v>Eric E</v>
      </c>
    </row>
    <row r="1434" spans="1:15" x14ac:dyDescent="0.45">
      <c r="A1434" s="6" t="s">
        <v>97</v>
      </c>
      <c r="B1434" s="6" t="s">
        <v>53</v>
      </c>
      <c r="C1434" s="6">
        <v>1</v>
      </c>
      <c r="D1434" s="6">
        <v>4</v>
      </c>
      <c r="E1434" s="6">
        <v>1</v>
      </c>
      <c r="F1434" s="10">
        <v>46146</v>
      </c>
      <c r="G1434" s="6" t="str">
        <f>_xlfn.TEXTJOIN("|",TRUE,GameLog[[#This Row],[Pod]],TEXT(INT(GameLog[[#This Row],[Round]]),"yyyymmdd"),GameLog[[#This Row],[Date]])</f>
        <v>4|19000101|46146</v>
      </c>
      <c r="H1434" s="6">
        <f>COUNTIF(GameLog[Pod ID],GameLog[[#This Row],[Pod ID]])</f>
        <v>3</v>
      </c>
      <c r="I1434" s="6">
        <f>YEAR(GameLog[[#This Row],[Date]])</f>
        <v>2026</v>
      </c>
      <c r="J1434" s="6">
        <f>MONTH(GameLog[[#This Row],[Date]])</f>
        <v>5</v>
      </c>
      <c r="K1434" s="6" t="str">
        <f>IF(GameLog[[#This Row],[Date]]=MAX(GameLog[Date]),"Current","Previous")</f>
        <v>Previous</v>
      </c>
      <c r="L1434" s="6"/>
      <c r="M14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4" s="6" t="str">
        <f ca="1">IF(GameLog[[#This Row],[Check]]="","",COUNTIF(GameLog[[#Headers],[Check]]:GameLog[[#This Row],[Check]],"?*")-1)</f>
        <v/>
      </c>
      <c r="O1434" s="6" t="str">
        <f>IFERROR(INDEX(Players[New name],MATCH(GameLog[[#This Row],[Player]],Players[Name],0)),GameLog[[#This Row],[Player]])</f>
        <v>Arman H</v>
      </c>
    </row>
    <row r="1435" spans="1:15" x14ac:dyDescent="0.45">
      <c r="A1435" s="6" t="s">
        <v>49</v>
      </c>
      <c r="B1435" s="6" t="s">
        <v>53</v>
      </c>
      <c r="C1435" s="6">
        <v>2</v>
      </c>
      <c r="D1435" s="6">
        <v>4</v>
      </c>
      <c r="E1435" s="6">
        <v>1</v>
      </c>
      <c r="F1435" s="10">
        <v>46146</v>
      </c>
      <c r="G1435" s="6" t="str">
        <f>_xlfn.TEXTJOIN("|",TRUE,GameLog[[#This Row],[Pod]],TEXT(INT(GameLog[[#This Row],[Round]]),"yyyymmdd"),GameLog[[#This Row],[Date]])</f>
        <v>4|19000101|46146</v>
      </c>
      <c r="H1435" s="6">
        <f>COUNTIF(GameLog[Pod ID],GameLog[[#This Row],[Pod ID]])</f>
        <v>3</v>
      </c>
      <c r="I1435" s="6">
        <f>YEAR(GameLog[[#This Row],[Date]])</f>
        <v>2026</v>
      </c>
      <c r="J1435" s="6">
        <f>MONTH(GameLog[[#This Row],[Date]])</f>
        <v>5</v>
      </c>
      <c r="K1435" s="6" t="str">
        <f>IF(GameLog[[#This Row],[Date]]=MAX(GameLog[Date]),"Current","Previous")</f>
        <v>Previous</v>
      </c>
      <c r="L1435" s="6"/>
      <c r="M14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5" s="6" t="str">
        <f ca="1">IF(GameLog[[#This Row],[Check]]="","",COUNTIF(GameLog[[#Headers],[Check]]:GameLog[[#This Row],[Check]],"?*")-1)</f>
        <v/>
      </c>
      <c r="O1435" s="6" t="str">
        <f>IFERROR(INDEX(Players[New name],MATCH(GameLog[[#This Row],[Player]],Players[Name],0)),GameLog[[#This Row],[Player]])</f>
        <v>Brett R</v>
      </c>
    </row>
    <row r="1436" spans="1:15" x14ac:dyDescent="0.45">
      <c r="A1436" s="6" t="s">
        <v>73</v>
      </c>
      <c r="B1436" s="6" t="s">
        <v>50</v>
      </c>
      <c r="C1436" s="6">
        <v>3</v>
      </c>
      <c r="D1436" s="6">
        <v>4</v>
      </c>
      <c r="E1436" s="6">
        <v>1</v>
      </c>
      <c r="F1436" s="10">
        <v>46146</v>
      </c>
      <c r="G1436" s="6" t="str">
        <f>_xlfn.TEXTJOIN("|",TRUE,GameLog[[#This Row],[Pod]],TEXT(INT(GameLog[[#This Row],[Round]]),"yyyymmdd"),GameLog[[#This Row],[Date]])</f>
        <v>4|19000101|46146</v>
      </c>
      <c r="H1436" s="6">
        <f>COUNTIF(GameLog[Pod ID],GameLog[[#This Row],[Pod ID]])</f>
        <v>3</v>
      </c>
      <c r="I1436" s="6">
        <f>YEAR(GameLog[[#This Row],[Date]])</f>
        <v>2026</v>
      </c>
      <c r="J1436" s="6">
        <f>MONTH(GameLog[[#This Row],[Date]])</f>
        <v>5</v>
      </c>
      <c r="K1436" s="6" t="str">
        <f>IF(GameLog[[#This Row],[Date]]=MAX(GameLog[Date]),"Current","Previous")</f>
        <v>Previous</v>
      </c>
      <c r="L1436" s="6"/>
      <c r="M14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6" s="6" t="str">
        <f ca="1">IF(GameLog[[#This Row],[Check]]="","",COUNTIF(GameLog[[#Headers],[Check]]:GameLog[[#This Row],[Check]],"?*")-1)</f>
        <v/>
      </c>
      <c r="O1436" s="6" t="str">
        <f>IFERROR(INDEX(Players[New name],MATCH(GameLog[[#This Row],[Player]],Players[Name],0)),GameLog[[#This Row],[Player]])</f>
        <v>Brandon B</v>
      </c>
    </row>
    <row r="1437" spans="1:15" x14ac:dyDescent="0.45">
      <c r="A1437" s="6" t="s">
        <v>55</v>
      </c>
      <c r="B1437" s="6" t="s">
        <v>90</v>
      </c>
      <c r="C1437" s="6">
        <v>1</v>
      </c>
      <c r="D1437" s="6">
        <v>1</v>
      </c>
      <c r="E1437" s="6">
        <v>2</v>
      </c>
      <c r="F1437" s="10">
        <v>46146</v>
      </c>
      <c r="G1437" s="6" t="str">
        <f>_xlfn.TEXTJOIN("|",TRUE,GameLog[[#This Row],[Pod]],TEXT(INT(GameLog[[#This Row],[Round]]),"yyyymmdd"),GameLog[[#This Row],[Date]])</f>
        <v>1|19000102|46146</v>
      </c>
      <c r="H1437" s="6">
        <f>COUNTIF(GameLog[Pod ID],GameLog[[#This Row],[Pod ID]])</f>
        <v>4</v>
      </c>
      <c r="I1437" s="6">
        <f>YEAR(GameLog[[#This Row],[Date]])</f>
        <v>2026</v>
      </c>
      <c r="J1437" s="6">
        <f>MONTH(GameLog[[#This Row],[Date]])</f>
        <v>5</v>
      </c>
      <c r="K1437" s="6" t="str">
        <f>IF(GameLog[[#This Row],[Date]]=MAX(GameLog[Date]),"Current","Previous")</f>
        <v>Previous</v>
      </c>
      <c r="L1437" s="6"/>
      <c r="M14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7" s="6" t="str">
        <f ca="1">IF(GameLog[[#This Row],[Check]]="","",COUNTIF(GameLog[[#Headers],[Check]]:GameLog[[#This Row],[Check]],"?*")-1)</f>
        <v/>
      </c>
      <c r="O1437" s="6" t="str">
        <f>IFERROR(INDEX(Players[New name],MATCH(GameLog[[#This Row],[Player]],Players[Name],0)),GameLog[[#This Row],[Player]])</f>
        <v>Bryce C</v>
      </c>
    </row>
    <row r="1438" spans="1:15" x14ac:dyDescent="0.45">
      <c r="A1438" s="6" t="s">
        <v>57</v>
      </c>
      <c r="B1438" s="6" t="s">
        <v>90</v>
      </c>
      <c r="C1438" s="6">
        <v>2</v>
      </c>
      <c r="D1438" s="6">
        <v>1</v>
      </c>
      <c r="E1438" s="6">
        <v>2</v>
      </c>
      <c r="F1438" s="10">
        <v>46146</v>
      </c>
      <c r="G1438" s="6" t="str">
        <f>_xlfn.TEXTJOIN("|",TRUE,GameLog[[#This Row],[Pod]],TEXT(INT(GameLog[[#This Row],[Round]]),"yyyymmdd"),GameLog[[#This Row],[Date]])</f>
        <v>1|19000102|46146</v>
      </c>
      <c r="H1438" s="6">
        <f>COUNTIF(GameLog[Pod ID],GameLog[[#This Row],[Pod ID]])</f>
        <v>4</v>
      </c>
      <c r="I1438" s="6">
        <f>YEAR(GameLog[[#This Row],[Date]])</f>
        <v>2026</v>
      </c>
      <c r="J1438" s="6">
        <f>MONTH(GameLog[[#This Row],[Date]])</f>
        <v>5</v>
      </c>
      <c r="K1438" s="6" t="str">
        <f>IF(GameLog[[#This Row],[Date]]=MAX(GameLog[Date]),"Current","Previous")</f>
        <v>Previous</v>
      </c>
      <c r="L1438" s="6"/>
      <c r="M14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8" s="6" t="str">
        <f ca="1">IF(GameLog[[#This Row],[Check]]="","",COUNTIF(GameLog[[#Headers],[Check]]:GameLog[[#This Row],[Check]],"?*")-1)</f>
        <v/>
      </c>
      <c r="O1438" s="6" t="str">
        <f>IFERROR(INDEX(Players[New name],MATCH(GameLog[[#This Row],[Player]],Players[Name],0)),GameLog[[#This Row],[Player]])</f>
        <v>AJ W</v>
      </c>
    </row>
    <row r="1439" spans="1:15" x14ac:dyDescent="0.45">
      <c r="A1439" s="6" t="s">
        <v>73</v>
      </c>
      <c r="B1439" s="6" t="s">
        <v>90</v>
      </c>
      <c r="C1439" s="6">
        <v>3</v>
      </c>
      <c r="D1439" s="6">
        <v>1</v>
      </c>
      <c r="E1439" s="6">
        <v>2</v>
      </c>
      <c r="F1439" s="10">
        <v>46146</v>
      </c>
      <c r="G1439" s="6" t="str">
        <f>_xlfn.TEXTJOIN("|",TRUE,GameLog[[#This Row],[Pod]],TEXT(INT(GameLog[[#This Row],[Round]]),"yyyymmdd"),GameLog[[#This Row],[Date]])</f>
        <v>1|19000102|46146</v>
      </c>
      <c r="H1439" s="6">
        <f>COUNTIF(GameLog[Pod ID],GameLog[[#This Row],[Pod ID]])</f>
        <v>4</v>
      </c>
      <c r="I1439" s="6">
        <f>YEAR(GameLog[[#This Row],[Date]])</f>
        <v>2026</v>
      </c>
      <c r="J1439" s="6">
        <f>MONTH(GameLog[[#This Row],[Date]])</f>
        <v>5</v>
      </c>
      <c r="K1439" s="6" t="str">
        <f>IF(GameLog[[#This Row],[Date]]=MAX(GameLog[Date]),"Current","Previous")</f>
        <v>Previous</v>
      </c>
      <c r="L1439" s="6"/>
      <c r="M14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39" s="6" t="str">
        <f ca="1">IF(GameLog[[#This Row],[Check]]="","",COUNTIF(GameLog[[#Headers],[Check]]:GameLog[[#This Row],[Check]],"?*")-1)</f>
        <v/>
      </c>
      <c r="O1439" s="6" t="str">
        <f>IFERROR(INDEX(Players[New name],MATCH(GameLog[[#This Row],[Player]],Players[Name],0)),GameLog[[#This Row],[Player]])</f>
        <v>Brandon B</v>
      </c>
    </row>
    <row r="1440" spans="1:15" x14ac:dyDescent="0.45">
      <c r="A1440" s="6" t="s">
        <v>59</v>
      </c>
      <c r="B1440" s="6" t="s">
        <v>90</v>
      </c>
      <c r="C1440" s="6">
        <v>4</v>
      </c>
      <c r="D1440" s="6">
        <v>1</v>
      </c>
      <c r="E1440" s="6">
        <v>2</v>
      </c>
      <c r="F1440" s="10">
        <v>46146</v>
      </c>
      <c r="G1440" s="6" t="str">
        <f>_xlfn.TEXTJOIN("|",TRUE,GameLog[[#This Row],[Pod]],TEXT(INT(GameLog[[#This Row],[Round]]),"yyyymmdd"),GameLog[[#This Row],[Date]])</f>
        <v>1|19000102|46146</v>
      </c>
      <c r="H1440" s="6">
        <f>COUNTIF(GameLog[Pod ID],GameLog[[#This Row],[Pod ID]])</f>
        <v>4</v>
      </c>
      <c r="I1440" s="6">
        <f>YEAR(GameLog[[#This Row],[Date]])</f>
        <v>2026</v>
      </c>
      <c r="J1440" s="6">
        <f>MONTH(GameLog[[#This Row],[Date]])</f>
        <v>5</v>
      </c>
      <c r="K1440" s="6" t="str">
        <f>IF(GameLog[[#This Row],[Date]]=MAX(GameLog[Date]),"Current","Previous")</f>
        <v>Previous</v>
      </c>
      <c r="L1440" s="6"/>
      <c r="M14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0" s="6" t="str">
        <f ca="1">IF(GameLog[[#This Row],[Check]]="","",COUNTIF(GameLog[[#Headers],[Check]]:GameLog[[#This Row],[Check]],"?*")-1)</f>
        <v/>
      </c>
      <c r="O1440" s="6" t="str">
        <f>IFERROR(INDEX(Players[New name],MATCH(GameLog[[#This Row],[Player]],Players[Name],0)),GameLog[[#This Row],[Player]])</f>
        <v>Zack B</v>
      </c>
    </row>
    <row r="1441" spans="1:15" x14ac:dyDescent="0.45">
      <c r="A1441" s="6" t="s">
        <v>104</v>
      </c>
      <c r="B1441" s="6" t="s">
        <v>53</v>
      </c>
      <c r="C1441" s="6">
        <v>1</v>
      </c>
      <c r="D1441" s="6">
        <v>2</v>
      </c>
      <c r="E1441" s="6">
        <v>2</v>
      </c>
      <c r="F1441" s="10">
        <v>46146</v>
      </c>
      <c r="G1441" s="6" t="str">
        <f>_xlfn.TEXTJOIN("|",TRUE,GameLog[[#This Row],[Pod]],TEXT(INT(GameLog[[#This Row],[Round]]),"yyyymmdd"),GameLog[[#This Row],[Date]])</f>
        <v>2|19000102|46146</v>
      </c>
      <c r="H1441" s="6">
        <f>COUNTIF(GameLog[Pod ID],GameLog[[#This Row],[Pod ID]])</f>
        <v>3</v>
      </c>
      <c r="I1441" s="6">
        <f>YEAR(GameLog[[#This Row],[Date]])</f>
        <v>2026</v>
      </c>
      <c r="J1441" s="6">
        <f>MONTH(GameLog[[#This Row],[Date]])</f>
        <v>5</v>
      </c>
      <c r="K1441" s="6" t="str">
        <f>IF(GameLog[[#This Row],[Date]]=MAX(GameLog[Date]),"Current","Previous")</f>
        <v>Previous</v>
      </c>
      <c r="L1441" s="6"/>
      <c r="M14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1" s="6" t="str">
        <f ca="1">IF(GameLog[[#This Row],[Check]]="","",COUNTIF(GameLog[[#Headers],[Check]]:GameLog[[#This Row],[Check]],"?*")-1)</f>
        <v/>
      </c>
      <c r="O1441" s="6" t="str">
        <f>IFERROR(INDEX(Players[New name],MATCH(GameLog[[#This Row],[Player]],Players[Name],0)),GameLog[[#This Row],[Player]])</f>
        <v>Eric E</v>
      </c>
    </row>
    <row r="1442" spans="1:15" x14ac:dyDescent="0.45">
      <c r="A1442" s="6" t="s">
        <v>49</v>
      </c>
      <c r="B1442" s="6" t="s">
        <v>53</v>
      </c>
      <c r="C1442" s="6">
        <v>2</v>
      </c>
      <c r="D1442" s="6">
        <v>2</v>
      </c>
      <c r="E1442" s="6">
        <v>2</v>
      </c>
      <c r="F1442" s="10">
        <v>46146</v>
      </c>
      <c r="G1442" s="6" t="str">
        <f>_xlfn.TEXTJOIN("|",TRUE,GameLog[[#This Row],[Pod]],TEXT(INT(GameLog[[#This Row],[Round]]),"yyyymmdd"),GameLog[[#This Row],[Date]])</f>
        <v>2|19000102|46146</v>
      </c>
      <c r="H1442" s="6">
        <f>COUNTIF(GameLog[Pod ID],GameLog[[#This Row],[Pod ID]])</f>
        <v>3</v>
      </c>
      <c r="I1442" s="6">
        <f>YEAR(GameLog[[#This Row],[Date]])</f>
        <v>2026</v>
      </c>
      <c r="J1442" s="6">
        <f>MONTH(GameLog[[#This Row],[Date]])</f>
        <v>5</v>
      </c>
      <c r="K1442" s="6" t="str">
        <f>IF(GameLog[[#This Row],[Date]]=MAX(GameLog[Date]),"Current","Previous")</f>
        <v>Previous</v>
      </c>
      <c r="L1442" s="6"/>
      <c r="M14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2" s="6" t="str">
        <f ca="1">IF(GameLog[[#This Row],[Check]]="","",COUNTIF(GameLog[[#Headers],[Check]]:GameLog[[#This Row],[Check]],"?*")-1)</f>
        <v/>
      </c>
      <c r="O1442" s="6" t="str">
        <f>IFERROR(INDEX(Players[New name],MATCH(GameLog[[#This Row],[Player]],Players[Name],0)),GameLog[[#This Row],[Player]])</f>
        <v>Brett R</v>
      </c>
    </row>
    <row r="1443" spans="1:15" x14ac:dyDescent="0.45">
      <c r="A1443" s="6" t="s">
        <v>63</v>
      </c>
      <c r="B1443" s="6" t="s">
        <v>50</v>
      </c>
      <c r="C1443" s="6">
        <v>3</v>
      </c>
      <c r="D1443" s="6">
        <v>2</v>
      </c>
      <c r="E1443" s="6">
        <v>2</v>
      </c>
      <c r="F1443" s="10">
        <v>46146</v>
      </c>
      <c r="G1443" s="6" t="str">
        <f>_xlfn.TEXTJOIN("|",TRUE,GameLog[[#This Row],[Pod]],TEXT(INT(GameLog[[#This Row],[Round]]),"yyyymmdd"),GameLog[[#This Row],[Date]])</f>
        <v>2|19000102|46146</v>
      </c>
      <c r="H1443" s="6">
        <f>COUNTIF(GameLog[Pod ID],GameLog[[#This Row],[Pod ID]])</f>
        <v>3</v>
      </c>
      <c r="I1443" s="6">
        <f>YEAR(GameLog[[#This Row],[Date]])</f>
        <v>2026</v>
      </c>
      <c r="J1443" s="6">
        <f>MONTH(GameLog[[#This Row],[Date]])</f>
        <v>5</v>
      </c>
      <c r="K1443" s="6" t="str">
        <f>IF(GameLog[[#This Row],[Date]]=MAX(GameLog[Date]),"Current","Previous")</f>
        <v>Previous</v>
      </c>
      <c r="L1443" s="6"/>
      <c r="M14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3" s="6" t="str">
        <f ca="1">IF(GameLog[[#This Row],[Check]]="","",COUNTIF(GameLog[[#Headers],[Check]]:GameLog[[#This Row],[Check]],"?*")-1)</f>
        <v/>
      </c>
      <c r="O1443" s="6" t="str">
        <f>IFERROR(INDEX(Players[New name],MATCH(GameLog[[#This Row],[Player]],Players[Name],0)),GameLog[[#This Row],[Player]])</f>
        <v>Jake D</v>
      </c>
    </row>
    <row r="1444" spans="1:15" x14ac:dyDescent="0.45">
      <c r="A1444" s="6" t="s">
        <v>61</v>
      </c>
      <c r="B1444" s="6" t="s">
        <v>50</v>
      </c>
      <c r="C1444" s="6">
        <v>1</v>
      </c>
      <c r="D1444" s="6">
        <v>3</v>
      </c>
      <c r="E1444" s="6">
        <v>2</v>
      </c>
      <c r="F1444" s="10">
        <v>46146</v>
      </c>
      <c r="G1444" s="6" t="str">
        <f>_xlfn.TEXTJOIN("|",TRUE,GameLog[[#This Row],[Pod]],TEXT(INT(GameLog[[#This Row],[Round]]),"yyyymmdd"),GameLog[[#This Row],[Date]])</f>
        <v>3|19000102|46146</v>
      </c>
      <c r="H1444" s="6">
        <f>COUNTIF(GameLog[Pod ID],GameLog[[#This Row],[Pod ID]])</f>
        <v>3</v>
      </c>
      <c r="I1444" s="6">
        <f>YEAR(GameLog[[#This Row],[Date]])</f>
        <v>2026</v>
      </c>
      <c r="J1444" s="6">
        <f>MONTH(GameLog[[#This Row],[Date]])</f>
        <v>5</v>
      </c>
      <c r="K1444" s="6" t="str">
        <f>IF(GameLog[[#This Row],[Date]]=MAX(GameLog[Date]),"Current","Previous")</f>
        <v>Previous</v>
      </c>
      <c r="L1444" s="6"/>
      <c r="M14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4" s="6" t="str">
        <f ca="1">IF(GameLog[[#This Row],[Check]]="","",COUNTIF(GameLog[[#Headers],[Check]]:GameLog[[#This Row],[Check]],"?*")-1)</f>
        <v/>
      </c>
      <c r="O1444" s="6" t="str">
        <f>IFERROR(INDEX(Players[New name],MATCH(GameLog[[#This Row],[Player]],Players[Name],0)),GameLog[[#This Row],[Player]])</f>
        <v>Trevor</v>
      </c>
    </row>
    <row r="1445" spans="1:15" x14ac:dyDescent="0.45">
      <c r="A1445" s="6" t="s">
        <v>60</v>
      </c>
      <c r="B1445" s="6" t="s">
        <v>53</v>
      </c>
      <c r="C1445" s="6">
        <v>2</v>
      </c>
      <c r="D1445" s="6">
        <v>3</v>
      </c>
      <c r="E1445" s="6">
        <v>2</v>
      </c>
      <c r="F1445" s="10">
        <v>46146</v>
      </c>
      <c r="G1445" s="6" t="str">
        <f>_xlfn.TEXTJOIN("|",TRUE,GameLog[[#This Row],[Pod]],TEXT(INT(GameLog[[#This Row],[Round]]),"yyyymmdd"),GameLog[[#This Row],[Date]])</f>
        <v>3|19000102|46146</v>
      </c>
      <c r="H1445" s="6">
        <f>COUNTIF(GameLog[Pod ID],GameLog[[#This Row],[Pod ID]])</f>
        <v>3</v>
      </c>
      <c r="I1445" s="6">
        <f>YEAR(GameLog[[#This Row],[Date]])</f>
        <v>2026</v>
      </c>
      <c r="J1445" s="6">
        <f>MONTH(GameLog[[#This Row],[Date]])</f>
        <v>5</v>
      </c>
      <c r="K1445" s="6" t="str">
        <f>IF(GameLog[[#This Row],[Date]]=MAX(GameLog[Date]),"Current","Previous")</f>
        <v>Previous</v>
      </c>
      <c r="L1445" s="6"/>
      <c r="M14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5" s="6" t="str">
        <f ca="1">IF(GameLog[[#This Row],[Check]]="","",COUNTIF(GameLog[[#Headers],[Check]]:GameLog[[#This Row],[Check]],"?*")-1)</f>
        <v/>
      </c>
      <c r="O1445" s="6" t="str">
        <f>IFERROR(INDEX(Players[New name],MATCH(GameLog[[#This Row],[Player]],Players[Name],0)),GameLog[[#This Row],[Player]])</f>
        <v>Brendan H</v>
      </c>
    </row>
    <row r="1446" spans="1:15" x14ac:dyDescent="0.45">
      <c r="A1446" s="6" t="s">
        <v>77</v>
      </c>
      <c r="B1446" s="6" t="s">
        <v>53</v>
      </c>
      <c r="C1446" s="6">
        <v>3</v>
      </c>
      <c r="D1446" s="6">
        <v>3</v>
      </c>
      <c r="E1446" s="6">
        <v>2</v>
      </c>
      <c r="F1446" s="10">
        <v>46146</v>
      </c>
      <c r="G1446" s="6" t="str">
        <f>_xlfn.TEXTJOIN("|",TRUE,GameLog[[#This Row],[Pod]],TEXT(INT(GameLog[[#This Row],[Round]]),"yyyymmdd"),GameLog[[#This Row],[Date]])</f>
        <v>3|19000102|46146</v>
      </c>
      <c r="H1446" s="6">
        <f>COUNTIF(GameLog[Pod ID],GameLog[[#This Row],[Pod ID]])</f>
        <v>3</v>
      </c>
      <c r="I1446" s="6">
        <f>YEAR(GameLog[[#This Row],[Date]])</f>
        <v>2026</v>
      </c>
      <c r="J1446" s="6">
        <f>MONTH(GameLog[[#This Row],[Date]])</f>
        <v>5</v>
      </c>
      <c r="K1446" s="6" t="str">
        <f>IF(GameLog[[#This Row],[Date]]=MAX(GameLog[Date]),"Current","Previous")</f>
        <v>Previous</v>
      </c>
      <c r="L1446" s="6"/>
      <c r="M14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6" s="6" t="str">
        <f ca="1">IF(GameLog[[#This Row],[Check]]="","",COUNTIF(GameLog[[#Headers],[Check]]:GameLog[[#This Row],[Check]],"?*")-1)</f>
        <v/>
      </c>
      <c r="O1446" s="6" t="str">
        <f>IFERROR(INDEX(Players[New name],MATCH(GameLog[[#This Row],[Player]],Players[Name],0)),GameLog[[#This Row],[Player]])</f>
        <v>Dave M</v>
      </c>
    </row>
    <row r="1447" spans="1:15" x14ac:dyDescent="0.45">
      <c r="A1447" s="6" t="s">
        <v>75</v>
      </c>
      <c r="B1447" s="6" t="s">
        <v>53</v>
      </c>
      <c r="C1447" s="6">
        <v>1</v>
      </c>
      <c r="D1447" s="6">
        <v>4</v>
      </c>
      <c r="E1447" s="6">
        <v>2</v>
      </c>
      <c r="F1447" s="10">
        <v>46146</v>
      </c>
      <c r="G1447" s="6" t="str">
        <f>_xlfn.TEXTJOIN("|",TRUE,GameLog[[#This Row],[Pod]],TEXT(INT(GameLog[[#This Row],[Round]]),"yyyymmdd"),GameLog[[#This Row],[Date]])</f>
        <v>4|19000102|46146</v>
      </c>
      <c r="H1447" s="6">
        <f>COUNTIF(GameLog[Pod ID],GameLog[[#This Row],[Pod ID]])</f>
        <v>3</v>
      </c>
      <c r="I1447" s="6">
        <f>YEAR(GameLog[[#This Row],[Date]])</f>
        <v>2026</v>
      </c>
      <c r="J1447" s="6">
        <f>MONTH(GameLog[[#This Row],[Date]])</f>
        <v>5</v>
      </c>
      <c r="K1447" s="6" t="str">
        <f>IF(GameLog[[#This Row],[Date]]=MAX(GameLog[Date]),"Current","Previous")</f>
        <v>Previous</v>
      </c>
      <c r="L1447" s="6"/>
      <c r="M14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7" s="6" t="str">
        <f ca="1">IF(GameLog[[#This Row],[Check]]="","",COUNTIF(GameLog[[#Headers],[Check]]:GameLog[[#This Row],[Check]],"?*")-1)</f>
        <v/>
      </c>
      <c r="O1447" s="6" t="str">
        <f>IFERROR(INDEX(Players[New name],MATCH(GameLog[[#This Row],[Player]],Players[Name],0)),GameLog[[#This Row],[Player]])</f>
        <v>Eli T</v>
      </c>
    </row>
    <row r="1448" spans="1:15" x14ac:dyDescent="0.45">
      <c r="A1448" s="6" t="s">
        <v>97</v>
      </c>
      <c r="B1448" s="6" t="s">
        <v>50</v>
      </c>
      <c r="C1448" s="6">
        <v>2</v>
      </c>
      <c r="D1448" s="6">
        <v>4</v>
      </c>
      <c r="E1448" s="6">
        <v>2</v>
      </c>
      <c r="F1448" s="10">
        <v>46146</v>
      </c>
      <c r="G1448" s="6" t="str">
        <f>_xlfn.TEXTJOIN("|",TRUE,GameLog[[#This Row],[Pod]],TEXT(INT(GameLog[[#This Row],[Round]]),"yyyymmdd"),GameLog[[#This Row],[Date]])</f>
        <v>4|19000102|46146</v>
      </c>
      <c r="H1448" s="6">
        <f>COUNTIF(GameLog[Pod ID],GameLog[[#This Row],[Pod ID]])</f>
        <v>3</v>
      </c>
      <c r="I1448" s="6">
        <f>YEAR(GameLog[[#This Row],[Date]])</f>
        <v>2026</v>
      </c>
      <c r="J1448" s="6">
        <f>MONTH(GameLog[[#This Row],[Date]])</f>
        <v>5</v>
      </c>
      <c r="K1448" s="6" t="str">
        <f>IF(GameLog[[#This Row],[Date]]=MAX(GameLog[Date]),"Current","Previous")</f>
        <v>Previous</v>
      </c>
      <c r="L1448" s="6"/>
      <c r="M14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8" s="6" t="str">
        <f ca="1">IF(GameLog[[#This Row],[Check]]="","",COUNTIF(GameLog[[#Headers],[Check]]:GameLog[[#This Row],[Check]],"?*")-1)</f>
        <v/>
      </c>
      <c r="O1448" s="6" t="str">
        <f>IFERROR(INDEX(Players[New name],MATCH(GameLog[[#This Row],[Player]],Players[Name],0)),GameLog[[#This Row],[Player]])</f>
        <v>Arman H</v>
      </c>
    </row>
    <row r="1449" spans="1:15" x14ac:dyDescent="0.45">
      <c r="A1449" s="6" t="s">
        <v>98</v>
      </c>
      <c r="B1449" s="6" t="s">
        <v>53</v>
      </c>
      <c r="C1449" s="6">
        <v>3</v>
      </c>
      <c r="D1449" s="6">
        <v>4</v>
      </c>
      <c r="E1449" s="6">
        <v>2</v>
      </c>
      <c r="F1449" s="10">
        <v>46146</v>
      </c>
      <c r="G1449" s="6" t="str">
        <f>_xlfn.TEXTJOIN("|",TRUE,GameLog[[#This Row],[Pod]],TEXT(INT(GameLog[[#This Row],[Round]]),"yyyymmdd"),GameLog[[#This Row],[Date]])</f>
        <v>4|19000102|46146</v>
      </c>
      <c r="H1449" s="6">
        <f>COUNTIF(GameLog[Pod ID],GameLog[[#This Row],[Pod ID]])</f>
        <v>3</v>
      </c>
      <c r="I1449" s="6">
        <f>YEAR(GameLog[[#This Row],[Date]])</f>
        <v>2026</v>
      </c>
      <c r="J1449" s="6">
        <f>MONTH(GameLog[[#This Row],[Date]])</f>
        <v>5</v>
      </c>
      <c r="K1449" s="6" t="str">
        <f>IF(GameLog[[#This Row],[Date]]=MAX(GameLog[Date]),"Current","Previous")</f>
        <v>Previous</v>
      </c>
      <c r="L1449" s="6"/>
      <c r="M14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49" s="6" t="str">
        <f ca="1">IF(GameLog[[#This Row],[Check]]="","",COUNTIF(GameLog[[#Headers],[Check]]:GameLog[[#This Row],[Check]],"?*")-1)</f>
        <v/>
      </c>
      <c r="O1449" s="6" t="str">
        <f>IFERROR(INDEX(Players[New name],MATCH(GameLog[[#This Row],[Player]],Players[Name],0)),GameLog[[#This Row],[Player]])</f>
        <v>Charlie B</v>
      </c>
    </row>
    <row r="1450" spans="1:15" x14ac:dyDescent="0.45">
      <c r="A1450" s="6" t="s">
        <v>58</v>
      </c>
      <c r="B1450" s="6" t="s">
        <v>90</v>
      </c>
      <c r="C1450" s="6">
        <v>1</v>
      </c>
      <c r="D1450" s="6">
        <v>1</v>
      </c>
      <c r="E1450" s="6">
        <v>1</v>
      </c>
      <c r="F1450" s="10">
        <v>46153</v>
      </c>
      <c r="G1450" s="6" t="str">
        <f>_xlfn.TEXTJOIN("|",TRUE,GameLog[[#This Row],[Pod]],TEXT(INT(GameLog[[#This Row],[Round]]),"yyyymmdd"),GameLog[[#This Row],[Date]])</f>
        <v>1|19000101|46153</v>
      </c>
      <c r="H1450" s="6">
        <f>COUNTIF(GameLog[Pod ID],GameLog[[#This Row],[Pod ID]])</f>
        <v>4</v>
      </c>
      <c r="I1450" s="6">
        <f>YEAR(GameLog[[#This Row],[Date]])</f>
        <v>2026</v>
      </c>
      <c r="J1450" s="6">
        <f>MONTH(GameLog[[#This Row],[Date]])</f>
        <v>5</v>
      </c>
      <c r="K1450" s="6" t="str">
        <f>IF(GameLog[[#This Row],[Date]]=MAX(GameLog[Date]),"Current","Previous")</f>
        <v>Previous</v>
      </c>
      <c r="L1450" s="6"/>
      <c r="M14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0" s="6" t="str">
        <f ca="1">IF(GameLog[[#This Row],[Check]]="","",COUNTIF(GameLog[[#Headers],[Check]]:GameLog[[#This Row],[Check]],"?*")-1)</f>
        <v/>
      </c>
      <c r="O1450" s="6" t="str">
        <f>IFERROR(INDEX(Players[New name],MATCH(GameLog[[#This Row],[Player]],Players[Name],0)),GameLog[[#This Row],[Player]])</f>
        <v>Dakota P</v>
      </c>
    </row>
    <row r="1451" spans="1:15" x14ac:dyDescent="0.45">
      <c r="A1451" s="6" t="s">
        <v>55</v>
      </c>
      <c r="B1451" s="6" t="s">
        <v>90</v>
      </c>
      <c r="C1451" s="6">
        <v>2</v>
      </c>
      <c r="D1451" s="6">
        <v>1</v>
      </c>
      <c r="E1451" s="6">
        <v>1</v>
      </c>
      <c r="F1451" s="10">
        <v>46153</v>
      </c>
      <c r="G1451" s="6" t="str">
        <f>_xlfn.TEXTJOIN("|",TRUE,GameLog[[#This Row],[Pod]],TEXT(INT(GameLog[[#This Row],[Round]]),"yyyymmdd"),GameLog[[#This Row],[Date]])</f>
        <v>1|19000101|46153</v>
      </c>
      <c r="H1451" s="6">
        <f>COUNTIF(GameLog[Pod ID],GameLog[[#This Row],[Pod ID]])</f>
        <v>4</v>
      </c>
      <c r="I1451" s="6">
        <f>YEAR(GameLog[[#This Row],[Date]])</f>
        <v>2026</v>
      </c>
      <c r="J1451" s="6">
        <f>MONTH(GameLog[[#This Row],[Date]])</f>
        <v>5</v>
      </c>
      <c r="K1451" s="6" t="str">
        <f>IF(GameLog[[#This Row],[Date]]=MAX(GameLog[Date]),"Current","Previous")</f>
        <v>Previous</v>
      </c>
      <c r="L1451" s="6"/>
      <c r="M14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1" s="6" t="str">
        <f ca="1">IF(GameLog[[#This Row],[Check]]="","",COUNTIF(GameLog[[#Headers],[Check]]:GameLog[[#This Row],[Check]],"?*")-1)</f>
        <v/>
      </c>
      <c r="O1451" s="6" t="str">
        <f>IFERROR(INDEX(Players[New name],MATCH(GameLog[[#This Row],[Player]],Players[Name],0)),GameLog[[#This Row],[Player]])</f>
        <v>Bryce C</v>
      </c>
    </row>
    <row r="1452" spans="1:15" x14ac:dyDescent="0.45">
      <c r="A1452" s="6" t="s">
        <v>98</v>
      </c>
      <c r="B1452" s="6" t="s">
        <v>90</v>
      </c>
      <c r="C1452" s="6">
        <v>3</v>
      </c>
      <c r="D1452" s="6">
        <v>1</v>
      </c>
      <c r="E1452" s="6">
        <v>1</v>
      </c>
      <c r="F1452" s="10">
        <v>46153</v>
      </c>
      <c r="G1452" s="6" t="str">
        <f>_xlfn.TEXTJOIN("|",TRUE,GameLog[[#This Row],[Pod]],TEXT(INT(GameLog[[#This Row],[Round]]),"yyyymmdd"),GameLog[[#This Row],[Date]])</f>
        <v>1|19000101|46153</v>
      </c>
      <c r="H1452" s="6">
        <f>COUNTIF(GameLog[Pod ID],GameLog[[#This Row],[Pod ID]])</f>
        <v>4</v>
      </c>
      <c r="I1452" s="6">
        <f>YEAR(GameLog[[#This Row],[Date]])</f>
        <v>2026</v>
      </c>
      <c r="J1452" s="6">
        <f>MONTH(GameLog[[#This Row],[Date]])</f>
        <v>5</v>
      </c>
      <c r="K1452" s="6" t="str">
        <f>IF(GameLog[[#This Row],[Date]]=MAX(GameLog[Date]),"Current","Previous")</f>
        <v>Previous</v>
      </c>
      <c r="L1452" s="6"/>
      <c r="M14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2" s="6" t="str">
        <f ca="1">IF(GameLog[[#This Row],[Check]]="","",COUNTIF(GameLog[[#Headers],[Check]]:GameLog[[#This Row],[Check]],"?*")-1)</f>
        <v/>
      </c>
      <c r="O1452" s="6" t="str">
        <f>IFERROR(INDEX(Players[New name],MATCH(GameLog[[#This Row],[Player]],Players[Name],0)),GameLog[[#This Row],[Player]])</f>
        <v>Charlie B</v>
      </c>
    </row>
    <row r="1453" spans="1:15" x14ac:dyDescent="0.45">
      <c r="A1453" s="6" t="s">
        <v>73</v>
      </c>
      <c r="B1453" s="6" t="s">
        <v>90</v>
      </c>
      <c r="C1453" s="6">
        <v>4</v>
      </c>
      <c r="D1453" s="6">
        <v>1</v>
      </c>
      <c r="E1453" s="6">
        <v>1</v>
      </c>
      <c r="F1453" s="10">
        <v>46153</v>
      </c>
      <c r="G1453" s="6" t="str">
        <f>_xlfn.TEXTJOIN("|",TRUE,GameLog[[#This Row],[Pod]],TEXT(INT(GameLog[[#This Row],[Round]]),"yyyymmdd"),GameLog[[#This Row],[Date]])</f>
        <v>1|19000101|46153</v>
      </c>
      <c r="H1453" s="6">
        <f>COUNTIF(GameLog[Pod ID],GameLog[[#This Row],[Pod ID]])</f>
        <v>4</v>
      </c>
      <c r="I1453" s="6">
        <f>YEAR(GameLog[[#This Row],[Date]])</f>
        <v>2026</v>
      </c>
      <c r="J1453" s="6">
        <f>MONTH(GameLog[[#This Row],[Date]])</f>
        <v>5</v>
      </c>
      <c r="K1453" s="6" t="str">
        <f>IF(GameLog[[#This Row],[Date]]=MAX(GameLog[Date]),"Current","Previous")</f>
        <v>Previous</v>
      </c>
      <c r="L1453" s="6"/>
      <c r="M14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3" s="6" t="str">
        <f ca="1">IF(GameLog[[#This Row],[Check]]="","",COUNTIF(GameLog[[#Headers],[Check]]:GameLog[[#This Row],[Check]],"?*")-1)</f>
        <v/>
      </c>
      <c r="O1453" s="6" t="str">
        <f>IFERROR(INDEX(Players[New name],MATCH(GameLog[[#This Row],[Player]],Players[Name],0)),GameLog[[#This Row],[Player]])</f>
        <v>Brandon B</v>
      </c>
    </row>
    <row r="1454" spans="1:15" x14ac:dyDescent="0.45">
      <c r="A1454" s="6" t="s">
        <v>77</v>
      </c>
      <c r="B1454" s="6" t="s">
        <v>53</v>
      </c>
      <c r="C1454" s="6">
        <v>1</v>
      </c>
      <c r="D1454" s="6">
        <v>2</v>
      </c>
      <c r="E1454" s="6">
        <v>1</v>
      </c>
      <c r="F1454" s="10">
        <v>46153</v>
      </c>
      <c r="G1454" s="6" t="str">
        <f>_xlfn.TEXTJOIN("|",TRUE,GameLog[[#This Row],[Pod]],TEXT(INT(GameLog[[#This Row],[Round]]),"yyyymmdd"),GameLog[[#This Row],[Date]])</f>
        <v>2|19000101|46153</v>
      </c>
      <c r="H1454" s="6">
        <f>COUNTIF(GameLog[Pod ID],GameLog[[#This Row],[Pod ID]])</f>
        <v>4</v>
      </c>
      <c r="I1454" s="6">
        <f>YEAR(GameLog[[#This Row],[Date]])</f>
        <v>2026</v>
      </c>
      <c r="J1454" s="6">
        <f>MONTH(GameLog[[#This Row],[Date]])</f>
        <v>5</v>
      </c>
      <c r="K1454" s="6" t="str">
        <f>IF(GameLog[[#This Row],[Date]]=MAX(GameLog[Date]),"Current","Previous")</f>
        <v>Previous</v>
      </c>
      <c r="L1454" s="6"/>
      <c r="M14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4" s="6" t="str">
        <f ca="1">IF(GameLog[[#This Row],[Check]]="","",COUNTIF(GameLog[[#Headers],[Check]]:GameLog[[#This Row],[Check]],"?*")-1)</f>
        <v/>
      </c>
      <c r="O1454" s="6" t="str">
        <f>IFERROR(INDEX(Players[New name],MATCH(GameLog[[#This Row],[Player]],Players[Name],0)),GameLog[[#This Row],[Player]])</f>
        <v>Dave M</v>
      </c>
    </row>
    <row r="1455" spans="1:15" x14ac:dyDescent="0.45">
      <c r="A1455" s="6" t="s">
        <v>59</v>
      </c>
      <c r="B1455" s="6" t="s">
        <v>50</v>
      </c>
      <c r="C1455" s="6">
        <v>2</v>
      </c>
      <c r="D1455" s="6">
        <v>2</v>
      </c>
      <c r="E1455" s="6">
        <v>1</v>
      </c>
      <c r="F1455" s="10">
        <v>46153</v>
      </c>
      <c r="G1455" s="6" t="str">
        <f>_xlfn.TEXTJOIN("|",TRUE,GameLog[[#This Row],[Pod]],TEXT(INT(GameLog[[#This Row],[Round]]),"yyyymmdd"),GameLog[[#This Row],[Date]])</f>
        <v>2|19000101|46153</v>
      </c>
      <c r="H1455" s="6">
        <f>COUNTIF(GameLog[Pod ID],GameLog[[#This Row],[Pod ID]])</f>
        <v>4</v>
      </c>
      <c r="I1455" s="6">
        <f>YEAR(GameLog[[#This Row],[Date]])</f>
        <v>2026</v>
      </c>
      <c r="J1455" s="6">
        <f>MONTH(GameLog[[#This Row],[Date]])</f>
        <v>5</v>
      </c>
      <c r="K1455" s="6" t="str">
        <f>IF(GameLog[[#This Row],[Date]]=MAX(GameLog[Date]),"Current","Previous")</f>
        <v>Previous</v>
      </c>
      <c r="L1455" s="6"/>
      <c r="M14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5" s="6" t="str">
        <f ca="1">IF(GameLog[[#This Row],[Check]]="","",COUNTIF(GameLog[[#Headers],[Check]]:GameLog[[#This Row],[Check]],"?*")-1)</f>
        <v/>
      </c>
      <c r="O1455" s="6" t="str">
        <f>IFERROR(INDEX(Players[New name],MATCH(GameLog[[#This Row],[Player]],Players[Name],0)),GameLog[[#This Row],[Player]])</f>
        <v>Zack B</v>
      </c>
    </row>
    <row r="1456" spans="1:15" x14ac:dyDescent="0.45">
      <c r="A1456" s="6" t="s">
        <v>52</v>
      </c>
      <c r="B1456" s="6" t="s">
        <v>53</v>
      </c>
      <c r="C1456" s="6">
        <v>3</v>
      </c>
      <c r="D1456" s="6">
        <v>2</v>
      </c>
      <c r="E1456" s="6">
        <v>1</v>
      </c>
      <c r="F1456" s="10">
        <v>46153</v>
      </c>
      <c r="G1456" s="6" t="str">
        <f>_xlfn.TEXTJOIN("|",TRUE,GameLog[[#This Row],[Pod]],TEXT(INT(GameLog[[#This Row],[Round]]),"yyyymmdd"),GameLog[[#This Row],[Date]])</f>
        <v>2|19000101|46153</v>
      </c>
      <c r="H1456" s="6">
        <f>COUNTIF(GameLog[Pod ID],GameLog[[#This Row],[Pod ID]])</f>
        <v>4</v>
      </c>
      <c r="I1456" s="6">
        <f>YEAR(GameLog[[#This Row],[Date]])</f>
        <v>2026</v>
      </c>
      <c r="J1456" s="6">
        <f>MONTH(GameLog[[#This Row],[Date]])</f>
        <v>5</v>
      </c>
      <c r="K1456" s="6" t="str">
        <f>IF(GameLog[[#This Row],[Date]]=MAX(GameLog[Date]),"Current","Previous")</f>
        <v>Previous</v>
      </c>
      <c r="L1456" s="6"/>
      <c r="M14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6" s="6" t="str">
        <f ca="1">IF(GameLog[[#This Row],[Check]]="","",COUNTIF(GameLog[[#Headers],[Check]]:GameLog[[#This Row],[Check]],"?*")-1)</f>
        <v/>
      </c>
      <c r="O1456" s="6" t="str">
        <f>IFERROR(INDEX(Players[New name],MATCH(GameLog[[#This Row],[Player]],Players[Name],0)),GameLog[[#This Row],[Player]])</f>
        <v>Unknown</v>
      </c>
    </row>
    <row r="1457" spans="1:15" x14ac:dyDescent="0.45">
      <c r="A1457" s="6" t="s">
        <v>49</v>
      </c>
      <c r="B1457" s="6" t="s">
        <v>53</v>
      </c>
      <c r="C1457" s="6">
        <v>4</v>
      </c>
      <c r="D1457" s="6">
        <v>2</v>
      </c>
      <c r="E1457" s="6">
        <v>1</v>
      </c>
      <c r="F1457" s="10">
        <v>46153</v>
      </c>
      <c r="G1457" s="6" t="str">
        <f>_xlfn.TEXTJOIN("|",TRUE,GameLog[[#This Row],[Pod]],TEXT(INT(GameLog[[#This Row],[Round]]),"yyyymmdd"),GameLog[[#This Row],[Date]])</f>
        <v>2|19000101|46153</v>
      </c>
      <c r="H1457" s="6">
        <f>COUNTIF(GameLog[Pod ID],GameLog[[#This Row],[Pod ID]])</f>
        <v>4</v>
      </c>
      <c r="I1457" s="6">
        <f>YEAR(GameLog[[#This Row],[Date]])</f>
        <v>2026</v>
      </c>
      <c r="J1457" s="6">
        <f>MONTH(GameLog[[#This Row],[Date]])</f>
        <v>5</v>
      </c>
      <c r="K1457" s="6" t="str">
        <f>IF(GameLog[[#This Row],[Date]]=MAX(GameLog[Date]),"Current","Previous")</f>
        <v>Previous</v>
      </c>
      <c r="L1457" s="6"/>
      <c r="M14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7" s="6" t="str">
        <f ca="1">IF(GameLog[[#This Row],[Check]]="","",COUNTIF(GameLog[[#Headers],[Check]]:GameLog[[#This Row],[Check]],"?*")-1)</f>
        <v/>
      </c>
      <c r="O1457" s="6" t="str">
        <f>IFERROR(INDEX(Players[New name],MATCH(GameLog[[#This Row],[Player]],Players[Name],0)),GameLog[[#This Row],[Player]])</f>
        <v>Brett R</v>
      </c>
    </row>
    <row r="1458" spans="1:15" x14ac:dyDescent="0.45">
      <c r="A1458" s="6" t="s">
        <v>71</v>
      </c>
      <c r="B1458" s="6" t="s">
        <v>50</v>
      </c>
      <c r="C1458" s="6">
        <v>1</v>
      </c>
      <c r="D1458" s="6">
        <v>3</v>
      </c>
      <c r="E1458" s="6">
        <v>1</v>
      </c>
      <c r="F1458" s="10">
        <v>46153</v>
      </c>
      <c r="G1458" s="6" t="str">
        <f>_xlfn.TEXTJOIN("|",TRUE,GameLog[[#This Row],[Pod]],TEXT(INT(GameLog[[#This Row],[Round]]),"yyyymmdd"),GameLog[[#This Row],[Date]])</f>
        <v>3|19000101|46153</v>
      </c>
      <c r="H1458" s="6">
        <f>COUNTIF(GameLog[Pod ID],GameLog[[#This Row],[Pod ID]])</f>
        <v>4</v>
      </c>
      <c r="I1458" s="6">
        <f>YEAR(GameLog[[#This Row],[Date]])</f>
        <v>2026</v>
      </c>
      <c r="J1458" s="6">
        <f>MONTH(GameLog[[#This Row],[Date]])</f>
        <v>5</v>
      </c>
      <c r="K1458" s="6" t="str">
        <f>IF(GameLog[[#This Row],[Date]]=MAX(GameLog[Date]),"Current","Previous")</f>
        <v>Previous</v>
      </c>
      <c r="L1458" s="6"/>
      <c r="M14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8" s="6" t="str">
        <f ca="1">IF(GameLog[[#This Row],[Check]]="","",COUNTIF(GameLog[[#Headers],[Check]]:GameLog[[#This Row],[Check]],"?*")-1)</f>
        <v/>
      </c>
      <c r="O1458" s="6" t="str">
        <f>IFERROR(INDEX(Players[New name],MATCH(GameLog[[#This Row],[Player]],Players[Name],0)),GameLog[[#This Row],[Player]])</f>
        <v>Rodney Y</v>
      </c>
    </row>
    <row r="1459" spans="1:15" x14ac:dyDescent="0.45">
      <c r="A1459" s="6" t="s">
        <v>57</v>
      </c>
      <c r="B1459" s="6" t="s">
        <v>53</v>
      </c>
      <c r="C1459" s="6">
        <v>2</v>
      </c>
      <c r="D1459" s="6">
        <v>3</v>
      </c>
      <c r="E1459" s="6">
        <v>1</v>
      </c>
      <c r="F1459" s="10">
        <v>46153</v>
      </c>
      <c r="G1459" s="6" t="str">
        <f>_xlfn.TEXTJOIN("|",TRUE,GameLog[[#This Row],[Pod]],TEXT(INT(GameLog[[#This Row],[Round]]),"yyyymmdd"),GameLog[[#This Row],[Date]])</f>
        <v>3|19000101|46153</v>
      </c>
      <c r="H1459" s="6">
        <f>COUNTIF(GameLog[Pod ID],GameLog[[#This Row],[Pod ID]])</f>
        <v>4</v>
      </c>
      <c r="I1459" s="6">
        <f>YEAR(GameLog[[#This Row],[Date]])</f>
        <v>2026</v>
      </c>
      <c r="J1459" s="6">
        <f>MONTH(GameLog[[#This Row],[Date]])</f>
        <v>5</v>
      </c>
      <c r="K1459" s="6" t="str">
        <f>IF(GameLog[[#This Row],[Date]]=MAX(GameLog[Date]),"Current","Previous")</f>
        <v>Previous</v>
      </c>
      <c r="L1459" s="6"/>
      <c r="M14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59" s="6" t="str">
        <f ca="1">IF(GameLog[[#This Row],[Check]]="","",COUNTIF(GameLog[[#Headers],[Check]]:GameLog[[#This Row],[Check]],"?*")-1)</f>
        <v/>
      </c>
      <c r="O1459" s="6" t="str">
        <f>IFERROR(INDEX(Players[New name],MATCH(GameLog[[#This Row],[Player]],Players[Name],0)),GameLog[[#This Row],[Player]])</f>
        <v>AJ W</v>
      </c>
    </row>
    <row r="1460" spans="1:15" x14ac:dyDescent="0.45">
      <c r="A1460" s="6" t="s">
        <v>97</v>
      </c>
      <c r="B1460" s="6" t="s">
        <v>53</v>
      </c>
      <c r="C1460" s="6">
        <v>3</v>
      </c>
      <c r="D1460" s="6">
        <v>3</v>
      </c>
      <c r="E1460" s="6">
        <v>1</v>
      </c>
      <c r="F1460" s="10">
        <v>46153</v>
      </c>
      <c r="G1460" s="6" t="str">
        <f>_xlfn.TEXTJOIN("|",TRUE,GameLog[[#This Row],[Pod]],TEXT(INT(GameLog[[#This Row],[Round]]),"yyyymmdd"),GameLog[[#This Row],[Date]])</f>
        <v>3|19000101|46153</v>
      </c>
      <c r="H1460" s="6">
        <f>COUNTIF(GameLog[Pod ID],GameLog[[#This Row],[Pod ID]])</f>
        <v>4</v>
      </c>
      <c r="I1460" s="6">
        <f>YEAR(GameLog[[#This Row],[Date]])</f>
        <v>2026</v>
      </c>
      <c r="J1460" s="6">
        <f>MONTH(GameLog[[#This Row],[Date]])</f>
        <v>5</v>
      </c>
      <c r="K1460" s="6" t="str">
        <f>IF(GameLog[[#This Row],[Date]]=MAX(GameLog[Date]),"Current","Previous")</f>
        <v>Previous</v>
      </c>
      <c r="L1460" s="6"/>
      <c r="M14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0" s="6" t="str">
        <f ca="1">IF(GameLog[[#This Row],[Check]]="","",COUNTIF(GameLog[[#Headers],[Check]]:GameLog[[#This Row],[Check]],"?*")-1)</f>
        <v/>
      </c>
      <c r="O1460" s="6" t="str">
        <f>IFERROR(INDEX(Players[New name],MATCH(GameLog[[#This Row],[Player]],Players[Name],0)),GameLog[[#This Row],[Player]])</f>
        <v>Arman H</v>
      </c>
    </row>
    <row r="1461" spans="1:15" x14ac:dyDescent="0.45">
      <c r="A1461" s="6" t="s">
        <v>63</v>
      </c>
      <c r="B1461" s="6" t="s">
        <v>53</v>
      </c>
      <c r="C1461" s="6">
        <v>4</v>
      </c>
      <c r="D1461" s="6">
        <v>3</v>
      </c>
      <c r="E1461" s="6">
        <v>1</v>
      </c>
      <c r="F1461" s="10">
        <v>46153</v>
      </c>
      <c r="G1461" s="6" t="str">
        <f>_xlfn.TEXTJOIN("|",TRUE,GameLog[[#This Row],[Pod]],TEXT(INT(GameLog[[#This Row],[Round]]),"yyyymmdd"),GameLog[[#This Row],[Date]])</f>
        <v>3|19000101|46153</v>
      </c>
      <c r="H1461" s="6">
        <f>COUNTIF(GameLog[Pod ID],GameLog[[#This Row],[Pod ID]])</f>
        <v>4</v>
      </c>
      <c r="I1461" s="6">
        <f>YEAR(GameLog[[#This Row],[Date]])</f>
        <v>2026</v>
      </c>
      <c r="J1461" s="6">
        <f>MONTH(GameLog[[#This Row],[Date]])</f>
        <v>5</v>
      </c>
      <c r="K1461" s="6" t="str">
        <f>IF(GameLog[[#This Row],[Date]]=MAX(GameLog[Date]),"Current","Previous")</f>
        <v>Previous</v>
      </c>
      <c r="L1461" s="6"/>
      <c r="M14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1" s="6" t="str">
        <f ca="1">IF(GameLog[[#This Row],[Check]]="","",COUNTIF(GameLog[[#Headers],[Check]]:GameLog[[#This Row],[Check]],"?*")-1)</f>
        <v/>
      </c>
      <c r="O1461" s="6" t="str">
        <f>IFERROR(INDEX(Players[New name],MATCH(GameLog[[#This Row],[Player]],Players[Name],0)),GameLog[[#This Row],[Player]])</f>
        <v>Jake D</v>
      </c>
    </row>
    <row r="1462" spans="1:15" x14ac:dyDescent="0.45">
      <c r="A1462" s="6" t="s">
        <v>61</v>
      </c>
      <c r="B1462" s="6" t="s">
        <v>50</v>
      </c>
      <c r="C1462" s="6">
        <v>1</v>
      </c>
      <c r="D1462" s="6">
        <v>4</v>
      </c>
      <c r="E1462" s="6">
        <v>1</v>
      </c>
      <c r="F1462" s="10">
        <v>46153</v>
      </c>
      <c r="G1462" s="6" t="str">
        <f>_xlfn.TEXTJOIN("|",TRUE,GameLog[[#This Row],[Pod]],TEXT(INT(GameLog[[#This Row],[Round]]),"yyyymmdd"),GameLog[[#This Row],[Date]])</f>
        <v>4|19000101|46153</v>
      </c>
      <c r="H1462" s="6">
        <f>COUNTIF(GameLog[Pod ID],GameLog[[#This Row],[Pod ID]])</f>
        <v>4</v>
      </c>
      <c r="I1462" s="6">
        <f>YEAR(GameLog[[#This Row],[Date]])</f>
        <v>2026</v>
      </c>
      <c r="J1462" s="6">
        <f>MONTH(GameLog[[#This Row],[Date]])</f>
        <v>5</v>
      </c>
      <c r="K1462" s="6" t="str">
        <f>IF(GameLog[[#This Row],[Date]]=MAX(GameLog[Date]),"Current","Previous")</f>
        <v>Previous</v>
      </c>
      <c r="L1462" s="6"/>
      <c r="M14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2" s="6" t="str">
        <f ca="1">IF(GameLog[[#This Row],[Check]]="","",COUNTIF(GameLog[[#Headers],[Check]]:GameLog[[#This Row],[Check]],"?*")-1)</f>
        <v/>
      </c>
      <c r="O1462" s="6" t="str">
        <f>IFERROR(INDEX(Players[New name],MATCH(GameLog[[#This Row],[Player]],Players[Name],0)),GameLog[[#This Row],[Player]])</f>
        <v>Trevor</v>
      </c>
    </row>
    <row r="1463" spans="1:15" x14ac:dyDescent="0.45">
      <c r="A1463" s="6" t="s">
        <v>64</v>
      </c>
      <c r="B1463" s="6" t="s">
        <v>53</v>
      </c>
      <c r="C1463" s="6">
        <v>2</v>
      </c>
      <c r="D1463" s="6">
        <v>4</v>
      </c>
      <c r="E1463" s="6">
        <v>1</v>
      </c>
      <c r="F1463" s="10">
        <v>46153</v>
      </c>
      <c r="G1463" s="6" t="str">
        <f>_xlfn.TEXTJOIN("|",TRUE,GameLog[[#This Row],[Pod]],TEXT(INT(GameLog[[#This Row],[Round]]),"yyyymmdd"),GameLog[[#This Row],[Date]])</f>
        <v>4|19000101|46153</v>
      </c>
      <c r="H1463" s="6">
        <f>COUNTIF(GameLog[Pod ID],GameLog[[#This Row],[Pod ID]])</f>
        <v>4</v>
      </c>
      <c r="I1463" s="6">
        <f>YEAR(GameLog[[#This Row],[Date]])</f>
        <v>2026</v>
      </c>
      <c r="J1463" s="6">
        <f>MONTH(GameLog[[#This Row],[Date]])</f>
        <v>5</v>
      </c>
      <c r="K1463" s="6" t="str">
        <f>IF(GameLog[[#This Row],[Date]]=MAX(GameLog[Date]),"Current","Previous")</f>
        <v>Previous</v>
      </c>
      <c r="L1463" s="6"/>
      <c r="M14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3" s="6" t="str">
        <f ca="1">IF(GameLog[[#This Row],[Check]]="","",COUNTIF(GameLog[[#Headers],[Check]]:GameLog[[#This Row],[Check]],"?*")-1)</f>
        <v/>
      </c>
      <c r="O1463" s="6" t="str">
        <f>IFERROR(INDEX(Players[New name],MATCH(GameLog[[#This Row],[Player]],Players[Name],0)),GameLog[[#This Row],[Player]])</f>
        <v>Tyler B</v>
      </c>
    </row>
    <row r="1464" spans="1:15" x14ac:dyDescent="0.45">
      <c r="A1464" s="6" t="s">
        <v>109</v>
      </c>
      <c r="B1464" s="6" t="s">
        <v>53</v>
      </c>
      <c r="C1464" s="6">
        <v>3</v>
      </c>
      <c r="D1464" s="6">
        <v>4</v>
      </c>
      <c r="E1464" s="6">
        <v>1</v>
      </c>
      <c r="F1464" s="10">
        <v>46153</v>
      </c>
      <c r="G1464" s="6" t="str">
        <f>_xlfn.TEXTJOIN("|",TRUE,GameLog[[#This Row],[Pod]],TEXT(INT(GameLog[[#This Row],[Round]]),"yyyymmdd"),GameLog[[#This Row],[Date]])</f>
        <v>4|19000101|46153</v>
      </c>
      <c r="H1464" s="6">
        <f>COUNTIF(GameLog[Pod ID],GameLog[[#This Row],[Pod ID]])</f>
        <v>4</v>
      </c>
      <c r="I1464" s="6">
        <f>YEAR(GameLog[[#This Row],[Date]])</f>
        <v>2026</v>
      </c>
      <c r="J1464" s="6">
        <f>MONTH(GameLog[[#This Row],[Date]])</f>
        <v>5</v>
      </c>
      <c r="K1464" s="6" t="str">
        <f>IF(GameLog[[#This Row],[Date]]=MAX(GameLog[Date]),"Current","Previous")</f>
        <v>Previous</v>
      </c>
      <c r="L1464" s="6"/>
      <c r="M14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4" s="6" t="str">
        <f ca="1">IF(GameLog[[#This Row],[Check]]="","",COUNTIF(GameLog[[#Headers],[Check]]:GameLog[[#This Row],[Check]],"?*")-1)</f>
        <v/>
      </c>
      <c r="O1464" s="6" t="str">
        <f>IFERROR(INDEX(Players[New name],MATCH(GameLog[[#This Row],[Player]],Players[Name],0)),GameLog[[#This Row],[Player]])</f>
        <v>Taylor C</v>
      </c>
    </row>
    <row r="1465" spans="1:15" x14ac:dyDescent="0.45">
      <c r="A1465" s="6" t="s">
        <v>102</v>
      </c>
      <c r="B1465" s="6" t="s">
        <v>53</v>
      </c>
      <c r="C1465" s="6">
        <v>4</v>
      </c>
      <c r="D1465" s="6">
        <v>4</v>
      </c>
      <c r="E1465" s="6">
        <v>1</v>
      </c>
      <c r="F1465" s="10">
        <v>46153</v>
      </c>
      <c r="G1465" s="6" t="str">
        <f>_xlfn.TEXTJOIN("|",TRUE,GameLog[[#This Row],[Pod]],TEXT(INT(GameLog[[#This Row],[Round]]),"yyyymmdd"),GameLog[[#This Row],[Date]])</f>
        <v>4|19000101|46153</v>
      </c>
      <c r="H1465" s="6">
        <f>COUNTIF(GameLog[Pod ID],GameLog[[#This Row],[Pod ID]])</f>
        <v>4</v>
      </c>
      <c r="I1465" s="6">
        <f>YEAR(GameLog[[#This Row],[Date]])</f>
        <v>2026</v>
      </c>
      <c r="J1465" s="6">
        <f>MONTH(GameLog[[#This Row],[Date]])</f>
        <v>5</v>
      </c>
      <c r="K1465" s="6" t="str">
        <f>IF(GameLog[[#This Row],[Date]]=MAX(GameLog[Date]),"Current","Previous")</f>
        <v>Previous</v>
      </c>
      <c r="L1465" s="6"/>
      <c r="M14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5" s="6" t="str">
        <f ca="1">IF(GameLog[[#This Row],[Check]]="","",COUNTIF(GameLog[[#Headers],[Check]]:GameLog[[#This Row],[Check]],"?*")-1)</f>
        <v/>
      </c>
      <c r="O1465" s="6" t="str">
        <f>IFERROR(INDEX(Players[New name],MATCH(GameLog[[#This Row],[Player]],Players[Name],0)),GameLog[[#This Row],[Player]])</f>
        <v>Sage</v>
      </c>
    </row>
    <row r="1466" spans="1:15" x14ac:dyDescent="0.45">
      <c r="A1466" s="6" t="s">
        <v>61</v>
      </c>
      <c r="B1466" s="6" t="s">
        <v>53</v>
      </c>
      <c r="C1466" s="6">
        <v>1</v>
      </c>
      <c r="D1466" s="6">
        <v>1</v>
      </c>
      <c r="E1466" s="6">
        <v>2</v>
      </c>
      <c r="F1466" s="10">
        <v>46153</v>
      </c>
      <c r="G1466" s="6" t="str">
        <f>_xlfn.TEXTJOIN("|",TRUE,GameLog[[#This Row],[Pod]],TEXT(INT(GameLog[[#This Row],[Round]]),"yyyymmdd"),GameLog[[#This Row],[Date]])</f>
        <v>1|19000102|46153</v>
      </c>
      <c r="H1466" s="6">
        <f>COUNTIF(GameLog[Pod ID],GameLog[[#This Row],[Pod ID]])</f>
        <v>4</v>
      </c>
      <c r="I1466" s="6">
        <f>YEAR(GameLog[[#This Row],[Date]])</f>
        <v>2026</v>
      </c>
      <c r="J1466" s="6">
        <f>MONTH(GameLog[[#This Row],[Date]])</f>
        <v>5</v>
      </c>
      <c r="K1466" s="6" t="str">
        <f>IF(GameLog[[#This Row],[Date]]=MAX(GameLog[Date]),"Current","Previous")</f>
        <v>Previous</v>
      </c>
      <c r="L1466" s="6"/>
      <c r="M14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6" s="6" t="str">
        <f ca="1">IF(GameLog[[#This Row],[Check]]="","",COUNTIF(GameLog[[#Headers],[Check]]:GameLog[[#This Row],[Check]],"?*")-1)</f>
        <v/>
      </c>
      <c r="O1466" s="6" t="str">
        <f>IFERROR(INDEX(Players[New name],MATCH(GameLog[[#This Row],[Player]],Players[Name],0)),GameLog[[#This Row],[Player]])</f>
        <v>Trevor</v>
      </c>
    </row>
    <row r="1467" spans="1:15" x14ac:dyDescent="0.45">
      <c r="A1467" s="6" t="s">
        <v>71</v>
      </c>
      <c r="B1467" s="6" t="s">
        <v>53</v>
      </c>
      <c r="C1467" s="6">
        <v>2</v>
      </c>
      <c r="D1467" s="6">
        <v>1</v>
      </c>
      <c r="E1467" s="6">
        <v>2</v>
      </c>
      <c r="F1467" s="10">
        <v>46153</v>
      </c>
      <c r="G1467" s="6" t="str">
        <f>_xlfn.TEXTJOIN("|",TRUE,GameLog[[#This Row],[Pod]],TEXT(INT(GameLog[[#This Row],[Round]]),"yyyymmdd"),GameLog[[#This Row],[Date]])</f>
        <v>1|19000102|46153</v>
      </c>
      <c r="H1467" s="6">
        <f>COUNTIF(GameLog[Pod ID],GameLog[[#This Row],[Pod ID]])</f>
        <v>4</v>
      </c>
      <c r="I1467" s="6">
        <f>YEAR(GameLog[[#This Row],[Date]])</f>
        <v>2026</v>
      </c>
      <c r="J1467" s="6">
        <f>MONTH(GameLog[[#This Row],[Date]])</f>
        <v>5</v>
      </c>
      <c r="K1467" s="6" t="str">
        <f>IF(GameLog[[#This Row],[Date]]=MAX(GameLog[Date]),"Current","Previous")</f>
        <v>Previous</v>
      </c>
      <c r="L1467" s="6"/>
      <c r="M14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7" s="6" t="str">
        <f ca="1">IF(GameLog[[#This Row],[Check]]="","",COUNTIF(GameLog[[#Headers],[Check]]:GameLog[[#This Row],[Check]],"?*")-1)</f>
        <v/>
      </c>
      <c r="O1467" s="6" t="str">
        <f>IFERROR(INDEX(Players[New name],MATCH(GameLog[[#This Row],[Player]],Players[Name],0)),GameLog[[#This Row],[Player]])</f>
        <v>Rodney Y</v>
      </c>
    </row>
    <row r="1468" spans="1:15" x14ac:dyDescent="0.45">
      <c r="A1468" s="6" t="s">
        <v>59</v>
      </c>
      <c r="B1468" s="6" t="s">
        <v>53</v>
      </c>
      <c r="C1468" s="6">
        <v>3</v>
      </c>
      <c r="D1468" s="6">
        <v>1</v>
      </c>
      <c r="E1468" s="6">
        <v>2</v>
      </c>
      <c r="F1468" s="10">
        <v>46153</v>
      </c>
      <c r="G1468" s="6" t="str">
        <f>_xlfn.TEXTJOIN("|",TRUE,GameLog[[#This Row],[Pod]],TEXT(INT(GameLog[[#This Row],[Round]]),"yyyymmdd"),GameLog[[#This Row],[Date]])</f>
        <v>1|19000102|46153</v>
      </c>
      <c r="H1468" s="6">
        <f>COUNTIF(GameLog[Pod ID],GameLog[[#This Row],[Pod ID]])</f>
        <v>4</v>
      </c>
      <c r="I1468" s="6">
        <f>YEAR(GameLog[[#This Row],[Date]])</f>
        <v>2026</v>
      </c>
      <c r="J1468" s="6">
        <f>MONTH(GameLog[[#This Row],[Date]])</f>
        <v>5</v>
      </c>
      <c r="K1468" s="6" t="str">
        <f>IF(GameLog[[#This Row],[Date]]=MAX(GameLog[Date]),"Current","Previous")</f>
        <v>Previous</v>
      </c>
      <c r="L1468" s="6"/>
      <c r="M14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8" s="6" t="str">
        <f ca="1">IF(GameLog[[#This Row],[Check]]="","",COUNTIF(GameLog[[#Headers],[Check]]:GameLog[[#This Row],[Check]],"?*")-1)</f>
        <v/>
      </c>
      <c r="O1468" s="6" t="str">
        <f>IFERROR(INDEX(Players[New name],MATCH(GameLog[[#This Row],[Player]],Players[Name],0)),GameLog[[#This Row],[Player]])</f>
        <v>Zack B</v>
      </c>
    </row>
    <row r="1469" spans="1:15" x14ac:dyDescent="0.45">
      <c r="A1469" s="6" t="s">
        <v>55</v>
      </c>
      <c r="B1469" s="6" t="s">
        <v>50</v>
      </c>
      <c r="C1469" s="6">
        <v>4</v>
      </c>
      <c r="D1469" s="6">
        <v>1</v>
      </c>
      <c r="E1469" s="6">
        <v>2</v>
      </c>
      <c r="F1469" s="10">
        <v>46153</v>
      </c>
      <c r="G1469" s="6" t="str">
        <f>_xlfn.TEXTJOIN("|",TRUE,GameLog[[#This Row],[Pod]],TEXT(INT(GameLog[[#This Row],[Round]]),"yyyymmdd"),GameLog[[#This Row],[Date]])</f>
        <v>1|19000102|46153</v>
      </c>
      <c r="H1469" s="6">
        <f>COUNTIF(GameLog[Pod ID],GameLog[[#This Row],[Pod ID]])</f>
        <v>4</v>
      </c>
      <c r="I1469" s="6">
        <f>YEAR(GameLog[[#This Row],[Date]])</f>
        <v>2026</v>
      </c>
      <c r="J1469" s="6">
        <f>MONTH(GameLog[[#This Row],[Date]])</f>
        <v>5</v>
      </c>
      <c r="K1469" s="6" t="str">
        <f>IF(GameLog[[#This Row],[Date]]=MAX(GameLog[Date]),"Current","Previous")</f>
        <v>Previous</v>
      </c>
      <c r="L1469" s="6"/>
      <c r="M14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69" s="6" t="str">
        <f ca="1">IF(GameLog[[#This Row],[Check]]="","",COUNTIF(GameLog[[#Headers],[Check]]:GameLog[[#This Row],[Check]],"?*")-1)</f>
        <v/>
      </c>
      <c r="O1469" s="6" t="str">
        <f>IFERROR(INDEX(Players[New name],MATCH(GameLog[[#This Row],[Player]],Players[Name],0)),GameLog[[#This Row],[Player]])</f>
        <v>Bryce C</v>
      </c>
    </row>
    <row r="1470" spans="1:15" x14ac:dyDescent="0.45">
      <c r="A1470" s="6" t="s">
        <v>64</v>
      </c>
      <c r="B1470" s="6" t="s">
        <v>50</v>
      </c>
      <c r="C1470" s="6">
        <v>1</v>
      </c>
      <c r="D1470" s="6">
        <v>2</v>
      </c>
      <c r="E1470" s="6">
        <v>2</v>
      </c>
      <c r="F1470" s="10">
        <v>46153</v>
      </c>
      <c r="G1470" s="6" t="str">
        <f>_xlfn.TEXTJOIN("|",TRUE,GameLog[[#This Row],[Pod]],TEXT(INT(GameLog[[#This Row],[Round]]),"yyyymmdd"),GameLog[[#This Row],[Date]])</f>
        <v>2|19000102|46153</v>
      </c>
      <c r="H1470" s="6">
        <f>COUNTIF(GameLog[Pod ID],GameLog[[#This Row],[Pod ID]])</f>
        <v>4</v>
      </c>
      <c r="I1470" s="6">
        <f>YEAR(GameLog[[#This Row],[Date]])</f>
        <v>2026</v>
      </c>
      <c r="J1470" s="6">
        <f>MONTH(GameLog[[#This Row],[Date]])</f>
        <v>5</v>
      </c>
      <c r="K1470" s="6" t="str">
        <f>IF(GameLog[[#This Row],[Date]]=MAX(GameLog[Date]),"Current","Previous")</f>
        <v>Previous</v>
      </c>
      <c r="L1470" s="6"/>
      <c r="M14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0" s="6" t="str">
        <f ca="1">IF(GameLog[[#This Row],[Check]]="","",COUNTIF(GameLog[[#Headers],[Check]]:GameLog[[#This Row],[Check]],"?*")-1)</f>
        <v/>
      </c>
      <c r="O1470" s="6" t="str">
        <f>IFERROR(INDEX(Players[New name],MATCH(GameLog[[#This Row],[Player]],Players[Name],0)),GameLog[[#This Row],[Player]])</f>
        <v>Tyler B</v>
      </c>
    </row>
    <row r="1471" spans="1:15" x14ac:dyDescent="0.45">
      <c r="A1471" s="6" t="s">
        <v>97</v>
      </c>
      <c r="B1471" s="6" t="s">
        <v>53</v>
      </c>
      <c r="C1471" s="6">
        <v>2</v>
      </c>
      <c r="D1471" s="6">
        <v>2</v>
      </c>
      <c r="E1471" s="6">
        <v>2</v>
      </c>
      <c r="F1471" s="10">
        <v>46153</v>
      </c>
      <c r="G1471" s="6" t="str">
        <f>_xlfn.TEXTJOIN("|",TRUE,GameLog[[#This Row],[Pod]],TEXT(INT(GameLog[[#This Row],[Round]]),"yyyymmdd"),GameLog[[#This Row],[Date]])</f>
        <v>2|19000102|46153</v>
      </c>
      <c r="H1471" s="6">
        <f>COUNTIF(GameLog[Pod ID],GameLog[[#This Row],[Pod ID]])</f>
        <v>4</v>
      </c>
      <c r="I1471" s="6">
        <f>YEAR(GameLog[[#This Row],[Date]])</f>
        <v>2026</v>
      </c>
      <c r="J1471" s="6">
        <f>MONTH(GameLog[[#This Row],[Date]])</f>
        <v>5</v>
      </c>
      <c r="K1471" s="6" t="str">
        <f>IF(GameLog[[#This Row],[Date]]=MAX(GameLog[Date]),"Current","Previous")</f>
        <v>Previous</v>
      </c>
      <c r="L1471" s="6"/>
      <c r="M14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1" s="6" t="str">
        <f ca="1">IF(GameLog[[#This Row],[Check]]="","",COUNTIF(GameLog[[#Headers],[Check]]:GameLog[[#This Row],[Check]],"?*")-1)</f>
        <v/>
      </c>
      <c r="O1471" s="6" t="str">
        <f>IFERROR(INDEX(Players[New name],MATCH(GameLog[[#This Row],[Player]],Players[Name],0)),GameLog[[#This Row],[Player]])</f>
        <v>Arman H</v>
      </c>
    </row>
    <row r="1472" spans="1:15" x14ac:dyDescent="0.45">
      <c r="A1472" s="6" t="s">
        <v>58</v>
      </c>
      <c r="B1472" s="6" t="s">
        <v>53</v>
      </c>
      <c r="C1472" s="6">
        <v>3</v>
      </c>
      <c r="D1472" s="6">
        <v>2</v>
      </c>
      <c r="E1472" s="6">
        <v>2</v>
      </c>
      <c r="F1472" s="10">
        <v>46153</v>
      </c>
      <c r="G1472" s="6" t="str">
        <f>_xlfn.TEXTJOIN("|",TRUE,GameLog[[#This Row],[Pod]],TEXT(INT(GameLog[[#This Row],[Round]]),"yyyymmdd"),GameLog[[#This Row],[Date]])</f>
        <v>2|19000102|46153</v>
      </c>
      <c r="H1472" s="6">
        <f>COUNTIF(GameLog[Pod ID],GameLog[[#This Row],[Pod ID]])</f>
        <v>4</v>
      </c>
      <c r="I1472" s="6">
        <f>YEAR(GameLog[[#This Row],[Date]])</f>
        <v>2026</v>
      </c>
      <c r="J1472" s="6">
        <f>MONTH(GameLog[[#This Row],[Date]])</f>
        <v>5</v>
      </c>
      <c r="K1472" s="6" t="str">
        <f>IF(GameLog[[#This Row],[Date]]=MAX(GameLog[Date]),"Current","Previous")</f>
        <v>Previous</v>
      </c>
      <c r="L1472" s="6"/>
      <c r="M14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2" s="6" t="str">
        <f ca="1">IF(GameLog[[#This Row],[Check]]="","",COUNTIF(GameLog[[#Headers],[Check]]:GameLog[[#This Row],[Check]],"?*")-1)</f>
        <v/>
      </c>
      <c r="O1472" s="6" t="str">
        <f>IFERROR(INDEX(Players[New name],MATCH(GameLog[[#This Row],[Player]],Players[Name],0)),GameLog[[#This Row],[Player]])</f>
        <v>Dakota P</v>
      </c>
    </row>
    <row r="1473" spans="1:15" x14ac:dyDescent="0.45">
      <c r="A1473" s="6" t="s">
        <v>52</v>
      </c>
      <c r="B1473" s="6" t="s">
        <v>53</v>
      </c>
      <c r="C1473" s="6">
        <v>4</v>
      </c>
      <c r="D1473" s="6">
        <v>2</v>
      </c>
      <c r="E1473" s="6">
        <v>2</v>
      </c>
      <c r="F1473" s="10">
        <v>46153</v>
      </c>
      <c r="G1473" s="6" t="str">
        <f>_xlfn.TEXTJOIN("|",TRUE,GameLog[[#This Row],[Pod]],TEXT(INT(GameLog[[#This Row],[Round]]),"yyyymmdd"),GameLog[[#This Row],[Date]])</f>
        <v>2|19000102|46153</v>
      </c>
      <c r="H1473" s="6">
        <f>COUNTIF(GameLog[Pod ID],GameLog[[#This Row],[Pod ID]])</f>
        <v>4</v>
      </c>
      <c r="I1473" s="6">
        <f>YEAR(GameLog[[#This Row],[Date]])</f>
        <v>2026</v>
      </c>
      <c r="J1473" s="6">
        <f>MONTH(GameLog[[#This Row],[Date]])</f>
        <v>5</v>
      </c>
      <c r="K1473" s="6" t="str">
        <f>IF(GameLog[[#This Row],[Date]]=MAX(GameLog[Date]),"Current","Previous")</f>
        <v>Previous</v>
      </c>
      <c r="L1473" s="6"/>
      <c r="M14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3" s="6" t="str">
        <f ca="1">IF(GameLog[[#This Row],[Check]]="","",COUNTIF(GameLog[[#Headers],[Check]]:GameLog[[#This Row],[Check]],"?*")-1)</f>
        <v/>
      </c>
      <c r="O1473" s="6" t="str">
        <f>IFERROR(INDEX(Players[New name],MATCH(GameLog[[#This Row],[Player]],Players[Name],0)),GameLog[[#This Row],[Player]])</f>
        <v>Unknown</v>
      </c>
    </row>
    <row r="1474" spans="1:15" x14ac:dyDescent="0.45">
      <c r="A1474" s="6" t="s">
        <v>102</v>
      </c>
      <c r="B1474" s="6" t="s">
        <v>50</v>
      </c>
      <c r="C1474" s="6">
        <v>1</v>
      </c>
      <c r="D1474" s="6">
        <v>3</v>
      </c>
      <c r="E1474" s="6">
        <v>2</v>
      </c>
      <c r="F1474" s="10">
        <v>46153</v>
      </c>
      <c r="G1474" s="6" t="str">
        <f>_xlfn.TEXTJOIN("|",TRUE,GameLog[[#This Row],[Pod]],TEXT(INT(GameLog[[#This Row],[Round]]),"yyyymmdd"),GameLog[[#This Row],[Date]])</f>
        <v>3|19000102|46153</v>
      </c>
      <c r="H1474" s="6">
        <f>COUNTIF(GameLog[Pod ID],GameLog[[#This Row],[Pod ID]])</f>
        <v>3</v>
      </c>
      <c r="I1474" s="6">
        <f>YEAR(GameLog[[#This Row],[Date]])</f>
        <v>2026</v>
      </c>
      <c r="J1474" s="6">
        <f>MONTH(GameLog[[#This Row],[Date]])</f>
        <v>5</v>
      </c>
      <c r="K1474" s="6" t="str">
        <f>IF(GameLog[[#This Row],[Date]]=MAX(GameLog[Date]),"Current","Previous")</f>
        <v>Previous</v>
      </c>
      <c r="L1474" s="6"/>
      <c r="M14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4" s="6" t="str">
        <f ca="1">IF(GameLog[[#This Row],[Check]]="","",COUNTIF(GameLog[[#Headers],[Check]]:GameLog[[#This Row],[Check]],"?*")-1)</f>
        <v/>
      </c>
      <c r="O1474" s="6" t="str">
        <f>IFERROR(INDEX(Players[New name],MATCH(GameLog[[#This Row],[Player]],Players[Name],0)),GameLog[[#This Row],[Player]])</f>
        <v>Sage</v>
      </c>
    </row>
    <row r="1475" spans="1:15" x14ac:dyDescent="0.45">
      <c r="A1475" s="6" t="s">
        <v>73</v>
      </c>
      <c r="B1475" s="6" t="s">
        <v>53</v>
      </c>
      <c r="C1475" s="6">
        <v>2</v>
      </c>
      <c r="D1475" s="6">
        <v>3</v>
      </c>
      <c r="E1475" s="6">
        <v>2</v>
      </c>
      <c r="F1475" s="10">
        <v>46153</v>
      </c>
      <c r="G1475" s="6" t="str">
        <f>_xlfn.TEXTJOIN("|",TRUE,GameLog[[#This Row],[Pod]],TEXT(INT(GameLog[[#This Row],[Round]]),"yyyymmdd"),GameLog[[#This Row],[Date]])</f>
        <v>3|19000102|46153</v>
      </c>
      <c r="H1475" s="6">
        <f>COUNTIF(GameLog[Pod ID],GameLog[[#This Row],[Pod ID]])</f>
        <v>3</v>
      </c>
      <c r="I1475" s="6">
        <f>YEAR(GameLog[[#This Row],[Date]])</f>
        <v>2026</v>
      </c>
      <c r="J1475" s="6">
        <f>MONTH(GameLog[[#This Row],[Date]])</f>
        <v>5</v>
      </c>
      <c r="K1475" s="6" t="str">
        <f>IF(GameLog[[#This Row],[Date]]=MAX(GameLog[Date]),"Current","Previous")</f>
        <v>Previous</v>
      </c>
      <c r="L1475" s="6"/>
      <c r="M14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5" s="6" t="str">
        <f ca="1">IF(GameLog[[#This Row],[Check]]="","",COUNTIF(GameLog[[#Headers],[Check]]:GameLog[[#This Row],[Check]],"?*")-1)</f>
        <v/>
      </c>
      <c r="O1475" s="6" t="str">
        <f>IFERROR(INDEX(Players[New name],MATCH(GameLog[[#This Row],[Player]],Players[Name],0)),GameLog[[#This Row],[Player]])</f>
        <v>Brandon B</v>
      </c>
    </row>
    <row r="1476" spans="1:15" x14ac:dyDescent="0.45">
      <c r="A1476" s="6" t="s">
        <v>57</v>
      </c>
      <c r="B1476" s="6" t="s">
        <v>53</v>
      </c>
      <c r="C1476" s="6">
        <v>3</v>
      </c>
      <c r="D1476" s="6">
        <v>3</v>
      </c>
      <c r="E1476" s="6">
        <v>2</v>
      </c>
      <c r="F1476" s="10">
        <v>46153</v>
      </c>
      <c r="G1476" s="6" t="str">
        <f>_xlfn.TEXTJOIN("|",TRUE,GameLog[[#This Row],[Pod]],TEXT(INT(GameLog[[#This Row],[Round]]),"yyyymmdd"),GameLog[[#This Row],[Date]])</f>
        <v>3|19000102|46153</v>
      </c>
      <c r="H1476" s="6">
        <f>COUNTIF(GameLog[Pod ID],GameLog[[#This Row],[Pod ID]])</f>
        <v>3</v>
      </c>
      <c r="I1476" s="6">
        <f>YEAR(GameLog[[#This Row],[Date]])</f>
        <v>2026</v>
      </c>
      <c r="J1476" s="6">
        <f>MONTH(GameLog[[#This Row],[Date]])</f>
        <v>5</v>
      </c>
      <c r="K1476" s="6" t="str">
        <f>IF(GameLog[[#This Row],[Date]]=MAX(GameLog[Date]),"Current","Previous")</f>
        <v>Previous</v>
      </c>
      <c r="L1476" s="6"/>
      <c r="M14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6" s="6" t="str">
        <f ca="1">IF(GameLog[[#This Row],[Check]]="","",COUNTIF(GameLog[[#Headers],[Check]]:GameLog[[#This Row],[Check]],"?*")-1)</f>
        <v/>
      </c>
      <c r="O1476" s="6" t="str">
        <f>IFERROR(INDEX(Players[New name],MATCH(GameLog[[#This Row],[Player]],Players[Name],0)),GameLog[[#This Row],[Player]])</f>
        <v>AJ W</v>
      </c>
    </row>
    <row r="1477" spans="1:15" x14ac:dyDescent="0.45">
      <c r="A1477" s="6" t="s">
        <v>77</v>
      </c>
      <c r="B1477" s="6" t="s">
        <v>50</v>
      </c>
      <c r="C1477" s="6">
        <v>1</v>
      </c>
      <c r="D1477" s="6">
        <v>4</v>
      </c>
      <c r="E1477" s="6">
        <v>2</v>
      </c>
      <c r="F1477" s="10">
        <v>46153</v>
      </c>
      <c r="G1477" s="6" t="str">
        <f>_xlfn.TEXTJOIN("|",TRUE,GameLog[[#This Row],[Pod]],TEXT(INT(GameLog[[#This Row],[Round]]),"yyyymmdd"),GameLog[[#This Row],[Date]])</f>
        <v>4|19000102|46153</v>
      </c>
      <c r="H1477" s="6">
        <f>COUNTIF(GameLog[Pod ID],GameLog[[#This Row],[Pod ID]])</f>
        <v>3</v>
      </c>
      <c r="I1477" s="6">
        <f>YEAR(GameLog[[#This Row],[Date]])</f>
        <v>2026</v>
      </c>
      <c r="J1477" s="6">
        <f>MONTH(GameLog[[#This Row],[Date]])</f>
        <v>5</v>
      </c>
      <c r="K1477" s="6" t="str">
        <f>IF(GameLog[[#This Row],[Date]]=MAX(GameLog[Date]),"Current","Previous")</f>
        <v>Previous</v>
      </c>
      <c r="L1477" s="6"/>
      <c r="M14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7" s="6" t="str">
        <f ca="1">IF(GameLog[[#This Row],[Check]]="","",COUNTIF(GameLog[[#Headers],[Check]]:GameLog[[#This Row],[Check]],"?*")-1)</f>
        <v/>
      </c>
      <c r="O1477" s="6" t="str">
        <f>IFERROR(INDEX(Players[New name],MATCH(GameLog[[#This Row],[Player]],Players[Name],0)),GameLog[[#This Row],[Player]])</f>
        <v>Dave M</v>
      </c>
    </row>
    <row r="1478" spans="1:15" x14ac:dyDescent="0.45">
      <c r="A1478" s="6" t="s">
        <v>98</v>
      </c>
      <c r="B1478" s="6" t="s">
        <v>53</v>
      </c>
      <c r="C1478" s="6">
        <v>2</v>
      </c>
      <c r="D1478" s="6">
        <v>4</v>
      </c>
      <c r="E1478" s="6">
        <v>2</v>
      </c>
      <c r="F1478" s="10">
        <v>46153</v>
      </c>
      <c r="G1478" s="6" t="str">
        <f>_xlfn.TEXTJOIN("|",TRUE,GameLog[[#This Row],[Pod]],TEXT(INT(GameLog[[#This Row],[Round]]),"yyyymmdd"),GameLog[[#This Row],[Date]])</f>
        <v>4|19000102|46153</v>
      </c>
      <c r="H1478" s="6">
        <f>COUNTIF(GameLog[Pod ID],GameLog[[#This Row],[Pod ID]])</f>
        <v>3</v>
      </c>
      <c r="I1478" s="6">
        <f>YEAR(GameLog[[#This Row],[Date]])</f>
        <v>2026</v>
      </c>
      <c r="J1478" s="6">
        <f>MONTH(GameLog[[#This Row],[Date]])</f>
        <v>5</v>
      </c>
      <c r="K1478" s="6" t="str">
        <f>IF(GameLog[[#This Row],[Date]]=MAX(GameLog[Date]),"Current","Previous")</f>
        <v>Previous</v>
      </c>
      <c r="L1478" s="6"/>
      <c r="M14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8" s="6" t="str">
        <f ca="1">IF(GameLog[[#This Row],[Check]]="","",COUNTIF(GameLog[[#Headers],[Check]]:GameLog[[#This Row],[Check]],"?*")-1)</f>
        <v/>
      </c>
      <c r="O1478" s="6" t="str">
        <f>IFERROR(INDEX(Players[New name],MATCH(GameLog[[#This Row],[Player]],Players[Name],0)),GameLog[[#This Row],[Player]])</f>
        <v>Charlie B</v>
      </c>
    </row>
    <row r="1479" spans="1:15" x14ac:dyDescent="0.45">
      <c r="A1479" s="6" t="s">
        <v>63</v>
      </c>
      <c r="B1479" s="6" t="s">
        <v>53</v>
      </c>
      <c r="C1479" s="6">
        <v>3</v>
      </c>
      <c r="D1479" s="6">
        <v>4</v>
      </c>
      <c r="E1479" s="6">
        <v>2</v>
      </c>
      <c r="F1479" s="10">
        <v>46153</v>
      </c>
      <c r="G1479" s="6" t="str">
        <f>_xlfn.TEXTJOIN("|",TRUE,GameLog[[#This Row],[Pod]],TEXT(INT(GameLog[[#This Row],[Round]]),"yyyymmdd"),GameLog[[#This Row],[Date]])</f>
        <v>4|19000102|46153</v>
      </c>
      <c r="H1479" s="6">
        <f>COUNTIF(GameLog[Pod ID],GameLog[[#This Row],[Pod ID]])</f>
        <v>3</v>
      </c>
      <c r="I1479" s="6">
        <f>YEAR(GameLog[[#This Row],[Date]])</f>
        <v>2026</v>
      </c>
      <c r="J1479" s="6">
        <f>MONTH(GameLog[[#This Row],[Date]])</f>
        <v>5</v>
      </c>
      <c r="K1479" s="6" t="str">
        <f>IF(GameLog[[#This Row],[Date]]=MAX(GameLog[Date]),"Current","Previous")</f>
        <v>Previous</v>
      </c>
      <c r="L1479" s="6"/>
      <c r="M14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79" s="6" t="str">
        <f ca="1">IF(GameLog[[#This Row],[Check]]="","",COUNTIF(GameLog[[#Headers],[Check]]:GameLog[[#This Row],[Check]],"?*")-1)</f>
        <v/>
      </c>
      <c r="O1479" s="6" t="str">
        <f>IFERROR(INDEX(Players[New name],MATCH(GameLog[[#This Row],[Player]],Players[Name],0)),GameLog[[#This Row],[Player]])</f>
        <v>Jake D</v>
      </c>
    </row>
    <row r="1480" spans="1:15" x14ac:dyDescent="0.45">
      <c r="A1480" s="6" t="s">
        <v>49</v>
      </c>
      <c r="B1480" s="6" t="s">
        <v>53</v>
      </c>
      <c r="C1480" s="6">
        <v>1</v>
      </c>
      <c r="D1480" s="6">
        <v>5</v>
      </c>
      <c r="E1480" s="6">
        <v>2</v>
      </c>
      <c r="F1480" s="10">
        <v>46153</v>
      </c>
      <c r="G1480" s="6" t="str">
        <f>_xlfn.TEXTJOIN("|",TRUE,GameLog[[#This Row],[Pod]],TEXT(INT(GameLog[[#This Row],[Round]]),"yyyymmdd"),GameLog[[#This Row],[Date]])</f>
        <v>5|19000102|46153</v>
      </c>
      <c r="H1480" s="6">
        <f>COUNTIF(GameLog[Pod ID],GameLog[[#This Row],[Pod ID]])</f>
        <v>3</v>
      </c>
      <c r="I1480" s="6">
        <f>YEAR(GameLog[[#This Row],[Date]])</f>
        <v>2026</v>
      </c>
      <c r="J1480" s="6">
        <f>MONTH(GameLog[[#This Row],[Date]])</f>
        <v>5</v>
      </c>
      <c r="K1480" s="6" t="str">
        <f>IF(GameLog[[#This Row],[Date]]=MAX(GameLog[Date]),"Current","Previous")</f>
        <v>Previous</v>
      </c>
      <c r="L1480" s="6"/>
      <c r="M14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0" s="6" t="str">
        <f ca="1">IF(GameLog[[#This Row],[Check]]="","",COUNTIF(GameLog[[#Headers],[Check]]:GameLog[[#This Row],[Check]],"?*")-1)</f>
        <v/>
      </c>
      <c r="O1480" s="6" t="str">
        <f>IFERROR(INDEX(Players[New name],MATCH(GameLog[[#This Row],[Player]],Players[Name],0)),GameLog[[#This Row],[Player]])</f>
        <v>Brett R</v>
      </c>
    </row>
    <row r="1481" spans="1:15" x14ac:dyDescent="0.45">
      <c r="A1481" s="6" t="s">
        <v>68</v>
      </c>
      <c r="B1481" s="6" t="s">
        <v>53</v>
      </c>
      <c r="C1481" s="6">
        <v>2</v>
      </c>
      <c r="D1481" s="6">
        <v>5</v>
      </c>
      <c r="E1481" s="6">
        <v>2</v>
      </c>
      <c r="F1481" s="10">
        <v>46153</v>
      </c>
      <c r="G1481" s="6" t="str">
        <f>_xlfn.TEXTJOIN("|",TRUE,GameLog[[#This Row],[Pod]],TEXT(INT(GameLog[[#This Row],[Round]]),"yyyymmdd"),GameLog[[#This Row],[Date]])</f>
        <v>5|19000102|46153</v>
      </c>
      <c r="H1481" s="6">
        <f>COUNTIF(GameLog[Pod ID],GameLog[[#This Row],[Pod ID]])</f>
        <v>3</v>
      </c>
      <c r="I1481" s="6">
        <f>YEAR(GameLog[[#This Row],[Date]])</f>
        <v>2026</v>
      </c>
      <c r="J1481" s="6">
        <f>MONTH(GameLog[[#This Row],[Date]])</f>
        <v>5</v>
      </c>
      <c r="K1481" s="6" t="str">
        <f>IF(GameLog[[#This Row],[Date]]=MAX(GameLog[Date]),"Current","Previous")</f>
        <v>Previous</v>
      </c>
      <c r="L1481" s="6"/>
      <c r="M14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1" s="6" t="str">
        <f ca="1">IF(GameLog[[#This Row],[Check]]="","",COUNTIF(GameLog[[#Headers],[Check]]:GameLog[[#This Row],[Check]],"?*")-1)</f>
        <v/>
      </c>
      <c r="O1481" s="6" t="str">
        <f>IFERROR(INDEX(Players[New name],MATCH(GameLog[[#This Row],[Player]],Players[Name],0)),GameLog[[#This Row],[Player]])</f>
        <v>Edwin M</v>
      </c>
    </row>
    <row r="1482" spans="1:15" x14ac:dyDescent="0.45">
      <c r="A1482" s="6" t="s">
        <v>109</v>
      </c>
      <c r="B1482" s="6" t="s">
        <v>50</v>
      </c>
      <c r="C1482" s="6">
        <v>3</v>
      </c>
      <c r="D1482" s="6">
        <v>5</v>
      </c>
      <c r="E1482" s="6">
        <v>2</v>
      </c>
      <c r="F1482" s="10">
        <v>46153</v>
      </c>
      <c r="G1482" s="6" t="str">
        <f>_xlfn.TEXTJOIN("|",TRUE,GameLog[[#This Row],[Pod]],TEXT(INT(GameLog[[#This Row],[Round]]),"yyyymmdd"),GameLog[[#This Row],[Date]])</f>
        <v>5|19000102|46153</v>
      </c>
      <c r="H1482" s="6">
        <f>COUNTIF(GameLog[Pod ID],GameLog[[#This Row],[Pod ID]])</f>
        <v>3</v>
      </c>
      <c r="I1482" s="6">
        <f>YEAR(GameLog[[#This Row],[Date]])</f>
        <v>2026</v>
      </c>
      <c r="J1482" s="6">
        <f>MONTH(GameLog[[#This Row],[Date]])</f>
        <v>5</v>
      </c>
      <c r="K1482" s="6" t="str">
        <f>IF(GameLog[[#This Row],[Date]]=MAX(GameLog[Date]),"Current","Previous")</f>
        <v>Previous</v>
      </c>
      <c r="L1482" s="6"/>
      <c r="M14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2" s="6" t="str">
        <f ca="1">IF(GameLog[[#This Row],[Check]]="","",COUNTIF(GameLog[[#Headers],[Check]]:GameLog[[#This Row],[Check]],"?*")-1)</f>
        <v/>
      </c>
      <c r="O1482" s="6" t="str">
        <f>IFERROR(INDEX(Players[New name],MATCH(GameLog[[#This Row],[Player]],Players[Name],0)),GameLog[[#This Row],[Player]])</f>
        <v>Taylor C</v>
      </c>
    </row>
    <row r="1483" spans="1:15" x14ac:dyDescent="0.45">
      <c r="A1483" s="6" t="s">
        <v>68</v>
      </c>
      <c r="B1483" s="6" t="s">
        <v>53</v>
      </c>
      <c r="C1483" s="6">
        <v>1</v>
      </c>
      <c r="D1483" s="6">
        <v>1</v>
      </c>
      <c r="E1483" s="6">
        <v>1</v>
      </c>
      <c r="F1483" s="10">
        <v>46160</v>
      </c>
      <c r="G1483" s="6" t="str">
        <f>_xlfn.TEXTJOIN("|",TRUE,GameLog[[#This Row],[Pod]],TEXT(INT(GameLog[[#This Row],[Round]]),"yyyymmdd"),GameLog[[#This Row],[Date]])</f>
        <v>1|19000101|46160</v>
      </c>
      <c r="H1483" s="6">
        <f>COUNTIF(GameLog[Pod ID],GameLog[[#This Row],[Pod ID]])</f>
        <v>4</v>
      </c>
      <c r="I1483" s="6">
        <f>YEAR(GameLog[[#This Row],[Date]])</f>
        <v>2026</v>
      </c>
      <c r="J1483" s="6">
        <f>MONTH(GameLog[[#This Row],[Date]])</f>
        <v>5</v>
      </c>
      <c r="K1483" s="6" t="str">
        <f>IF(GameLog[[#This Row],[Date]]=MAX(GameLog[Date]),"Current","Previous")</f>
        <v>Previous</v>
      </c>
      <c r="L1483" s="6"/>
      <c r="M14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3" s="6" t="str">
        <f ca="1">IF(GameLog[[#This Row],[Check]]="","",COUNTIF(GameLog[[#Headers],[Check]]:GameLog[[#This Row],[Check]],"?*")-1)</f>
        <v/>
      </c>
      <c r="O1483" s="6" t="str">
        <f>IFERROR(INDEX(Players[New name],MATCH(GameLog[[#This Row],[Player]],Players[Name],0)),GameLog[[#This Row],[Player]])</f>
        <v>Edwin M</v>
      </c>
    </row>
    <row r="1484" spans="1:15" x14ac:dyDescent="0.45">
      <c r="A1484" s="6" t="s">
        <v>97</v>
      </c>
      <c r="B1484" s="6" t="s">
        <v>50</v>
      </c>
      <c r="C1484" s="6">
        <v>2</v>
      </c>
      <c r="D1484" s="6">
        <v>1</v>
      </c>
      <c r="E1484" s="6">
        <v>1</v>
      </c>
      <c r="F1484" s="10">
        <v>46160</v>
      </c>
      <c r="G1484" s="6" t="str">
        <f>_xlfn.TEXTJOIN("|",TRUE,GameLog[[#This Row],[Pod]],TEXT(INT(GameLog[[#This Row],[Round]]),"yyyymmdd"),GameLog[[#This Row],[Date]])</f>
        <v>1|19000101|46160</v>
      </c>
      <c r="H1484" s="6">
        <f>COUNTIF(GameLog[Pod ID],GameLog[[#This Row],[Pod ID]])</f>
        <v>4</v>
      </c>
      <c r="I1484" s="6">
        <f>YEAR(GameLog[[#This Row],[Date]])</f>
        <v>2026</v>
      </c>
      <c r="J1484" s="6">
        <f>MONTH(GameLog[[#This Row],[Date]])</f>
        <v>5</v>
      </c>
      <c r="K1484" s="6" t="str">
        <f>IF(GameLog[[#This Row],[Date]]=MAX(GameLog[Date]),"Current","Previous")</f>
        <v>Previous</v>
      </c>
      <c r="L1484" s="6"/>
      <c r="M14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4" s="6" t="str">
        <f ca="1">IF(GameLog[[#This Row],[Check]]="","",COUNTIF(GameLog[[#Headers],[Check]]:GameLog[[#This Row],[Check]],"?*")-1)</f>
        <v/>
      </c>
      <c r="O1484" s="6" t="str">
        <f>IFERROR(INDEX(Players[New name],MATCH(GameLog[[#This Row],[Player]],Players[Name],0)),GameLog[[#This Row],[Player]])</f>
        <v>Arman H</v>
      </c>
    </row>
    <row r="1485" spans="1:15" x14ac:dyDescent="0.45">
      <c r="A1485" s="6" t="s">
        <v>55</v>
      </c>
      <c r="B1485" s="6" t="s">
        <v>53</v>
      </c>
      <c r="C1485" s="6">
        <v>3</v>
      </c>
      <c r="D1485" s="6">
        <v>1</v>
      </c>
      <c r="E1485" s="6">
        <v>1</v>
      </c>
      <c r="F1485" s="10">
        <v>46160</v>
      </c>
      <c r="G1485" s="6" t="str">
        <f>_xlfn.TEXTJOIN("|",TRUE,GameLog[[#This Row],[Pod]],TEXT(INT(GameLog[[#This Row],[Round]]),"yyyymmdd"),GameLog[[#This Row],[Date]])</f>
        <v>1|19000101|46160</v>
      </c>
      <c r="H1485" s="6">
        <f>COUNTIF(GameLog[Pod ID],GameLog[[#This Row],[Pod ID]])</f>
        <v>4</v>
      </c>
      <c r="I1485" s="6">
        <f>YEAR(GameLog[[#This Row],[Date]])</f>
        <v>2026</v>
      </c>
      <c r="J1485" s="6">
        <f>MONTH(GameLog[[#This Row],[Date]])</f>
        <v>5</v>
      </c>
      <c r="K1485" s="6" t="str">
        <f>IF(GameLog[[#This Row],[Date]]=MAX(GameLog[Date]),"Current","Previous")</f>
        <v>Previous</v>
      </c>
      <c r="L1485" s="6"/>
      <c r="M14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5" s="6" t="str">
        <f ca="1">IF(GameLog[[#This Row],[Check]]="","",COUNTIF(GameLog[[#Headers],[Check]]:GameLog[[#This Row],[Check]],"?*")-1)</f>
        <v/>
      </c>
      <c r="O1485" s="6" t="str">
        <f>IFERROR(INDEX(Players[New name],MATCH(GameLog[[#This Row],[Player]],Players[Name],0)),GameLog[[#This Row],[Player]])</f>
        <v>Bryce C</v>
      </c>
    </row>
    <row r="1486" spans="1:15" x14ac:dyDescent="0.45">
      <c r="A1486" s="6" t="s">
        <v>73</v>
      </c>
      <c r="B1486" s="6" t="s">
        <v>53</v>
      </c>
      <c r="C1486" s="6">
        <v>4</v>
      </c>
      <c r="D1486" s="6">
        <v>1</v>
      </c>
      <c r="E1486" s="6">
        <v>1</v>
      </c>
      <c r="F1486" s="10">
        <v>46160</v>
      </c>
      <c r="G1486" s="6" t="str">
        <f>_xlfn.TEXTJOIN("|",TRUE,GameLog[[#This Row],[Pod]],TEXT(INT(GameLog[[#This Row],[Round]]),"yyyymmdd"),GameLog[[#This Row],[Date]])</f>
        <v>1|19000101|46160</v>
      </c>
      <c r="H1486" s="6">
        <f>COUNTIF(GameLog[Pod ID],GameLog[[#This Row],[Pod ID]])</f>
        <v>4</v>
      </c>
      <c r="I1486" s="6">
        <f>YEAR(GameLog[[#This Row],[Date]])</f>
        <v>2026</v>
      </c>
      <c r="J1486" s="6">
        <f>MONTH(GameLog[[#This Row],[Date]])</f>
        <v>5</v>
      </c>
      <c r="K1486" s="6" t="str">
        <f>IF(GameLog[[#This Row],[Date]]=MAX(GameLog[Date]),"Current","Previous")</f>
        <v>Previous</v>
      </c>
      <c r="L1486" s="6"/>
      <c r="M14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6" s="6" t="str">
        <f ca="1">IF(GameLog[[#This Row],[Check]]="","",COUNTIF(GameLog[[#Headers],[Check]]:GameLog[[#This Row],[Check]],"?*")-1)</f>
        <v/>
      </c>
      <c r="O1486" s="6" t="str">
        <f>IFERROR(INDEX(Players[New name],MATCH(GameLog[[#This Row],[Player]],Players[Name],0)),GameLog[[#This Row],[Player]])</f>
        <v>Brandon B</v>
      </c>
    </row>
    <row r="1487" spans="1:15" x14ac:dyDescent="0.45">
      <c r="A1487" s="6" t="s">
        <v>52</v>
      </c>
      <c r="B1487" s="6" t="s">
        <v>90</v>
      </c>
      <c r="C1487" s="6">
        <v>1</v>
      </c>
      <c r="D1487" s="6">
        <v>2</v>
      </c>
      <c r="E1487" s="6">
        <v>1</v>
      </c>
      <c r="F1487" s="10">
        <v>46160</v>
      </c>
      <c r="G1487" s="6" t="str">
        <f>_xlfn.TEXTJOIN("|",TRUE,GameLog[[#This Row],[Pod]],TEXT(INT(GameLog[[#This Row],[Round]]),"yyyymmdd"),GameLog[[#This Row],[Date]])</f>
        <v>2|19000101|46160</v>
      </c>
      <c r="H1487" s="6">
        <f>COUNTIF(GameLog[Pod ID],GameLog[[#This Row],[Pod ID]])</f>
        <v>4</v>
      </c>
      <c r="I1487" s="6">
        <f>YEAR(GameLog[[#This Row],[Date]])</f>
        <v>2026</v>
      </c>
      <c r="J1487" s="6">
        <f>MONTH(GameLog[[#This Row],[Date]])</f>
        <v>5</v>
      </c>
      <c r="K1487" s="6" t="str">
        <f>IF(GameLog[[#This Row],[Date]]=MAX(GameLog[Date]),"Current","Previous")</f>
        <v>Previous</v>
      </c>
      <c r="L1487" s="6"/>
      <c r="M14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7" s="6" t="str">
        <f ca="1">IF(GameLog[[#This Row],[Check]]="","",COUNTIF(GameLog[[#Headers],[Check]]:GameLog[[#This Row],[Check]],"?*")-1)</f>
        <v/>
      </c>
      <c r="O1487" s="6" t="str">
        <f>IFERROR(INDEX(Players[New name],MATCH(GameLog[[#This Row],[Player]],Players[Name],0)),GameLog[[#This Row],[Player]])</f>
        <v>Unknown</v>
      </c>
    </row>
    <row r="1488" spans="1:15" x14ac:dyDescent="0.45">
      <c r="A1488" s="6" t="s">
        <v>104</v>
      </c>
      <c r="B1488" s="6" t="s">
        <v>90</v>
      </c>
      <c r="C1488" s="6">
        <v>2</v>
      </c>
      <c r="D1488" s="6">
        <v>2</v>
      </c>
      <c r="E1488" s="6">
        <v>1</v>
      </c>
      <c r="F1488" s="10">
        <v>46160</v>
      </c>
      <c r="G1488" s="6" t="str">
        <f>_xlfn.TEXTJOIN("|",TRUE,GameLog[[#This Row],[Pod]],TEXT(INT(GameLog[[#This Row],[Round]]),"yyyymmdd"),GameLog[[#This Row],[Date]])</f>
        <v>2|19000101|46160</v>
      </c>
      <c r="H1488" s="6">
        <f>COUNTIF(GameLog[Pod ID],GameLog[[#This Row],[Pod ID]])</f>
        <v>4</v>
      </c>
      <c r="I1488" s="6">
        <f>YEAR(GameLog[[#This Row],[Date]])</f>
        <v>2026</v>
      </c>
      <c r="J1488" s="6">
        <f>MONTH(GameLog[[#This Row],[Date]])</f>
        <v>5</v>
      </c>
      <c r="K1488" s="6" t="str">
        <f>IF(GameLog[[#This Row],[Date]]=MAX(GameLog[Date]),"Current","Previous")</f>
        <v>Previous</v>
      </c>
      <c r="L1488" s="6"/>
      <c r="M14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8" s="6" t="str">
        <f ca="1">IF(GameLog[[#This Row],[Check]]="","",COUNTIF(GameLog[[#Headers],[Check]]:GameLog[[#This Row],[Check]],"?*")-1)</f>
        <v/>
      </c>
      <c r="O1488" s="6" t="str">
        <f>IFERROR(INDEX(Players[New name],MATCH(GameLog[[#This Row],[Player]],Players[Name],0)),GameLog[[#This Row],[Player]])</f>
        <v>Eric E</v>
      </c>
    </row>
    <row r="1489" spans="1:15" x14ac:dyDescent="0.45">
      <c r="A1489" s="6" t="s">
        <v>71</v>
      </c>
      <c r="B1489" s="6" t="s">
        <v>90</v>
      </c>
      <c r="C1489" s="6">
        <v>3</v>
      </c>
      <c r="D1489" s="6">
        <v>2</v>
      </c>
      <c r="E1489" s="6">
        <v>1</v>
      </c>
      <c r="F1489" s="10">
        <v>46160</v>
      </c>
      <c r="G1489" s="6" t="str">
        <f>_xlfn.TEXTJOIN("|",TRUE,GameLog[[#This Row],[Pod]],TEXT(INT(GameLog[[#This Row],[Round]]),"yyyymmdd"),GameLog[[#This Row],[Date]])</f>
        <v>2|19000101|46160</v>
      </c>
      <c r="H1489" s="6">
        <f>COUNTIF(GameLog[Pod ID],GameLog[[#This Row],[Pod ID]])</f>
        <v>4</v>
      </c>
      <c r="I1489" s="6">
        <f>YEAR(GameLog[[#This Row],[Date]])</f>
        <v>2026</v>
      </c>
      <c r="J1489" s="6">
        <f>MONTH(GameLog[[#This Row],[Date]])</f>
        <v>5</v>
      </c>
      <c r="K1489" s="6" t="str">
        <f>IF(GameLog[[#This Row],[Date]]=MAX(GameLog[Date]),"Current","Previous")</f>
        <v>Previous</v>
      </c>
      <c r="L1489" s="6"/>
      <c r="M14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89" s="6" t="str">
        <f ca="1">IF(GameLog[[#This Row],[Check]]="","",COUNTIF(GameLog[[#Headers],[Check]]:GameLog[[#This Row],[Check]],"?*")-1)</f>
        <v/>
      </c>
      <c r="O1489" s="6" t="str">
        <f>IFERROR(INDEX(Players[New name],MATCH(GameLog[[#This Row],[Player]],Players[Name],0)),GameLog[[#This Row],[Player]])</f>
        <v>Rodney Y</v>
      </c>
    </row>
    <row r="1490" spans="1:15" x14ac:dyDescent="0.45">
      <c r="A1490" s="6" t="s">
        <v>49</v>
      </c>
      <c r="B1490" s="6" t="s">
        <v>90</v>
      </c>
      <c r="C1490" s="6">
        <v>4</v>
      </c>
      <c r="D1490" s="6">
        <v>2</v>
      </c>
      <c r="E1490" s="6">
        <v>1</v>
      </c>
      <c r="F1490" s="10">
        <v>46160</v>
      </c>
      <c r="G1490" s="6" t="str">
        <f>_xlfn.TEXTJOIN("|",TRUE,GameLog[[#This Row],[Pod]],TEXT(INT(GameLog[[#This Row],[Round]]),"yyyymmdd"),GameLog[[#This Row],[Date]])</f>
        <v>2|19000101|46160</v>
      </c>
      <c r="H1490" s="6">
        <f>COUNTIF(GameLog[Pod ID],GameLog[[#This Row],[Pod ID]])</f>
        <v>4</v>
      </c>
      <c r="I1490" s="6">
        <f>YEAR(GameLog[[#This Row],[Date]])</f>
        <v>2026</v>
      </c>
      <c r="J1490" s="6">
        <f>MONTH(GameLog[[#This Row],[Date]])</f>
        <v>5</v>
      </c>
      <c r="K1490" s="6" t="str">
        <f>IF(GameLog[[#This Row],[Date]]=MAX(GameLog[Date]),"Current","Previous")</f>
        <v>Previous</v>
      </c>
      <c r="L1490" s="6"/>
      <c r="M14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0" s="6" t="str">
        <f ca="1">IF(GameLog[[#This Row],[Check]]="","",COUNTIF(GameLog[[#Headers],[Check]]:GameLog[[#This Row],[Check]],"?*")-1)</f>
        <v/>
      </c>
      <c r="O1490" s="6" t="str">
        <f>IFERROR(INDEX(Players[New name],MATCH(GameLog[[#This Row],[Player]],Players[Name],0)),GameLog[[#This Row],[Player]])</f>
        <v>Brett R</v>
      </c>
    </row>
    <row r="1491" spans="1:15" x14ac:dyDescent="0.45">
      <c r="A1491" s="6" t="s">
        <v>57</v>
      </c>
      <c r="B1491" s="6" t="s">
        <v>90</v>
      </c>
      <c r="C1491" s="6">
        <v>1</v>
      </c>
      <c r="D1491" s="6">
        <v>3</v>
      </c>
      <c r="E1491" s="6">
        <v>1</v>
      </c>
      <c r="F1491" s="10">
        <v>46160</v>
      </c>
      <c r="G1491" s="6" t="str">
        <f>_xlfn.TEXTJOIN("|",TRUE,GameLog[[#This Row],[Pod]],TEXT(INT(GameLog[[#This Row],[Round]]),"yyyymmdd"),GameLog[[#This Row],[Date]])</f>
        <v>3|19000101|46160</v>
      </c>
      <c r="H1491" s="6">
        <f>COUNTIF(GameLog[Pod ID],GameLog[[#This Row],[Pod ID]])</f>
        <v>4</v>
      </c>
      <c r="I1491" s="6">
        <f>YEAR(GameLog[[#This Row],[Date]])</f>
        <v>2026</v>
      </c>
      <c r="J1491" s="6">
        <f>MONTH(GameLog[[#This Row],[Date]])</f>
        <v>5</v>
      </c>
      <c r="K1491" s="6" t="str">
        <f>IF(GameLog[[#This Row],[Date]]=MAX(GameLog[Date]),"Current","Previous")</f>
        <v>Previous</v>
      </c>
      <c r="L1491" s="6"/>
      <c r="M14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1" s="6" t="str">
        <f ca="1">IF(GameLog[[#This Row],[Check]]="","",COUNTIF(GameLog[[#Headers],[Check]]:GameLog[[#This Row],[Check]],"?*")-1)</f>
        <v/>
      </c>
      <c r="O1491" s="6" t="str">
        <f>IFERROR(INDEX(Players[New name],MATCH(GameLog[[#This Row],[Player]],Players[Name],0)),GameLog[[#This Row],[Player]])</f>
        <v>AJ W</v>
      </c>
    </row>
    <row r="1492" spans="1:15" x14ac:dyDescent="0.45">
      <c r="A1492" s="6" t="s">
        <v>91</v>
      </c>
      <c r="B1492" s="6" t="s">
        <v>90</v>
      </c>
      <c r="C1492" s="6">
        <v>2</v>
      </c>
      <c r="D1492" s="6">
        <v>3</v>
      </c>
      <c r="E1492" s="6">
        <v>1</v>
      </c>
      <c r="F1492" s="10">
        <v>46160</v>
      </c>
      <c r="G1492" s="6" t="str">
        <f>_xlfn.TEXTJOIN("|",TRUE,GameLog[[#This Row],[Pod]],TEXT(INT(GameLog[[#This Row],[Round]]),"yyyymmdd"),GameLog[[#This Row],[Date]])</f>
        <v>3|19000101|46160</v>
      </c>
      <c r="H1492" s="6">
        <f>COUNTIF(GameLog[Pod ID],GameLog[[#This Row],[Pod ID]])</f>
        <v>4</v>
      </c>
      <c r="I1492" s="6">
        <f>YEAR(GameLog[[#This Row],[Date]])</f>
        <v>2026</v>
      </c>
      <c r="J1492" s="6">
        <f>MONTH(GameLog[[#This Row],[Date]])</f>
        <v>5</v>
      </c>
      <c r="K1492" s="6" t="str">
        <f>IF(GameLog[[#This Row],[Date]]=MAX(GameLog[Date]),"Current","Previous")</f>
        <v>Previous</v>
      </c>
      <c r="L1492" s="6"/>
      <c r="M14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2" s="6" t="str">
        <f ca="1">IF(GameLog[[#This Row],[Check]]="","",COUNTIF(GameLog[[#Headers],[Check]]:GameLog[[#This Row],[Check]],"?*")-1)</f>
        <v/>
      </c>
      <c r="O1492" s="6" t="str">
        <f>IFERROR(INDEX(Players[New name],MATCH(GameLog[[#This Row],[Player]],Players[Name],0)),GameLog[[#This Row],[Player]])</f>
        <v>Isaac B</v>
      </c>
    </row>
    <row r="1493" spans="1:15" x14ac:dyDescent="0.45">
      <c r="A1493" s="6" t="s">
        <v>75</v>
      </c>
      <c r="B1493" s="6" t="s">
        <v>90</v>
      </c>
      <c r="C1493" s="6">
        <v>3</v>
      </c>
      <c r="D1493" s="6">
        <v>3</v>
      </c>
      <c r="E1493" s="6">
        <v>1</v>
      </c>
      <c r="F1493" s="10">
        <v>46160</v>
      </c>
      <c r="G1493" s="6" t="str">
        <f>_xlfn.TEXTJOIN("|",TRUE,GameLog[[#This Row],[Pod]],TEXT(INT(GameLog[[#This Row],[Round]]),"yyyymmdd"),GameLog[[#This Row],[Date]])</f>
        <v>3|19000101|46160</v>
      </c>
      <c r="H1493" s="6">
        <f>COUNTIF(GameLog[Pod ID],GameLog[[#This Row],[Pod ID]])</f>
        <v>4</v>
      </c>
      <c r="I1493" s="6">
        <f>YEAR(GameLog[[#This Row],[Date]])</f>
        <v>2026</v>
      </c>
      <c r="J1493" s="6">
        <f>MONTH(GameLog[[#This Row],[Date]])</f>
        <v>5</v>
      </c>
      <c r="K1493" s="6" t="str">
        <f>IF(GameLog[[#This Row],[Date]]=MAX(GameLog[Date]),"Current","Previous")</f>
        <v>Previous</v>
      </c>
      <c r="L1493" s="6"/>
      <c r="M14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3" s="6" t="str">
        <f ca="1">IF(GameLog[[#This Row],[Check]]="","",COUNTIF(GameLog[[#Headers],[Check]]:GameLog[[#This Row],[Check]],"?*")-1)</f>
        <v/>
      </c>
      <c r="O1493" s="6" t="str">
        <f>IFERROR(INDEX(Players[New name],MATCH(GameLog[[#This Row],[Player]],Players[Name],0)),GameLog[[#This Row],[Player]])</f>
        <v>Eli T</v>
      </c>
    </row>
    <row r="1494" spans="1:15" x14ac:dyDescent="0.45">
      <c r="A1494" s="6" t="s">
        <v>98</v>
      </c>
      <c r="B1494" s="6" t="s">
        <v>90</v>
      </c>
      <c r="C1494" s="6">
        <v>4</v>
      </c>
      <c r="D1494" s="6">
        <v>3</v>
      </c>
      <c r="E1494" s="6">
        <v>1</v>
      </c>
      <c r="F1494" s="10">
        <v>46160</v>
      </c>
      <c r="G1494" s="6" t="str">
        <f>_xlfn.TEXTJOIN("|",TRUE,GameLog[[#This Row],[Pod]],TEXT(INT(GameLog[[#This Row],[Round]]),"yyyymmdd"),GameLog[[#This Row],[Date]])</f>
        <v>3|19000101|46160</v>
      </c>
      <c r="H1494" s="6">
        <f>COUNTIF(GameLog[Pod ID],GameLog[[#This Row],[Pod ID]])</f>
        <v>4</v>
      </c>
      <c r="I1494" s="6">
        <f>YEAR(GameLog[[#This Row],[Date]])</f>
        <v>2026</v>
      </c>
      <c r="J1494" s="6">
        <f>MONTH(GameLog[[#This Row],[Date]])</f>
        <v>5</v>
      </c>
      <c r="K1494" s="6" t="str">
        <f>IF(GameLog[[#This Row],[Date]]=MAX(GameLog[Date]),"Current","Previous")</f>
        <v>Previous</v>
      </c>
      <c r="L1494" s="6"/>
      <c r="M14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4" s="6" t="str">
        <f ca="1">IF(GameLog[[#This Row],[Check]]="","",COUNTIF(GameLog[[#Headers],[Check]]:GameLog[[#This Row],[Check]],"?*")-1)</f>
        <v/>
      </c>
      <c r="O1494" s="6" t="str">
        <f>IFERROR(INDEX(Players[New name],MATCH(GameLog[[#This Row],[Player]],Players[Name],0)),GameLog[[#This Row],[Player]])</f>
        <v>Charlie B</v>
      </c>
    </row>
    <row r="1495" spans="1:15" x14ac:dyDescent="0.45">
      <c r="A1495" s="6" t="s">
        <v>63</v>
      </c>
      <c r="B1495" s="6" t="s">
        <v>90</v>
      </c>
      <c r="C1495" s="6">
        <v>1</v>
      </c>
      <c r="D1495" s="6">
        <v>4</v>
      </c>
      <c r="E1495" s="6">
        <v>1</v>
      </c>
      <c r="F1495" s="10">
        <v>46160</v>
      </c>
      <c r="G1495" s="6" t="str">
        <f>_xlfn.TEXTJOIN("|",TRUE,GameLog[[#This Row],[Pod]],TEXT(INT(GameLog[[#This Row],[Round]]),"yyyymmdd"),GameLog[[#This Row],[Date]])</f>
        <v>4|19000101|46160</v>
      </c>
      <c r="H1495" s="6">
        <f>COUNTIF(GameLog[Pod ID],GameLog[[#This Row],[Pod ID]])</f>
        <v>4</v>
      </c>
      <c r="I1495" s="6">
        <f>YEAR(GameLog[[#This Row],[Date]])</f>
        <v>2026</v>
      </c>
      <c r="J1495" s="6">
        <f>MONTH(GameLog[[#This Row],[Date]])</f>
        <v>5</v>
      </c>
      <c r="K1495" s="6" t="str">
        <f>IF(GameLog[[#This Row],[Date]]=MAX(GameLog[Date]),"Current","Previous")</f>
        <v>Previous</v>
      </c>
      <c r="L1495" s="6"/>
      <c r="M14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5" s="6" t="str">
        <f ca="1">IF(GameLog[[#This Row],[Check]]="","",COUNTIF(GameLog[[#Headers],[Check]]:GameLog[[#This Row],[Check]],"?*")-1)</f>
        <v/>
      </c>
      <c r="O1495" s="6" t="str">
        <f>IFERROR(INDEX(Players[New name],MATCH(GameLog[[#This Row],[Player]],Players[Name],0)),GameLog[[#This Row],[Player]])</f>
        <v>Jake D</v>
      </c>
    </row>
    <row r="1496" spans="1:15" x14ac:dyDescent="0.45">
      <c r="A1496" s="6" t="s">
        <v>74</v>
      </c>
      <c r="B1496" s="6" t="s">
        <v>90</v>
      </c>
      <c r="C1496" s="6">
        <v>2</v>
      </c>
      <c r="D1496" s="6">
        <v>4</v>
      </c>
      <c r="E1496" s="6">
        <v>1</v>
      </c>
      <c r="F1496" s="10">
        <v>46160</v>
      </c>
      <c r="G1496" s="6" t="str">
        <f>_xlfn.TEXTJOIN("|",TRUE,GameLog[[#This Row],[Pod]],TEXT(INT(GameLog[[#This Row],[Round]]),"yyyymmdd"),GameLog[[#This Row],[Date]])</f>
        <v>4|19000101|46160</v>
      </c>
      <c r="H1496" s="6">
        <f>COUNTIF(GameLog[Pod ID],GameLog[[#This Row],[Pod ID]])</f>
        <v>4</v>
      </c>
      <c r="I1496" s="6">
        <f>YEAR(GameLog[[#This Row],[Date]])</f>
        <v>2026</v>
      </c>
      <c r="J1496" s="6">
        <f>MONTH(GameLog[[#This Row],[Date]])</f>
        <v>5</v>
      </c>
      <c r="K1496" s="6" t="str">
        <f>IF(GameLog[[#This Row],[Date]]=MAX(GameLog[Date]),"Current","Previous")</f>
        <v>Previous</v>
      </c>
      <c r="L1496" s="6"/>
      <c r="M14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6" s="6" t="str">
        <f ca="1">IF(GameLog[[#This Row],[Check]]="","",COUNTIF(GameLog[[#Headers],[Check]]:GameLog[[#This Row],[Check]],"?*")-1)</f>
        <v/>
      </c>
      <c r="O1496" s="6" t="str">
        <f>IFERROR(INDEX(Players[New name],MATCH(GameLog[[#This Row],[Player]],Players[Name],0)),GameLog[[#This Row],[Player]])</f>
        <v>Jarrod O</v>
      </c>
    </row>
    <row r="1497" spans="1:15" x14ac:dyDescent="0.45">
      <c r="A1497" s="6" t="s">
        <v>61</v>
      </c>
      <c r="B1497" s="6" t="s">
        <v>90</v>
      </c>
      <c r="C1497" s="6">
        <v>3</v>
      </c>
      <c r="D1497" s="6">
        <v>4</v>
      </c>
      <c r="E1497" s="6">
        <v>1</v>
      </c>
      <c r="F1497" s="10">
        <v>46160</v>
      </c>
      <c r="G1497" s="6" t="str">
        <f>_xlfn.TEXTJOIN("|",TRUE,GameLog[[#This Row],[Pod]],TEXT(INT(GameLog[[#This Row],[Round]]),"yyyymmdd"),GameLog[[#This Row],[Date]])</f>
        <v>4|19000101|46160</v>
      </c>
      <c r="H1497" s="6">
        <f>COUNTIF(GameLog[Pod ID],GameLog[[#This Row],[Pod ID]])</f>
        <v>4</v>
      </c>
      <c r="I1497" s="6">
        <f>YEAR(GameLog[[#This Row],[Date]])</f>
        <v>2026</v>
      </c>
      <c r="J1497" s="6">
        <f>MONTH(GameLog[[#This Row],[Date]])</f>
        <v>5</v>
      </c>
      <c r="K1497" s="6" t="str">
        <f>IF(GameLog[[#This Row],[Date]]=MAX(GameLog[Date]),"Current","Previous")</f>
        <v>Previous</v>
      </c>
      <c r="L1497" s="6"/>
      <c r="M14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7" s="6" t="str">
        <f ca="1">IF(GameLog[[#This Row],[Check]]="","",COUNTIF(GameLog[[#Headers],[Check]]:GameLog[[#This Row],[Check]],"?*")-1)</f>
        <v/>
      </c>
      <c r="O1497" s="6" t="str">
        <f>IFERROR(INDEX(Players[New name],MATCH(GameLog[[#This Row],[Player]],Players[Name],0)),GameLog[[#This Row],[Player]])</f>
        <v>Trevor</v>
      </c>
    </row>
    <row r="1498" spans="1:15" x14ac:dyDescent="0.45">
      <c r="A1498" s="6" t="s">
        <v>102</v>
      </c>
      <c r="B1498" s="6" t="s">
        <v>90</v>
      </c>
      <c r="C1498" s="6">
        <v>4</v>
      </c>
      <c r="D1498" s="6">
        <v>4</v>
      </c>
      <c r="E1498" s="6">
        <v>1</v>
      </c>
      <c r="F1498" s="10">
        <v>46160</v>
      </c>
      <c r="G1498" s="6" t="str">
        <f>_xlfn.TEXTJOIN("|",TRUE,GameLog[[#This Row],[Pod]],TEXT(INT(GameLog[[#This Row],[Round]]),"yyyymmdd"),GameLog[[#This Row],[Date]])</f>
        <v>4|19000101|46160</v>
      </c>
      <c r="H1498" s="6">
        <f>COUNTIF(GameLog[Pod ID],GameLog[[#This Row],[Pod ID]])</f>
        <v>4</v>
      </c>
      <c r="I1498" s="6">
        <f>YEAR(GameLog[[#This Row],[Date]])</f>
        <v>2026</v>
      </c>
      <c r="J1498" s="6">
        <f>MONTH(GameLog[[#This Row],[Date]])</f>
        <v>5</v>
      </c>
      <c r="K1498" s="6" t="str">
        <f>IF(GameLog[[#This Row],[Date]]=MAX(GameLog[Date]),"Current","Previous")</f>
        <v>Previous</v>
      </c>
      <c r="L1498" s="6"/>
      <c r="M14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8" s="6" t="str">
        <f ca="1">IF(GameLog[[#This Row],[Check]]="","",COUNTIF(GameLog[[#Headers],[Check]]:GameLog[[#This Row],[Check]],"?*")-1)</f>
        <v/>
      </c>
      <c r="O1498" s="6" t="str">
        <f>IFERROR(INDEX(Players[New name],MATCH(GameLog[[#This Row],[Player]],Players[Name],0)),GameLog[[#This Row],[Player]])</f>
        <v>Sage</v>
      </c>
    </row>
    <row r="1499" spans="1:15" x14ac:dyDescent="0.45">
      <c r="A1499" s="6" t="s">
        <v>64</v>
      </c>
      <c r="B1499" s="6" t="s">
        <v>53</v>
      </c>
      <c r="C1499" s="6">
        <v>1</v>
      </c>
      <c r="D1499" s="6">
        <v>5</v>
      </c>
      <c r="E1499" s="6">
        <v>1</v>
      </c>
      <c r="F1499" s="10">
        <v>46160</v>
      </c>
      <c r="G1499" s="6" t="str">
        <f>_xlfn.TEXTJOIN("|",TRUE,GameLog[[#This Row],[Pod]],TEXT(INT(GameLog[[#This Row],[Round]]),"yyyymmdd"),GameLog[[#This Row],[Date]])</f>
        <v>5|19000101|46160</v>
      </c>
      <c r="H1499" s="6">
        <f>COUNTIF(GameLog[Pod ID],GameLog[[#This Row],[Pod ID]])</f>
        <v>3</v>
      </c>
      <c r="I1499" s="6">
        <f>YEAR(GameLog[[#This Row],[Date]])</f>
        <v>2026</v>
      </c>
      <c r="J1499" s="6">
        <f>MONTH(GameLog[[#This Row],[Date]])</f>
        <v>5</v>
      </c>
      <c r="K1499" s="6" t="str">
        <f>IF(GameLog[[#This Row],[Date]]=MAX(GameLog[Date]),"Current","Previous")</f>
        <v>Previous</v>
      </c>
      <c r="L1499" s="6"/>
      <c r="M14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499" s="6" t="str">
        <f ca="1">IF(GameLog[[#This Row],[Check]]="","",COUNTIF(GameLog[[#Headers],[Check]]:GameLog[[#This Row],[Check]],"?*")-1)</f>
        <v/>
      </c>
      <c r="O1499" s="6" t="str">
        <f>IFERROR(INDEX(Players[New name],MATCH(GameLog[[#This Row],[Player]],Players[Name],0)),GameLog[[#This Row],[Player]])</f>
        <v>Tyler B</v>
      </c>
    </row>
    <row r="1500" spans="1:15" x14ac:dyDescent="0.45">
      <c r="A1500" s="6" t="s">
        <v>59</v>
      </c>
      <c r="B1500" s="6" t="s">
        <v>53</v>
      </c>
      <c r="C1500" s="6">
        <v>2</v>
      </c>
      <c r="D1500" s="6">
        <v>5</v>
      </c>
      <c r="E1500" s="6">
        <v>1</v>
      </c>
      <c r="F1500" s="10">
        <v>46160</v>
      </c>
      <c r="G1500" s="6" t="str">
        <f>_xlfn.TEXTJOIN("|",TRUE,GameLog[[#This Row],[Pod]],TEXT(INT(GameLog[[#This Row],[Round]]),"yyyymmdd"),GameLog[[#This Row],[Date]])</f>
        <v>5|19000101|46160</v>
      </c>
      <c r="H1500" s="6">
        <f>COUNTIF(GameLog[Pod ID],GameLog[[#This Row],[Pod ID]])</f>
        <v>3</v>
      </c>
      <c r="I1500" s="6">
        <f>YEAR(GameLog[[#This Row],[Date]])</f>
        <v>2026</v>
      </c>
      <c r="J1500" s="6">
        <f>MONTH(GameLog[[#This Row],[Date]])</f>
        <v>5</v>
      </c>
      <c r="K1500" s="6" t="str">
        <f>IF(GameLog[[#This Row],[Date]]=MAX(GameLog[Date]),"Current","Previous")</f>
        <v>Previous</v>
      </c>
      <c r="L1500" s="6"/>
      <c r="M15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0" s="6" t="str">
        <f ca="1">IF(GameLog[[#This Row],[Check]]="","",COUNTIF(GameLog[[#Headers],[Check]]:GameLog[[#This Row],[Check]],"?*")-1)</f>
        <v/>
      </c>
      <c r="O1500" s="6" t="str">
        <f>IFERROR(INDEX(Players[New name],MATCH(GameLog[[#This Row],[Player]],Players[Name],0)),GameLog[[#This Row],[Player]])</f>
        <v>Zack B</v>
      </c>
    </row>
    <row r="1501" spans="1:15" x14ac:dyDescent="0.45">
      <c r="A1501" s="6" t="s">
        <v>70</v>
      </c>
      <c r="B1501" s="6" t="s">
        <v>50</v>
      </c>
      <c r="C1501" s="6">
        <v>3</v>
      </c>
      <c r="D1501" s="6">
        <v>5</v>
      </c>
      <c r="E1501" s="6">
        <v>1</v>
      </c>
      <c r="F1501" s="10">
        <v>46160</v>
      </c>
      <c r="G1501" s="6" t="str">
        <f>_xlfn.TEXTJOIN("|",TRUE,GameLog[[#This Row],[Pod]],TEXT(INT(GameLog[[#This Row],[Round]]),"yyyymmdd"),GameLog[[#This Row],[Date]])</f>
        <v>5|19000101|46160</v>
      </c>
      <c r="H1501" s="6">
        <f>COUNTIF(GameLog[Pod ID],GameLog[[#This Row],[Pod ID]])</f>
        <v>3</v>
      </c>
      <c r="I1501" s="6">
        <f>YEAR(GameLog[[#This Row],[Date]])</f>
        <v>2026</v>
      </c>
      <c r="J1501" s="6">
        <f>MONTH(GameLog[[#This Row],[Date]])</f>
        <v>5</v>
      </c>
      <c r="K1501" s="6" t="str">
        <f>IF(GameLog[[#This Row],[Date]]=MAX(GameLog[Date]),"Current","Previous")</f>
        <v>Previous</v>
      </c>
      <c r="L1501" s="6"/>
      <c r="M15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1" s="6" t="str">
        <f ca="1">IF(GameLog[[#This Row],[Check]]="","",COUNTIF(GameLog[[#Headers],[Check]]:GameLog[[#This Row],[Check]],"?*")-1)</f>
        <v/>
      </c>
      <c r="O1501" s="6" t="str">
        <f>IFERROR(INDEX(Players[New name],MATCH(GameLog[[#This Row],[Player]],Players[Name],0)),GameLog[[#This Row],[Player]])</f>
        <v>Brad F</v>
      </c>
    </row>
    <row r="1502" spans="1:15" x14ac:dyDescent="0.45">
      <c r="A1502" s="6" t="s">
        <v>70</v>
      </c>
      <c r="B1502" s="6" t="s">
        <v>50</v>
      </c>
      <c r="C1502" s="6">
        <v>1</v>
      </c>
      <c r="D1502" s="6">
        <v>1</v>
      </c>
      <c r="E1502" s="6">
        <v>2</v>
      </c>
      <c r="F1502" s="10">
        <v>46160</v>
      </c>
      <c r="G1502" s="6" t="str">
        <f>_xlfn.TEXTJOIN("|",TRUE,GameLog[[#This Row],[Pod]],TEXT(INT(GameLog[[#This Row],[Round]]),"yyyymmdd"),GameLog[[#This Row],[Date]])</f>
        <v>1|19000102|46160</v>
      </c>
      <c r="H1502" s="6">
        <f>COUNTIF(GameLog[Pod ID],GameLog[[#This Row],[Pod ID]])</f>
        <v>4</v>
      </c>
      <c r="I1502" s="6">
        <f>YEAR(GameLog[[#This Row],[Date]])</f>
        <v>2026</v>
      </c>
      <c r="J1502" s="6">
        <f>MONTH(GameLog[[#This Row],[Date]])</f>
        <v>5</v>
      </c>
      <c r="K1502" s="6" t="str">
        <f>IF(GameLog[[#This Row],[Date]]=MAX(GameLog[Date]),"Current","Previous")</f>
        <v>Previous</v>
      </c>
      <c r="L1502" s="6"/>
      <c r="M15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2" s="6" t="str">
        <f ca="1">IF(GameLog[[#This Row],[Check]]="","",COUNTIF(GameLog[[#Headers],[Check]]:GameLog[[#This Row],[Check]],"?*")-1)</f>
        <v/>
      </c>
      <c r="O1502" s="6" t="str">
        <f>IFERROR(INDEX(Players[New name],MATCH(GameLog[[#This Row],[Player]],Players[Name],0)),GameLog[[#This Row],[Player]])</f>
        <v>Brad F</v>
      </c>
    </row>
    <row r="1503" spans="1:15" x14ac:dyDescent="0.45">
      <c r="A1503" s="6" t="s">
        <v>97</v>
      </c>
      <c r="B1503" s="6" t="s">
        <v>53</v>
      </c>
      <c r="C1503" s="6">
        <v>2</v>
      </c>
      <c r="D1503" s="6">
        <v>1</v>
      </c>
      <c r="E1503" s="6">
        <v>2</v>
      </c>
      <c r="F1503" s="10">
        <v>46160</v>
      </c>
      <c r="G1503" s="6" t="str">
        <f>_xlfn.TEXTJOIN("|",TRUE,GameLog[[#This Row],[Pod]],TEXT(INT(GameLog[[#This Row],[Round]]),"yyyymmdd"),GameLog[[#This Row],[Date]])</f>
        <v>1|19000102|46160</v>
      </c>
      <c r="H1503" s="6">
        <f>COUNTIF(GameLog[Pod ID],GameLog[[#This Row],[Pod ID]])</f>
        <v>4</v>
      </c>
      <c r="I1503" s="6">
        <f>YEAR(GameLog[[#This Row],[Date]])</f>
        <v>2026</v>
      </c>
      <c r="J1503" s="6">
        <f>MONTH(GameLog[[#This Row],[Date]])</f>
        <v>5</v>
      </c>
      <c r="K1503" s="6" t="str">
        <f>IF(GameLog[[#This Row],[Date]]=MAX(GameLog[Date]),"Current","Previous")</f>
        <v>Previous</v>
      </c>
      <c r="L1503" s="6"/>
      <c r="M15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3" s="6" t="str">
        <f ca="1">IF(GameLog[[#This Row],[Check]]="","",COUNTIF(GameLog[[#Headers],[Check]]:GameLog[[#This Row],[Check]],"?*")-1)</f>
        <v/>
      </c>
      <c r="O1503" s="6" t="str">
        <f>IFERROR(INDEX(Players[New name],MATCH(GameLog[[#This Row],[Player]],Players[Name],0)),GameLog[[#This Row],[Player]])</f>
        <v>Arman H</v>
      </c>
    </row>
    <row r="1504" spans="1:15" x14ac:dyDescent="0.45">
      <c r="A1504" s="6" t="s">
        <v>52</v>
      </c>
      <c r="B1504" s="6" t="s">
        <v>53</v>
      </c>
      <c r="C1504" s="6">
        <v>3</v>
      </c>
      <c r="D1504" s="6">
        <v>1</v>
      </c>
      <c r="E1504" s="6">
        <v>2</v>
      </c>
      <c r="F1504" s="10">
        <v>46160</v>
      </c>
      <c r="G1504" s="6" t="str">
        <f>_xlfn.TEXTJOIN("|",TRUE,GameLog[[#This Row],[Pod]],TEXT(INT(GameLog[[#This Row],[Round]]),"yyyymmdd"),GameLog[[#This Row],[Date]])</f>
        <v>1|19000102|46160</v>
      </c>
      <c r="H1504" s="6">
        <f>COUNTIF(GameLog[Pod ID],GameLog[[#This Row],[Pod ID]])</f>
        <v>4</v>
      </c>
      <c r="I1504" s="6">
        <f>YEAR(GameLog[[#This Row],[Date]])</f>
        <v>2026</v>
      </c>
      <c r="J1504" s="6">
        <f>MONTH(GameLog[[#This Row],[Date]])</f>
        <v>5</v>
      </c>
      <c r="K1504" s="6" t="str">
        <f>IF(GameLog[[#This Row],[Date]]=MAX(GameLog[Date]),"Current","Previous")</f>
        <v>Previous</v>
      </c>
      <c r="L1504" s="6"/>
      <c r="M15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4" s="6" t="str">
        <f ca="1">IF(GameLog[[#This Row],[Check]]="","",COUNTIF(GameLog[[#Headers],[Check]]:GameLog[[#This Row],[Check]],"?*")-1)</f>
        <v/>
      </c>
      <c r="O1504" s="6" t="str">
        <f>IFERROR(INDEX(Players[New name],MATCH(GameLog[[#This Row],[Player]],Players[Name],0)),GameLog[[#This Row],[Player]])</f>
        <v>Unknown</v>
      </c>
    </row>
    <row r="1505" spans="1:15" x14ac:dyDescent="0.45">
      <c r="A1505" s="6" t="s">
        <v>57</v>
      </c>
      <c r="B1505" s="6" t="s">
        <v>53</v>
      </c>
      <c r="C1505" s="6">
        <v>4</v>
      </c>
      <c r="D1505" s="6">
        <v>1</v>
      </c>
      <c r="E1505" s="6">
        <v>2</v>
      </c>
      <c r="F1505" s="10">
        <v>46160</v>
      </c>
      <c r="G1505" s="6" t="str">
        <f>_xlfn.TEXTJOIN("|",TRUE,GameLog[[#This Row],[Pod]],TEXT(INT(GameLog[[#This Row],[Round]]),"yyyymmdd"),GameLog[[#This Row],[Date]])</f>
        <v>1|19000102|46160</v>
      </c>
      <c r="H1505" s="6">
        <f>COUNTIF(GameLog[Pod ID],GameLog[[#This Row],[Pod ID]])</f>
        <v>4</v>
      </c>
      <c r="I1505" s="6">
        <f>YEAR(GameLog[[#This Row],[Date]])</f>
        <v>2026</v>
      </c>
      <c r="J1505" s="6">
        <f>MONTH(GameLog[[#This Row],[Date]])</f>
        <v>5</v>
      </c>
      <c r="K1505" s="6" t="str">
        <f>IF(GameLog[[#This Row],[Date]]=MAX(GameLog[Date]),"Current","Previous")</f>
        <v>Previous</v>
      </c>
      <c r="L1505" s="6"/>
      <c r="M15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5" s="6" t="str">
        <f ca="1">IF(GameLog[[#This Row],[Check]]="","",COUNTIF(GameLog[[#Headers],[Check]]:GameLog[[#This Row],[Check]],"?*")-1)</f>
        <v/>
      </c>
      <c r="O1505" s="6" t="str">
        <f>IFERROR(INDEX(Players[New name],MATCH(GameLog[[#This Row],[Player]],Players[Name],0)),GameLog[[#This Row],[Player]])</f>
        <v>AJ W</v>
      </c>
    </row>
    <row r="1506" spans="1:15" x14ac:dyDescent="0.45">
      <c r="A1506" s="6" t="s">
        <v>98</v>
      </c>
      <c r="B1506" s="6" t="s">
        <v>90</v>
      </c>
      <c r="C1506" s="6">
        <v>1</v>
      </c>
      <c r="D1506" s="6">
        <v>2</v>
      </c>
      <c r="E1506" s="6">
        <v>2</v>
      </c>
      <c r="F1506" s="10">
        <v>46160</v>
      </c>
      <c r="G1506" s="6" t="str">
        <f>_xlfn.TEXTJOIN("|",TRUE,GameLog[[#This Row],[Pod]],TEXT(INT(GameLog[[#This Row],[Round]]),"yyyymmdd"),GameLog[[#This Row],[Date]])</f>
        <v>2|19000102|46160</v>
      </c>
      <c r="H1506" s="6">
        <f>COUNTIF(GameLog[Pod ID],GameLog[[#This Row],[Pod ID]])</f>
        <v>4</v>
      </c>
      <c r="I1506" s="6">
        <f>YEAR(GameLog[[#This Row],[Date]])</f>
        <v>2026</v>
      </c>
      <c r="J1506" s="6">
        <f>MONTH(GameLog[[#This Row],[Date]])</f>
        <v>5</v>
      </c>
      <c r="K1506" s="6" t="str">
        <f>IF(GameLog[[#This Row],[Date]]=MAX(GameLog[Date]),"Current","Previous")</f>
        <v>Previous</v>
      </c>
      <c r="L1506" s="6"/>
      <c r="M15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6" s="6" t="str">
        <f ca="1">IF(GameLog[[#This Row],[Check]]="","",COUNTIF(GameLog[[#Headers],[Check]]:GameLog[[#This Row],[Check]],"?*")-1)</f>
        <v/>
      </c>
      <c r="O1506" s="6" t="str">
        <f>IFERROR(INDEX(Players[New name],MATCH(GameLog[[#This Row],[Player]],Players[Name],0)),GameLog[[#This Row],[Player]])</f>
        <v>Charlie B</v>
      </c>
    </row>
    <row r="1507" spans="1:15" x14ac:dyDescent="0.45">
      <c r="A1507" s="6" t="s">
        <v>71</v>
      </c>
      <c r="B1507" s="6" t="s">
        <v>90</v>
      </c>
      <c r="C1507" s="6">
        <v>2</v>
      </c>
      <c r="D1507" s="6">
        <v>2</v>
      </c>
      <c r="E1507" s="6">
        <v>2</v>
      </c>
      <c r="F1507" s="10">
        <v>46160</v>
      </c>
      <c r="G1507" s="6" t="str">
        <f>_xlfn.TEXTJOIN("|",TRUE,GameLog[[#This Row],[Pod]],TEXT(INT(GameLog[[#This Row],[Round]]),"yyyymmdd"),GameLog[[#This Row],[Date]])</f>
        <v>2|19000102|46160</v>
      </c>
      <c r="H1507" s="6">
        <f>COUNTIF(GameLog[Pod ID],GameLog[[#This Row],[Pod ID]])</f>
        <v>4</v>
      </c>
      <c r="I1507" s="6">
        <f>YEAR(GameLog[[#This Row],[Date]])</f>
        <v>2026</v>
      </c>
      <c r="J1507" s="6">
        <f>MONTH(GameLog[[#This Row],[Date]])</f>
        <v>5</v>
      </c>
      <c r="K1507" s="6" t="str">
        <f>IF(GameLog[[#This Row],[Date]]=MAX(GameLog[Date]),"Current","Previous")</f>
        <v>Previous</v>
      </c>
      <c r="L1507" s="6"/>
      <c r="M15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7" s="6" t="str">
        <f ca="1">IF(GameLog[[#This Row],[Check]]="","",COUNTIF(GameLog[[#Headers],[Check]]:GameLog[[#This Row],[Check]],"?*")-1)</f>
        <v/>
      </c>
      <c r="O1507" s="6" t="str">
        <f>IFERROR(INDEX(Players[New name],MATCH(GameLog[[#This Row],[Player]],Players[Name],0)),GameLog[[#This Row],[Player]])</f>
        <v>Rodney Y</v>
      </c>
    </row>
    <row r="1508" spans="1:15" x14ac:dyDescent="0.45">
      <c r="A1508" s="6" t="s">
        <v>61</v>
      </c>
      <c r="B1508" s="6" t="s">
        <v>90</v>
      </c>
      <c r="C1508" s="6">
        <v>3</v>
      </c>
      <c r="D1508" s="6">
        <v>2</v>
      </c>
      <c r="E1508" s="6">
        <v>2</v>
      </c>
      <c r="F1508" s="10">
        <v>46160</v>
      </c>
      <c r="G1508" s="6" t="str">
        <f>_xlfn.TEXTJOIN("|",TRUE,GameLog[[#This Row],[Pod]],TEXT(INT(GameLog[[#This Row],[Round]]),"yyyymmdd"),GameLog[[#This Row],[Date]])</f>
        <v>2|19000102|46160</v>
      </c>
      <c r="H1508" s="6">
        <f>COUNTIF(GameLog[Pod ID],GameLog[[#This Row],[Pod ID]])</f>
        <v>4</v>
      </c>
      <c r="I1508" s="6">
        <f>YEAR(GameLog[[#This Row],[Date]])</f>
        <v>2026</v>
      </c>
      <c r="J1508" s="6">
        <f>MONTH(GameLog[[#This Row],[Date]])</f>
        <v>5</v>
      </c>
      <c r="K1508" s="6" t="str">
        <f>IF(GameLog[[#This Row],[Date]]=MAX(GameLog[Date]),"Current","Previous")</f>
        <v>Previous</v>
      </c>
      <c r="L1508" s="6"/>
      <c r="M15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8" s="6" t="str">
        <f ca="1">IF(GameLog[[#This Row],[Check]]="","",COUNTIF(GameLog[[#Headers],[Check]]:GameLog[[#This Row],[Check]],"?*")-1)</f>
        <v/>
      </c>
      <c r="O1508" s="6" t="str">
        <f>IFERROR(INDEX(Players[New name],MATCH(GameLog[[#This Row],[Player]],Players[Name],0)),GameLog[[#This Row],[Player]])</f>
        <v>Trevor</v>
      </c>
    </row>
    <row r="1509" spans="1:15" x14ac:dyDescent="0.45">
      <c r="A1509" s="6" t="s">
        <v>64</v>
      </c>
      <c r="B1509" s="6" t="s">
        <v>90</v>
      </c>
      <c r="C1509" s="6">
        <v>4</v>
      </c>
      <c r="D1509" s="6">
        <v>2</v>
      </c>
      <c r="E1509" s="6">
        <v>2</v>
      </c>
      <c r="F1509" s="10">
        <v>46160</v>
      </c>
      <c r="G1509" s="6" t="str">
        <f>_xlfn.TEXTJOIN("|",TRUE,GameLog[[#This Row],[Pod]],TEXT(INT(GameLog[[#This Row],[Round]]),"yyyymmdd"),GameLog[[#This Row],[Date]])</f>
        <v>2|19000102|46160</v>
      </c>
      <c r="H1509" s="6">
        <f>COUNTIF(GameLog[Pod ID],GameLog[[#This Row],[Pod ID]])</f>
        <v>4</v>
      </c>
      <c r="I1509" s="6">
        <f>YEAR(GameLog[[#This Row],[Date]])</f>
        <v>2026</v>
      </c>
      <c r="J1509" s="6">
        <f>MONTH(GameLog[[#This Row],[Date]])</f>
        <v>5</v>
      </c>
      <c r="K1509" s="6" t="str">
        <f>IF(GameLog[[#This Row],[Date]]=MAX(GameLog[Date]),"Current","Previous")</f>
        <v>Previous</v>
      </c>
      <c r="L1509" s="6"/>
      <c r="M15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09" s="6" t="str">
        <f ca="1">IF(GameLog[[#This Row],[Check]]="","",COUNTIF(GameLog[[#Headers],[Check]]:GameLog[[#This Row],[Check]],"?*")-1)</f>
        <v/>
      </c>
      <c r="O1509" s="6" t="str">
        <f>IFERROR(INDEX(Players[New name],MATCH(GameLog[[#This Row],[Player]],Players[Name],0)),GameLog[[#This Row],[Player]])</f>
        <v>Tyler B</v>
      </c>
    </row>
    <row r="1510" spans="1:15" x14ac:dyDescent="0.45">
      <c r="A1510" s="6" t="s">
        <v>73</v>
      </c>
      <c r="B1510" s="6" t="s">
        <v>50</v>
      </c>
      <c r="C1510" s="6">
        <v>1</v>
      </c>
      <c r="D1510" s="6">
        <v>3</v>
      </c>
      <c r="E1510" s="6">
        <v>2</v>
      </c>
      <c r="F1510" s="10">
        <v>46160</v>
      </c>
      <c r="G1510" s="6" t="str">
        <f>_xlfn.TEXTJOIN("|",TRUE,GameLog[[#This Row],[Pod]],TEXT(INT(GameLog[[#This Row],[Round]]),"yyyymmdd"),GameLog[[#This Row],[Date]])</f>
        <v>3|19000102|46160</v>
      </c>
      <c r="H1510" s="6">
        <f>COUNTIF(GameLog[Pod ID],GameLog[[#This Row],[Pod ID]])</f>
        <v>4</v>
      </c>
      <c r="I1510" s="6">
        <f>YEAR(GameLog[[#This Row],[Date]])</f>
        <v>2026</v>
      </c>
      <c r="J1510" s="6">
        <f>MONTH(GameLog[[#This Row],[Date]])</f>
        <v>5</v>
      </c>
      <c r="K1510" s="6" t="str">
        <f>IF(GameLog[[#This Row],[Date]]=MAX(GameLog[Date]),"Current","Previous")</f>
        <v>Previous</v>
      </c>
      <c r="L1510" s="6"/>
      <c r="M15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0" s="6" t="str">
        <f ca="1">IF(GameLog[[#This Row],[Check]]="","",COUNTIF(GameLog[[#Headers],[Check]]:GameLog[[#This Row],[Check]],"?*")-1)</f>
        <v/>
      </c>
      <c r="O1510" s="6" t="str">
        <f>IFERROR(INDEX(Players[New name],MATCH(GameLog[[#This Row],[Player]],Players[Name],0)),GameLog[[#This Row],[Player]])</f>
        <v>Brandon B</v>
      </c>
    </row>
    <row r="1511" spans="1:15" x14ac:dyDescent="0.45">
      <c r="A1511" s="6" t="s">
        <v>49</v>
      </c>
      <c r="B1511" s="6" t="s">
        <v>53</v>
      </c>
      <c r="C1511" s="6">
        <v>2</v>
      </c>
      <c r="D1511" s="6">
        <v>3</v>
      </c>
      <c r="E1511" s="6">
        <v>2</v>
      </c>
      <c r="F1511" s="10">
        <v>46160</v>
      </c>
      <c r="G1511" s="6" t="str">
        <f>_xlfn.TEXTJOIN("|",TRUE,GameLog[[#This Row],[Pod]],TEXT(INT(GameLog[[#This Row],[Round]]),"yyyymmdd"),GameLog[[#This Row],[Date]])</f>
        <v>3|19000102|46160</v>
      </c>
      <c r="H1511" s="6">
        <f>COUNTIF(GameLog[Pod ID],GameLog[[#This Row],[Pod ID]])</f>
        <v>4</v>
      </c>
      <c r="I1511" s="6">
        <f>YEAR(GameLog[[#This Row],[Date]])</f>
        <v>2026</v>
      </c>
      <c r="J1511" s="6">
        <f>MONTH(GameLog[[#This Row],[Date]])</f>
        <v>5</v>
      </c>
      <c r="K1511" s="6" t="str">
        <f>IF(GameLog[[#This Row],[Date]]=MAX(GameLog[Date]),"Current","Previous")</f>
        <v>Previous</v>
      </c>
      <c r="L1511" s="6"/>
      <c r="M15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1" s="6" t="str">
        <f ca="1">IF(GameLog[[#This Row],[Check]]="","",COUNTIF(GameLog[[#Headers],[Check]]:GameLog[[#This Row],[Check]],"?*")-1)</f>
        <v/>
      </c>
      <c r="O1511" s="6" t="str">
        <f>IFERROR(INDEX(Players[New name],MATCH(GameLog[[#This Row],[Player]],Players[Name],0)),GameLog[[#This Row],[Player]])</f>
        <v>Brett R</v>
      </c>
    </row>
    <row r="1512" spans="1:15" x14ac:dyDescent="0.45">
      <c r="A1512" s="6" t="s">
        <v>91</v>
      </c>
      <c r="B1512" s="6" t="s">
        <v>53</v>
      </c>
      <c r="C1512" s="6">
        <v>3</v>
      </c>
      <c r="D1512" s="6">
        <v>3</v>
      </c>
      <c r="E1512" s="6">
        <v>2</v>
      </c>
      <c r="F1512" s="10">
        <v>46160</v>
      </c>
      <c r="G1512" s="6" t="str">
        <f>_xlfn.TEXTJOIN("|",TRUE,GameLog[[#This Row],[Pod]],TEXT(INT(GameLog[[#This Row],[Round]]),"yyyymmdd"),GameLog[[#This Row],[Date]])</f>
        <v>3|19000102|46160</v>
      </c>
      <c r="H1512" s="6">
        <f>COUNTIF(GameLog[Pod ID],GameLog[[#This Row],[Pod ID]])</f>
        <v>4</v>
      </c>
      <c r="I1512" s="6">
        <f>YEAR(GameLog[[#This Row],[Date]])</f>
        <v>2026</v>
      </c>
      <c r="J1512" s="6">
        <f>MONTH(GameLog[[#This Row],[Date]])</f>
        <v>5</v>
      </c>
      <c r="K1512" s="6" t="str">
        <f>IF(GameLog[[#This Row],[Date]]=MAX(GameLog[Date]),"Current","Previous")</f>
        <v>Previous</v>
      </c>
      <c r="L1512" s="6"/>
      <c r="M15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2" s="6" t="str">
        <f ca="1">IF(GameLog[[#This Row],[Check]]="","",COUNTIF(GameLog[[#Headers],[Check]]:GameLog[[#This Row],[Check]],"?*")-1)</f>
        <v/>
      </c>
      <c r="O1512" s="6" t="str">
        <f>IFERROR(INDEX(Players[New name],MATCH(GameLog[[#This Row],[Player]],Players[Name],0)),GameLog[[#This Row],[Player]])</f>
        <v>Isaac B</v>
      </c>
    </row>
    <row r="1513" spans="1:15" x14ac:dyDescent="0.45">
      <c r="A1513" s="6" t="s">
        <v>74</v>
      </c>
      <c r="B1513" s="6" t="s">
        <v>53</v>
      </c>
      <c r="C1513" s="6">
        <v>4</v>
      </c>
      <c r="D1513" s="6">
        <v>3</v>
      </c>
      <c r="E1513" s="6">
        <v>2</v>
      </c>
      <c r="F1513" s="10">
        <v>46160</v>
      </c>
      <c r="G1513" s="6" t="str">
        <f>_xlfn.TEXTJOIN("|",TRUE,GameLog[[#This Row],[Pod]],TEXT(INT(GameLog[[#This Row],[Round]]),"yyyymmdd"),GameLog[[#This Row],[Date]])</f>
        <v>3|19000102|46160</v>
      </c>
      <c r="H1513" s="6">
        <f>COUNTIF(GameLog[Pod ID],GameLog[[#This Row],[Pod ID]])</f>
        <v>4</v>
      </c>
      <c r="I1513" s="6">
        <f>YEAR(GameLog[[#This Row],[Date]])</f>
        <v>2026</v>
      </c>
      <c r="J1513" s="6">
        <f>MONTH(GameLog[[#This Row],[Date]])</f>
        <v>5</v>
      </c>
      <c r="K1513" s="6" t="str">
        <f>IF(GameLog[[#This Row],[Date]]=MAX(GameLog[Date]),"Current","Previous")</f>
        <v>Previous</v>
      </c>
      <c r="L1513" s="6"/>
      <c r="M15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3" s="6" t="str">
        <f ca="1">IF(GameLog[[#This Row],[Check]]="","",COUNTIF(GameLog[[#Headers],[Check]]:GameLog[[#This Row],[Check]],"?*")-1)</f>
        <v/>
      </c>
      <c r="O1513" s="6" t="str">
        <f>IFERROR(INDEX(Players[New name],MATCH(GameLog[[#This Row],[Player]],Players[Name],0)),GameLog[[#This Row],[Player]])</f>
        <v>Jarrod O</v>
      </c>
    </row>
    <row r="1514" spans="1:15" x14ac:dyDescent="0.45">
      <c r="A1514" s="6" t="s">
        <v>68</v>
      </c>
      <c r="B1514" s="6" t="s">
        <v>90</v>
      </c>
      <c r="C1514" s="6">
        <v>1</v>
      </c>
      <c r="D1514" s="6">
        <v>4</v>
      </c>
      <c r="E1514" s="6">
        <v>2</v>
      </c>
      <c r="F1514" s="10">
        <v>46160</v>
      </c>
      <c r="G1514" s="6" t="str">
        <f>_xlfn.TEXTJOIN("|",TRUE,GameLog[[#This Row],[Pod]],TEXT(INT(GameLog[[#This Row],[Round]]),"yyyymmdd"),GameLog[[#This Row],[Date]])</f>
        <v>4|19000102|46160</v>
      </c>
      <c r="H1514" s="6">
        <f>COUNTIF(GameLog[Pod ID],GameLog[[#This Row],[Pod ID]])</f>
        <v>4</v>
      </c>
      <c r="I1514" s="6">
        <f>YEAR(GameLog[[#This Row],[Date]])</f>
        <v>2026</v>
      </c>
      <c r="J1514" s="6">
        <f>MONTH(GameLog[[#This Row],[Date]])</f>
        <v>5</v>
      </c>
      <c r="K1514" s="6" t="str">
        <f>IF(GameLog[[#This Row],[Date]]=MAX(GameLog[Date]),"Current","Previous")</f>
        <v>Previous</v>
      </c>
      <c r="L1514" s="6"/>
      <c r="M15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4" s="6" t="str">
        <f ca="1">IF(GameLog[[#This Row],[Check]]="","",COUNTIF(GameLog[[#Headers],[Check]]:GameLog[[#This Row],[Check]],"?*")-1)</f>
        <v/>
      </c>
      <c r="O1514" s="6" t="str">
        <f>IFERROR(INDEX(Players[New name],MATCH(GameLog[[#This Row],[Player]],Players[Name],0)),GameLog[[#This Row],[Player]])</f>
        <v>Edwin M</v>
      </c>
    </row>
    <row r="1515" spans="1:15" x14ac:dyDescent="0.45">
      <c r="A1515" s="6" t="s">
        <v>102</v>
      </c>
      <c r="B1515" s="6" t="s">
        <v>90</v>
      </c>
      <c r="C1515" s="6">
        <v>2</v>
      </c>
      <c r="D1515" s="6">
        <v>4</v>
      </c>
      <c r="E1515" s="6">
        <v>2</v>
      </c>
      <c r="F1515" s="10">
        <v>46160</v>
      </c>
      <c r="G1515" s="6" t="str">
        <f>_xlfn.TEXTJOIN("|",TRUE,GameLog[[#This Row],[Pod]],TEXT(INT(GameLog[[#This Row],[Round]]),"yyyymmdd"),GameLog[[#This Row],[Date]])</f>
        <v>4|19000102|46160</v>
      </c>
      <c r="H1515" s="6">
        <f>COUNTIF(GameLog[Pod ID],GameLog[[#This Row],[Pod ID]])</f>
        <v>4</v>
      </c>
      <c r="I1515" s="6">
        <f>YEAR(GameLog[[#This Row],[Date]])</f>
        <v>2026</v>
      </c>
      <c r="J1515" s="6">
        <f>MONTH(GameLog[[#This Row],[Date]])</f>
        <v>5</v>
      </c>
      <c r="K1515" s="6" t="str">
        <f>IF(GameLog[[#This Row],[Date]]=MAX(GameLog[Date]),"Current","Previous")</f>
        <v>Previous</v>
      </c>
      <c r="L1515" s="6"/>
      <c r="M15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5" s="6" t="str">
        <f ca="1">IF(GameLog[[#This Row],[Check]]="","",COUNTIF(GameLog[[#Headers],[Check]]:GameLog[[#This Row],[Check]],"?*")-1)</f>
        <v/>
      </c>
      <c r="O1515" s="6" t="str">
        <f>IFERROR(INDEX(Players[New name],MATCH(GameLog[[#This Row],[Player]],Players[Name],0)),GameLog[[#This Row],[Player]])</f>
        <v>Sage</v>
      </c>
    </row>
    <row r="1516" spans="1:15" x14ac:dyDescent="0.45">
      <c r="A1516" s="6" t="s">
        <v>75</v>
      </c>
      <c r="B1516" s="6" t="s">
        <v>90</v>
      </c>
      <c r="C1516" s="6">
        <v>3</v>
      </c>
      <c r="D1516" s="6">
        <v>4</v>
      </c>
      <c r="E1516" s="6">
        <v>2</v>
      </c>
      <c r="F1516" s="10">
        <v>46160</v>
      </c>
      <c r="G1516" s="6" t="str">
        <f>_xlfn.TEXTJOIN("|",TRUE,GameLog[[#This Row],[Pod]],TEXT(INT(GameLog[[#This Row],[Round]]),"yyyymmdd"),GameLog[[#This Row],[Date]])</f>
        <v>4|19000102|46160</v>
      </c>
      <c r="H1516" s="6">
        <f>COUNTIF(GameLog[Pod ID],GameLog[[#This Row],[Pod ID]])</f>
        <v>4</v>
      </c>
      <c r="I1516" s="6">
        <f>YEAR(GameLog[[#This Row],[Date]])</f>
        <v>2026</v>
      </c>
      <c r="J1516" s="6">
        <f>MONTH(GameLog[[#This Row],[Date]])</f>
        <v>5</v>
      </c>
      <c r="K1516" s="6" t="str">
        <f>IF(GameLog[[#This Row],[Date]]=MAX(GameLog[Date]),"Current","Previous")</f>
        <v>Previous</v>
      </c>
      <c r="L1516" s="6"/>
      <c r="M15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6" s="6" t="str">
        <f ca="1">IF(GameLog[[#This Row],[Check]]="","",COUNTIF(GameLog[[#Headers],[Check]]:GameLog[[#This Row],[Check]],"?*")-1)</f>
        <v/>
      </c>
      <c r="O1516" s="6" t="str">
        <f>IFERROR(INDEX(Players[New name],MATCH(GameLog[[#This Row],[Player]],Players[Name],0)),GameLog[[#This Row],[Player]])</f>
        <v>Eli T</v>
      </c>
    </row>
    <row r="1517" spans="1:15" x14ac:dyDescent="0.45">
      <c r="A1517" s="6" t="s">
        <v>104</v>
      </c>
      <c r="B1517" s="6" t="s">
        <v>90</v>
      </c>
      <c r="C1517" s="6">
        <v>4</v>
      </c>
      <c r="D1517" s="6">
        <v>4</v>
      </c>
      <c r="E1517" s="6">
        <v>2</v>
      </c>
      <c r="F1517" s="10">
        <v>46160</v>
      </c>
      <c r="G1517" s="6" t="str">
        <f>_xlfn.TEXTJOIN("|",TRUE,GameLog[[#This Row],[Pod]],TEXT(INT(GameLog[[#This Row],[Round]]),"yyyymmdd"),GameLog[[#This Row],[Date]])</f>
        <v>4|19000102|46160</v>
      </c>
      <c r="H1517" s="6">
        <f>COUNTIF(GameLog[Pod ID],GameLog[[#This Row],[Pod ID]])</f>
        <v>4</v>
      </c>
      <c r="I1517" s="6">
        <f>YEAR(GameLog[[#This Row],[Date]])</f>
        <v>2026</v>
      </c>
      <c r="J1517" s="6">
        <f>MONTH(GameLog[[#This Row],[Date]])</f>
        <v>5</v>
      </c>
      <c r="K1517" s="6" t="str">
        <f>IF(GameLog[[#This Row],[Date]]=MAX(GameLog[Date]),"Current","Previous")</f>
        <v>Previous</v>
      </c>
      <c r="L1517" s="6"/>
      <c r="M15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7" s="6" t="str">
        <f ca="1">IF(GameLog[[#This Row],[Check]]="","",COUNTIF(GameLog[[#Headers],[Check]]:GameLog[[#This Row],[Check]],"?*")-1)</f>
        <v/>
      </c>
      <c r="O1517" s="6" t="str">
        <f>IFERROR(INDEX(Players[New name],MATCH(GameLog[[#This Row],[Player]],Players[Name],0)),GameLog[[#This Row],[Player]])</f>
        <v>Eric E</v>
      </c>
    </row>
    <row r="1518" spans="1:15" x14ac:dyDescent="0.45">
      <c r="A1518" s="6" t="s">
        <v>55</v>
      </c>
      <c r="B1518" s="6" t="s">
        <v>50</v>
      </c>
      <c r="C1518" s="6">
        <v>1</v>
      </c>
      <c r="D1518" s="6">
        <v>5</v>
      </c>
      <c r="E1518" s="6">
        <v>2</v>
      </c>
      <c r="F1518" s="10">
        <v>46160</v>
      </c>
      <c r="G1518" s="6" t="str">
        <f>_xlfn.TEXTJOIN("|",TRUE,GameLog[[#This Row],[Pod]],TEXT(INT(GameLog[[#This Row],[Round]]),"yyyymmdd"),GameLog[[#This Row],[Date]])</f>
        <v>5|19000102|46160</v>
      </c>
      <c r="H1518" s="6">
        <f>COUNTIF(GameLog[Pod ID],GameLog[[#This Row],[Pod ID]])</f>
        <v>3</v>
      </c>
      <c r="I1518" s="6">
        <f>YEAR(GameLog[[#This Row],[Date]])</f>
        <v>2026</v>
      </c>
      <c r="J1518" s="6">
        <f>MONTH(GameLog[[#This Row],[Date]])</f>
        <v>5</v>
      </c>
      <c r="K1518" s="6" t="str">
        <f>IF(GameLog[[#This Row],[Date]]=MAX(GameLog[Date]),"Current","Previous")</f>
        <v>Previous</v>
      </c>
      <c r="L1518" s="6"/>
      <c r="M15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8" s="6" t="str">
        <f ca="1">IF(GameLog[[#This Row],[Check]]="","",COUNTIF(GameLog[[#Headers],[Check]]:GameLog[[#This Row],[Check]],"?*")-1)</f>
        <v/>
      </c>
      <c r="O1518" s="6" t="str">
        <f>IFERROR(INDEX(Players[New name],MATCH(GameLog[[#This Row],[Player]],Players[Name],0)),GameLog[[#This Row],[Player]])</f>
        <v>Bryce C</v>
      </c>
    </row>
    <row r="1519" spans="1:15" x14ac:dyDescent="0.45">
      <c r="A1519" s="6" t="s">
        <v>59</v>
      </c>
      <c r="B1519" s="6" t="s">
        <v>53</v>
      </c>
      <c r="C1519" s="6">
        <v>2</v>
      </c>
      <c r="D1519" s="6">
        <v>5</v>
      </c>
      <c r="E1519" s="6">
        <v>2</v>
      </c>
      <c r="F1519" s="10">
        <v>46160</v>
      </c>
      <c r="G1519" s="6" t="str">
        <f>_xlfn.TEXTJOIN("|",TRUE,GameLog[[#This Row],[Pod]],TEXT(INT(GameLog[[#This Row],[Round]]),"yyyymmdd"),GameLog[[#This Row],[Date]])</f>
        <v>5|19000102|46160</v>
      </c>
      <c r="H1519" s="6">
        <f>COUNTIF(GameLog[Pod ID],GameLog[[#This Row],[Pod ID]])</f>
        <v>3</v>
      </c>
      <c r="I1519" s="6">
        <f>YEAR(GameLog[[#This Row],[Date]])</f>
        <v>2026</v>
      </c>
      <c r="J1519" s="6">
        <f>MONTH(GameLog[[#This Row],[Date]])</f>
        <v>5</v>
      </c>
      <c r="K1519" s="6" t="str">
        <f>IF(GameLog[[#This Row],[Date]]=MAX(GameLog[Date]),"Current","Previous")</f>
        <v>Previous</v>
      </c>
      <c r="L1519" s="6"/>
      <c r="M15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19" s="6" t="str">
        <f ca="1">IF(GameLog[[#This Row],[Check]]="","",COUNTIF(GameLog[[#Headers],[Check]]:GameLog[[#This Row],[Check]],"?*")-1)</f>
        <v/>
      </c>
      <c r="O1519" s="6" t="str">
        <f>IFERROR(INDEX(Players[New name],MATCH(GameLog[[#This Row],[Player]],Players[Name],0)),GameLog[[#This Row],[Player]])</f>
        <v>Zack B</v>
      </c>
    </row>
    <row r="1520" spans="1:15" x14ac:dyDescent="0.45">
      <c r="A1520" s="6" t="s">
        <v>63</v>
      </c>
      <c r="B1520" s="6" t="s">
        <v>53</v>
      </c>
      <c r="C1520" s="6">
        <v>3</v>
      </c>
      <c r="D1520" s="6">
        <v>5</v>
      </c>
      <c r="E1520" s="6">
        <v>2</v>
      </c>
      <c r="F1520" s="10">
        <v>46160</v>
      </c>
      <c r="G1520" s="6" t="str">
        <f>_xlfn.TEXTJOIN("|",TRUE,GameLog[[#This Row],[Pod]],TEXT(INT(GameLog[[#This Row],[Round]]),"yyyymmdd"),GameLog[[#This Row],[Date]])</f>
        <v>5|19000102|46160</v>
      </c>
      <c r="H1520" s="6">
        <f>COUNTIF(GameLog[Pod ID],GameLog[[#This Row],[Pod ID]])</f>
        <v>3</v>
      </c>
      <c r="I1520" s="6">
        <f>YEAR(GameLog[[#This Row],[Date]])</f>
        <v>2026</v>
      </c>
      <c r="J1520" s="6">
        <f>MONTH(GameLog[[#This Row],[Date]])</f>
        <v>5</v>
      </c>
      <c r="K1520" s="6" t="str">
        <f>IF(GameLog[[#This Row],[Date]]=MAX(GameLog[Date]),"Current","Previous")</f>
        <v>Previous</v>
      </c>
      <c r="L1520" s="6"/>
      <c r="M15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0" s="6" t="str">
        <f ca="1">IF(GameLog[[#This Row],[Check]]="","",COUNTIF(GameLog[[#Headers],[Check]]:GameLog[[#This Row],[Check]],"?*")-1)</f>
        <v/>
      </c>
      <c r="O1520" s="6" t="str">
        <f>IFERROR(INDEX(Players[New name],MATCH(GameLog[[#This Row],[Player]],Players[Name],0)),GameLog[[#This Row],[Player]])</f>
        <v>Jake D</v>
      </c>
    </row>
    <row r="1521" spans="1:15" x14ac:dyDescent="0.45">
      <c r="A1521" s="6" t="s">
        <v>96</v>
      </c>
      <c r="B1521" s="6" t="s">
        <v>50</v>
      </c>
      <c r="C1521" s="6">
        <v>1</v>
      </c>
      <c r="D1521" s="6">
        <v>1</v>
      </c>
      <c r="E1521" s="6">
        <v>1</v>
      </c>
      <c r="F1521" s="10">
        <v>46167</v>
      </c>
      <c r="G1521" s="6" t="str">
        <f>_xlfn.TEXTJOIN("|",TRUE,GameLog[[#This Row],[Pod]],TEXT(INT(GameLog[[#This Row],[Round]]),"yyyymmdd"),GameLog[[#This Row],[Date]])</f>
        <v>1|19000101|46167</v>
      </c>
      <c r="H1521" s="6">
        <f>COUNTIF(GameLog[Pod ID],GameLog[[#This Row],[Pod ID]])</f>
        <v>4</v>
      </c>
      <c r="I1521" s="6">
        <f>YEAR(GameLog[[#This Row],[Date]])</f>
        <v>2026</v>
      </c>
      <c r="J1521" s="6">
        <f>MONTH(GameLog[[#This Row],[Date]])</f>
        <v>5</v>
      </c>
      <c r="K1521" s="6" t="str">
        <f>IF(GameLog[[#This Row],[Date]]=MAX(GameLog[Date]),"Current","Previous")</f>
        <v>Previous</v>
      </c>
      <c r="L1521" s="6"/>
      <c r="M15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1" s="6" t="str">
        <f ca="1">IF(GameLog[[#This Row],[Check]]="","",COUNTIF(GameLog[[#Headers],[Check]]:GameLog[[#This Row],[Check]],"?*")-1)</f>
        <v/>
      </c>
      <c r="O1521" s="6" t="str">
        <f>IFERROR(INDEX(Players[New name],MATCH(GameLog[[#This Row],[Player]],Players[Name],0)),GameLog[[#This Row],[Player]])</f>
        <v>Brandon A</v>
      </c>
    </row>
    <row r="1522" spans="1:15" x14ac:dyDescent="0.45">
      <c r="A1522" s="6" t="s">
        <v>49</v>
      </c>
      <c r="B1522" s="6" t="s">
        <v>53</v>
      </c>
      <c r="C1522" s="6">
        <v>2</v>
      </c>
      <c r="D1522" s="6">
        <v>1</v>
      </c>
      <c r="E1522" s="6">
        <v>1</v>
      </c>
      <c r="F1522" s="10">
        <v>46167</v>
      </c>
      <c r="G1522" s="6" t="str">
        <f>_xlfn.TEXTJOIN("|",TRUE,GameLog[[#This Row],[Pod]],TEXT(INT(GameLog[[#This Row],[Round]]),"yyyymmdd"),GameLog[[#This Row],[Date]])</f>
        <v>1|19000101|46167</v>
      </c>
      <c r="H1522" s="6">
        <f>COUNTIF(GameLog[Pod ID],GameLog[[#This Row],[Pod ID]])</f>
        <v>4</v>
      </c>
      <c r="I1522" s="6">
        <f>YEAR(GameLog[[#This Row],[Date]])</f>
        <v>2026</v>
      </c>
      <c r="J1522" s="6">
        <f>MONTH(GameLog[[#This Row],[Date]])</f>
        <v>5</v>
      </c>
      <c r="K1522" s="6" t="str">
        <f>IF(GameLog[[#This Row],[Date]]=MAX(GameLog[Date]),"Current","Previous")</f>
        <v>Previous</v>
      </c>
      <c r="L1522" s="6"/>
      <c r="M15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2" s="6" t="str">
        <f ca="1">IF(GameLog[[#This Row],[Check]]="","",COUNTIF(GameLog[[#Headers],[Check]]:GameLog[[#This Row],[Check]],"?*")-1)</f>
        <v/>
      </c>
      <c r="O1522" s="6" t="str">
        <f>IFERROR(INDEX(Players[New name],MATCH(GameLog[[#This Row],[Player]],Players[Name],0)),GameLog[[#This Row],[Player]])</f>
        <v>Brett R</v>
      </c>
    </row>
    <row r="1523" spans="1:15" x14ac:dyDescent="0.45">
      <c r="A1523" s="6" t="s">
        <v>63</v>
      </c>
      <c r="B1523" s="6" t="s">
        <v>53</v>
      </c>
      <c r="C1523" s="6">
        <v>3</v>
      </c>
      <c r="D1523" s="6">
        <v>1</v>
      </c>
      <c r="E1523" s="6">
        <v>1</v>
      </c>
      <c r="F1523" s="10">
        <v>46167</v>
      </c>
      <c r="G1523" s="6" t="str">
        <f>_xlfn.TEXTJOIN("|",TRUE,GameLog[[#This Row],[Pod]],TEXT(INT(GameLog[[#This Row],[Round]]),"yyyymmdd"),GameLog[[#This Row],[Date]])</f>
        <v>1|19000101|46167</v>
      </c>
      <c r="H1523" s="6">
        <f>COUNTIF(GameLog[Pod ID],GameLog[[#This Row],[Pod ID]])</f>
        <v>4</v>
      </c>
      <c r="I1523" s="6">
        <f>YEAR(GameLog[[#This Row],[Date]])</f>
        <v>2026</v>
      </c>
      <c r="J1523" s="6">
        <f>MONTH(GameLog[[#This Row],[Date]])</f>
        <v>5</v>
      </c>
      <c r="K1523" s="6" t="str">
        <f>IF(GameLog[[#This Row],[Date]]=MAX(GameLog[Date]),"Current","Previous")</f>
        <v>Previous</v>
      </c>
      <c r="L1523" s="6"/>
      <c r="M15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3" s="6" t="str">
        <f ca="1">IF(GameLog[[#This Row],[Check]]="","",COUNTIF(GameLog[[#Headers],[Check]]:GameLog[[#This Row],[Check]],"?*")-1)</f>
        <v/>
      </c>
      <c r="O1523" s="6" t="str">
        <f>IFERROR(INDEX(Players[New name],MATCH(GameLog[[#This Row],[Player]],Players[Name],0)),GameLog[[#This Row],[Player]])</f>
        <v>Jake D</v>
      </c>
    </row>
    <row r="1524" spans="1:15" x14ac:dyDescent="0.45">
      <c r="A1524" s="6" t="s">
        <v>74</v>
      </c>
      <c r="B1524" s="6" t="s">
        <v>53</v>
      </c>
      <c r="C1524" s="6">
        <v>4</v>
      </c>
      <c r="D1524" s="6">
        <v>1</v>
      </c>
      <c r="E1524" s="6">
        <v>1</v>
      </c>
      <c r="F1524" s="10">
        <v>46167</v>
      </c>
      <c r="G1524" s="6" t="str">
        <f>_xlfn.TEXTJOIN("|",TRUE,GameLog[[#This Row],[Pod]],TEXT(INT(GameLog[[#This Row],[Round]]),"yyyymmdd"),GameLog[[#This Row],[Date]])</f>
        <v>1|19000101|46167</v>
      </c>
      <c r="H1524" s="6">
        <f>COUNTIF(GameLog[Pod ID],GameLog[[#This Row],[Pod ID]])</f>
        <v>4</v>
      </c>
      <c r="I1524" s="6">
        <f>YEAR(GameLog[[#This Row],[Date]])</f>
        <v>2026</v>
      </c>
      <c r="J1524" s="6">
        <f>MONTH(GameLog[[#This Row],[Date]])</f>
        <v>5</v>
      </c>
      <c r="K1524" s="6" t="str">
        <f>IF(GameLog[[#This Row],[Date]]=MAX(GameLog[Date]),"Current","Previous")</f>
        <v>Previous</v>
      </c>
      <c r="L1524" s="6"/>
      <c r="M15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4" s="6" t="str">
        <f ca="1">IF(GameLog[[#This Row],[Check]]="","",COUNTIF(GameLog[[#Headers],[Check]]:GameLog[[#This Row],[Check]],"?*")-1)</f>
        <v/>
      </c>
      <c r="O1524" s="6" t="str">
        <f>IFERROR(INDEX(Players[New name],MATCH(GameLog[[#This Row],[Player]],Players[Name],0)),GameLog[[#This Row],[Player]])</f>
        <v>Jarrod O</v>
      </c>
    </row>
    <row r="1525" spans="1:15" x14ac:dyDescent="0.45">
      <c r="A1525" s="6" t="s">
        <v>110</v>
      </c>
      <c r="B1525" s="6" t="s">
        <v>90</v>
      </c>
      <c r="C1525" s="6">
        <v>1</v>
      </c>
      <c r="D1525" s="6">
        <v>2</v>
      </c>
      <c r="E1525" s="6">
        <v>1</v>
      </c>
      <c r="F1525" s="10">
        <v>46167</v>
      </c>
      <c r="G1525" s="6" t="str">
        <f>_xlfn.TEXTJOIN("|",TRUE,GameLog[[#This Row],[Pod]],TEXT(INT(GameLog[[#This Row],[Round]]),"yyyymmdd"),GameLog[[#This Row],[Date]])</f>
        <v>2|19000101|46167</v>
      </c>
      <c r="H1525" s="6">
        <f>COUNTIF(GameLog[Pod ID],GameLog[[#This Row],[Pod ID]])</f>
        <v>4</v>
      </c>
      <c r="I1525" s="6">
        <f>YEAR(GameLog[[#This Row],[Date]])</f>
        <v>2026</v>
      </c>
      <c r="J1525" s="6">
        <f>MONTH(GameLog[[#This Row],[Date]])</f>
        <v>5</v>
      </c>
      <c r="K1525" s="6" t="str">
        <f>IF(GameLog[[#This Row],[Date]]=MAX(GameLog[Date]),"Current","Previous")</f>
        <v>Previous</v>
      </c>
      <c r="L1525" s="6"/>
      <c r="M15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5" s="6" t="str">
        <f ca="1">IF(GameLog[[#This Row],[Check]]="","",COUNTIF(GameLog[[#Headers],[Check]]:GameLog[[#This Row],[Check]],"?*")-1)</f>
        <v/>
      </c>
      <c r="O1525" s="6" t="str">
        <f>IFERROR(INDEX(Players[New name],MATCH(GameLog[[#This Row],[Player]],Players[Name],0)),GameLog[[#This Row],[Player]])</f>
        <v>Paul B</v>
      </c>
    </row>
    <row r="1526" spans="1:15" x14ac:dyDescent="0.45">
      <c r="A1526" s="6" t="s">
        <v>58</v>
      </c>
      <c r="B1526" s="6" t="s">
        <v>90</v>
      </c>
      <c r="C1526" s="6">
        <v>2</v>
      </c>
      <c r="D1526" s="6">
        <v>2</v>
      </c>
      <c r="E1526" s="6">
        <v>1</v>
      </c>
      <c r="F1526" s="10">
        <v>46167</v>
      </c>
      <c r="G1526" s="6" t="str">
        <f>_xlfn.TEXTJOIN("|",TRUE,GameLog[[#This Row],[Pod]],TEXT(INT(GameLog[[#This Row],[Round]]),"yyyymmdd"),GameLog[[#This Row],[Date]])</f>
        <v>2|19000101|46167</v>
      </c>
      <c r="H1526" s="6">
        <f>COUNTIF(GameLog[Pod ID],GameLog[[#This Row],[Pod ID]])</f>
        <v>4</v>
      </c>
      <c r="I1526" s="6">
        <f>YEAR(GameLog[[#This Row],[Date]])</f>
        <v>2026</v>
      </c>
      <c r="J1526" s="6">
        <f>MONTH(GameLog[[#This Row],[Date]])</f>
        <v>5</v>
      </c>
      <c r="K1526" s="6" t="str">
        <f>IF(GameLog[[#This Row],[Date]]=MAX(GameLog[Date]),"Current","Previous")</f>
        <v>Previous</v>
      </c>
      <c r="L1526" s="6"/>
      <c r="M15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6" s="6" t="str">
        <f ca="1">IF(GameLog[[#This Row],[Check]]="","",COUNTIF(GameLog[[#Headers],[Check]]:GameLog[[#This Row],[Check]],"?*")-1)</f>
        <v/>
      </c>
      <c r="O1526" s="6" t="str">
        <f>IFERROR(INDEX(Players[New name],MATCH(GameLog[[#This Row],[Player]],Players[Name],0)),GameLog[[#This Row],[Player]])</f>
        <v>Dakota P</v>
      </c>
    </row>
    <row r="1527" spans="1:15" x14ac:dyDescent="0.45">
      <c r="A1527" s="6" t="s">
        <v>64</v>
      </c>
      <c r="B1527" s="6" t="s">
        <v>90</v>
      </c>
      <c r="C1527" s="6">
        <v>3</v>
      </c>
      <c r="D1527" s="6">
        <v>2</v>
      </c>
      <c r="E1527" s="6">
        <v>1</v>
      </c>
      <c r="F1527" s="10">
        <v>46167</v>
      </c>
      <c r="G1527" s="6" t="str">
        <f>_xlfn.TEXTJOIN("|",TRUE,GameLog[[#This Row],[Pod]],TEXT(INT(GameLog[[#This Row],[Round]]),"yyyymmdd"),GameLog[[#This Row],[Date]])</f>
        <v>2|19000101|46167</v>
      </c>
      <c r="H1527" s="6">
        <f>COUNTIF(GameLog[Pod ID],GameLog[[#This Row],[Pod ID]])</f>
        <v>4</v>
      </c>
      <c r="I1527" s="6">
        <f>YEAR(GameLog[[#This Row],[Date]])</f>
        <v>2026</v>
      </c>
      <c r="J1527" s="6">
        <f>MONTH(GameLog[[#This Row],[Date]])</f>
        <v>5</v>
      </c>
      <c r="K1527" s="6" t="str">
        <f>IF(GameLog[[#This Row],[Date]]=MAX(GameLog[Date]),"Current","Previous")</f>
        <v>Previous</v>
      </c>
      <c r="L1527" s="6"/>
      <c r="M15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7" s="6" t="str">
        <f ca="1">IF(GameLog[[#This Row],[Check]]="","",COUNTIF(GameLog[[#Headers],[Check]]:GameLog[[#This Row],[Check]],"?*")-1)</f>
        <v/>
      </c>
      <c r="O1527" s="6" t="str">
        <f>IFERROR(INDEX(Players[New name],MATCH(GameLog[[#This Row],[Player]],Players[Name],0)),GameLog[[#This Row],[Player]])</f>
        <v>Tyler B</v>
      </c>
    </row>
    <row r="1528" spans="1:15" x14ac:dyDescent="0.45">
      <c r="A1528" s="6" t="s">
        <v>97</v>
      </c>
      <c r="B1528" s="6" t="s">
        <v>90</v>
      </c>
      <c r="C1528" s="6">
        <v>4</v>
      </c>
      <c r="D1528" s="6">
        <v>2</v>
      </c>
      <c r="E1528" s="6">
        <v>1</v>
      </c>
      <c r="F1528" s="10">
        <v>46167</v>
      </c>
      <c r="G1528" s="6" t="str">
        <f>_xlfn.TEXTJOIN("|",TRUE,GameLog[[#This Row],[Pod]],TEXT(INT(GameLog[[#This Row],[Round]]),"yyyymmdd"),GameLog[[#This Row],[Date]])</f>
        <v>2|19000101|46167</v>
      </c>
      <c r="H1528" s="6">
        <f>COUNTIF(GameLog[Pod ID],GameLog[[#This Row],[Pod ID]])</f>
        <v>4</v>
      </c>
      <c r="I1528" s="6">
        <f>YEAR(GameLog[[#This Row],[Date]])</f>
        <v>2026</v>
      </c>
      <c r="J1528" s="6">
        <f>MONTH(GameLog[[#This Row],[Date]])</f>
        <v>5</v>
      </c>
      <c r="K1528" s="6" t="str">
        <f>IF(GameLog[[#This Row],[Date]]=MAX(GameLog[Date]),"Current","Previous")</f>
        <v>Previous</v>
      </c>
      <c r="L1528" s="6"/>
      <c r="M15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8" s="6" t="str">
        <f ca="1">IF(GameLog[[#This Row],[Check]]="","",COUNTIF(GameLog[[#Headers],[Check]]:GameLog[[#This Row],[Check]],"?*")-1)</f>
        <v/>
      </c>
      <c r="O1528" s="6" t="str">
        <f>IFERROR(INDEX(Players[New name],MATCH(GameLog[[#This Row],[Player]],Players[Name],0)),GameLog[[#This Row],[Player]])</f>
        <v>Arman H</v>
      </c>
    </row>
    <row r="1529" spans="1:15" x14ac:dyDescent="0.45">
      <c r="A1529" s="6" t="s">
        <v>77</v>
      </c>
      <c r="B1529" s="6" t="s">
        <v>53</v>
      </c>
      <c r="C1529" s="6">
        <v>1</v>
      </c>
      <c r="D1529" s="6">
        <v>3</v>
      </c>
      <c r="E1529" s="6">
        <v>1</v>
      </c>
      <c r="F1529" s="10">
        <v>46167</v>
      </c>
      <c r="G1529" s="6" t="str">
        <f>_xlfn.TEXTJOIN("|",TRUE,GameLog[[#This Row],[Pod]],TEXT(INT(GameLog[[#This Row],[Round]]),"yyyymmdd"),GameLog[[#This Row],[Date]])</f>
        <v>3|19000101|46167</v>
      </c>
      <c r="H1529" s="6">
        <f>COUNTIF(GameLog[Pod ID],GameLog[[#This Row],[Pod ID]])</f>
        <v>4</v>
      </c>
      <c r="I1529" s="6">
        <f>YEAR(GameLog[[#This Row],[Date]])</f>
        <v>2026</v>
      </c>
      <c r="J1529" s="6">
        <f>MONTH(GameLog[[#This Row],[Date]])</f>
        <v>5</v>
      </c>
      <c r="K1529" s="6" t="str">
        <f>IF(GameLog[[#This Row],[Date]]=MAX(GameLog[Date]),"Current","Previous")</f>
        <v>Previous</v>
      </c>
      <c r="L1529" s="6"/>
      <c r="M15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29" s="6" t="str">
        <f ca="1">IF(GameLog[[#This Row],[Check]]="","",COUNTIF(GameLog[[#Headers],[Check]]:GameLog[[#This Row],[Check]],"?*")-1)</f>
        <v/>
      </c>
      <c r="O1529" s="6" t="str">
        <f>IFERROR(INDEX(Players[New name],MATCH(GameLog[[#This Row],[Player]],Players[Name],0)),GameLog[[#This Row],[Player]])</f>
        <v>Dave M</v>
      </c>
    </row>
    <row r="1530" spans="1:15" x14ac:dyDescent="0.45">
      <c r="A1530" s="6" t="s">
        <v>73</v>
      </c>
      <c r="B1530" s="6" t="s">
        <v>50</v>
      </c>
      <c r="C1530" s="6">
        <v>2</v>
      </c>
      <c r="D1530" s="6">
        <v>3</v>
      </c>
      <c r="E1530" s="6">
        <v>1</v>
      </c>
      <c r="F1530" s="10">
        <v>46167</v>
      </c>
      <c r="G1530" s="6" t="str">
        <f>_xlfn.TEXTJOIN("|",TRUE,GameLog[[#This Row],[Pod]],TEXT(INT(GameLog[[#This Row],[Round]]),"yyyymmdd"),GameLog[[#This Row],[Date]])</f>
        <v>3|19000101|46167</v>
      </c>
      <c r="H1530" s="6">
        <f>COUNTIF(GameLog[Pod ID],GameLog[[#This Row],[Pod ID]])</f>
        <v>4</v>
      </c>
      <c r="I1530" s="6">
        <f>YEAR(GameLog[[#This Row],[Date]])</f>
        <v>2026</v>
      </c>
      <c r="J1530" s="6">
        <f>MONTH(GameLog[[#This Row],[Date]])</f>
        <v>5</v>
      </c>
      <c r="K1530" s="6" t="str">
        <f>IF(GameLog[[#This Row],[Date]]=MAX(GameLog[Date]),"Current","Previous")</f>
        <v>Previous</v>
      </c>
      <c r="L1530" s="6"/>
      <c r="M15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0" s="6" t="str">
        <f ca="1">IF(GameLog[[#This Row],[Check]]="","",COUNTIF(GameLog[[#Headers],[Check]]:GameLog[[#This Row],[Check]],"?*")-1)</f>
        <v/>
      </c>
      <c r="O1530" s="6" t="str">
        <f>IFERROR(INDEX(Players[New name],MATCH(GameLog[[#This Row],[Player]],Players[Name],0)),GameLog[[#This Row],[Player]])</f>
        <v>Brandon B</v>
      </c>
    </row>
    <row r="1531" spans="1:15" x14ac:dyDescent="0.45">
      <c r="A1531" s="6" t="s">
        <v>57</v>
      </c>
      <c r="B1531" s="6" t="s">
        <v>53</v>
      </c>
      <c r="C1531" s="6">
        <v>3</v>
      </c>
      <c r="D1531" s="6">
        <v>3</v>
      </c>
      <c r="E1531" s="6">
        <v>1</v>
      </c>
      <c r="F1531" s="10">
        <v>46167</v>
      </c>
      <c r="G1531" s="6" t="str">
        <f>_xlfn.TEXTJOIN("|",TRUE,GameLog[[#This Row],[Pod]],TEXT(INT(GameLog[[#This Row],[Round]]),"yyyymmdd"),GameLog[[#This Row],[Date]])</f>
        <v>3|19000101|46167</v>
      </c>
      <c r="H1531" s="6">
        <f>COUNTIF(GameLog[Pod ID],GameLog[[#This Row],[Pod ID]])</f>
        <v>4</v>
      </c>
      <c r="I1531" s="6">
        <f>YEAR(GameLog[[#This Row],[Date]])</f>
        <v>2026</v>
      </c>
      <c r="J1531" s="6">
        <f>MONTH(GameLog[[#This Row],[Date]])</f>
        <v>5</v>
      </c>
      <c r="K1531" s="6" t="str">
        <f>IF(GameLog[[#This Row],[Date]]=MAX(GameLog[Date]),"Current","Previous")</f>
        <v>Previous</v>
      </c>
      <c r="L1531" s="6"/>
      <c r="M15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1" s="6" t="str">
        <f ca="1">IF(GameLog[[#This Row],[Check]]="","",COUNTIF(GameLog[[#Headers],[Check]]:GameLog[[#This Row],[Check]],"?*")-1)</f>
        <v/>
      </c>
      <c r="O1531" s="6" t="str">
        <f>IFERROR(INDEX(Players[New name],MATCH(GameLog[[#This Row],[Player]],Players[Name],0)),GameLog[[#This Row],[Player]])</f>
        <v>AJ W</v>
      </c>
    </row>
    <row r="1532" spans="1:15" x14ac:dyDescent="0.45">
      <c r="A1532" s="6" t="s">
        <v>104</v>
      </c>
      <c r="B1532" s="6" t="s">
        <v>53</v>
      </c>
      <c r="C1532" s="6">
        <v>4</v>
      </c>
      <c r="D1532" s="6">
        <v>3</v>
      </c>
      <c r="E1532" s="6">
        <v>1</v>
      </c>
      <c r="F1532" s="10">
        <v>46167</v>
      </c>
      <c r="G1532" s="6" t="str">
        <f>_xlfn.TEXTJOIN("|",TRUE,GameLog[[#This Row],[Pod]],TEXT(INT(GameLog[[#This Row],[Round]]),"yyyymmdd"),GameLog[[#This Row],[Date]])</f>
        <v>3|19000101|46167</v>
      </c>
      <c r="H1532" s="6">
        <f>COUNTIF(GameLog[Pod ID],GameLog[[#This Row],[Pod ID]])</f>
        <v>4</v>
      </c>
      <c r="I1532" s="6">
        <f>YEAR(GameLog[[#This Row],[Date]])</f>
        <v>2026</v>
      </c>
      <c r="J1532" s="6">
        <f>MONTH(GameLog[[#This Row],[Date]])</f>
        <v>5</v>
      </c>
      <c r="K1532" s="6" t="str">
        <f>IF(GameLog[[#This Row],[Date]]=MAX(GameLog[Date]),"Current","Previous")</f>
        <v>Previous</v>
      </c>
      <c r="L1532" s="6"/>
      <c r="M15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2" s="6" t="str">
        <f ca="1">IF(GameLog[[#This Row],[Check]]="","",COUNTIF(GameLog[[#Headers],[Check]]:GameLog[[#This Row],[Check]],"?*")-1)</f>
        <v/>
      </c>
      <c r="O1532" s="6" t="str">
        <f>IFERROR(INDEX(Players[New name],MATCH(GameLog[[#This Row],[Player]],Players[Name],0)),GameLog[[#This Row],[Player]])</f>
        <v>Eric E</v>
      </c>
    </row>
    <row r="1533" spans="1:15" x14ac:dyDescent="0.45">
      <c r="A1533" s="6" t="s">
        <v>59</v>
      </c>
      <c r="B1533" s="6" t="s">
        <v>50</v>
      </c>
      <c r="C1533" s="6">
        <v>1</v>
      </c>
      <c r="D1533" s="6">
        <v>4</v>
      </c>
      <c r="E1533" s="6">
        <v>1</v>
      </c>
      <c r="F1533" s="10">
        <v>46167</v>
      </c>
      <c r="G1533" s="6" t="str">
        <f>_xlfn.TEXTJOIN("|",TRUE,GameLog[[#This Row],[Pod]],TEXT(INT(GameLog[[#This Row],[Round]]),"yyyymmdd"),GameLog[[#This Row],[Date]])</f>
        <v>4|19000101|46167</v>
      </c>
      <c r="H1533" s="6">
        <f>COUNTIF(GameLog[Pod ID],GameLog[[#This Row],[Pod ID]])</f>
        <v>3</v>
      </c>
      <c r="I1533" s="6">
        <f>YEAR(GameLog[[#This Row],[Date]])</f>
        <v>2026</v>
      </c>
      <c r="J1533" s="6">
        <f>MONTH(GameLog[[#This Row],[Date]])</f>
        <v>5</v>
      </c>
      <c r="K1533" s="6" t="str">
        <f>IF(GameLog[[#This Row],[Date]]=MAX(GameLog[Date]),"Current","Previous")</f>
        <v>Previous</v>
      </c>
      <c r="L1533" s="6"/>
      <c r="M15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3" s="6" t="str">
        <f ca="1">IF(GameLog[[#This Row],[Check]]="","",COUNTIF(GameLog[[#Headers],[Check]]:GameLog[[#This Row],[Check]],"?*")-1)</f>
        <v/>
      </c>
      <c r="O1533" s="6" t="str">
        <f>IFERROR(INDEX(Players[New name],MATCH(GameLog[[#This Row],[Player]],Players[Name],0)),GameLog[[#This Row],[Player]])</f>
        <v>Zack B</v>
      </c>
    </row>
    <row r="1534" spans="1:15" x14ac:dyDescent="0.45">
      <c r="A1534" s="6" t="s">
        <v>70</v>
      </c>
      <c r="B1534" s="6" t="s">
        <v>53</v>
      </c>
      <c r="C1534" s="6">
        <v>2</v>
      </c>
      <c r="D1534" s="6">
        <v>4</v>
      </c>
      <c r="E1534" s="6">
        <v>1</v>
      </c>
      <c r="F1534" s="10">
        <v>46167</v>
      </c>
      <c r="G1534" s="6" t="str">
        <f>_xlfn.TEXTJOIN("|",TRUE,GameLog[[#This Row],[Pod]],TEXT(INT(GameLog[[#This Row],[Round]]),"yyyymmdd"),GameLog[[#This Row],[Date]])</f>
        <v>4|19000101|46167</v>
      </c>
      <c r="H1534" s="6">
        <f>COUNTIF(GameLog[Pod ID],GameLog[[#This Row],[Pod ID]])</f>
        <v>3</v>
      </c>
      <c r="I1534" s="6">
        <f>YEAR(GameLog[[#This Row],[Date]])</f>
        <v>2026</v>
      </c>
      <c r="J1534" s="6">
        <f>MONTH(GameLog[[#This Row],[Date]])</f>
        <v>5</v>
      </c>
      <c r="K1534" s="6" t="str">
        <f>IF(GameLog[[#This Row],[Date]]=MAX(GameLog[Date]),"Current","Previous")</f>
        <v>Previous</v>
      </c>
      <c r="L1534" s="6"/>
      <c r="M15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4" s="6" t="str">
        <f ca="1">IF(GameLog[[#This Row],[Check]]="","",COUNTIF(GameLog[[#Headers],[Check]]:GameLog[[#This Row],[Check]],"?*")-1)</f>
        <v/>
      </c>
      <c r="O1534" s="6" t="str">
        <f>IFERROR(INDEX(Players[New name],MATCH(GameLog[[#This Row],[Player]],Players[Name],0)),GameLog[[#This Row],[Player]])</f>
        <v>Brad F</v>
      </c>
    </row>
    <row r="1535" spans="1:15" x14ac:dyDescent="0.45">
      <c r="A1535" s="6" t="s">
        <v>55</v>
      </c>
      <c r="B1535" s="6" t="s">
        <v>53</v>
      </c>
      <c r="C1535" s="6">
        <v>3</v>
      </c>
      <c r="D1535" s="6">
        <v>4</v>
      </c>
      <c r="E1535" s="6">
        <v>1</v>
      </c>
      <c r="F1535" s="10">
        <v>46167</v>
      </c>
      <c r="G1535" s="6" t="str">
        <f>_xlfn.TEXTJOIN("|",TRUE,GameLog[[#This Row],[Pod]],TEXT(INT(GameLog[[#This Row],[Round]]),"yyyymmdd"),GameLog[[#This Row],[Date]])</f>
        <v>4|19000101|46167</v>
      </c>
      <c r="H1535" s="6">
        <f>COUNTIF(GameLog[Pod ID],GameLog[[#This Row],[Pod ID]])</f>
        <v>3</v>
      </c>
      <c r="I1535" s="6">
        <f>YEAR(GameLog[[#This Row],[Date]])</f>
        <v>2026</v>
      </c>
      <c r="J1535" s="6">
        <f>MONTH(GameLog[[#This Row],[Date]])</f>
        <v>5</v>
      </c>
      <c r="K1535" s="6" t="str">
        <f>IF(GameLog[[#This Row],[Date]]=MAX(GameLog[Date]),"Current","Previous")</f>
        <v>Previous</v>
      </c>
      <c r="L1535" s="6"/>
      <c r="M15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5" s="6" t="str">
        <f ca="1">IF(GameLog[[#This Row],[Check]]="","",COUNTIF(GameLog[[#Headers],[Check]]:GameLog[[#This Row],[Check]],"?*")-1)</f>
        <v/>
      </c>
      <c r="O1535" s="6" t="str">
        <f>IFERROR(INDEX(Players[New name],MATCH(GameLog[[#This Row],[Player]],Players[Name],0)),GameLog[[#This Row],[Player]])</f>
        <v>Bryce C</v>
      </c>
    </row>
    <row r="1536" spans="1:15" x14ac:dyDescent="0.45">
      <c r="A1536" s="6" t="s">
        <v>96</v>
      </c>
      <c r="B1536" s="6" t="s">
        <v>50</v>
      </c>
      <c r="C1536" s="6">
        <v>1</v>
      </c>
      <c r="D1536" s="6">
        <v>1</v>
      </c>
      <c r="E1536" s="6">
        <v>2</v>
      </c>
      <c r="F1536" s="10">
        <v>46167</v>
      </c>
      <c r="G1536" s="6" t="str">
        <f>_xlfn.TEXTJOIN("|",TRUE,GameLog[[#This Row],[Pod]],TEXT(INT(GameLog[[#This Row],[Round]]),"yyyymmdd"),GameLog[[#This Row],[Date]])</f>
        <v>1|19000102|46167</v>
      </c>
      <c r="H1536" s="6">
        <f>COUNTIF(GameLog[Pod ID],GameLog[[#This Row],[Pod ID]])</f>
        <v>4</v>
      </c>
      <c r="I1536" s="6">
        <f>YEAR(GameLog[[#This Row],[Date]])</f>
        <v>2026</v>
      </c>
      <c r="J1536" s="6">
        <f>MONTH(GameLog[[#This Row],[Date]])</f>
        <v>5</v>
      </c>
      <c r="K1536" s="6" t="str">
        <f>IF(GameLog[[#This Row],[Date]]=MAX(GameLog[Date]),"Current","Previous")</f>
        <v>Previous</v>
      </c>
      <c r="L1536" s="6"/>
      <c r="M15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6" s="6" t="str">
        <f ca="1">IF(GameLog[[#This Row],[Check]]="","",COUNTIF(GameLog[[#Headers],[Check]]:GameLog[[#This Row],[Check]],"?*")-1)</f>
        <v/>
      </c>
      <c r="O1536" s="6" t="str">
        <f>IFERROR(INDEX(Players[New name],MATCH(GameLog[[#This Row],[Player]],Players[Name],0)),GameLog[[#This Row],[Player]])</f>
        <v>Brandon A</v>
      </c>
    </row>
    <row r="1537" spans="1:15" x14ac:dyDescent="0.45">
      <c r="A1537" s="6" t="s">
        <v>59</v>
      </c>
      <c r="B1537" s="6" t="s">
        <v>53</v>
      </c>
      <c r="C1537" s="6">
        <v>2</v>
      </c>
      <c r="D1537" s="6">
        <v>1</v>
      </c>
      <c r="E1537" s="6">
        <v>2</v>
      </c>
      <c r="F1537" s="10">
        <v>46167</v>
      </c>
      <c r="G1537" s="6" t="str">
        <f>_xlfn.TEXTJOIN("|",TRUE,GameLog[[#This Row],[Pod]],TEXT(INT(GameLog[[#This Row],[Round]]),"yyyymmdd"),GameLog[[#This Row],[Date]])</f>
        <v>1|19000102|46167</v>
      </c>
      <c r="H1537" s="6">
        <f>COUNTIF(GameLog[Pod ID],GameLog[[#This Row],[Pod ID]])</f>
        <v>4</v>
      </c>
      <c r="I1537" s="6">
        <f>YEAR(GameLog[[#This Row],[Date]])</f>
        <v>2026</v>
      </c>
      <c r="J1537" s="6">
        <f>MONTH(GameLog[[#This Row],[Date]])</f>
        <v>5</v>
      </c>
      <c r="K1537" s="6" t="str">
        <f>IF(GameLog[[#This Row],[Date]]=MAX(GameLog[Date]),"Current","Previous")</f>
        <v>Previous</v>
      </c>
      <c r="L1537" s="6"/>
      <c r="M15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7" s="6" t="str">
        <f ca="1">IF(GameLog[[#This Row],[Check]]="","",COUNTIF(GameLog[[#Headers],[Check]]:GameLog[[#This Row],[Check]],"?*")-1)</f>
        <v/>
      </c>
      <c r="O1537" s="6" t="str">
        <f>IFERROR(INDEX(Players[New name],MATCH(GameLog[[#This Row],[Player]],Players[Name],0)),GameLog[[#This Row],[Player]])</f>
        <v>Zack B</v>
      </c>
    </row>
    <row r="1538" spans="1:15" x14ac:dyDescent="0.45">
      <c r="A1538" s="6" t="s">
        <v>73</v>
      </c>
      <c r="B1538" s="6" t="s">
        <v>53</v>
      </c>
      <c r="C1538" s="6">
        <v>3</v>
      </c>
      <c r="D1538" s="6">
        <v>1</v>
      </c>
      <c r="E1538" s="6">
        <v>2</v>
      </c>
      <c r="F1538" s="10">
        <v>46167</v>
      </c>
      <c r="G1538" s="6" t="str">
        <f>_xlfn.TEXTJOIN("|",TRUE,GameLog[[#This Row],[Pod]],TEXT(INT(GameLog[[#This Row],[Round]]),"yyyymmdd"),GameLog[[#This Row],[Date]])</f>
        <v>1|19000102|46167</v>
      </c>
      <c r="H1538" s="6">
        <f>COUNTIF(GameLog[Pod ID],GameLog[[#This Row],[Pod ID]])</f>
        <v>4</v>
      </c>
      <c r="I1538" s="6">
        <f>YEAR(GameLog[[#This Row],[Date]])</f>
        <v>2026</v>
      </c>
      <c r="J1538" s="6">
        <f>MONTH(GameLog[[#This Row],[Date]])</f>
        <v>5</v>
      </c>
      <c r="K1538" s="6" t="str">
        <f>IF(GameLog[[#This Row],[Date]]=MAX(GameLog[Date]),"Current","Previous")</f>
        <v>Previous</v>
      </c>
      <c r="L1538" s="6"/>
      <c r="M15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8" s="6" t="str">
        <f ca="1">IF(GameLog[[#This Row],[Check]]="","",COUNTIF(GameLog[[#Headers],[Check]]:GameLog[[#This Row],[Check]],"?*")-1)</f>
        <v/>
      </c>
      <c r="O1538" s="6" t="str">
        <f>IFERROR(INDEX(Players[New name],MATCH(GameLog[[#This Row],[Player]],Players[Name],0)),GameLog[[#This Row],[Player]])</f>
        <v>Brandon B</v>
      </c>
    </row>
    <row r="1539" spans="1:15" x14ac:dyDescent="0.45">
      <c r="A1539" s="6" t="s">
        <v>58</v>
      </c>
      <c r="B1539" s="6" t="s">
        <v>53</v>
      </c>
      <c r="C1539" s="6">
        <v>4</v>
      </c>
      <c r="D1539" s="6">
        <v>1</v>
      </c>
      <c r="E1539" s="6">
        <v>2</v>
      </c>
      <c r="F1539" s="10">
        <v>46167</v>
      </c>
      <c r="G1539" s="6" t="str">
        <f>_xlfn.TEXTJOIN("|",TRUE,GameLog[[#This Row],[Pod]],TEXT(INT(GameLog[[#This Row],[Round]]),"yyyymmdd"),GameLog[[#This Row],[Date]])</f>
        <v>1|19000102|46167</v>
      </c>
      <c r="H1539" s="6">
        <f>COUNTIF(GameLog[Pod ID],GameLog[[#This Row],[Pod ID]])</f>
        <v>4</v>
      </c>
      <c r="I1539" s="6">
        <f>YEAR(GameLog[[#This Row],[Date]])</f>
        <v>2026</v>
      </c>
      <c r="J1539" s="6">
        <f>MONTH(GameLog[[#This Row],[Date]])</f>
        <v>5</v>
      </c>
      <c r="K1539" s="6" t="str">
        <f>IF(GameLog[[#This Row],[Date]]=MAX(GameLog[Date]),"Current","Previous")</f>
        <v>Previous</v>
      </c>
      <c r="L1539" s="6"/>
      <c r="M15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39" s="6" t="str">
        <f ca="1">IF(GameLog[[#This Row],[Check]]="","",COUNTIF(GameLog[[#Headers],[Check]]:GameLog[[#This Row],[Check]],"?*")-1)</f>
        <v/>
      </c>
      <c r="O1539" s="6" t="str">
        <f>IFERROR(INDEX(Players[New name],MATCH(GameLog[[#This Row],[Player]],Players[Name],0)),GameLog[[#This Row],[Player]])</f>
        <v>Dakota P</v>
      </c>
    </row>
    <row r="1540" spans="1:15" x14ac:dyDescent="0.45">
      <c r="A1540" s="6" t="s">
        <v>55</v>
      </c>
      <c r="B1540" s="6" t="s">
        <v>90</v>
      </c>
      <c r="C1540" s="6">
        <v>1</v>
      </c>
      <c r="D1540" s="6">
        <v>2</v>
      </c>
      <c r="E1540" s="6">
        <v>2</v>
      </c>
      <c r="F1540" s="10">
        <v>46167</v>
      </c>
      <c r="G1540" s="6" t="str">
        <f>_xlfn.TEXTJOIN("|",TRUE,GameLog[[#This Row],[Pod]],TEXT(INT(GameLog[[#This Row],[Round]]),"yyyymmdd"),GameLog[[#This Row],[Date]])</f>
        <v>2|19000102|46167</v>
      </c>
      <c r="H1540" s="6">
        <f>COUNTIF(GameLog[Pod ID],GameLog[[#This Row],[Pod ID]])</f>
        <v>4</v>
      </c>
      <c r="I1540" s="6">
        <f>YEAR(GameLog[[#This Row],[Date]])</f>
        <v>2026</v>
      </c>
      <c r="J1540" s="6">
        <f>MONTH(GameLog[[#This Row],[Date]])</f>
        <v>5</v>
      </c>
      <c r="K1540" s="6" t="str">
        <f>IF(GameLog[[#This Row],[Date]]=MAX(GameLog[Date]),"Current","Previous")</f>
        <v>Previous</v>
      </c>
      <c r="L1540" s="6"/>
      <c r="M15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0" s="6" t="str">
        <f ca="1">IF(GameLog[[#This Row],[Check]]="","",COUNTIF(GameLog[[#Headers],[Check]]:GameLog[[#This Row],[Check]],"?*")-1)</f>
        <v/>
      </c>
      <c r="O1540" s="6" t="str">
        <f>IFERROR(INDEX(Players[New name],MATCH(GameLog[[#This Row],[Player]],Players[Name],0)),GameLog[[#This Row],[Player]])</f>
        <v>Bryce C</v>
      </c>
    </row>
    <row r="1541" spans="1:15" x14ac:dyDescent="0.45">
      <c r="A1541" s="6" t="s">
        <v>64</v>
      </c>
      <c r="B1541" s="6" t="s">
        <v>90</v>
      </c>
      <c r="C1541" s="6">
        <v>2</v>
      </c>
      <c r="D1541" s="6">
        <v>2</v>
      </c>
      <c r="E1541" s="6">
        <v>2</v>
      </c>
      <c r="F1541" s="10">
        <v>46167</v>
      </c>
      <c r="G1541" s="6" t="str">
        <f>_xlfn.TEXTJOIN("|",TRUE,GameLog[[#This Row],[Pod]],TEXT(INT(GameLog[[#This Row],[Round]]),"yyyymmdd"),GameLog[[#This Row],[Date]])</f>
        <v>2|19000102|46167</v>
      </c>
      <c r="H1541" s="6">
        <f>COUNTIF(GameLog[Pod ID],GameLog[[#This Row],[Pod ID]])</f>
        <v>4</v>
      </c>
      <c r="I1541" s="6">
        <f>YEAR(GameLog[[#This Row],[Date]])</f>
        <v>2026</v>
      </c>
      <c r="J1541" s="6">
        <f>MONTH(GameLog[[#This Row],[Date]])</f>
        <v>5</v>
      </c>
      <c r="K1541" s="6" t="str">
        <f>IF(GameLog[[#This Row],[Date]]=MAX(GameLog[Date]),"Current","Previous")</f>
        <v>Previous</v>
      </c>
      <c r="L1541" s="6"/>
      <c r="M15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1" s="6" t="str">
        <f ca="1">IF(GameLog[[#This Row],[Check]]="","",COUNTIF(GameLog[[#Headers],[Check]]:GameLog[[#This Row],[Check]],"?*")-1)</f>
        <v/>
      </c>
      <c r="O1541" s="6" t="str">
        <f>IFERROR(INDEX(Players[New name],MATCH(GameLog[[#This Row],[Player]],Players[Name],0)),GameLog[[#This Row],[Player]])</f>
        <v>Tyler B</v>
      </c>
    </row>
    <row r="1542" spans="1:15" x14ac:dyDescent="0.45">
      <c r="A1542" s="6" t="s">
        <v>63</v>
      </c>
      <c r="B1542" s="6" t="s">
        <v>90</v>
      </c>
      <c r="C1542" s="6">
        <v>3</v>
      </c>
      <c r="D1542" s="6">
        <v>2</v>
      </c>
      <c r="E1542" s="6">
        <v>2</v>
      </c>
      <c r="F1542" s="10">
        <v>46167</v>
      </c>
      <c r="G1542" s="6" t="str">
        <f>_xlfn.TEXTJOIN("|",TRUE,GameLog[[#This Row],[Pod]],TEXT(INT(GameLog[[#This Row],[Round]]),"yyyymmdd"),GameLog[[#This Row],[Date]])</f>
        <v>2|19000102|46167</v>
      </c>
      <c r="H1542" s="6">
        <f>COUNTIF(GameLog[Pod ID],GameLog[[#This Row],[Pod ID]])</f>
        <v>4</v>
      </c>
      <c r="I1542" s="6">
        <f>YEAR(GameLog[[#This Row],[Date]])</f>
        <v>2026</v>
      </c>
      <c r="J1542" s="6">
        <f>MONTH(GameLog[[#This Row],[Date]])</f>
        <v>5</v>
      </c>
      <c r="K1542" s="6" t="str">
        <f>IF(GameLog[[#This Row],[Date]]=MAX(GameLog[Date]),"Current","Previous")</f>
        <v>Previous</v>
      </c>
      <c r="L1542" s="6"/>
      <c r="M15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2" s="6" t="str">
        <f ca="1">IF(GameLog[[#This Row],[Check]]="","",COUNTIF(GameLog[[#Headers],[Check]]:GameLog[[#This Row],[Check]],"?*")-1)</f>
        <v/>
      </c>
      <c r="O1542" s="6" t="str">
        <f>IFERROR(INDEX(Players[New name],MATCH(GameLog[[#This Row],[Player]],Players[Name],0)),GameLog[[#This Row],[Player]])</f>
        <v>Jake D</v>
      </c>
    </row>
    <row r="1543" spans="1:15" x14ac:dyDescent="0.45">
      <c r="A1543" s="6" t="s">
        <v>57</v>
      </c>
      <c r="B1543" s="6" t="s">
        <v>90</v>
      </c>
      <c r="C1543" s="6">
        <v>4</v>
      </c>
      <c r="D1543" s="6">
        <v>2</v>
      </c>
      <c r="E1543" s="6">
        <v>2</v>
      </c>
      <c r="F1543" s="10">
        <v>46167</v>
      </c>
      <c r="G1543" s="6" t="str">
        <f>_xlfn.TEXTJOIN("|",TRUE,GameLog[[#This Row],[Pod]],TEXT(INT(GameLog[[#This Row],[Round]]),"yyyymmdd"),GameLog[[#This Row],[Date]])</f>
        <v>2|19000102|46167</v>
      </c>
      <c r="H1543" s="6">
        <f>COUNTIF(GameLog[Pod ID],GameLog[[#This Row],[Pod ID]])</f>
        <v>4</v>
      </c>
      <c r="I1543" s="6">
        <f>YEAR(GameLog[[#This Row],[Date]])</f>
        <v>2026</v>
      </c>
      <c r="J1543" s="6">
        <f>MONTH(GameLog[[#This Row],[Date]])</f>
        <v>5</v>
      </c>
      <c r="K1543" s="6" t="str">
        <f>IF(GameLog[[#This Row],[Date]]=MAX(GameLog[Date]),"Current","Previous")</f>
        <v>Previous</v>
      </c>
      <c r="L1543" s="6"/>
      <c r="M15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3" s="6" t="str">
        <f ca="1">IF(GameLog[[#This Row],[Check]]="","",COUNTIF(GameLog[[#Headers],[Check]]:GameLog[[#This Row],[Check]],"?*")-1)</f>
        <v/>
      </c>
      <c r="O1543" s="6" t="str">
        <f>IFERROR(INDEX(Players[New name],MATCH(GameLog[[#This Row],[Player]],Players[Name],0)),GameLog[[#This Row],[Player]])</f>
        <v>AJ W</v>
      </c>
    </row>
    <row r="1544" spans="1:15" x14ac:dyDescent="0.45">
      <c r="A1544" s="6" t="s">
        <v>70</v>
      </c>
      <c r="B1544" s="6" t="s">
        <v>53</v>
      </c>
      <c r="C1544" s="6">
        <v>1</v>
      </c>
      <c r="D1544" s="6">
        <v>3</v>
      </c>
      <c r="E1544" s="6">
        <v>2</v>
      </c>
      <c r="F1544" s="10">
        <v>46167</v>
      </c>
      <c r="G1544" s="6" t="str">
        <f>_xlfn.TEXTJOIN("|",TRUE,GameLog[[#This Row],[Pod]],TEXT(INT(GameLog[[#This Row],[Round]]),"yyyymmdd"),GameLog[[#This Row],[Date]])</f>
        <v>3|19000102|46167</v>
      </c>
      <c r="H1544" s="6">
        <f>COUNTIF(GameLog[Pod ID],GameLog[[#This Row],[Pod ID]])</f>
        <v>4</v>
      </c>
      <c r="I1544" s="6">
        <f>YEAR(GameLog[[#This Row],[Date]])</f>
        <v>2026</v>
      </c>
      <c r="J1544" s="6">
        <f>MONTH(GameLog[[#This Row],[Date]])</f>
        <v>5</v>
      </c>
      <c r="K1544" s="6" t="str">
        <f>IF(GameLog[[#This Row],[Date]]=MAX(GameLog[Date]),"Current","Previous")</f>
        <v>Previous</v>
      </c>
      <c r="L1544" s="6"/>
      <c r="M15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4" s="6" t="str">
        <f ca="1">IF(GameLog[[#This Row],[Check]]="","",COUNTIF(GameLog[[#Headers],[Check]]:GameLog[[#This Row],[Check]],"?*")-1)</f>
        <v/>
      </c>
      <c r="O1544" s="6" t="str">
        <f>IFERROR(INDEX(Players[New name],MATCH(GameLog[[#This Row],[Player]],Players[Name],0)),GameLog[[#This Row],[Player]])</f>
        <v>Brad F</v>
      </c>
    </row>
    <row r="1545" spans="1:15" x14ac:dyDescent="0.45">
      <c r="A1545" s="6" t="s">
        <v>110</v>
      </c>
      <c r="B1545" s="6" t="s">
        <v>50</v>
      </c>
      <c r="C1545" s="6">
        <v>2</v>
      </c>
      <c r="D1545" s="6">
        <v>3</v>
      </c>
      <c r="E1545" s="6">
        <v>2</v>
      </c>
      <c r="F1545" s="10">
        <v>46167</v>
      </c>
      <c r="G1545" s="6" t="str">
        <f>_xlfn.TEXTJOIN("|",TRUE,GameLog[[#This Row],[Pod]],TEXT(INT(GameLog[[#This Row],[Round]]),"yyyymmdd"),GameLog[[#This Row],[Date]])</f>
        <v>3|19000102|46167</v>
      </c>
      <c r="H1545" s="6">
        <f>COUNTIF(GameLog[Pod ID],GameLog[[#This Row],[Pod ID]])</f>
        <v>4</v>
      </c>
      <c r="I1545" s="6">
        <f>YEAR(GameLog[[#This Row],[Date]])</f>
        <v>2026</v>
      </c>
      <c r="J1545" s="6">
        <f>MONTH(GameLog[[#This Row],[Date]])</f>
        <v>5</v>
      </c>
      <c r="K1545" s="6" t="str">
        <f>IF(GameLog[[#This Row],[Date]]=MAX(GameLog[Date]),"Current","Previous")</f>
        <v>Previous</v>
      </c>
      <c r="L1545" s="6"/>
      <c r="M15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5" s="6" t="str">
        <f ca="1">IF(GameLog[[#This Row],[Check]]="","",COUNTIF(GameLog[[#Headers],[Check]]:GameLog[[#This Row],[Check]],"?*")-1)</f>
        <v/>
      </c>
      <c r="O1545" s="6" t="str">
        <f>IFERROR(INDEX(Players[New name],MATCH(GameLog[[#This Row],[Player]],Players[Name],0)),GameLog[[#This Row],[Player]])</f>
        <v>Paul B</v>
      </c>
    </row>
    <row r="1546" spans="1:15" x14ac:dyDescent="0.45">
      <c r="A1546" s="6" t="s">
        <v>104</v>
      </c>
      <c r="B1546" s="6" t="s">
        <v>53</v>
      </c>
      <c r="C1546" s="6">
        <v>3</v>
      </c>
      <c r="D1546" s="6">
        <v>3</v>
      </c>
      <c r="E1546" s="6">
        <v>2</v>
      </c>
      <c r="F1546" s="10">
        <v>46167</v>
      </c>
      <c r="G1546" s="6" t="str">
        <f>_xlfn.TEXTJOIN("|",TRUE,GameLog[[#This Row],[Pod]],TEXT(INT(GameLog[[#This Row],[Round]]),"yyyymmdd"),GameLog[[#This Row],[Date]])</f>
        <v>3|19000102|46167</v>
      </c>
      <c r="H1546" s="6">
        <f>COUNTIF(GameLog[Pod ID],GameLog[[#This Row],[Pod ID]])</f>
        <v>4</v>
      </c>
      <c r="I1546" s="6">
        <f>YEAR(GameLog[[#This Row],[Date]])</f>
        <v>2026</v>
      </c>
      <c r="J1546" s="6">
        <f>MONTH(GameLog[[#This Row],[Date]])</f>
        <v>5</v>
      </c>
      <c r="K1546" s="6" t="str">
        <f>IF(GameLog[[#This Row],[Date]]=MAX(GameLog[Date]),"Current","Previous")</f>
        <v>Previous</v>
      </c>
      <c r="L1546" s="6"/>
      <c r="M15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6" s="6" t="str">
        <f ca="1">IF(GameLog[[#This Row],[Check]]="","",COUNTIF(GameLog[[#Headers],[Check]]:GameLog[[#This Row],[Check]],"?*")-1)</f>
        <v/>
      </c>
      <c r="O1546" s="6" t="str">
        <f>IFERROR(INDEX(Players[New name],MATCH(GameLog[[#This Row],[Player]],Players[Name],0)),GameLog[[#This Row],[Player]])</f>
        <v>Eric E</v>
      </c>
    </row>
    <row r="1547" spans="1:15" x14ac:dyDescent="0.45">
      <c r="A1547" s="6" t="s">
        <v>74</v>
      </c>
      <c r="B1547" s="6" t="s">
        <v>53</v>
      </c>
      <c r="C1547" s="6">
        <v>4</v>
      </c>
      <c r="D1547" s="6">
        <v>3</v>
      </c>
      <c r="E1547" s="6">
        <v>2</v>
      </c>
      <c r="F1547" s="10">
        <v>46167</v>
      </c>
      <c r="G1547" s="6" t="str">
        <f>_xlfn.TEXTJOIN("|",TRUE,GameLog[[#This Row],[Pod]],TEXT(INT(GameLog[[#This Row],[Round]]),"yyyymmdd"),GameLog[[#This Row],[Date]])</f>
        <v>3|19000102|46167</v>
      </c>
      <c r="H1547" s="6">
        <f>COUNTIF(GameLog[Pod ID],GameLog[[#This Row],[Pod ID]])</f>
        <v>4</v>
      </c>
      <c r="I1547" s="6">
        <f>YEAR(GameLog[[#This Row],[Date]])</f>
        <v>2026</v>
      </c>
      <c r="J1547" s="6">
        <f>MONTH(GameLog[[#This Row],[Date]])</f>
        <v>5</v>
      </c>
      <c r="K1547" s="6" t="str">
        <f>IF(GameLog[[#This Row],[Date]]=MAX(GameLog[Date]),"Current","Previous")</f>
        <v>Previous</v>
      </c>
      <c r="L1547" s="6"/>
      <c r="M15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7" s="6" t="str">
        <f ca="1">IF(GameLog[[#This Row],[Check]]="","",COUNTIF(GameLog[[#Headers],[Check]]:GameLog[[#This Row],[Check]],"?*")-1)</f>
        <v/>
      </c>
      <c r="O1547" s="6" t="str">
        <f>IFERROR(INDEX(Players[New name],MATCH(GameLog[[#This Row],[Player]],Players[Name],0)),GameLog[[#This Row],[Player]])</f>
        <v>Jarrod O</v>
      </c>
    </row>
    <row r="1548" spans="1:15" x14ac:dyDescent="0.45">
      <c r="A1548" s="6" t="s">
        <v>77</v>
      </c>
      <c r="B1548" s="6" t="s">
        <v>53</v>
      </c>
      <c r="C1548" s="6">
        <v>1</v>
      </c>
      <c r="D1548" s="6">
        <v>4</v>
      </c>
      <c r="E1548" s="6">
        <v>2</v>
      </c>
      <c r="F1548" s="10">
        <v>46167</v>
      </c>
      <c r="G1548" s="6" t="str">
        <f>_xlfn.TEXTJOIN("|",TRUE,GameLog[[#This Row],[Pod]],TEXT(INT(GameLog[[#This Row],[Round]]),"yyyymmdd"),GameLog[[#This Row],[Date]])</f>
        <v>4|19000102|46167</v>
      </c>
      <c r="H1548" s="6">
        <f>COUNTIF(GameLog[Pod ID],GameLog[[#This Row],[Pod ID]])</f>
        <v>3</v>
      </c>
      <c r="I1548" s="6">
        <f>YEAR(GameLog[[#This Row],[Date]])</f>
        <v>2026</v>
      </c>
      <c r="J1548" s="6">
        <f>MONTH(GameLog[[#This Row],[Date]])</f>
        <v>5</v>
      </c>
      <c r="K1548" s="6" t="str">
        <f>IF(GameLog[[#This Row],[Date]]=MAX(GameLog[Date]),"Current","Previous")</f>
        <v>Previous</v>
      </c>
      <c r="L1548" s="6"/>
      <c r="M15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8" s="6" t="str">
        <f ca="1">IF(GameLog[[#This Row],[Check]]="","",COUNTIF(GameLog[[#Headers],[Check]]:GameLog[[#This Row],[Check]],"?*")-1)</f>
        <v/>
      </c>
      <c r="O1548" s="6" t="str">
        <f>IFERROR(INDEX(Players[New name],MATCH(GameLog[[#This Row],[Player]],Players[Name],0)),GameLog[[#This Row],[Player]])</f>
        <v>Dave M</v>
      </c>
    </row>
    <row r="1549" spans="1:15" x14ac:dyDescent="0.45">
      <c r="A1549" s="6" t="s">
        <v>97</v>
      </c>
      <c r="B1549" s="6" t="s">
        <v>50</v>
      </c>
      <c r="C1549" s="6">
        <v>2</v>
      </c>
      <c r="D1549" s="6">
        <v>4</v>
      </c>
      <c r="E1549" s="6">
        <v>2</v>
      </c>
      <c r="F1549" s="10">
        <v>46167</v>
      </c>
      <c r="G1549" s="6" t="str">
        <f>_xlfn.TEXTJOIN("|",TRUE,GameLog[[#This Row],[Pod]],TEXT(INT(GameLog[[#This Row],[Round]]),"yyyymmdd"),GameLog[[#This Row],[Date]])</f>
        <v>4|19000102|46167</v>
      </c>
      <c r="H1549" s="6">
        <f>COUNTIF(GameLog[Pod ID],GameLog[[#This Row],[Pod ID]])</f>
        <v>3</v>
      </c>
      <c r="I1549" s="6">
        <f>YEAR(GameLog[[#This Row],[Date]])</f>
        <v>2026</v>
      </c>
      <c r="J1549" s="6">
        <f>MONTH(GameLog[[#This Row],[Date]])</f>
        <v>5</v>
      </c>
      <c r="K1549" s="6" t="str">
        <f>IF(GameLog[[#This Row],[Date]]=MAX(GameLog[Date]),"Current","Previous")</f>
        <v>Previous</v>
      </c>
      <c r="L1549" s="6"/>
      <c r="M15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49" s="6" t="str">
        <f ca="1">IF(GameLog[[#This Row],[Check]]="","",COUNTIF(GameLog[[#Headers],[Check]]:GameLog[[#This Row],[Check]],"?*")-1)</f>
        <v/>
      </c>
      <c r="O1549" s="6" t="str">
        <f>IFERROR(INDEX(Players[New name],MATCH(GameLog[[#This Row],[Player]],Players[Name],0)),GameLog[[#This Row],[Player]])</f>
        <v>Arman H</v>
      </c>
    </row>
    <row r="1550" spans="1:15" x14ac:dyDescent="0.45">
      <c r="A1550" s="6" t="s">
        <v>49</v>
      </c>
      <c r="B1550" s="6" t="s">
        <v>53</v>
      </c>
      <c r="C1550" s="6">
        <v>3</v>
      </c>
      <c r="D1550" s="6">
        <v>4</v>
      </c>
      <c r="E1550" s="6">
        <v>2</v>
      </c>
      <c r="F1550" s="10">
        <v>46167</v>
      </c>
      <c r="G1550" s="6" t="str">
        <f>_xlfn.TEXTJOIN("|",TRUE,GameLog[[#This Row],[Pod]],TEXT(INT(GameLog[[#This Row],[Round]]),"yyyymmdd"),GameLog[[#This Row],[Date]])</f>
        <v>4|19000102|46167</v>
      </c>
      <c r="H1550" s="6">
        <f>COUNTIF(GameLog[Pod ID],GameLog[[#This Row],[Pod ID]])</f>
        <v>3</v>
      </c>
      <c r="I1550" s="6">
        <f>YEAR(GameLog[[#This Row],[Date]])</f>
        <v>2026</v>
      </c>
      <c r="J1550" s="6">
        <f>MONTH(GameLog[[#This Row],[Date]])</f>
        <v>5</v>
      </c>
      <c r="K1550" s="6" t="str">
        <f>IF(GameLog[[#This Row],[Date]]=MAX(GameLog[Date]),"Current","Previous")</f>
        <v>Previous</v>
      </c>
      <c r="L1550" s="6"/>
      <c r="M15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0" s="6" t="str">
        <f ca="1">IF(GameLog[[#This Row],[Check]]="","",COUNTIF(GameLog[[#Headers],[Check]]:GameLog[[#This Row],[Check]],"?*")-1)</f>
        <v/>
      </c>
      <c r="O1550" s="6" t="str">
        <f>IFERROR(INDEX(Players[New name],MATCH(GameLog[[#This Row],[Player]],Players[Name],0)),GameLog[[#This Row],[Player]])</f>
        <v>Brett R</v>
      </c>
    </row>
    <row r="1551" spans="1:15" x14ac:dyDescent="0.45">
      <c r="A1551" s="6" t="s">
        <v>61</v>
      </c>
      <c r="B1551" s="6" t="s">
        <v>53</v>
      </c>
      <c r="C1551" s="6">
        <v>1</v>
      </c>
      <c r="D1551" s="6">
        <v>1</v>
      </c>
      <c r="E1551" s="6">
        <v>1</v>
      </c>
      <c r="F1551" s="10">
        <v>46174</v>
      </c>
      <c r="G1551" s="6" t="str">
        <f>_xlfn.TEXTJOIN("|",TRUE,GameLog[[#This Row],[Pod]],TEXT(INT(GameLog[[#This Row],[Round]]),"yyyymmdd"),GameLog[[#This Row],[Date]])</f>
        <v>1|19000101|46174</v>
      </c>
      <c r="H1551" s="6">
        <f>COUNTIF(GameLog[Pod ID],GameLog[[#This Row],[Pod ID]])</f>
        <v>4</v>
      </c>
      <c r="I1551" s="6">
        <f>YEAR(GameLog[[#This Row],[Date]])</f>
        <v>2026</v>
      </c>
      <c r="J1551" s="6">
        <f>MONTH(GameLog[[#This Row],[Date]])</f>
        <v>6</v>
      </c>
      <c r="K1551" s="6" t="str">
        <f>IF(GameLog[[#This Row],[Date]]=MAX(GameLog[Date]),"Current","Previous")</f>
        <v>Previous</v>
      </c>
      <c r="L1551" s="6"/>
      <c r="M15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1" s="6" t="str">
        <f ca="1">IF(GameLog[[#This Row],[Check]]="","",COUNTIF(GameLog[[#Headers],[Check]]:GameLog[[#This Row],[Check]],"?*")-1)</f>
        <v/>
      </c>
      <c r="O1551" s="6" t="str">
        <f>IFERROR(INDEX(Players[New name],MATCH(GameLog[[#This Row],[Player]],Players[Name],0)),GameLog[[#This Row],[Player]])</f>
        <v>Trevor</v>
      </c>
    </row>
    <row r="1552" spans="1:15" x14ac:dyDescent="0.45">
      <c r="A1552" s="6" t="s">
        <v>75</v>
      </c>
      <c r="B1552" s="6" t="s">
        <v>53</v>
      </c>
      <c r="C1552" s="6">
        <v>2</v>
      </c>
      <c r="D1552" s="6">
        <v>1</v>
      </c>
      <c r="E1552" s="6">
        <v>1</v>
      </c>
      <c r="F1552" s="10">
        <v>46174</v>
      </c>
      <c r="G1552" s="6" t="str">
        <f>_xlfn.TEXTJOIN("|",TRUE,GameLog[[#This Row],[Pod]],TEXT(INT(GameLog[[#This Row],[Round]]),"yyyymmdd"),GameLog[[#This Row],[Date]])</f>
        <v>1|19000101|46174</v>
      </c>
      <c r="H1552" s="6">
        <f>COUNTIF(GameLog[Pod ID],GameLog[[#This Row],[Pod ID]])</f>
        <v>4</v>
      </c>
      <c r="I1552" s="6">
        <f>YEAR(GameLog[[#This Row],[Date]])</f>
        <v>2026</v>
      </c>
      <c r="J1552" s="6">
        <f>MONTH(GameLog[[#This Row],[Date]])</f>
        <v>6</v>
      </c>
      <c r="K1552" s="6" t="str">
        <f>IF(GameLog[[#This Row],[Date]]=MAX(GameLog[Date]),"Current","Previous")</f>
        <v>Previous</v>
      </c>
      <c r="L1552" s="6"/>
      <c r="M15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2" s="6" t="str">
        <f ca="1">IF(GameLog[[#This Row],[Check]]="","",COUNTIF(GameLog[[#Headers],[Check]]:GameLog[[#This Row],[Check]],"?*")-1)</f>
        <v/>
      </c>
      <c r="O1552" s="6" t="str">
        <f>IFERROR(INDEX(Players[New name],MATCH(GameLog[[#This Row],[Player]],Players[Name],0)),GameLog[[#This Row],[Player]])</f>
        <v>Eli T</v>
      </c>
    </row>
    <row r="1553" spans="1:15" x14ac:dyDescent="0.45">
      <c r="A1553" s="6" t="s">
        <v>55</v>
      </c>
      <c r="B1553" s="6" t="s">
        <v>50</v>
      </c>
      <c r="C1553" s="6">
        <v>3</v>
      </c>
      <c r="D1553" s="6">
        <v>1</v>
      </c>
      <c r="E1553" s="6">
        <v>1</v>
      </c>
      <c r="F1553" s="10">
        <v>46174</v>
      </c>
      <c r="G1553" s="6" t="str">
        <f>_xlfn.TEXTJOIN("|",TRUE,GameLog[[#This Row],[Pod]],TEXT(INT(GameLog[[#This Row],[Round]]),"yyyymmdd"),GameLog[[#This Row],[Date]])</f>
        <v>1|19000101|46174</v>
      </c>
      <c r="H1553" s="6">
        <f>COUNTIF(GameLog[Pod ID],GameLog[[#This Row],[Pod ID]])</f>
        <v>4</v>
      </c>
      <c r="I1553" s="6">
        <f>YEAR(GameLog[[#This Row],[Date]])</f>
        <v>2026</v>
      </c>
      <c r="J1553" s="6">
        <f>MONTH(GameLog[[#This Row],[Date]])</f>
        <v>6</v>
      </c>
      <c r="K1553" s="6" t="str">
        <f>IF(GameLog[[#This Row],[Date]]=MAX(GameLog[Date]),"Current","Previous")</f>
        <v>Previous</v>
      </c>
      <c r="L1553" s="6"/>
      <c r="M15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3" s="6" t="str">
        <f ca="1">IF(GameLog[[#This Row],[Check]]="","",COUNTIF(GameLog[[#Headers],[Check]]:GameLog[[#This Row],[Check]],"?*")-1)</f>
        <v/>
      </c>
      <c r="O1553" s="6" t="str">
        <f>IFERROR(INDEX(Players[New name],MATCH(GameLog[[#This Row],[Player]],Players[Name],0)),GameLog[[#This Row],[Player]])</f>
        <v>Bryce C</v>
      </c>
    </row>
    <row r="1554" spans="1:15" x14ac:dyDescent="0.45">
      <c r="A1554" s="6" t="s">
        <v>109</v>
      </c>
      <c r="B1554" s="6" t="s">
        <v>53</v>
      </c>
      <c r="C1554" s="6">
        <v>4</v>
      </c>
      <c r="D1554" s="6">
        <v>1</v>
      </c>
      <c r="E1554" s="6">
        <v>1</v>
      </c>
      <c r="F1554" s="10">
        <v>46174</v>
      </c>
      <c r="G1554" s="6" t="str">
        <f>_xlfn.TEXTJOIN("|",TRUE,GameLog[[#This Row],[Pod]],TEXT(INT(GameLog[[#This Row],[Round]]),"yyyymmdd"),GameLog[[#This Row],[Date]])</f>
        <v>1|19000101|46174</v>
      </c>
      <c r="H1554" s="6">
        <f>COUNTIF(GameLog[Pod ID],GameLog[[#This Row],[Pod ID]])</f>
        <v>4</v>
      </c>
      <c r="I1554" s="6">
        <f>YEAR(GameLog[[#This Row],[Date]])</f>
        <v>2026</v>
      </c>
      <c r="J1554" s="6">
        <f>MONTH(GameLog[[#This Row],[Date]])</f>
        <v>6</v>
      </c>
      <c r="K1554" s="6" t="str">
        <f>IF(GameLog[[#This Row],[Date]]=MAX(GameLog[Date]),"Current","Previous")</f>
        <v>Previous</v>
      </c>
      <c r="L1554" s="6"/>
      <c r="M15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4" s="6" t="str">
        <f ca="1">IF(GameLog[[#This Row],[Check]]="","",COUNTIF(GameLog[[#Headers],[Check]]:GameLog[[#This Row],[Check]],"?*")-1)</f>
        <v/>
      </c>
      <c r="O1554" s="6" t="str">
        <f>IFERROR(INDEX(Players[New name],MATCH(GameLog[[#This Row],[Player]],Players[Name],0)),GameLog[[#This Row],[Player]])</f>
        <v>Taylor C</v>
      </c>
    </row>
    <row r="1555" spans="1:15" x14ac:dyDescent="0.45">
      <c r="A1555" s="6" t="s">
        <v>57</v>
      </c>
      <c r="B1555" s="6" t="s">
        <v>90</v>
      </c>
      <c r="C1555" s="6">
        <v>1</v>
      </c>
      <c r="D1555" s="6">
        <v>2</v>
      </c>
      <c r="E1555" s="6">
        <v>1</v>
      </c>
      <c r="F1555" s="10">
        <v>46174</v>
      </c>
      <c r="G1555" s="6" t="str">
        <f>_xlfn.TEXTJOIN("|",TRUE,GameLog[[#This Row],[Pod]],TEXT(INT(GameLog[[#This Row],[Round]]),"yyyymmdd"),GameLog[[#This Row],[Date]])</f>
        <v>2|19000101|46174</v>
      </c>
      <c r="H1555" s="6">
        <f>COUNTIF(GameLog[Pod ID],GameLog[[#This Row],[Pod ID]])</f>
        <v>4</v>
      </c>
      <c r="I1555" s="6">
        <f>YEAR(GameLog[[#This Row],[Date]])</f>
        <v>2026</v>
      </c>
      <c r="J1555" s="6">
        <f>MONTH(GameLog[[#This Row],[Date]])</f>
        <v>6</v>
      </c>
      <c r="K1555" s="6" t="str">
        <f>IF(GameLog[[#This Row],[Date]]=MAX(GameLog[Date]),"Current","Previous")</f>
        <v>Previous</v>
      </c>
      <c r="L1555" s="6"/>
      <c r="M15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5" s="6" t="str">
        <f ca="1">IF(GameLog[[#This Row],[Check]]="","",COUNTIF(GameLog[[#Headers],[Check]]:GameLog[[#This Row],[Check]],"?*")-1)</f>
        <v/>
      </c>
      <c r="O1555" s="6" t="str">
        <f>IFERROR(INDEX(Players[New name],MATCH(GameLog[[#This Row],[Player]],Players[Name],0)),GameLog[[#This Row],[Player]])</f>
        <v>AJ W</v>
      </c>
    </row>
    <row r="1556" spans="1:15" x14ac:dyDescent="0.45">
      <c r="A1556" s="6" t="s">
        <v>96</v>
      </c>
      <c r="B1556" s="6" t="s">
        <v>90</v>
      </c>
      <c r="C1556" s="6">
        <v>2</v>
      </c>
      <c r="D1556" s="6">
        <v>2</v>
      </c>
      <c r="E1556" s="6">
        <v>1</v>
      </c>
      <c r="F1556" s="10">
        <v>46174</v>
      </c>
      <c r="G1556" s="6" t="str">
        <f>_xlfn.TEXTJOIN("|",TRUE,GameLog[[#This Row],[Pod]],TEXT(INT(GameLog[[#This Row],[Round]]),"yyyymmdd"),GameLog[[#This Row],[Date]])</f>
        <v>2|19000101|46174</v>
      </c>
      <c r="H1556" s="6">
        <f>COUNTIF(GameLog[Pod ID],GameLog[[#This Row],[Pod ID]])</f>
        <v>4</v>
      </c>
      <c r="I1556" s="6">
        <f>YEAR(GameLog[[#This Row],[Date]])</f>
        <v>2026</v>
      </c>
      <c r="J1556" s="6">
        <f>MONTH(GameLog[[#This Row],[Date]])</f>
        <v>6</v>
      </c>
      <c r="K1556" s="6" t="str">
        <f>IF(GameLog[[#This Row],[Date]]=MAX(GameLog[Date]),"Current","Previous")</f>
        <v>Previous</v>
      </c>
      <c r="L1556" s="6"/>
      <c r="M15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6" s="6" t="str">
        <f ca="1">IF(GameLog[[#This Row],[Check]]="","",COUNTIF(GameLog[[#Headers],[Check]]:GameLog[[#This Row],[Check]],"?*")-1)</f>
        <v/>
      </c>
      <c r="O1556" s="6" t="str">
        <f>IFERROR(INDEX(Players[New name],MATCH(GameLog[[#This Row],[Player]],Players[Name],0)),GameLog[[#This Row],[Player]])</f>
        <v>Brandon A</v>
      </c>
    </row>
    <row r="1557" spans="1:15" x14ac:dyDescent="0.45">
      <c r="A1557" s="6" t="s">
        <v>59</v>
      </c>
      <c r="B1557" s="6" t="s">
        <v>90</v>
      </c>
      <c r="C1557" s="6">
        <v>3</v>
      </c>
      <c r="D1557" s="6">
        <v>2</v>
      </c>
      <c r="E1557" s="6">
        <v>1</v>
      </c>
      <c r="F1557" s="10">
        <v>46174</v>
      </c>
      <c r="G1557" s="6" t="str">
        <f>_xlfn.TEXTJOIN("|",TRUE,GameLog[[#This Row],[Pod]],TEXT(INT(GameLog[[#This Row],[Round]]),"yyyymmdd"),GameLog[[#This Row],[Date]])</f>
        <v>2|19000101|46174</v>
      </c>
      <c r="H1557" s="6">
        <f>COUNTIF(GameLog[Pod ID],GameLog[[#This Row],[Pod ID]])</f>
        <v>4</v>
      </c>
      <c r="I1557" s="6">
        <f>YEAR(GameLog[[#This Row],[Date]])</f>
        <v>2026</v>
      </c>
      <c r="J1557" s="6">
        <f>MONTH(GameLog[[#This Row],[Date]])</f>
        <v>6</v>
      </c>
      <c r="K1557" s="6" t="str">
        <f>IF(GameLog[[#This Row],[Date]]=MAX(GameLog[Date]),"Current","Previous")</f>
        <v>Previous</v>
      </c>
      <c r="L1557" s="6"/>
      <c r="M15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7" s="6" t="str">
        <f ca="1">IF(GameLog[[#This Row],[Check]]="","",COUNTIF(GameLog[[#Headers],[Check]]:GameLog[[#This Row],[Check]],"?*")-1)</f>
        <v/>
      </c>
      <c r="O1557" s="6" t="str">
        <f>IFERROR(INDEX(Players[New name],MATCH(GameLog[[#This Row],[Player]],Players[Name],0)),GameLog[[#This Row],[Player]])</f>
        <v>Zack B</v>
      </c>
    </row>
    <row r="1558" spans="1:15" x14ac:dyDescent="0.45">
      <c r="A1558" s="6" t="s">
        <v>68</v>
      </c>
      <c r="B1558" s="6" t="s">
        <v>90</v>
      </c>
      <c r="C1558" s="6">
        <v>4</v>
      </c>
      <c r="D1558" s="6">
        <v>2</v>
      </c>
      <c r="E1558" s="6">
        <v>1</v>
      </c>
      <c r="F1558" s="10">
        <v>46174</v>
      </c>
      <c r="G1558" s="6" t="str">
        <f>_xlfn.TEXTJOIN("|",TRUE,GameLog[[#This Row],[Pod]],TEXT(INT(GameLog[[#This Row],[Round]]),"yyyymmdd"),GameLog[[#This Row],[Date]])</f>
        <v>2|19000101|46174</v>
      </c>
      <c r="H1558" s="6">
        <f>COUNTIF(GameLog[Pod ID],GameLog[[#This Row],[Pod ID]])</f>
        <v>4</v>
      </c>
      <c r="I1558" s="6">
        <f>YEAR(GameLog[[#This Row],[Date]])</f>
        <v>2026</v>
      </c>
      <c r="J1558" s="6">
        <f>MONTH(GameLog[[#This Row],[Date]])</f>
        <v>6</v>
      </c>
      <c r="K1558" s="6" t="str">
        <f>IF(GameLog[[#This Row],[Date]]=MAX(GameLog[Date]),"Current","Previous")</f>
        <v>Previous</v>
      </c>
      <c r="L1558" s="6"/>
      <c r="M15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8" s="6" t="str">
        <f ca="1">IF(GameLog[[#This Row],[Check]]="","",COUNTIF(GameLog[[#Headers],[Check]]:GameLog[[#This Row],[Check]],"?*")-1)</f>
        <v/>
      </c>
      <c r="O1558" s="6" t="str">
        <f>IFERROR(INDEX(Players[New name],MATCH(GameLog[[#This Row],[Player]],Players[Name],0)),GameLog[[#This Row],[Player]])</f>
        <v>Edwin M</v>
      </c>
    </row>
    <row r="1559" spans="1:15" x14ac:dyDescent="0.45">
      <c r="A1559" s="6" t="s">
        <v>58</v>
      </c>
      <c r="B1559" s="6" t="s">
        <v>50</v>
      </c>
      <c r="C1559" s="6">
        <v>1</v>
      </c>
      <c r="D1559" s="6">
        <v>3</v>
      </c>
      <c r="E1559" s="6">
        <v>1</v>
      </c>
      <c r="F1559" s="10">
        <v>46174</v>
      </c>
      <c r="G1559" s="6" t="str">
        <f>_xlfn.TEXTJOIN("|",TRUE,GameLog[[#This Row],[Pod]],TEXT(INT(GameLog[[#This Row],[Round]]),"yyyymmdd"),GameLog[[#This Row],[Date]])</f>
        <v>3|19000101|46174</v>
      </c>
      <c r="H1559" s="6">
        <f>COUNTIF(GameLog[Pod ID],GameLog[[#This Row],[Pod ID]])</f>
        <v>4</v>
      </c>
      <c r="I1559" s="6">
        <f>YEAR(GameLog[[#This Row],[Date]])</f>
        <v>2026</v>
      </c>
      <c r="J1559" s="6">
        <f>MONTH(GameLog[[#This Row],[Date]])</f>
        <v>6</v>
      </c>
      <c r="K1559" s="6" t="str">
        <f>IF(GameLog[[#This Row],[Date]]=MAX(GameLog[Date]),"Current","Previous")</f>
        <v>Previous</v>
      </c>
      <c r="L1559" s="6"/>
      <c r="M15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59" s="6" t="str">
        <f ca="1">IF(GameLog[[#This Row],[Check]]="","",COUNTIF(GameLog[[#Headers],[Check]]:GameLog[[#This Row],[Check]],"?*")-1)</f>
        <v/>
      </c>
      <c r="O1559" s="6" t="str">
        <f>IFERROR(INDEX(Players[New name],MATCH(GameLog[[#This Row],[Player]],Players[Name],0)),GameLog[[#This Row],[Player]])</f>
        <v>Dakota P</v>
      </c>
    </row>
    <row r="1560" spans="1:15" x14ac:dyDescent="0.45">
      <c r="A1560" s="6" t="s">
        <v>97</v>
      </c>
      <c r="B1560" s="6" t="s">
        <v>53</v>
      </c>
      <c r="C1560" s="6">
        <v>2</v>
      </c>
      <c r="D1560" s="6">
        <v>3</v>
      </c>
      <c r="E1560" s="6">
        <v>1</v>
      </c>
      <c r="F1560" s="10">
        <v>46174</v>
      </c>
      <c r="G1560" s="6" t="str">
        <f>_xlfn.TEXTJOIN("|",TRUE,GameLog[[#This Row],[Pod]],TEXT(INT(GameLog[[#This Row],[Round]]),"yyyymmdd"),GameLog[[#This Row],[Date]])</f>
        <v>3|19000101|46174</v>
      </c>
      <c r="H1560" s="6">
        <f>COUNTIF(GameLog[Pod ID],GameLog[[#This Row],[Pod ID]])</f>
        <v>4</v>
      </c>
      <c r="I1560" s="6">
        <f>YEAR(GameLog[[#This Row],[Date]])</f>
        <v>2026</v>
      </c>
      <c r="J1560" s="6">
        <f>MONTH(GameLog[[#This Row],[Date]])</f>
        <v>6</v>
      </c>
      <c r="K1560" s="6" t="str">
        <f>IF(GameLog[[#This Row],[Date]]=MAX(GameLog[Date]),"Current","Previous")</f>
        <v>Previous</v>
      </c>
      <c r="L1560" s="6"/>
      <c r="M15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0" s="6" t="str">
        <f ca="1">IF(GameLog[[#This Row],[Check]]="","",COUNTIF(GameLog[[#Headers],[Check]]:GameLog[[#This Row],[Check]],"?*")-1)</f>
        <v/>
      </c>
      <c r="O1560" s="6" t="str">
        <f>IFERROR(INDEX(Players[New name],MATCH(GameLog[[#This Row],[Player]],Players[Name],0)),GameLog[[#This Row],[Player]])</f>
        <v>Arman H</v>
      </c>
    </row>
    <row r="1561" spans="1:15" x14ac:dyDescent="0.45">
      <c r="A1561" s="6" t="s">
        <v>64</v>
      </c>
      <c r="B1561" s="6" t="s">
        <v>53</v>
      </c>
      <c r="C1561" s="6">
        <v>3</v>
      </c>
      <c r="D1561" s="6">
        <v>3</v>
      </c>
      <c r="E1561" s="6">
        <v>1</v>
      </c>
      <c r="F1561" s="10">
        <v>46174</v>
      </c>
      <c r="G1561" s="6" t="str">
        <f>_xlfn.TEXTJOIN("|",TRUE,GameLog[[#This Row],[Pod]],TEXT(INT(GameLog[[#This Row],[Round]]),"yyyymmdd"),GameLog[[#This Row],[Date]])</f>
        <v>3|19000101|46174</v>
      </c>
      <c r="H1561" s="6">
        <f>COUNTIF(GameLog[Pod ID],GameLog[[#This Row],[Pod ID]])</f>
        <v>4</v>
      </c>
      <c r="I1561" s="6">
        <f>YEAR(GameLog[[#This Row],[Date]])</f>
        <v>2026</v>
      </c>
      <c r="J1561" s="6">
        <f>MONTH(GameLog[[#This Row],[Date]])</f>
        <v>6</v>
      </c>
      <c r="K1561" s="6" t="str">
        <f>IF(GameLog[[#This Row],[Date]]=MAX(GameLog[Date]),"Current","Previous")</f>
        <v>Previous</v>
      </c>
      <c r="L1561" s="6"/>
      <c r="M15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1" s="6" t="str">
        <f ca="1">IF(GameLog[[#This Row],[Check]]="","",COUNTIF(GameLog[[#Headers],[Check]]:GameLog[[#This Row],[Check]],"?*")-1)</f>
        <v/>
      </c>
      <c r="O1561" s="6" t="str">
        <f>IFERROR(INDEX(Players[New name],MATCH(GameLog[[#This Row],[Player]],Players[Name],0)),GameLog[[#This Row],[Player]])</f>
        <v>Tyler B</v>
      </c>
    </row>
    <row r="1562" spans="1:15" x14ac:dyDescent="0.45">
      <c r="A1562" s="6" t="s">
        <v>62</v>
      </c>
      <c r="B1562" s="6" t="s">
        <v>53</v>
      </c>
      <c r="C1562" s="6">
        <v>4</v>
      </c>
      <c r="D1562" s="6">
        <v>3</v>
      </c>
      <c r="E1562" s="6">
        <v>1</v>
      </c>
      <c r="F1562" s="10">
        <v>46174</v>
      </c>
      <c r="G1562" s="6" t="str">
        <f>_xlfn.TEXTJOIN("|",TRUE,GameLog[[#This Row],[Pod]],TEXT(INT(GameLog[[#This Row],[Round]]),"yyyymmdd"),GameLog[[#This Row],[Date]])</f>
        <v>3|19000101|46174</v>
      </c>
      <c r="H1562" s="6">
        <f>COUNTIF(GameLog[Pod ID],GameLog[[#This Row],[Pod ID]])</f>
        <v>4</v>
      </c>
      <c r="I1562" s="6">
        <f>YEAR(GameLog[[#This Row],[Date]])</f>
        <v>2026</v>
      </c>
      <c r="J1562" s="6">
        <f>MONTH(GameLog[[#This Row],[Date]])</f>
        <v>6</v>
      </c>
      <c r="K1562" s="6" t="str">
        <f>IF(GameLog[[#This Row],[Date]]=MAX(GameLog[Date]),"Current","Previous")</f>
        <v>Previous</v>
      </c>
      <c r="L1562" s="6"/>
      <c r="M15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2" s="6" t="str">
        <f ca="1">IF(GameLog[[#This Row],[Check]]="","",COUNTIF(GameLog[[#Headers],[Check]]:GameLog[[#This Row],[Check]],"?*")-1)</f>
        <v/>
      </c>
      <c r="O1562" s="6" t="str">
        <f>IFERROR(INDEX(Players[New name],MATCH(GameLog[[#This Row],[Player]],Players[Name],0)),GameLog[[#This Row],[Player]])</f>
        <v>Nicholas S</v>
      </c>
    </row>
    <row r="1563" spans="1:15" x14ac:dyDescent="0.45">
      <c r="A1563" s="6" t="s">
        <v>70</v>
      </c>
      <c r="B1563" s="6" t="s">
        <v>53</v>
      </c>
      <c r="C1563" s="6">
        <v>1</v>
      </c>
      <c r="D1563" s="6">
        <v>4</v>
      </c>
      <c r="E1563" s="6">
        <v>1</v>
      </c>
      <c r="F1563" s="10">
        <v>46174</v>
      </c>
      <c r="G1563" s="6" t="str">
        <f>_xlfn.TEXTJOIN("|",TRUE,GameLog[[#This Row],[Pod]],TEXT(INT(GameLog[[#This Row],[Round]]),"yyyymmdd"),GameLog[[#This Row],[Date]])</f>
        <v>4|19000101|46174</v>
      </c>
      <c r="H1563" s="6">
        <f>COUNTIF(GameLog[Pod ID],GameLog[[#This Row],[Pod ID]])</f>
        <v>3</v>
      </c>
      <c r="I1563" s="6">
        <f>YEAR(GameLog[[#This Row],[Date]])</f>
        <v>2026</v>
      </c>
      <c r="J1563" s="6">
        <f>MONTH(GameLog[[#This Row],[Date]])</f>
        <v>6</v>
      </c>
      <c r="K1563" s="6" t="str">
        <f>IF(GameLog[[#This Row],[Date]]=MAX(GameLog[Date]),"Current","Previous")</f>
        <v>Previous</v>
      </c>
      <c r="L1563" s="6"/>
      <c r="M15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3" s="6" t="str">
        <f ca="1">IF(GameLog[[#This Row],[Check]]="","",COUNTIF(GameLog[[#Headers],[Check]]:GameLog[[#This Row],[Check]],"?*")-1)</f>
        <v/>
      </c>
      <c r="O1563" s="6" t="str">
        <f>IFERROR(INDEX(Players[New name],MATCH(GameLog[[#This Row],[Player]],Players[Name],0)),GameLog[[#This Row],[Player]])</f>
        <v>Brad F</v>
      </c>
    </row>
    <row r="1564" spans="1:15" x14ac:dyDescent="0.45">
      <c r="A1564" s="6" t="s">
        <v>95</v>
      </c>
      <c r="B1564" s="6" t="s">
        <v>53</v>
      </c>
      <c r="C1564" s="6">
        <v>2</v>
      </c>
      <c r="D1564" s="6">
        <v>4</v>
      </c>
      <c r="E1564" s="6">
        <v>1</v>
      </c>
      <c r="F1564" s="10">
        <v>46174</v>
      </c>
      <c r="G1564" s="6" t="str">
        <f>_xlfn.TEXTJOIN("|",TRUE,GameLog[[#This Row],[Pod]],TEXT(INT(GameLog[[#This Row],[Round]]),"yyyymmdd"),GameLog[[#This Row],[Date]])</f>
        <v>4|19000101|46174</v>
      </c>
      <c r="H1564" s="6">
        <f>COUNTIF(GameLog[Pod ID],GameLog[[#This Row],[Pod ID]])</f>
        <v>3</v>
      </c>
      <c r="I1564" s="6">
        <f>YEAR(GameLog[[#This Row],[Date]])</f>
        <v>2026</v>
      </c>
      <c r="J1564" s="6">
        <f>MONTH(GameLog[[#This Row],[Date]])</f>
        <v>6</v>
      </c>
      <c r="K1564" s="6" t="str">
        <f>IF(GameLog[[#This Row],[Date]]=MAX(GameLog[Date]),"Current","Previous")</f>
        <v>Previous</v>
      </c>
      <c r="L1564" s="6"/>
      <c r="M15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4" s="6" t="str">
        <f ca="1">IF(GameLog[[#This Row],[Check]]="","",COUNTIF(GameLog[[#Headers],[Check]]:GameLog[[#This Row],[Check]],"?*")-1)</f>
        <v/>
      </c>
      <c r="O1564" s="6" t="str">
        <f>IFERROR(INDEX(Players[New name],MATCH(GameLog[[#This Row],[Player]],Players[Name],0)),GameLog[[#This Row],[Player]])</f>
        <v>Andrew M</v>
      </c>
    </row>
    <row r="1565" spans="1:15" x14ac:dyDescent="0.45">
      <c r="A1565" s="6" t="s">
        <v>78</v>
      </c>
      <c r="B1565" s="6" t="s">
        <v>50</v>
      </c>
      <c r="C1565" s="6">
        <v>3</v>
      </c>
      <c r="D1565" s="6">
        <v>4</v>
      </c>
      <c r="E1565" s="6">
        <v>1</v>
      </c>
      <c r="F1565" s="10">
        <v>46174</v>
      </c>
      <c r="G1565" s="6" t="str">
        <f>_xlfn.TEXTJOIN("|",TRUE,GameLog[[#This Row],[Pod]],TEXT(INT(GameLog[[#This Row],[Round]]),"yyyymmdd"),GameLog[[#This Row],[Date]])</f>
        <v>4|19000101|46174</v>
      </c>
      <c r="H1565" s="6">
        <f>COUNTIF(GameLog[Pod ID],GameLog[[#This Row],[Pod ID]])</f>
        <v>3</v>
      </c>
      <c r="I1565" s="6">
        <f>YEAR(GameLog[[#This Row],[Date]])</f>
        <v>2026</v>
      </c>
      <c r="J1565" s="6">
        <f>MONTH(GameLog[[#This Row],[Date]])</f>
        <v>6</v>
      </c>
      <c r="K1565" s="6" t="str">
        <f>IF(GameLog[[#This Row],[Date]]=MAX(GameLog[Date]),"Current","Previous")</f>
        <v>Previous</v>
      </c>
      <c r="L1565" s="6"/>
      <c r="M15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5" s="6" t="str">
        <f ca="1">IF(GameLog[[#This Row],[Check]]="","",COUNTIF(GameLog[[#Headers],[Check]]:GameLog[[#This Row],[Check]],"?*")-1)</f>
        <v/>
      </c>
      <c r="O1565" s="6" t="str">
        <f>IFERROR(INDEX(Players[New name],MATCH(GameLog[[#This Row],[Player]],Players[Name],0)),GameLog[[#This Row],[Player]])</f>
        <v>Justin M</v>
      </c>
    </row>
    <row r="1566" spans="1:15" x14ac:dyDescent="0.45">
      <c r="A1566" s="6" t="s">
        <v>111</v>
      </c>
      <c r="B1566" s="6" t="s">
        <v>53</v>
      </c>
      <c r="C1566" s="6">
        <v>1</v>
      </c>
      <c r="D1566" s="6">
        <v>5</v>
      </c>
      <c r="E1566" s="6">
        <v>1</v>
      </c>
      <c r="F1566" s="10">
        <v>46174</v>
      </c>
      <c r="G1566" s="6" t="str">
        <f>_xlfn.TEXTJOIN("|",TRUE,GameLog[[#This Row],[Pod]],TEXT(INT(GameLog[[#This Row],[Round]]),"yyyymmdd"),GameLog[[#This Row],[Date]])</f>
        <v>5|19000101|46174</v>
      </c>
      <c r="H1566" s="6">
        <f>COUNTIF(GameLog[Pod ID],GameLog[[#This Row],[Pod ID]])</f>
        <v>3</v>
      </c>
      <c r="I1566" s="6">
        <f>YEAR(GameLog[[#This Row],[Date]])</f>
        <v>2026</v>
      </c>
      <c r="J1566" s="6">
        <f>MONTH(GameLog[[#This Row],[Date]])</f>
        <v>6</v>
      </c>
      <c r="K1566" s="6" t="str">
        <f>IF(GameLog[[#This Row],[Date]]=MAX(GameLog[Date]),"Current","Previous")</f>
        <v>Previous</v>
      </c>
      <c r="L1566" s="6"/>
      <c r="M15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6" s="6" t="str">
        <f ca="1">IF(GameLog[[#This Row],[Check]]="","",COUNTIF(GameLog[[#Headers],[Check]]:GameLog[[#This Row],[Check]],"?*")-1)</f>
        <v/>
      </c>
      <c r="O1566" s="6" t="str">
        <f>IFERROR(INDEX(Players[New name],MATCH(GameLog[[#This Row],[Player]],Players[Name],0)),GameLog[[#This Row],[Player]])</f>
        <v>Lucas A</v>
      </c>
    </row>
    <row r="1567" spans="1:15" x14ac:dyDescent="0.45">
      <c r="A1567" s="6" t="s">
        <v>104</v>
      </c>
      <c r="B1567" s="6" t="s">
        <v>50</v>
      </c>
      <c r="C1567" s="6">
        <v>2</v>
      </c>
      <c r="D1567" s="6">
        <v>5</v>
      </c>
      <c r="E1567" s="6">
        <v>1</v>
      </c>
      <c r="F1567" s="10">
        <v>46174</v>
      </c>
      <c r="G1567" s="6" t="str">
        <f>_xlfn.TEXTJOIN("|",TRUE,GameLog[[#This Row],[Pod]],TEXT(INT(GameLog[[#This Row],[Round]]),"yyyymmdd"),GameLog[[#This Row],[Date]])</f>
        <v>5|19000101|46174</v>
      </c>
      <c r="H1567" s="6">
        <f>COUNTIF(GameLog[Pod ID],GameLog[[#This Row],[Pod ID]])</f>
        <v>3</v>
      </c>
      <c r="I1567" s="6">
        <f>YEAR(GameLog[[#This Row],[Date]])</f>
        <v>2026</v>
      </c>
      <c r="J1567" s="6">
        <f>MONTH(GameLog[[#This Row],[Date]])</f>
        <v>6</v>
      </c>
      <c r="K1567" s="6" t="str">
        <f>IF(GameLog[[#This Row],[Date]]=MAX(GameLog[Date]),"Current","Previous")</f>
        <v>Previous</v>
      </c>
      <c r="L1567" s="6"/>
      <c r="M15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7" s="6" t="str">
        <f ca="1">IF(GameLog[[#This Row],[Check]]="","",COUNTIF(GameLog[[#Headers],[Check]]:GameLog[[#This Row],[Check]],"?*")-1)</f>
        <v/>
      </c>
      <c r="O1567" s="6" t="str">
        <f>IFERROR(INDEX(Players[New name],MATCH(GameLog[[#This Row],[Player]],Players[Name],0)),GameLog[[#This Row],[Player]])</f>
        <v>Eric E</v>
      </c>
    </row>
    <row r="1568" spans="1:15" x14ac:dyDescent="0.45">
      <c r="A1568" s="6" t="s">
        <v>73</v>
      </c>
      <c r="B1568" s="6" t="s">
        <v>53</v>
      </c>
      <c r="C1568" s="6">
        <v>3</v>
      </c>
      <c r="D1568" s="6">
        <v>5</v>
      </c>
      <c r="E1568" s="6">
        <v>1</v>
      </c>
      <c r="F1568" s="10">
        <v>46174</v>
      </c>
      <c r="G1568" s="6" t="str">
        <f>_xlfn.TEXTJOIN("|",TRUE,GameLog[[#This Row],[Pod]],TEXT(INT(GameLog[[#This Row],[Round]]),"yyyymmdd"),GameLog[[#This Row],[Date]])</f>
        <v>5|19000101|46174</v>
      </c>
      <c r="H1568" s="6">
        <f>COUNTIF(GameLog[Pod ID],GameLog[[#This Row],[Pod ID]])</f>
        <v>3</v>
      </c>
      <c r="I1568" s="6">
        <f>YEAR(GameLog[[#This Row],[Date]])</f>
        <v>2026</v>
      </c>
      <c r="J1568" s="6">
        <f>MONTH(GameLog[[#This Row],[Date]])</f>
        <v>6</v>
      </c>
      <c r="K1568" s="6" t="str">
        <f>IF(GameLog[[#This Row],[Date]]=MAX(GameLog[Date]),"Current","Previous")</f>
        <v>Previous</v>
      </c>
      <c r="L1568" s="6"/>
      <c r="M15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8" s="6" t="str">
        <f ca="1">IF(GameLog[[#This Row],[Check]]="","",COUNTIF(GameLog[[#Headers],[Check]]:GameLog[[#This Row],[Check]],"?*")-1)</f>
        <v/>
      </c>
      <c r="O1568" s="6" t="str">
        <f>IFERROR(INDEX(Players[New name],MATCH(GameLog[[#This Row],[Player]],Players[Name],0)),GameLog[[#This Row],[Player]])</f>
        <v>Brandon B</v>
      </c>
    </row>
    <row r="1569" spans="1:15" x14ac:dyDescent="0.45">
      <c r="A1569" s="6" t="s">
        <v>52</v>
      </c>
      <c r="B1569" s="6" t="s">
        <v>50</v>
      </c>
      <c r="C1569" s="6">
        <v>1</v>
      </c>
      <c r="D1569" s="6">
        <v>6</v>
      </c>
      <c r="E1569" s="6">
        <v>1</v>
      </c>
      <c r="F1569" s="10">
        <v>46174</v>
      </c>
      <c r="G1569" s="6" t="str">
        <f>_xlfn.TEXTJOIN("|",TRUE,GameLog[[#This Row],[Pod]],TEXT(INT(GameLog[[#This Row],[Round]]),"yyyymmdd"),GameLog[[#This Row],[Date]])</f>
        <v>6|19000101|46174</v>
      </c>
      <c r="H1569" s="6">
        <f>COUNTIF(GameLog[Pod ID],GameLog[[#This Row],[Pod ID]])</f>
        <v>3</v>
      </c>
      <c r="I1569" s="6">
        <f>YEAR(GameLog[[#This Row],[Date]])</f>
        <v>2026</v>
      </c>
      <c r="J1569" s="6">
        <f>MONTH(GameLog[[#This Row],[Date]])</f>
        <v>6</v>
      </c>
      <c r="K1569" s="6" t="str">
        <f>IF(GameLog[[#This Row],[Date]]=MAX(GameLog[Date]),"Current","Previous")</f>
        <v>Previous</v>
      </c>
      <c r="L1569" s="6"/>
      <c r="M15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69" s="6" t="str">
        <f ca="1">IF(GameLog[[#This Row],[Check]]="","",COUNTIF(GameLog[[#Headers],[Check]]:GameLog[[#This Row],[Check]],"?*")-1)</f>
        <v/>
      </c>
      <c r="O1569" s="6" t="str">
        <f>IFERROR(INDEX(Players[New name],MATCH(GameLog[[#This Row],[Player]],Players[Name],0)),GameLog[[#This Row],[Player]])</f>
        <v>Unknown</v>
      </c>
    </row>
    <row r="1570" spans="1:15" x14ac:dyDescent="0.45">
      <c r="A1570" s="6" t="s">
        <v>77</v>
      </c>
      <c r="B1570" s="6" t="s">
        <v>53</v>
      </c>
      <c r="C1570" s="6">
        <v>2</v>
      </c>
      <c r="D1570" s="6">
        <v>6</v>
      </c>
      <c r="E1570" s="6">
        <v>1</v>
      </c>
      <c r="F1570" s="10">
        <v>46174</v>
      </c>
      <c r="G1570" s="6" t="str">
        <f>_xlfn.TEXTJOIN("|",TRUE,GameLog[[#This Row],[Pod]],TEXT(INT(GameLog[[#This Row],[Round]]),"yyyymmdd"),GameLog[[#This Row],[Date]])</f>
        <v>6|19000101|46174</v>
      </c>
      <c r="H1570" s="6">
        <f>COUNTIF(GameLog[Pod ID],GameLog[[#This Row],[Pod ID]])</f>
        <v>3</v>
      </c>
      <c r="I1570" s="6">
        <f>YEAR(GameLog[[#This Row],[Date]])</f>
        <v>2026</v>
      </c>
      <c r="J1570" s="6">
        <f>MONTH(GameLog[[#This Row],[Date]])</f>
        <v>6</v>
      </c>
      <c r="K1570" s="6" t="str">
        <f>IF(GameLog[[#This Row],[Date]]=MAX(GameLog[Date]),"Current","Previous")</f>
        <v>Previous</v>
      </c>
      <c r="L1570" s="6"/>
      <c r="M15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0" s="6" t="str">
        <f ca="1">IF(GameLog[[#This Row],[Check]]="","",COUNTIF(GameLog[[#Headers],[Check]]:GameLog[[#This Row],[Check]],"?*")-1)</f>
        <v/>
      </c>
      <c r="O1570" s="6" t="str">
        <f>IFERROR(INDEX(Players[New name],MATCH(GameLog[[#This Row],[Player]],Players[Name],0)),GameLog[[#This Row],[Player]])</f>
        <v>Dave M</v>
      </c>
    </row>
    <row r="1571" spans="1:15" x14ac:dyDescent="0.45">
      <c r="A1571" s="6" t="s">
        <v>98</v>
      </c>
      <c r="B1571" s="6" t="s">
        <v>53</v>
      </c>
      <c r="C1571" s="6">
        <v>3</v>
      </c>
      <c r="D1571" s="6">
        <v>6</v>
      </c>
      <c r="E1571" s="6">
        <v>1</v>
      </c>
      <c r="F1571" s="10">
        <v>46174</v>
      </c>
      <c r="G1571" s="6" t="str">
        <f>_xlfn.TEXTJOIN("|",TRUE,GameLog[[#This Row],[Pod]],TEXT(INT(GameLog[[#This Row],[Round]]),"yyyymmdd"),GameLog[[#This Row],[Date]])</f>
        <v>6|19000101|46174</v>
      </c>
      <c r="H1571" s="6">
        <f>COUNTIF(GameLog[Pod ID],GameLog[[#This Row],[Pod ID]])</f>
        <v>3</v>
      </c>
      <c r="I1571" s="6">
        <f>YEAR(GameLog[[#This Row],[Date]])</f>
        <v>2026</v>
      </c>
      <c r="J1571" s="6">
        <f>MONTH(GameLog[[#This Row],[Date]])</f>
        <v>6</v>
      </c>
      <c r="K1571" s="6" t="str">
        <f>IF(GameLog[[#This Row],[Date]]=MAX(GameLog[Date]),"Current","Previous")</f>
        <v>Previous</v>
      </c>
      <c r="L1571" s="6"/>
      <c r="M15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1" s="6" t="str">
        <f ca="1">IF(GameLog[[#This Row],[Check]]="","",COUNTIF(GameLog[[#Headers],[Check]]:GameLog[[#This Row],[Check]],"?*")-1)</f>
        <v/>
      </c>
      <c r="O1571" s="6" t="str">
        <f>IFERROR(INDEX(Players[New name],MATCH(GameLog[[#This Row],[Player]],Players[Name],0)),GameLog[[#This Row],[Player]])</f>
        <v>Charlie B</v>
      </c>
    </row>
    <row r="1572" spans="1:15" x14ac:dyDescent="0.45">
      <c r="A1572" s="6" t="s">
        <v>109</v>
      </c>
      <c r="B1572" s="6" t="s">
        <v>50</v>
      </c>
      <c r="C1572" s="6">
        <v>1</v>
      </c>
      <c r="D1572" s="6">
        <v>1</v>
      </c>
      <c r="E1572" s="6">
        <v>2</v>
      </c>
      <c r="F1572" s="10">
        <v>46174</v>
      </c>
      <c r="G1572" s="6" t="str">
        <f>_xlfn.TEXTJOIN("|",TRUE,GameLog[[#This Row],[Pod]],TEXT(INT(GameLog[[#This Row],[Round]]),"yyyymmdd"),GameLog[[#This Row],[Date]])</f>
        <v>1|19000102|46174</v>
      </c>
      <c r="H1572" s="6">
        <f>COUNTIF(GameLog[Pod ID],GameLog[[#This Row],[Pod ID]])</f>
        <v>3</v>
      </c>
      <c r="I1572" s="6">
        <f>YEAR(GameLog[[#This Row],[Date]])</f>
        <v>2026</v>
      </c>
      <c r="J1572" s="6">
        <f>MONTH(GameLog[[#This Row],[Date]])</f>
        <v>6</v>
      </c>
      <c r="K1572" s="6" t="str">
        <f>IF(GameLog[[#This Row],[Date]]=MAX(GameLog[Date]),"Current","Previous")</f>
        <v>Previous</v>
      </c>
      <c r="L1572" s="6"/>
      <c r="M15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2" s="6" t="str">
        <f ca="1">IF(GameLog[[#This Row],[Check]]="","",COUNTIF(GameLog[[#Headers],[Check]]:GameLog[[#This Row],[Check]],"?*")-1)</f>
        <v/>
      </c>
      <c r="O1572" s="6" t="str">
        <f>IFERROR(INDEX(Players[New name],MATCH(GameLog[[#This Row],[Player]],Players[Name],0)),GameLog[[#This Row],[Player]])</f>
        <v>Taylor C</v>
      </c>
    </row>
    <row r="1573" spans="1:15" x14ac:dyDescent="0.45">
      <c r="A1573" s="6" t="s">
        <v>58</v>
      </c>
      <c r="B1573" s="6" t="s">
        <v>53</v>
      </c>
      <c r="C1573" s="6">
        <v>2</v>
      </c>
      <c r="D1573" s="6">
        <v>1</v>
      </c>
      <c r="E1573" s="6">
        <v>2</v>
      </c>
      <c r="F1573" s="10">
        <v>46174</v>
      </c>
      <c r="G1573" s="6" t="str">
        <f>_xlfn.TEXTJOIN("|",TRUE,GameLog[[#This Row],[Pod]],TEXT(INT(GameLog[[#This Row],[Round]]),"yyyymmdd"),GameLog[[#This Row],[Date]])</f>
        <v>1|19000102|46174</v>
      </c>
      <c r="H1573" s="6">
        <f>COUNTIF(GameLog[Pod ID],GameLog[[#This Row],[Pod ID]])</f>
        <v>3</v>
      </c>
      <c r="I1573" s="6">
        <f>YEAR(GameLog[[#This Row],[Date]])</f>
        <v>2026</v>
      </c>
      <c r="J1573" s="6">
        <f>MONTH(GameLog[[#This Row],[Date]])</f>
        <v>6</v>
      </c>
      <c r="K1573" s="6" t="str">
        <f>IF(GameLog[[#This Row],[Date]]=MAX(GameLog[Date]),"Current","Previous")</f>
        <v>Previous</v>
      </c>
      <c r="L1573" s="6"/>
      <c r="M15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3" s="6" t="str">
        <f ca="1">IF(GameLog[[#This Row],[Check]]="","",COUNTIF(GameLog[[#Headers],[Check]]:GameLog[[#This Row],[Check]],"?*")-1)</f>
        <v/>
      </c>
      <c r="O1573" s="6" t="str">
        <f>IFERROR(INDEX(Players[New name],MATCH(GameLog[[#This Row],[Player]],Players[Name],0)),GameLog[[#This Row],[Player]])</f>
        <v>Dakota P</v>
      </c>
    </row>
    <row r="1574" spans="1:15" x14ac:dyDescent="0.45">
      <c r="A1574" s="6" t="s">
        <v>61</v>
      </c>
      <c r="B1574" s="6" t="s">
        <v>53</v>
      </c>
      <c r="C1574" s="6">
        <v>3</v>
      </c>
      <c r="D1574" s="6">
        <v>1</v>
      </c>
      <c r="E1574" s="6">
        <v>2</v>
      </c>
      <c r="F1574" s="10">
        <v>46174</v>
      </c>
      <c r="G1574" s="6" t="str">
        <f>_xlfn.TEXTJOIN("|",TRUE,GameLog[[#This Row],[Pod]],TEXT(INT(GameLog[[#This Row],[Round]]),"yyyymmdd"),GameLog[[#This Row],[Date]])</f>
        <v>1|19000102|46174</v>
      </c>
      <c r="H1574" s="6">
        <f>COUNTIF(GameLog[Pod ID],GameLog[[#This Row],[Pod ID]])</f>
        <v>3</v>
      </c>
      <c r="I1574" s="6">
        <f>YEAR(GameLog[[#This Row],[Date]])</f>
        <v>2026</v>
      </c>
      <c r="J1574" s="6">
        <f>MONTH(GameLog[[#This Row],[Date]])</f>
        <v>6</v>
      </c>
      <c r="K1574" s="6" t="str">
        <f>IF(GameLog[[#This Row],[Date]]=MAX(GameLog[Date]),"Current","Previous")</f>
        <v>Previous</v>
      </c>
      <c r="L1574" s="6"/>
      <c r="M15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4" s="6" t="str">
        <f ca="1">IF(GameLog[[#This Row],[Check]]="","",COUNTIF(GameLog[[#Headers],[Check]]:GameLog[[#This Row],[Check]],"?*")-1)</f>
        <v/>
      </c>
      <c r="O1574" s="6" t="str">
        <f>IFERROR(INDEX(Players[New name],MATCH(GameLog[[#This Row],[Player]],Players[Name],0)),GameLog[[#This Row],[Player]])</f>
        <v>Trevor</v>
      </c>
    </row>
    <row r="1575" spans="1:15" x14ac:dyDescent="0.45">
      <c r="A1575" s="6" t="s">
        <v>62</v>
      </c>
      <c r="B1575" s="6" t="s">
        <v>90</v>
      </c>
      <c r="C1575" s="6">
        <v>1</v>
      </c>
      <c r="D1575" s="6">
        <v>2</v>
      </c>
      <c r="E1575" s="6">
        <v>2</v>
      </c>
      <c r="F1575" s="10">
        <v>46174</v>
      </c>
      <c r="G1575" s="6" t="str">
        <f>_xlfn.TEXTJOIN("|",TRUE,GameLog[[#This Row],[Pod]],TEXT(INT(GameLog[[#This Row],[Round]]),"yyyymmdd"),GameLog[[#This Row],[Date]])</f>
        <v>2|19000102|46174</v>
      </c>
      <c r="H1575" s="6">
        <f>COUNTIF(GameLog[Pod ID],GameLog[[#This Row],[Pod ID]])</f>
        <v>3</v>
      </c>
      <c r="I1575" s="6">
        <f>YEAR(GameLog[[#This Row],[Date]])</f>
        <v>2026</v>
      </c>
      <c r="J1575" s="6">
        <f>MONTH(GameLog[[#This Row],[Date]])</f>
        <v>6</v>
      </c>
      <c r="K1575" s="6" t="str">
        <f>IF(GameLog[[#This Row],[Date]]=MAX(GameLog[Date]),"Current","Previous")</f>
        <v>Previous</v>
      </c>
      <c r="L1575" s="6"/>
      <c r="M15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5" s="6" t="str">
        <f ca="1">IF(GameLog[[#This Row],[Check]]="","",COUNTIF(GameLog[[#Headers],[Check]]:GameLog[[#This Row],[Check]],"?*")-1)</f>
        <v/>
      </c>
      <c r="O1575" s="6" t="str">
        <f>IFERROR(INDEX(Players[New name],MATCH(GameLog[[#This Row],[Player]],Players[Name],0)),GameLog[[#This Row],[Player]])</f>
        <v>Nicholas S</v>
      </c>
    </row>
    <row r="1576" spans="1:15" x14ac:dyDescent="0.45">
      <c r="A1576" s="6" t="s">
        <v>64</v>
      </c>
      <c r="B1576" s="6" t="s">
        <v>90</v>
      </c>
      <c r="C1576" s="6">
        <v>2</v>
      </c>
      <c r="D1576" s="6">
        <v>2</v>
      </c>
      <c r="E1576" s="6">
        <v>2</v>
      </c>
      <c r="F1576" s="10">
        <v>46174</v>
      </c>
      <c r="G1576" s="6" t="str">
        <f>_xlfn.TEXTJOIN("|",TRUE,GameLog[[#This Row],[Pod]],TEXT(INT(GameLog[[#This Row],[Round]]),"yyyymmdd"),GameLog[[#This Row],[Date]])</f>
        <v>2|19000102|46174</v>
      </c>
      <c r="H1576" s="6">
        <f>COUNTIF(GameLog[Pod ID],GameLog[[#This Row],[Pod ID]])</f>
        <v>3</v>
      </c>
      <c r="I1576" s="6">
        <f>YEAR(GameLog[[#This Row],[Date]])</f>
        <v>2026</v>
      </c>
      <c r="J1576" s="6">
        <f>MONTH(GameLog[[#This Row],[Date]])</f>
        <v>6</v>
      </c>
      <c r="K1576" s="6" t="str">
        <f>IF(GameLog[[#This Row],[Date]]=MAX(GameLog[Date]),"Current","Previous")</f>
        <v>Previous</v>
      </c>
      <c r="L1576" s="6"/>
      <c r="M15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6" s="6" t="str">
        <f ca="1">IF(GameLog[[#This Row],[Check]]="","",COUNTIF(GameLog[[#Headers],[Check]]:GameLog[[#This Row],[Check]],"?*")-1)</f>
        <v/>
      </c>
      <c r="O1576" s="6" t="str">
        <f>IFERROR(INDEX(Players[New name],MATCH(GameLog[[#This Row],[Player]],Players[Name],0)),GameLog[[#This Row],[Player]])</f>
        <v>Tyler B</v>
      </c>
    </row>
    <row r="1577" spans="1:15" x14ac:dyDescent="0.45">
      <c r="A1577" s="6" t="s">
        <v>75</v>
      </c>
      <c r="B1577" s="6" t="s">
        <v>90</v>
      </c>
      <c r="C1577" s="6">
        <v>3</v>
      </c>
      <c r="D1577" s="6">
        <v>2</v>
      </c>
      <c r="E1577" s="6">
        <v>2</v>
      </c>
      <c r="F1577" s="10">
        <v>46174</v>
      </c>
      <c r="G1577" s="6" t="str">
        <f>_xlfn.TEXTJOIN("|",TRUE,GameLog[[#This Row],[Pod]],TEXT(INT(GameLog[[#This Row],[Round]]),"yyyymmdd"),GameLog[[#This Row],[Date]])</f>
        <v>2|19000102|46174</v>
      </c>
      <c r="H1577" s="6">
        <f>COUNTIF(GameLog[Pod ID],GameLog[[#This Row],[Pod ID]])</f>
        <v>3</v>
      </c>
      <c r="I1577" s="6">
        <f>YEAR(GameLog[[#This Row],[Date]])</f>
        <v>2026</v>
      </c>
      <c r="J1577" s="6">
        <f>MONTH(GameLog[[#This Row],[Date]])</f>
        <v>6</v>
      </c>
      <c r="K1577" s="6" t="str">
        <f>IF(GameLog[[#This Row],[Date]]=MAX(GameLog[Date]),"Current","Previous")</f>
        <v>Previous</v>
      </c>
      <c r="L1577" s="6"/>
      <c r="M15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7" s="6" t="str">
        <f ca="1">IF(GameLog[[#This Row],[Check]]="","",COUNTIF(GameLog[[#Headers],[Check]]:GameLog[[#This Row],[Check]],"?*")-1)</f>
        <v/>
      </c>
      <c r="O1577" s="6" t="str">
        <f>IFERROR(INDEX(Players[New name],MATCH(GameLog[[#This Row],[Player]],Players[Name],0)),GameLog[[#This Row],[Player]])</f>
        <v>Eli T</v>
      </c>
    </row>
    <row r="1578" spans="1:15" x14ac:dyDescent="0.45">
      <c r="A1578" s="6" t="s">
        <v>55</v>
      </c>
      <c r="B1578" s="6" t="s">
        <v>53</v>
      </c>
      <c r="C1578" s="6">
        <v>1</v>
      </c>
      <c r="D1578" s="6">
        <v>3</v>
      </c>
      <c r="E1578" s="6">
        <v>2</v>
      </c>
      <c r="F1578" s="10">
        <v>46174</v>
      </c>
      <c r="G1578" s="6" t="str">
        <f>_xlfn.TEXTJOIN("|",TRUE,GameLog[[#This Row],[Pod]],TEXT(INT(GameLog[[#This Row],[Round]]),"yyyymmdd"),GameLog[[#This Row],[Date]])</f>
        <v>3|19000102|46174</v>
      </c>
      <c r="H1578" s="6">
        <f>COUNTIF(GameLog[Pod ID],GameLog[[#This Row],[Pod ID]])</f>
        <v>3</v>
      </c>
      <c r="I1578" s="6">
        <f>YEAR(GameLog[[#This Row],[Date]])</f>
        <v>2026</v>
      </c>
      <c r="J1578" s="6">
        <f>MONTH(GameLog[[#This Row],[Date]])</f>
        <v>6</v>
      </c>
      <c r="K1578" s="6" t="str">
        <f>IF(GameLog[[#This Row],[Date]]=MAX(GameLog[Date]),"Current","Previous")</f>
        <v>Previous</v>
      </c>
      <c r="L1578" s="6"/>
      <c r="M15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8" s="6" t="str">
        <f ca="1">IF(GameLog[[#This Row],[Check]]="","",COUNTIF(GameLog[[#Headers],[Check]]:GameLog[[#This Row],[Check]],"?*")-1)</f>
        <v/>
      </c>
      <c r="O1578" s="6" t="str">
        <f>IFERROR(INDEX(Players[New name],MATCH(GameLog[[#This Row],[Player]],Players[Name],0)),GameLog[[#This Row],[Player]])</f>
        <v>Bryce C</v>
      </c>
    </row>
    <row r="1579" spans="1:15" x14ac:dyDescent="0.45">
      <c r="A1579" s="6" t="s">
        <v>59</v>
      </c>
      <c r="B1579" s="6" t="s">
        <v>50</v>
      </c>
      <c r="C1579" s="6">
        <v>2</v>
      </c>
      <c r="D1579" s="6">
        <v>3</v>
      </c>
      <c r="E1579" s="6">
        <v>2</v>
      </c>
      <c r="F1579" s="10">
        <v>46174</v>
      </c>
      <c r="G1579" s="6" t="str">
        <f>_xlfn.TEXTJOIN("|",TRUE,GameLog[[#This Row],[Pod]],TEXT(INT(GameLog[[#This Row],[Round]]),"yyyymmdd"),GameLog[[#This Row],[Date]])</f>
        <v>3|19000102|46174</v>
      </c>
      <c r="H1579" s="6">
        <f>COUNTIF(GameLog[Pod ID],GameLog[[#This Row],[Pod ID]])</f>
        <v>3</v>
      </c>
      <c r="I1579" s="6">
        <f>YEAR(GameLog[[#This Row],[Date]])</f>
        <v>2026</v>
      </c>
      <c r="J1579" s="6">
        <f>MONTH(GameLog[[#This Row],[Date]])</f>
        <v>6</v>
      </c>
      <c r="K1579" s="6" t="str">
        <f>IF(GameLog[[#This Row],[Date]]=MAX(GameLog[Date]),"Current","Previous")</f>
        <v>Previous</v>
      </c>
      <c r="L1579" s="6"/>
      <c r="M15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79" s="6" t="str">
        <f ca="1">IF(GameLog[[#This Row],[Check]]="","",COUNTIF(GameLog[[#Headers],[Check]]:GameLog[[#This Row],[Check]],"?*")-1)</f>
        <v/>
      </c>
      <c r="O1579" s="6" t="str">
        <f>IFERROR(INDEX(Players[New name],MATCH(GameLog[[#This Row],[Player]],Players[Name],0)),GameLog[[#This Row],[Player]])</f>
        <v>Zack B</v>
      </c>
    </row>
    <row r="1580" spans="1:15" x14ac:dyDescent="0.45">
      <c r="A1580" s="6" t="s">
        <v>97</v>
      </c>
      <c r="B1580" s="6" t="s">
        <v>53</v>
      </c>
      <c r="C1580" s="6">
        <v>3</v>
      </c>
      <c r="D1580" s="6">
        <v>3</v>
      </c>
      <c r="E1580" s="6">
        <v>2</v>
      </c>
      <c r="F1580" s="10">
        <v>46174</v>
      </c>
      <c r="G1580" s="6" t="str">
        <f>_xlfn.TEXTJOIN("|",TRUE,GameLog[[#This Row],[Pod]],TEXT(INT(GameLog[[#This Row],[Round]]),"yyyymmdd"),GameLog[[#This Row],[Date]])</f>
        <v>3|19000102|46174</v>
      </c>
      <c r="H1580" s="6">
        <f>COUNTIF(GameLog[Pod ID],GameLog[[#This Row],[Pod ID]])</f>
        <v>3</v>
      </c>
      <c r="I1580" s="6">
        <f>YEAR(GameLog[[#This Row],[Date]])</f>
        <v>2026</v>
      </c>
      <c r="J1580" s="6">
        <f>MONTH(GameLog[[#This Row],[Date]])</f>
        <v>6</v>
      </c>
      <c r="K1580" s="6" t="str">
        <f>IF(GameLog[[#This Row],[Date]]=MAX(GameLog[Date]),"Current","Previous")</f>
        <v>Previous</v>
      </c>
      <c r="L1580" s="6"/>
      <c r="M15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0" s="6" t="str">
        <f ca="1">IF(GameLog[[#This Row],[Check]]="","",COUNTIF(GameLog[[#Headers],[Check]]:GameLog[[#This Row],[Check]],"?*")-1)</f>
        <v/>
      </c>
      <c r="O1580" s="6" t="str">
        <f>IFERROR(INDEX(Players[New name],MATCH(GameLog[[#This Row],[Player]],Players[Name],0)),GameLog[[#This Row],[Player]])</f>
        <v>Arman H</v>
      </c>
    </row>
    <row r="1581" spans="1:15" x14ac:dyDescent="0.45">
      <c r="A1581" s="6" t="s">
        <v>104</v>
      </c>
      <c r="B1581" s="6" t="s">
        <v>50</v>
      </c>
      <c r="C1581" s="6">
        <v>1</v>
      </c>
      <c r="D1581" s="6">
        <v>4</v>
      </c>
      <c r="E1581" s="6">
        <v>2</v>
      </c>
      <c r="F1581" s="10">
        <v>46174</v>
      </c>
      <c r="G1581" s="6" t="str">
        <f>_xlfn.TEXTJOIN("|",TRUE,GameLog[[#This Row],[Pod]],TEXT(INT(GameLog[[#This Row],[Round]]),"yyyymmdd"),GameLog[[#This Row],[Date]])</f>
        <v>4|19000102|46174</v>
      </c>
      <c r="H1581" s="6">
        <f>COUNTIF(GameLog[Pod ID],GameLog[[#This Row],[Pod ID]])</f>
        <v>4</v>
      </c>
      <c r="I1581" s="6">
        <f>YEAR(GameLog[[#This Row],[Date]])</f>
        <v>2026</v>
      </c>
      <c r="J1581" s="6">
        <f>MONTH(GameLog[[#This Row],[Date]])</f>
        <v>6</v>
      </c>
      <c r="K1581" s="6" t="str">
        <f>IF(GameLog[[#This Row],[Date]]=MAX(GameLog[Date]),"Current","Previous")</f>
        <v>Previous</v>
      </c>
      <c r="L1581" s="6"/>
      <c r="M15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1" s="6" t="str">
        <f ca="1">IF(GameLog[[#This Row],[Check]]="","",COUNTIF(GameLog[[#Headers],[Check]]:GameLog[[#This Row],[Check]],"?*")-1)</f>
        <v/>
      </c>
      <c r="O1581" s="6" t="str">
        <f>IFERROR(INDEX(Players[New name],MATCH(GameLog[[#This Row],[Player]],Players[Name],0)),GameLog[[#This Row],[Player]])</f>
        <v>Eric E</v>
      </c>
    </row>
    <row r="1582" spans="1:15" x14ac:dyDescent="0.45">
      <c r="A1582" s="6" t="s">
        <v>77</v>
      </c>
      <c r="B1582" s="6" t="s">
        <v>53</v>
      </c>
      <c r="C1582" s="6">
        <v>2</v>
      </c>
      <c r="D1582" s="6">
        <v>4</v>
      </c>
      <c r="E1582" s="6">
        <v>2</v>
      </c>
      <c r="F1582" s="10">
        <v>46174</v>
      </c>
      <c r="G1582" s="6" t="str">
        <f>_xlfn.TEXTJOIN("|",TRUE,GameLog[[#This Row],[Pod]],TEXT(INT(GameLog[[#This Row],[Round]]),"yyyymmdd"),GameLog[[#This Row],[Date]])</f>
        <v>4|19000102|46174</v>
      </c>
      <c r="H1582" s="6">
        <f>COUNTIF(GameLog[Pod ID],GameLog[[#This Row],[Pod ID]])</f>
        <v>4</v>
      </c>
      <c r="I1582" s="6">
        <f>YEAR(GameLog[[#This Row],[Date]])</f>
        <v>2026</v>
      </c>
      <c r="J1582" s="6">
        <f>MONTH(GameLog[[#This Row],[Date]])</f>
        <v>6</v>
      </c>
      <c r="K1582" s="6" t="str">
        <f>IF(GameLog[[#This Row],[Date]]=MAX(GameLog[Date]),"Current","Previous")</f>
        <v>Previous</v>
      </c>
      <c r="L1582" s="6"/>
      <c r="M15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2" s="6" t="str">
        <f ca="1">IF(GameLog[[#This Row],[Check]]="","",COUNTIF(GameLog[[#Headers],[Check]]:GameLog[[#This Row],[Check]],"?*")-1)</f>
        <v/>
      </c>
      <c r="O1582" s="6" t="str">
        <f>IFERROR(INDEX(Players[New name],MATCH(GameLog[[#This Row],[Player]],Players[Name],0)),GameLog[[#This Row],[Player]])</f>
        <v>Dave M</v>
      </c>
    </row>
    <row r="1583" spans="1:15" x14ac:dyDescent="0.45">
      <c r="A1583" s="6" t="s">
        <v>96</v>
      </c>
      <c r="B1583" s="6" t="s">
        <v>53</v>
      </c>
      <c r="C1583" s="6">
        <v>3</v>
      </c>
      <c r="D1583" s="6">
        <v>4</v>
      </c>
      <c r="E1583" s="6">
        <v>2</v>
      </c>
      <c r="F1583" s="10">
        <v>46174</v>
      </c>
      <c r="G1583" s="6" t="str">
        <f>_xlfn.TEXTJOIN("|",TRUE,GameLog[[#This Row],[Pod]],TEXT(INT(GameLog[[#This Row],[Round]]),"yyyymmdd"),GameLog[[#This Row],[Date]])</f>
        <v>4|19000102|46174</v>
      </c>
      <c r="H1583" s="6">
        <f>COUNTIF(GameLog[Pod ID],GameLog[[#This Row],[Pod ID]])</f>
        <v>4</v>
      </c>
      <c r="I1583" s="6">
        <f>YEAR(GameLog[[#This Row],[Date]])</f>
        <v>2026</v>
      </c>
      <c r="J1583" s="6">
        <f>MONTH(GameLog[[#This Row],[Date]])</f>
        <v>6</v>
      </c>
      <c r="K1583" s="6" t="str">
        <f>IF(GameLog[[#This Row],[Date]]=MAX(GameLog[Date]),"Current","Previous")</f>
        <v>Previous</v>
      </c>
      <c r="L1583" s="6"/>
      <c r="M15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3" s="6" t="str">
        <f ca="1">IF(GameLog[[#This Row],[Check]]="","",COUNTIF(GameLog[[#Headers],[Check]]:GameLog[[#This Row],[Check]],"?*")-1)</f>
        <v/>
      </c>
      <c r="O1583" s="6" t="str">
        <f>IFERROR(INDEX(Players[New name],MATCH(GameLog[[#This Row],[Player]],Players[Name],0)),GameLog[[#This Row],[Player]])</f>
        <v>Brandon A</v>
      </c>
    </row>
    <row r="1584" spans="1:15" x14ac:dyDescent="0.45">
      <c r="A1584" s="6" t="s">
        <v>95</v>
      </c>
      <c r="B1584" s="6" t="s">
        <v>53</v>
      </c>
      <c r="C1584" s="6">
        <v>4</v>
      </c>
      <c r="D1584" s="6">
        <v>4</v>
      </c>
      <c r="E1584" s="6">
        <v>2</v>
      </c>
      <c r="F1584" s="10">
        <v>46174</v>
      </c>
      <c r="G1584" s="6" t="str">
        <f>_xlfn.TEXTJOIN("|",TRUE,GameLog[[#This Row],[Pod]],TEXT(INT(GameLog[[#This Row],[Round]]),"yyyymmdd"),GameLog[[#This Row],[Date]])</f>
        <v>4|19000102|46174</v>
      </c>
      <c r="H1584" s="6">
        <f>COUNTIF(GameLog[Pod ID],GameLog[[#This Row],[Pod ID]])</f>
        <v>4</v>
      </c>
      <c r="I1584" s="6">
        <f>YEAR(GameLog[[#This Row],[Date]])</f>
        <v>2026</v>
      </c>
      <c r="J1584" s="6">
        <f>MONTH(GameLog[[#This Row],[Date]])</f>
        <v>6</v>
      </c>
      <c r="K1584" s="6" t="str">
        <f>IF(GameLog[[#This Row],[Date]]=MAX(GameLog[Date]),"Current","Previous")</f>
        <v>Previous</v>
      </c>
      <c r="L1584" s="6"/>
      <c r="M15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4" s="6" t="str">
        <f ca="1">IF(GameLog[[#This Row],[Check]]="","",COUNTIF(GameLog[[#Headers],[Check]]:GameLog[[#This Row],[Check]],"?*")-1)</f>
        <v/>
      </c>
      <c r="O1584" s="6" t="str">
        <f>IFERROR(INDEX(Players[New name],MATCH(GameLog[[#This Row],[Player]],Players[Name],0)),GameLog[[#This Row],[Player]])</f>
        <v>Andrew M</v>
      </c>
    </row>
    <row r="1585" spans="1:15" x14ac:dyDescent="0.45">
      <c r="A1585" s="6" t="s">
        <v>68</v>
      </c>
      <c r="B1585" s="6" t="s">
        <v>53</v>
      </c>
      <c r="C1585" s="6">
        <v>1</v>
      </c>
      <c r="D1585" s="6">
        <v>5</v>
      </c>
      <c r="E1585" s="6">
        <v>2</v>
      </c>
      <c r="F1585" s="10">
        <v>46174</v>
      </c>
      <c r="G1585" s="6" t="str">
        <f>_xlfn.TEXTJOIN("|",TRUE,GameLog[[#This Row],[Pod]],TEXT(INT(GameLog[[#This Row],[Round]]),"yyyymmdd"),GameLog[[#This Row],[Date]])</f>
        <v>5|19000102|46174</v>
      </c>
      <c r="H1585" s="6">
        <f>COUNTIF(GameLog[Pod ID],GameLog[[#This Row],[Pod ID]])</f>
        <v>4</v>
      </c>
      <c r="I1585" s="6">
        <f>YEAR(GameLog[[#This Row],[Date]])</f>
        <v>2026</v>
      </c>
      <c r="J1585" s="6">
        <f>MONTH(GameLog[[#This Row],[Date]])</f>
        <v>6</v>
      </c>
      <c r="K1585" s="6" t="str">
        <f>IF(GameLog[[#This Row],[Date]]=MAX(GameLog[Date]),"Current","Previous")</f>
        <v>Previous</v>
      </c>
      <c r="L1585" s="6"/>
      <c r="M15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5" s="6" t="str">
        <f ca="1">IF(GameLog[[#This Row],[Check]]="","",COUNTIF(GameLog[[#Headers],[Check]]:GameLog[[#This Row],[Check]],"?*")-1)</f>
        <v/>
      </c>
      <c r="O1585" s="6" t="str">
        <f>IFERROR(INDEX(Players[New name],MATCH(GameLog[[#This Row],[Player]],Players[Name],0)),GameLog[[#This Row],[Player]])</f>
        <v>Edwin M</v>
      </c>
    </row>
    <row r="1586" spans="1:15" x14ac:dyDescent="0.45">
      <c r="A1586" s="6" t="s">
        <v>111</v>
      </c>
      <c r="B1586" s="6" t="s">
        <v>53</v>
      </c>
      <c r="C1586" s="6">
        <v>2</v>
      </c>
      <c r="D1586" s="6">
        <v>5</v>
      </c>
      <c r="E1586" s="6">
        <v>2</v>
      </c>
      <c r="F1586" s="10">
        <v>46174</v>
      </c>
      <c r="G1586" s="6" t="str">
        <f>_xlfn.TEXTJOIN("|",TRUE,GameLog[[#This Row],[Pod]],TEXT(INT(GameLog[[#This Row],[Round]]),"yyyymmdd"),GameLog[[#This Row],[Date]])</f>
        <v>5|19000102|46174</v>
      </c>
      <c r="H1586" s="6">
        <f>COUNTIF(GameLog[Pod ID],GameLog[[#This Row],[Pod ID]])</f>
        <v>4</v>
      </c>
      <c r="I1586" s="6">
        <f>YEAR(GameLog[[#This Row],[Date]])</f>
        <v>2026</v>
      </c>
      <c r="J1586" s="6">
        <f>MONTH(GameLog[[#This Row],[Date]])</f>
        <v>6</v>
      </c>
      <c r="K1586" s="6" t="str">
        <f>IF(GameLog[[#This Row],[Date]]=MAX(GameLog[Date]),"Current","Previous")</f>
        <v>Previous</v>
      </c>
      <c r="L1586" s="6"/>
      <c r="M15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6" s="6" t="str">
        <f ca="1">IF(GameLog[[#This Row],[Check]]="","",COUNTIF(GameLog[[#Headers],[Check]]:GameLog[[#This Row],[Check]],"?*")-1)</f>
        <v/>
      </c>
      <c r="O1586" s="6" t="str">
        <f>IFERROR(INDEX(Players[New name],MATCH(GameLog[[#This Row],[Player]],Players[Name],0)),GameLog[[#This Row],[Player]])</f>
        <v>Lucas A</v>
      </c>
    </row>
    <row r="1587" spans="1:15" x14ac:dyDescent="0.45">
      <c r="A1587" s="6" t="s">
        <v>52</v>
      </c>
      <c r="B1587" s="6" t="s">
        <v>53</v>
      </c>
      <c r="C1587" s="6">
        <v>3</v>
      </c>
      <c r="D1587" s="6">
        <v>5</v>
      </c>
      <c r="E1587" s="6">
        <v>2</v>
      </c>
      <c r="F1587" s="10">
        <v>46174</v>
      </c>
      <c r="G1587" s="6" t="str">
        <f>_xlfn.TEXTJOIN("|",TRUE,GameLog[[#This Row],[Pod]],TEXT(INT(GameLog[[#This Row],[Round]]),"yyyymmdd"),GameLog[[#This Row],[Date]])</f>
        <v>5|19000102|46174</v>
      </c>
      <c r="H1587" s="6">
        <f>COUNTIF(GameLog[Pod ID],GameLog[[#This Row],[Pod ID]])</f>
        <v>4</v>
      </c>
      <c r="I1587" s="6">
        <f>YEAR(GameLog[[#This Row],[Date]])</f>
        <v>2026</v>
      </c>
      <c r="J1587" s="6">
        <f>MONTH(GameLog[[#This Row],[Date]])</f>
        <v>6</v>
      </c>
      <c r="K1587" s="6" t="str">
        <f>IF(GameLog[[#This Row],[Date]]=MAX(GameLog[Date]),"Current","Previous")</f>
        <v>Previous</v>
      </c>
      <c r="L1587" s="6"/>
      <c r="M15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7" s="6" t="str">
        <f ca="1">IF(GameLog[[#This Row],[Check]]="","",COUNTIF(GameLog[[#Headers],[Check]]:GameLog[[#This Row],[Check]],"?*")-1)</f>
        <v/>
      </c>
      <c r="O1587" s="6" t="str">
        <f>IFERROR(INDEX(Players[New name],MATCH(GameLog[[#This Row],[Player]],Players[Name],0)),GameLog[[#This Row],[Player]])</f>
        <v>Unknown</v>
      </c>
    </row>
    <row r="1588" spans="1:15" x14ac:dyDescent="0.45">
      <c r="A1588" s="6" t="s">
        <v>70</v>
      </c>
      <c r="B1588" s="6" t="s">
        <v>50</v>
      </c>
      <c r="C1588" s="6">
        <v>4</v>
      </c>
      <c r="D1588" s="6">
        <v>5</v>
      </c>
      <c r="E1588" s="6">
        <v>2</v>
      </c>
      <c r="F1588" s="10">
        <v>46174</v>
      </c>
      <c r="G1588" s="6" t="str">
        <f>_xlfn.TEXTJOIN("|",TRUE,GameLog[[#This Row],[Pod]],TEXT(INT(GameLog[[#This Row],[Round]]),"yyyymmdd"),GameLog[[#This Row],[Date]])</f>
        <v>5|19000102|46174</v>
      </c>
      <c r="H1588" s="6">
        <f>COUNTIF(GameLog[Pod ID],GameLog[[#This Row],[Pod ID]])</f>
        <v>4</v>
      </c>
      <c r="I1588" s="6">
        <f>YEAR(GameLog[[#This Row],[Date]])</f>
        <v>2026</v>
      </c>
      <c r="J1588" s="6">
        <f>MONTH(GameLog[[#This Row],[Date]])</f>
        <v>6</v>
      </c>
      <c r="K1588" s="6" t="str">
        <f>IF(GameLog[[#This Row],[Date]]=MAX(GameLog[Date]),"Current","Previous")</f>
        <v>Previous</v>
      </c>
      <c r="L1588" s="6"/>
      <c r="M15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8" s="6" t="str">
        <f ca="1">IF(GameLog[[#This Row],[Check]]="","",COUNTIF(GameLog[[#Headers],[Check]]:GameLog[[#This Row],[Check]],"?*")-1)</f>
        <v/>
      </c>
      <c r="O1588" s="6" t="str">
        <f>IFERROR(INDEX(Players[New name],MATCH(GameLog[[#This Row],[Player]],Players[Name],0)),GameLog[[#This Row],[Player]])</f>
        <v>Brad F</v>
      </c>
    </row>
    <row r="1589" spans="1:15" x14ac:dyDescent="0.45">
      <c r="A1589" s="6" t="s">
        <v>73</v>
      </c>
      <c r="B1589" s="6" t="s">
        <v>90</v>
      </c>
      <c r="C1589" s="6">
        <v>1</v>
      </c>
      <c r="D1589" s="6">
        <v>6</v>
      </c>
      <c r="E1589" s="6">
        <v>2</v>
      </c>
      <c r="F1589" s="10">
        <v>46174</v>
      </c>
      <c r="G1589" s="6" t="str">
        <f>_xlfn.TEXTJOIN("|",TRUE,GameLog[[#This Row],[Pod]],TEXT(INT(GameLog[[#This Row],[Round]]),"yyyymmdd"),GameLog[[#This Row],[Date]])</f>
        <v>6|19000102|46174</v>
      </c>
      <c r="H1589" s="6">
        <f>COUNTIF(GameLog[Pod ID],GameLog[[#This Row],[Pod ID]])</f>
        <v>4</v>
      </c>
      <c r="I1589" s="6">
        <f>YEAR(GameLog[[#This Row],[Date]])</f>
        <v>2026</v>
      </c>
      <c r="J1589" s="6">
        <f>MONTH(GameLog[[#This Row],[Date]])</f>
        <v>6</v>
      </c>
      <c r="K1589" s="6" t="str">
        <f>IF(GameLog[[#This Row],[Date]]=MAX(GameLog[Date]),"Current","Previous")</f>
        <v>Previous</v>
      </c>
      <c r="L1589" s="6"/>
      <c r="M15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89" s="6" t="str">
        <f ca="1">IF(GameLog[[#This Row],[Check]]="","",COUNTIF(GameLog[[#Headers],[Check]]:GameLog[[#This Row],[Check]],"?*")-1)</f>
        <v/>
      </c>
      <c r="O1589" s="6" t="str">
        <f>IFERROR(INDEX(Players[New name],MATCH(GameLog[[#This Row],[Player]],Players[Name],0)),GameLog[[#This Row],[Player]])</f>
        <v>Brandon B</v>
      </c>
    </row>
    <row r="1590" spans="1:15" x14ac:dyDescent="0.45">
      <c r="A1590" s="6" t="s">
        <v>78</v>
      </c>
      <c r="B1590" s="6" t="s">
        <v>90</v>
      </c>
      <c r="C1590" s="6">
        <v>2</v>
      </c>
      <c r="D1590" s="6">
        <v>6</v>
      </c>
      <c r="E1590" s="6">
        <v>2</v>
      </c>
      <c r="F1590" s="10">
        <v>46174</v>
      </c>
      <c r="G1590" s="6" t="str">
        <f>_xlfn.TEXTJOIN("|",TRUE,GameLog[[#This Row],[Pod]],TEXT(INT(GameLog[[#This Row],[Round]]),"yyyymmdd"),GameLog[[#This Row],[Date]])</f>
        <v>6|19000102|46174</v>
      </c>
      <c r="H1590" s="6">
        <f>COUNTIF(GameLog[Pod ID],GameLog[[#This Row],[Pod ID]])</f>
        <v>4</v>
      </c>
      <c r="I1590" s="6">
        <f>YEAR(GameLog[[#This Row],[Date]])</f>
        <v>2026</v>
      </c>
      <c r="J1590" s="6">
        <f>MONTH(GameLog[[#This Row],[Date]])</f>
        <v>6</v>
      </c>
      <c r="K1590" s="6" t="str">
        <f>IF(GameLog[[#This Row],[Date]]=MAX(GameLog[Date]),"Current","Previous")</f>
        <v>Previous</v>
      </c>
      <c r="L1590" s="6"/>
      <c r="M15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0" s="6" t="str">
        <f ca="1">IF(GameLog[[#This Row],[Check]]="","",COUNTIF(GameLog[[#Headers],[Check]]:GameLog[[#This Row],[Check]],"?*")-1)</f>
        <v/>
      </c>
      <c r="O1590" s="6" t="str">
        <f>IFERROR(INDEX(Players[New name],MATCH(GameLog[[#This Row],[Player]],Players[Name],0)),GameLog[[#This Row],[Player]])</f>
        <v>Justin M</v>
      </c>
    </row>
    <row r="1591" spans="1:15" x14ac:dyDescent="0.45">
      <c r="A1591" s="6" t="s">
        <v>98</v>
      </c>
      <c r="B1591" s="6" t="s">
        <v>90</v>
      </c>
      <c r="C1591" s="6">
        <v>3</v>
      </c>
      <c r="D1591" s="6">
        <v>6</v>
      </c>
      <c r="E1591" s="6">
        <v>2</v>
      </c>
      <c r="F1591" s="10">
        <v>46174</v>
      </c>
      <c r="G1591" s="6" t="str">
        <f>_xlfn.TEXTJOIN("|",TRUE,GameLog[[#This Row],[Pod]],TEXT(INT(GameLog[[#This Row],[Round]]),"yyyymmdd"),GameLog[[#This Row],[Date]])</f>
        <v>6|19000102|46174</v>
      </c>
      <c r="H1591" s="6">
        <f>COUNTIF(GameLog[Pod ID],GameLog[[#This Row],[Pod ID]])</f>
        <v>4</v>
      </c>
      <c r="I1591" s="6">
        <f>YEAR(GameLog[[#This Row],[Date]])</f>
        <v>2026</v>
      </c>
      <c r="J1591" s="6">
        <f>MONTH(GameLog[[#This Row],[Date]])</f>
        <v>6</v>
      </c>
      <c r="K1591" s="6" t="str">
        <f>IF(GameLog[[#This Row],[Date]]=MAX(GameLog[Date]),"Current","Previous")</f>
        <v>Previous</v>
      </c>
      <c r="L1591" s="6"/>
      <c r="M15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1" s="6" t="str">
        <f ca="1">IF(GameLog[[#This Row],[Check]]="","",COUNTIF(GameLog[[#Headers],[Check]]:GameLog[[#This Row],[Check]],"?*")-1)</f>
        <v/>
      </c>
      <c r="O1591" s="6" t="str">
        <f>IFERROR(INDEX(Players[New name],MATCH(GameLog[[#This Row],[Player]],Players[Name],0)),GameLog[[#This Row],[Player]])</f>
        <v>Charlie B</v>
      </c>
    </row>
    <row r="1592" spans="1:15" x14ac:dyDescent="0.45">
      <c r="A1592" s="6" t="s">
        <v>57</v>
      </c>
      <c r="B1592" s="6" t="s">
        <v>90</v>
      </c>
      <c r="C1592" s="6">
        <v>4</v>
      </c>
      <c r="D1592" s="6">
        <v>6</v>
      </c>
      <c r="E1592" s="6">
        <v>2</v>
      </c>
      <c r="F1592" s="10">
        <v>46174</v>
      </c>
      <c r="G1592" s="6" t="str">
        <f>_xlfn.TEXTJOIN("|",TRUE,GameLog[[#This Row],[Pod]],TEXT(INT(GameLog[[#This Row],[Round]]),"yyyymmdd"),GameLog[[#This Row],[Date]])</f>
        <v>6|19000102|46174</v>
      </c>
      <c r="H1592" s="6">
        <f>COUNTIF(GameLog[Pod ID],GameLog[[#This Row],[Pod ID]])</f>
        <v>4</v>
      </c>
      <c r="I1592" s="6">
        <f>YEAR(GameLog[[#This Row],[Date]])</f>
        <v>2026</v>
      </c>
      <c r="J1592" s="6">
        <f>MONTH(GameLog[[#This Row],[Date]])</f>
        <v>6</v>
      </c>
      <c r="K1592" s="6" t="str">
        <f>IF(GameLog[[#This Row],[Date]]=MAX(GameLog[Date]),"Current","Previous")</f>
        <v>Previous</v>
      </c>
      <c r="L1592" s="6"/>
      <c r="M15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2" s="6" t="str">
        <f ca="1">IF(GameLog[[#This Row],[Check]]="","",COUNTIF(GameLog[[#Headers],[Check]]:GameLog[[#This Row],[Check]],"?*")-1)</f>
        <v/>
      </c>
      <c r="O1592" s="6" t="str">
        <f>IFERROR(INDEX(Players[New name],MATCH(GameLog[[#This Row],[Player]],Players[Name],0)),GameLog[[#This Row],[Player]])</f>
        <v>AJ W</v>
      </c>
    </row>
    <row r="1593" spans="1:15" x14ac:dyDescent="0.45">
      <c r="A1593" s="6" t="s">
        <v>73</v>
      </c>
      <c r="B1593" s="6" t="s">
        <v>50</v>
      </c>
      <c r="C1593" s="6">
        <v>1</v>
      </c>
      <c r="D1593" s="6">
        <v>1</v>
      </c>
      <c r="E1593" s="6">
        <v>1</v>
      </c>
      <c r="F1593" s="10">
        <v>46181</v>
      </c>
      <c r="G1593" s="6" t="str">
        <f>_xlfn.TEXTJOIN("|",TRUE,GameLog[[#This Row],[Pod]],TEXT(INT(GameLog[[#This Row],[Round]]),"yyyymmdd"),GameLog[[#This Row],[Date]])</f>
        <v>1|19000101|46181</v>
      </c>
      <c r="H1593" s="6">
        <f>COUNTIF(GameLog[Pod ID],GameLog[[#This Row],[Pod ID]])</f>
        <v>4</v>
      </c>
      <c r="I1593" s="6">
        <f>YEAR(GameLog[[#This Row],[Date]])</f>
        <v>2026</v>
      </c>
      <c r="J1593" s="6">
        <f>MONTH(GameLog[[#This Row],[Date]])</f>
        <v>6</v>
      </c>
      <c r="K1593" s="6" t="str">
        <f>IF(GameLog[[#This Row],[Date]]=MAX(GameLog[Date]),"Current","Previous")</f>
        <v>Previous</v>
      </c>
      <c r="L1593" s="6"/>
      <c r="M15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3" s="6" t="str">
        <f ca="1">IF(GameLog[[#This Row],[Check]]="","",COUNTIF(GameLog[[#Headers],[Check]]:GameLog[[#This Row],[Check]],"?*")-1)</f>
        <v/>
      </c>
      <c r="O1593" s="6" t="str">
        <f>IFERROR(INDEX(Players[New name],MATCH(GameLog[[#This Row],[Player]],Players[Name],0)),GameLog[[#This Row],[Player]])</f>
        <v>Brandon B</v>
      </c>
    </row>
    <row r="1594" spans="1:15" x14ac:dyDescent="0.45">
      <c r="A1594" s="6" t="s">
        <v>74</v>
      </c>
      <c r="B1594" s="6" t="s">
        <v>53</v>
      </c>
      <c r="C1594" s="6">
        <v>2</v>
      </c>
      <c r="D1594" s="6">
        <v>1</v>
      </c>
      <c r="E1594" s="6">
        <v>1</v>
      </c>
      <c r="F1594" s="10">
        <v>46181</v>
      </c>
      <c r="G1594" s="6" t="str">
        <f>_xlfn.TEXTJOIN("|",TRUE,GameLog[[#This Row],[Pod]],TEXT(INT(GameLog[[#This Row],[Round]]),"yyyymmdd"),GameLog[[#This Row],[Date]])</f>
        <v>1|19000101|46181</v>
      </c>
      <c r="H1594" s="6">
        <f>COUNTIF(GameLog[Pod ID],GameLog[[#This Row],[Pod ID]])</f>
        <v>4</v>
      </c>
      <c r="I1594" s="6">
        <f>YEAR(GameLog[[#This Row],[Date]])</f>
        <v>2026</v>
      </c>
      <c r="J1594" s="6">
        <f>MONTH(GameLog[[#This Row],[Date]])</f>
        <v>6</v>
      </c>
      <c r="K1594" s="6" t="str">
        <f>IF(GameLog[[#This Row],[Date]]=MAX(GameLog[Date]),"Current","Previous")</f>
        <v>Previous</v>
      </c>
      <c r="L1594" s="6"/>
      <c r="M15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4" s="6" t="str">
        <f ca="1">IF(GameLog[[#This Row],[Check]]="","",COUNTIF(GameLog[[#Headers],[Check]]:GameLog[[#This Row],[Check]],"?*")-1)</f>
        <v/>
      </c>
      <c r="O1594" s="6" t="str">
        <f>IFERROR(INDEX(Players[New name],MATCH(GameLog[[#This Row],[Player]],Players[Name],0)),GameLog[[#This Row],[Player]])</f>
        <v>Jarrod O</v>
      </c>
    </row>
    <row r="1595" spans="1:15" x14ac:dyDescent="0.45">
      <c r="A1595" s="6" t="s">
        <v>59</v>
      </c>
      <c r="B1595" s="6" t="s">
        <v>53</v>
      </c>
      <c r="C1595" s="6">
        <v>3</v>
      </c>
      <c r="D1595" s="6">
        <v>1</v>
      </c>
      <c r="E1595" s="6">
        <v>1</v>
      </c>
      <c r="F1595" s="10">
        <v>46181</v>
      </c>
      <c r="G1595" s="6" t="str">
        <f>_xlfn.TEXTJOIN("|",TRUE,GameLog[[#This Row],[Pod]],TEXT(INT(GameLog[[#This Row],[Round]]),"yyyymmdd"),GameLog[[#This Row],[Date]])</f>
        <v>1|19000101|46181</v>
      </c>
      <c r="H1595" s="6">
        <f>COUNTIF(GameLog[Pod ID],GameLog[[#This Row],[Pod ID]])</f>
        <v>4</v>
      </c>
      <c r="I1595" s="6">
        <f>YEAR(GameLog[[#This Row],[Date]])</f>
        <v>2026</v>
      </c>
      <c r="J1595" s="6">
        <f>MONTH(GameLog[[#This Row],[Date]])</f>
        <v>6</v>
      </c>
      <c r="K1595" s="6" t="str">
        <f>IF(GameLog[[#This Row],[Date]]=MAX(GameLog[Date]),"Current","Previous")</f>
        <v>Previous</v>
      </c>
      <c r="L1595" s="6"/>
      <c r="M15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5" s="6" t="str">
        <f ca="1">IF(GameLog[[#This Row],[Check]]="","",COUNTIF(GameLog[[#Headers],[Check]]:GameLog[[#This Row],[Check]],"?*")-1)</f>
        <v/>
      </c>
      <c r="O1595" s="6" t="str">
        <f>IFERROR(INDEX(Players[New name],MATCH(GameLog[[#This Row],[Player]],Players[Name],0)),GameLog[[#This Row],[Player]])</f>
        <v>Zack B</v>
      </c>
    </row>
    <row r="1596" spans="1:15" x14ac:dyDescent="0.45">
      <c r="A1596" s="6" t="s">
        <v>98</v>
      </c>
      <c r="B1596" s="6" t="s">
        <v>53</v>
      </c>
      <c r="C1596" s="6">
        <v>4</v>
      </c>
      <c r="D1596" s="6">
        <v>1</v>
      </c>
      <c r="E1596" s="6">
        <v>1</v>
      </c>
      <c r="F1596" s="10">
        <v>46181</v>
      </c>
      <c r="G1596" s="6" t="str">
        <f>_xlfn.TEXTJOIN("|",TRUE,GameLog[[#This Row],[Pod]],TEXT(INT(GameLog[[#This Row],[Round]]),"yyyymmdd"),GameLog[[#This Row],[Date]])</f>
        <v>1|19000101|46181</v>
      </c>
      <c r="H1596" s="6">
        <f>COUNTIF(GameLog[Pod ID],GameLog[[#This Row],[Pod ID]])</f>
        <v>4</v>
      </c>
      <c r="I1596" s="6">
        <f>YEAR(GameLog[[#This Row],[Date]])</f>
        <v>2026</v>
      </c>
      <c r="J1596" s="6">
        <f>MONTH(GameLog[[#This Row],[Date]])</f>
        <v>6</v>
      </c>
      <c r="K1596" s="6" t="str">
        <f>IF(GameLog[[#This Row],[Date]]=MAX(GameLog[Date]),"Current","Previous")</f>
        <v>Previous</v>
      </c>
      <c r="L1596" s="6"/>
      <c r="M15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6" s="6" t="str">
        <f ca="1">IF(GameLog[[#This Row],[Check]]="","",COUNTIF(GameLog[[#Headers],[Check]]:GameLog[[#This Row],[Check]],"?*")-1)</f>
        <v/>
      </c>
      <c r="O1596" s="6" t="str">
        <f>IFERROR(INDEX(Players[New name],MATCH(GameLog[[#This Row],[Player]],Players[Name],0)),GameLog[[#This Row],[Player]])</f>
        <v>Charlie B</v>
      </c>
    </row>
    <row r="1597" spans="1:15" x14ac:dyDescent="0.45">
      <c r="A1597" s="6" t="s">
        <v>61</v>
      </c>
      <c r="B1597" s="6" t="s">
        <v>53</v>
      </c>
      <c r="C1597" s="6">
        <v>1</v>
      </c>
      <c r="D1597" s="6">
        <v>2</v>
      </c>
      <c r="E1597" s="6">
        <v>1</v>
      </c>
      <c r="F1597" s="10">
        <v>46181</v>
      </c>
      <c r="G1597" s="6" t="str">
        <f>_xlfn.TEXTJOIN("|",TRUE,GameLog[[#This Row],[Pod]],TEXT(INT(GameLog[[#This Row],[Round]]),"yyyymmdd"),GameLog[[#This Row],[Date]])</f>
        <v>2|19000101|46181</v>
      </c>
      <c r="H1597" s="6">
        <f>COUNTIF(GameLog[Pod ID],GameLog[[#This Row],[Pod ID]])</f>
        <v>4</v>
      </c>
      <c r="I1597" s="6">
        <f>YEAR(GameLog[[#This Row],[Date]])</f>
        <v>2026</v>
      </c>
      <c r="J1597" s="6">
        <f>MONTH(GameLog[[#This Row],[Date]])</f>
        <v>6</v>
      </c>
      <c r="K1597" s="6" t="str">
        <f>IF(GameLog[[#This Row],[Date]]=MAX(GameLog[Date]),"Current","Previous")</f>
        <v>Previous</v>
      </c>
      <c r="L1597" s="6"/>
      <c r="M15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7" s="6" t="str">
        <f ca="1">IF(GameLog[[#This Row],[Check]]="","",COUNTIF(GameLog[[#Headers],[Check]]:GameLog[[#This Row],[Check]],"?*")-1)</f>
        <v/>
      </c>
      <c r="O1597" s="6" t="str">
        <f>IFERROR(INDEX(Players[New name],MATCH(GameLog[[#This Row],[Player]],Players[Name],0)),GameLog[[#This Row],[Player]])</f>
        <v>Trevor</v>
      </c>
    </row>
    <row r="1598" spans="1:15" x14ac:dyDescent="0.45">
      <c r="A1598" s="6" t="s">
        <v>57</v>
      </c>
      <c r="B1598" s="6" t="s">
        <v>50</v>
      </c>
      <c r="C1598" s="6">
        <v>2</v>
      </c>
      <c r="D1598" s="6">
        <v>2</v>
      </c>
      <c r="E1598" s="6">
        <v>1</v>
      </c>
      <c r="F1598" s="10">
        <v>46181</v>
      </c>
      <c r="G1598" s="6" t="str">
        <f>_xlfn.TEXTJOIN("|",TRUE,GameLog[[#This Row],[Pod]],TEXT(INT(GameLog[[#This Row],[Round]]),"yyyymmdd"),GameLog[[#This Row],[Date]])</f>
        <v>2|19000101|46181</v>
      </c>
      <c r="H1598" s="6">
        <f>COUNTIF(GameLog[Pod ID],GameLog[[#This Row],[Pod ID]])</f>
        <v>4</v>
      </c>
      <c r="I1598" s="6">
        <f>YEAR(GameLog[[#This Row],[Date]])</f>
        <v>2026</v>
      </c>
      <c r="J1598" s="6">
        <f>MONTH(GameLog[[#This Row],[Date]])</f>
        <v>6</v>
      </c>
      <c r="K1598" s="6" t="str">
        <f>IF(GameLog[[#This Row],[Date]]=MAX(GameLog[Date]),"Current","Previous")</f>
        <v>Previous</v>
      </c>
      <c r="L1598" s="6"/>
      <c r="M15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8" s="6" t="str">
        <f ca="1">IF(GameLog[[#This Row],[Check]]="","",COUNTIF(GameLog[[#Headers],[Check]]:GameLog[[#This Row],[Check]],"?*")-1)</f>
        <v/>
      </c>
      <c r="O1598" s="6" t="str">
        <f>IFERROR(INDEX(Players[New name],MATCH(GameLog[[#This Row],[Player]],Players[Name],0)),GameLog[[#This Row],[Player]])</f>
        <v>AJ W</v>
      </c>
    </row>
    <row r="1599" spans="1:15" x14ac:dyDescent="0.45">
      <c r="A1599" s="6" t="s">
        <v>55</v>
      </c>
      <c r="B1599" s="6" t="s">
        <v>53</v>
      </c>
      <c r="C1599" s="6">
        <v>3</v>
      </c>
      <c r="D1599" s="6">
        <v>2</v>
      </c>
      <c r="E1599" s="6">
        <v>1</v>
      </c>
      <c r="F1599" s="10">
        <v>46181</v>
      </c>
      <c r="G1599" s="6" t="str">
        <f>_xlfn.TEXTJOIN("|",TRUE,GameLog[[#This Row],[Pod]],TEXT(INT(GameLog[[#This Row],[Round]]),"yyyymmdd"),GameLog[[#This Row],[Date]])</f>
        <v>2|19000101|46181</v>
      </c>
      <c r="H1599" s="6">
        <f>COUNTIF(GameLog[Pod ID],GameLog[[#This Row],[Pod ID]])</f>
        <v>4</v>
      </c>
      <c r="I1599" s="6">
        <f>YEAR(GameLog[[#This Row],[Date]])</f>
        <v>2026</v>
      </c>
      <c r="J1599" s="6">
        <f>MONTH(GameLog[[#This Row],[Date]])</f>
        <v>6</v>
      </c>
      <c r="K1599" s="6" t="str">
        <f>IF(GameLog[[#This Row],[Date]]=MAX(GameLog[Date]),"Current","Previous")</f>
        <v>Previous</v>
      </c>
      <c r="L1599" s="6"/>
      <c r="M15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599" s="6" t="str">
        <f ca="1">IF(GameLog[[#This Row],[Check]]="","",COUNTIF(GameLog[[#Headers],[Check]]:GameLog[[#This Row],[Check]],"?*")-1)</f>
        <v/>
      </c>
      <c r="O1599" s="6" t="str">
        <f>IFERROR(INDEX(Players[New name],MATCH(GameLog[[#This Row],[Player]],Players[Name],0)),GameLog[[#This Row],[Player]])</f>
        <v>Bryce C</v>
      </c>
    </row>
    <row r="1600" spans="1:15" x14ac:dyDescent="0.45">
      <c r="A1600" s="6" t="s">
        <v>110</v>
      </c>
      <c r="B1600" s="6" t="s">
        <v>53</v>
      </c>
      <c r="C1600" s="6">
        <v>4</v>
      </c>
      <c r="D1600" s="6">
        <v>2</v>
      </c>
      <c r="E1600" s="6">
        <v>1</v>
      </c>
      <c r="F1600" s="10">
        <v>46181</v>
      </c>
      <c r="G1600" s="6" t="str">
        <f>_xlfn.TEXTJOIN("|",TRUE,GameLog[[#This Row],[Pod]],TEXT(INT(GameLog[[#This Row],[Round]]),"yyyymmdd"),GameLog[[#This Row],[Date]])</f>
        <v>2|19000101|46181</v>
      </c>
      <c r="H1600" s="6">
        <f>COUNTIF(GameLog[Pod ID],GameLog[[#This Row],[Pod ID]])</f>
        <v>4</v>
      </c>
      <c r="I1600" s="6">
        <f>YEAR(GameLog[[#This Row],[Date]])</f>
        <v>2026</v>
      </c>
      <c r="J1600" s="6">
        <f>MONTH(GameLog[[#This Row],[Date]])</f>
        <v>6</v>
      </c>
      <c r="K1600" s="6" t="str">
        <f>IF(GameLog[[#This Row],[Date]]=MAX(GameLog[Date]),"Current","Previous")</f>
        <v>Previous</v>
      </c>
      <c r="L1600" s="6"/>
      <c r="M16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0" s="6" t="str">
        <f ca="1">IF(GameLog[[#This Row],[Check]]="","",COUNTIF(GameLog[[#Headers],[Check]]:GameLog[[#This Row],[Check]],"?*")-1)</f>
        <v/>
      </c>
      <c r="O1600" s="6" t="str">
        <f>IFERROR(INDEX(Players[New name],MATCH(GameLog[[#This Row],[Player]],Players[Name],0)),GameLog[[#This Row],[Player]])</f>
        <v>Paul B</v>
      </c>
    </row>
    <row r="1601" spans="1:15" x14ac:dyDescent="0.45">
      <c r="A1601" s="6" t="s">
        <v>70</v>
      </c>
      <c r="B1601" s="6" t="s">
        <v>90</v>
      </c>
      <c r="C1601" s="6">
        <v>1</v>
      </c>
      <c r="D1601" s="6">
        <v>3</v>
      </c>
      <c r="E1601" s="6">
        <v>1</v>
      </c>
      <c r="F1601" s="10">
        <v>46181</v>
      </c>
      <c r="G1601" s="6" t="str">
        <f>_xlfn.TEXTJOIN("|",TRUE,GameLog[[#This Row],[Pod]],TEXT(INT(GameLog[[#This Row],[Round]]),"yyyymmdd"),GameLog[[#This Row],[Date]])</f>
        <v>3|19000101|46181</v>
      </c>
      <c r="H1601" s="6">
        <f>COUNTIF(GameLog[Pod ID],GameLog[[#This Row],[Pod ID]])</f>
        <v>4</v>
      </c>
      <c r="I1601" s="6">
        <f>YEAR(GameLog[[#This Row],[Date]])</f>
        <v>2026</v>
      </c>
      <c r="J1601" s="6">
        <f>MONTH(GameLog[[#This Row],[Date]])</f>
        <v>6</v>
      </c>
      <c r="K1601" s="6" t="str">
        <f>IF(GameLog[[#This Row],[Date]]=MAX(GameLog[Date]),"Current","Previous")</f>
        <v>Previous</v>
      </c>
      <c r="L1601" s="6"/>
      <c r="M16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1" s="6" t="str">
        <f ca="1">IF(GameLog[[#This Row],[Check]]="","",COUNTIF(GameLog[[#Headers],[Check]]:GameLog[[#This Row],[Check]],"?*")-1)</f>
        <v/>
      </c>
      <c r="O1601" s="6" t="str">
        <f>IFERROR(INDEX(Players[New name],MATCH(GameLog[[#This Row],[Player]],Players[Name],0)),GameLog[[#This Row],[Player]])</f>
        <v>Brad F</v>
      </c>
    </row>
    <row r="1602" spans="1:15" x14ac:dyDescent="0.45">
      <c r="A1602" s="6" t="s">
        <v>109</v>
      </c>
      <c r="B1602" s="6" t="s">
        <v>90</v>
      </c>
      <c r="C1602" s="6">
        <v>2</v>
      </c>
      <c r="D1602" s="6">
        <v>3</v>
      </c>
      <c r="E1602" s="6">
        <v>1</v>
      </c>
      <c r="F1602" s="10">
        <v>46181</v>
      </c>
      <c r="G1602" s="6" t="str">
        <f>_xlfn.TEXTJOIN("|",TRUE,GameLog[[#This Row],[Pod]],TEXT(INT(GameLog[[#This Row],[Round]]),"yyyymmdd"),GameLog[[#This Row],[Date]])</f>
        <v>3|19000101|46181</v>
      </c>
      <c r="H1602" s="6">
        <f>COUNTIF(GameLog[Pod ID],GameLog[[#This Row],[Pod ID]])</f>
        <v>4</v>
      </c>
      <c r="I1602" s="6">
        <f>YEAR(GameLog[[#This Row],[Date]])</f>
        <v>2026</v>
      </c>
      <c r="J1602" s="6">
        <f>MONTH(GameLog[[#This Row],[Date]])</f>
        <v>6</v>
      </c>
      <c r="K1602" s="6" t="str">
        <f>IF(GameLog[[#This Row],[Date]]=MAX(GameLog[Date]),"Current","Previous")</f>
        <v>Previous</v>
      </c>
      <c r="L1602" s="6"/>
      <c r="M16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2" s="6" t="str">
        <f ca="1">IF(GameLog[[#This Row],[Check]]="","",COUNTIF(GameLog[[#Headers],[Check]]:GameLog[[#This Row],[Check]],"?*")-1)</f>
        <v/>
      </c>
      <c r="O1602" s="6" t="str">
        <f>IFERROR(INDEX(Players[New name],MATCH(GameLog[[#This Row],[Player]],Players[Name],0)),GameLog[[#This Row],[Player]])</f>
        <v>Taylor C</v>
      </c>
    </row>
    <row r="1603" spans="1:15" x14ac:dyDescent="0.45">
      <c r="A1603" s="6" t="s">
        <v>49</v>
      </c>
      <c r="B1603" s="6" t="s">
        <v>90</v>
      </c>
      <c r="C1603" s="6">
        <v>3</v>
      </c>
      <c r="D1603" s="6">
        <v>3</v>
      </c>
      <c r="E1603" s="6">
        <v>1</v>
      </c>
      <c r="F1603" s="10">
        <v>46181</v>
      </c>
      <c r="G1603" s="6" t="str">
        <f>_xlfn.TEXTJOIN("|",TRUE,GameLog[[#This Row],[Pod]],TEXT(INT(GameLog[[#This Row],[Round]]),"yyyymmdd"),GameLog[[#This Row],[Date]])</f>
        <v>3|19000101|46181</v>
      </c>
      <c r="H1603" s="6">
        <f>COUNTIF(GameLog[Pod ID],GameLog[[#This Row],[Pod ID]])</f>
        <v>4</v>
      </c>
      <c r="I1603" s="6">
        <f>YEAR(GameLog[[#This Row],[Date]])</f>
        <v>2026</v>
      </c>
      <c r="J1603" s="6">
        <f>MONTH(GameLog[[#This Row],[Date]])</f>
        <v>6</v>
      </c>
      <c r="K1603" s="6" t="str">
        <f>IF(GameLog[[#This Row],[Date]]=MAX(GameLog[Date]),"Current","Previous")</f>
        <v>Previous</v>
      </c>
      <c r="L1603" s="6"/>
      <c r="M16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3" s="6" t="str">
        <f ca="1">IF(GameLog[[#This Row],[Check]]="","",COUNTIF(GameLog[[#Headers],[Check]]:GameLog[[#This Row],[Check]],"?*")-1)</f>
        <v/>
      </c>
      <c r="O1603" s="6" t="str">
        <f>IFERROR(INDEX(Players[New name],MATCH(GameLog[[#This Row],[Player]],Players[Name],0)),GameLog[[#This Row],[Player]])</f>
        <v>Brett R</v>
      </c>
    </row>
    <row r="1604" spans="1:15" x14ac:dyDescent="0.45">
      <c r="A1604" s="6" t="s">
        <v>64</v>
      </c>
      <c r="B1604" s="6" t="s">
        <v>90</v>
      </c>
      <c r="C1604" s="6">
        <v>4</v>
      </c>
      <c r="D1604" s="6">
        <v>3</v>
      </c>
      <c r="E1604" s="6">
        <v>1</v>
      </c>
      <c r="F1604" s="10">
        <v>46181</v>
      </c>
      <c r="G1604" s="6" t="str">
        <f>_xlfn.TEXTJOIN("|",TRUE,GameLog[[#This Row],[Pod]],TEXT(INT(GameLog[[#This Row],[Round]]),"yyyymmdd"),GameLog[[#This Row],[Date]])</f>
        <v>3|19000101|46181</v>
      </c>
      <c r="H1604" s="6">
        <f>COUNTIF(GameLog[Pod ID],GameLog[[#This Row],[Pod ID]])</f>
        <v>4</v>
      </c>
      <c r="I1604" s="6">
        <f>YEAR(GameLog[[#This Row],[Date]])</f>
        <v>2026</v>
      </c>
      <c r="J1604" s="6">
        <f>MONTH(GameLog[[#This Row],[Date]])</f>
        <v>6</v>
      </c>
      <c r="K1604" s="6" t="str">
        <f>IF(GameLog[[#This Row],[Date]]=MAX(GameLog[Date]),"Current","Previous")</f>
        <v>Previous</v>
      </c>
      <c r="L1604" s="6"/>
      <c r="M16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4" s="6" t="str">
        <f ca="1">IF(GameLog[[#This Row],[Check]]="","",COUNTIF(GameLog[[#Headers],[Check]]:GameLog[[#This Row],[Check]],"?*")-1)</f>
        <v/>
      </c>
      <c r="O1604" s="6" t="str">
        <f>IFERROR(INDEX(Players[New name],MATCH(GameLog[[#This Row],[Player]],Players[Name],0)),GameLog[[#This Row],[Player]])</f>
        <v>Tyler B</v>
      </c>
    </row>
    <row r="1605" spans="1:15" x14ac:dyDescent="0.45">
      <c r="A1605" s="6" t="s">
        <v>68</v>
      </c>
      <c r="B1605" s="6" t="s">
        <v>90</v>
      </c>
      <c r="C1605" s="6">
        <v>1</v>
      </c>
      <c r="D1605" s="6">
        <v>4</v>
      </c>
      <c r="E1605" s="6">
        <v>1</v>
      </c>
      <c r="F1605" s="10">
        <v>46181</v>
      </c>
      <c r="G1605" s="6" t="str">
        <f>_xlfn.TEXTJOIN("|",TRUE,GameLog[[#This Row],[Pod]],TEXT(INT(GameLog[[#This Row],[Round]]),"yyyymmdd"),GameLog[[#This Row],[Date]])</f>
        <v>4|19000101|46181</v>
      </c>
      <c r="H1605" s="6">
        <f>COUNTIF(GameLog[Pod ID],GameLog[[#This Row],[Pod ID]])</f>
        <v>4</v>
      </c>
      <c r="I1605" s="6">
        <f>YEAR(GameLog[[#This Row],[Date]])</f>
        <v>2026</v>
      </c>
      <c r="J1605" s="6">
        <f>MONTH(GameLog[[#This Row],[Date]])</f>
        <v>6</v>
      </c>
      <c r="K1605" s="6" t="str">
        <f>IF(GameLog[[#This Row],[Date]]=MAX(GameLog[Date]),"Current","Previous")</f>
        <v>Previous</v>
      </c>
      <c r="L1605" s="6"/>
      <c r="M16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5" s="6" t="str">
        <f ca="1">IF(GameLog[[#This Row],[Check]]="","",COUNTIF(GameLog[[#Headers],[Check]]:GameLog[[#This Row],[Check]],"?*")-1)</f>
        <v/>
      </c>
      <c r="O1605" s="6" t="str">
        <f>IFERROR(INDEX(Players[New name],MATCH(GameLog[[#This Row],[Player]],Players[Name],0)),GameLog[[#This Row],[Player]])</f>
        <v>Edwin M</v>
      </c>
    </row>
    <row r="1606" spans="1:15" x14ac:dyDescent="0.45">
      <c r="A1606" s="6" t="s">
        <v>58</v>
      </c>
      <c r="B1606" s="6" t="s">
        <v>90</v>
      </c>
      <c r="C1606" s="6">
        <v>2</v>
      </c>
      <c r="D1606" s="6">
        <v>4</v>
      </c>
      <c r="E1606" s="6">
        <v>1</v>
      </c>
      <c r="F1606" s="10">
        <v>46181</v>
      </c>
      <c r="G1606" s="6" t="str">
        <f>_xlfn.TEXTJOIN("|",TRUE,GameLog[[#This Row],[Pod]],TEXT(INT(GameLog[[#This Row],[Round]]),"yyyymmdd"),GameLog[[#This Row],[Date]])</f>
        <v>4|19000101|46181</v>
      </c>
      <c r="H1606" s="6">
        <f>COUNTIF(GameLog[Pod ID],GameLog[[#This Row],[Pod ID]])</f>
        <v>4</v>
      </c>
      <c r="I1606" s="6">
        <f>YEAR(GameLog[[#This Row],[Date]])</f>
        <v>2026</v>
      </c>
      <c r="J1606" s="6">
        <f>MONTH(GameLog[[#This Row],[Date]])</f>
        <v>6</v>
      </c>
      <c r="K1606" s="6" t="str">
        <f>IF(GameLog[[#This Row],[Date]]=MAX(GameLog[Date]),"Current","Previous")</f>
        <v>Previous</v>
      </c>
      <c r="L1606" s="6"/>
      <c r="M16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6" s="6" t="str">
        <f ca="1">IF(GameLog[[#This Row],[Check]]="","",COUNTIF(GameLog[[#Headers],[Check]]:GameLog[[#This Row],[Check]],"?*")-1)</f>
        <v/>
      </c>
      <c r="O1606" s="6" t="str">
        <f>IFERROR(INDEX(Players[New name],MATCH(GameLog[[#This Row],[Player]],Players[Name],0)),GameLog[[#This Row],[Player]])</f>
        <v>Dakota P</v>
      </c>
    </row>
    <row r="1607" spans="1:15" x14ac:dyDescent="0.45">
      <c r="A1607" s="6" t="s">
        <v>72</v>
      </c>
      <c r="B1607" s="6" t="s">
        <v>90</v>
      </c>
      <c r="C1607" s="6">
        <v>3</v>
      </c>
      <c r="D1607" s="6">
        <v>4</v>
      </c>
      <c r="E1607" s="6">
        <v>1</v>
      </c>
      <c r="F1607" s="10">
        <v>46181</v>
      </c>
      <c r="G1607" s="6" t="str">
        <f>_xlfn.TEXTJOIN("|",TRUE,GameLog[[#This Row],[Pod]],TEXT(INT(GameLog[[#This Row],[Round]]),"yyyymmdd"),GameLog[[#This Row],[Date]])</f>
        <v>4|19000101|46181</v>
      </c>
      <c r="H1607" s="6">
        <f>COUNTIF(GameLog[Pod ID],GameLog[[#This Row],[Pod ID]])</f>
        <v>4</v>
      </c>
      <c r="I1607" s="6">
        <f>YEAR(GameLog[[#This Row],[Date]])</f>
        <v>2026</v>
      </c>
      <c r="J1607" s="6">
        <f>MONTH(GameLog[[#This Row],[Date]])</f>
        <v>6</v>
      </c>
      <c r="K1607" s="6" t="str">
        <f>IF(GameLog[[#This Row],[Date]]=MAX(GameLog[Date]),"Current","Previous")</f>
        <v>Previous</v>
      </c>
      <c r="L1607" s="6"/>
      <c r="M16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7" s="6" t="str">
        <f ca="1">IF(GameLog[[#This Row],[Check]]="","",COUNTIF(GameLog[[#Headers],[Check]]:GameLog[[#This Row],[Check]],"?*")-1)</f>
        <v/>
      </c>
      <c r="O1607" s="6" t="str">
        <f>IFERROR(INDEX(Players[New name],MATCH(GameLog[[#This Row],[Player]],Players[Name],0)),GameLog[[#This Row],[Player]])</f>
        <v>Ben H</v>
      </c>
    </row>
    <row r="1608" spans="1:15" x14ac:dyDescent="0.45">
      <c r="A1608" s="6" t="s">
        <v>97</v>
      </c>
      <c r="B1608" s="6" t="s">
        <v>90</v>
      </c>
      <c r="C1608" s="6">
        <v>4</v>
      </c>
      <c r="D1608" s="6">
        <v>4</v>
      </c>
      <c r="E1608" s="6">
        <v>1</v>
      </c>
      <c r="F1608" s="10">
        <v>46181</v>
      </c>
      <c r="G1608" s="6" t="str">
        <f>_xlfn.TEXTJOIN("|",TRUE,GameLog[[#This Row],[Pod]],TEXT(INT(GameLog[[#This Row],[Round]]),"yyyymmdd"),GameLog[[#This Row],[Date]])</f>
        <v>4|19000101|46181</v>
      </c>
      <c r="H1608" s="6">
        <f>COUNTIF(GameLog[Pod ID],GameLog[[#This Row],[Pod ID]])</f>
        <v>4</v>
      </c>
      <c r="I1608" s="6">
        <f>YEAR(GameLog[[#This Row],[Date]])</f>
        <v>2026</v>
      </c>
      <c r="J1608" s="6">
        <f>MONTH(GameLog[[#This Row],[Date]])</f>
        <v>6</v>
      </c>
      <c r="K1608" s="6" t="str">
        <f>IF(GameLog[[#This Row],[Date]]=MAX(GameLog[Date]),"Current","Previous")</f>
        <v>Previous</v>
      </c>
      <c r="L1608" s="6"/>
      <c r="M16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8" s="6" t="str">
        <f ca="1">IF(GameLog[[#This Row],[Check]]="","",COUNTIF(GameLog[[#Headers],[Check]]:GameLog[[#This Row],[Check]],"?*")-1)</f>
        <v/>
      </c>
      <c r="O1608" s="6" t="str">
        <f>IFERROR(INDEX(Players[New name],MATCH(GameLog[[#This Row],[Player]],Players[Name],0)),GameLog[[#This Row],[Player]])</f>
        <v>Arman H</v>
      </c>
    </row>
    <row r="1609" spans="1:15" x14ac:dyDescent="0.45">
      <c r="A1609" s="6" t="s">
        <v>71</v>
      </c>
      <c r="B1609" s="6" t="s">
        <v>50</v>
      </c>
      <c r="C1609" s="6">
        <v>1</v>
      </c>
      <c r="D1609" s="6">
        <v>5</v>
      </c>
      <c r="E1609" s="6">
        <v>1</v>
      </c>
      <c r="F1609" s="10">
        <v>46181</v>
      </c>
      <c r="G1609" s="6" t="str">
        <f>_xlfn.TEXTJOIN("|",TRUE,GameLog[[#This Row],[Pod]],TEXT(INT(GameLog[[#This Row],[Round]]),"yyyymmdd"),GameLog[[#This Row],[Date]])</f>
        <v>5|19000101|46181</v>
      </c>
      <c r="H1609" s="6">
        <f>COUNTIF(GameLog[Pod ID],GameLog[[#This Row],[Pod ID]])</f>
        <v>4</v>
      </c>
      <c r="I1609" s="6">
        <f>YEAR(GameLog[[#This Row],[Date]])</f>
        <v>2026</v>
      </c>
      <c r="J1609" s="6">
        <f>MONTH(GameLog[[#This Row],[Date]])</f>
        <v>6</v>
      </c>
      <c r="K1609" s="6" t="str">
        <f>IF(GameLog[[#This Row],[Date]]=MAX(GameLog[Date]),"Current","Previous")</f>
        <v>Previous</v>
      </c>
      <c r="L1609" s="6"/>
      <c r="M16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09" s="6" t="str">
        <f ca="1">IF(GameLog[[#This Row],[Check]]="","",COUNTIF(GameLog[[#Headers],[Check]]:GameLog[[#This Row],[Check]],"?*")-1)</f>
        <v/>
      </c>
      <c r="O1609" s="6" t="str">
        <f>IFERROR(INDEX(Players[New name],MATCH(GameLog[[#This Row],[Player]],Players[Name],0)),GameLog[[#This Row],[Player]])</f>
        <v>Rodney Y</v>
      </c>
    </row>
    <row r="1610" spans="1:15" x14ac:dyDescent="0.45">
      <c r="A1610" s="6" t="s">
        <v>104</v>
      </c>
      <c r="B1610" s="6" t="s">
        <v>53</v>
      </c>
      <c r="C1610" s="6">
        <v>2</v>
      </c>
      <c r="D1610" s="6">
        <v>5</v>
      </c>
      <c r="E1610" s="6">
        <v>1</v>
      </c>
      <c r="F1610" s="10">
        <v>46181</v>
      </c>
      <c r="G1610" s="6" t="str">
        <f>_xlfn.TEXTJOIN("|",TRUE,GameLog[[#This Row],[Pod]],TEXT(INT(GameLog[[#This Row],[Round]]),"yyyymmdd"),GameLog[[#This Row],[Date]])</f>
        <v>5|19000101|46181</v>
      </c>
      <c r="H1610" s="6">
        <f>COUNTIF(GameLog[Pod ID],GameLog[[#This Row],[Pod ID]])</f>
        <v>4</v>
      </c>
      <c r="I1610" s="6">
        <f>YEAR(GameLog[[#This Row],[Date]])</f>
        <v>2026</v>
      </c>
      <c r="J1610" s="6">
        <f>MONTH(GameLog[[#This Row],[Date]])</f>
        <v>6</v>
      </c>
      <c r="K1610" s="6" t="str">
        <f>IF(GameLog[[#This Row],[Date]]=MAX(GameLog[Date]),"Current","Previous")</f>
        <v>Previous</v>
      </c>
      <c r="L1610" s="6"/>
      <c r="M16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0" s="6" t="str">
        <f ca="1">IF(GameLog[[#This Row],[Check]]="","",COUNTIF(GameLog[[#Headers],[Check]]:GameLog[[#This Row],[Check]],"?*")-1)</f>
        <v/>
      </c>
      <c r="O1610" s="6" t="str">
        <f>IFERROR(INDEX(Players[New name],MATCH(GameLog[[#This Row],[Player]],Players[Name],0)),GameLog[[#This Row],[Player]])</f>
        <v>Eric E</v>
      </c>
    </row>
    <row r="1611" spans="1:15" x14ac:dyDescent="0.45">
      <c r="A1611" s="6" t="s">
        <v>112</v>
      </c>
      <c r="B1611" s="6" t="s">
        <v>53</v>
      </c>
      <c r="C1611" s="6">
        <v>3</v>
      </c>
      <c r="D1611" s="6">
        <v>5</v>
      </c>
      <c r="E1611" s="6">
        <v>1</v>
      </c>
      <c r="F1611" s="10">
        <v>46181</v>
      </c>
      <c r="G1611" s="6" t="str">
        <f>_xlfn.TEXTJOIN("|",TRUE,GameLog[[#This Row],[Pod]],TEXT(INT(GameLog[[#This Row],[Round]]),"yyyymmdd"),GameLog[[#This Row],[Date]])</f>
        <v>5|19000101|46181</v>
      </c>
      <c r="H1611" s="6">
        <f>COUNTIF(GameLog[Pod ID],GameLog[[#This Row],[Pod ID]])</f>
        <v>4</v>
      </c>
      <c r="I1611" s="6">
        <f>YEAR(GameLog[[#This Row],[Date]])</f>
        <v>2026</v>
      </c>
      <c r="J1611" s="6">
        <f>MONTH(GameLog[[#This Row],[Date]])</f>
        <v>6</v>
      </c>
      <c r="K1611" s="6" t="str">
        <f>IF(GameLog[[#This Row],[Date]]=MAX(GameLog[Date]),"Current","Previous")</f>
        <v>Previous</v>
      </c>
      <c r="L1611" s="6"/>
      <c r="M16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1" s="6" t="str">
        <f ca="1">IF(GameLog[[#This Row],[Check]]="","",COUNTIF(GameLog[[#Headers],[Check]]:GameLog[[#This Row],[Check]],"?*")-1)</f>
        <v/>
      </c>
      <c r="O1611" s="6" t="str">
        <f>IFERROR(INDEX(Players[New name],MATCH(GameLog[[#This Row],[Player]],Players[Name],0)),GameLog[[#This Row],[Player]])</f>
        <v>Savi</v>
      </c>
    </row>
    <row r="1612" spans="1:15" x14ac:dyDescent="0.45">
      <c r="A1612" s="6" t="s">
        <v>63</v>
      </c>
      <c r="B1612" s="6" t="s">
        <v>53</v>
      </c>
      <c r="C1612" s="6">
        <v>4</v>
      </c>
      <c r="D1612" s="6">
        <v>5</v>
      </c>
      <c r="E1612" s="6">
        <v>1</v>
      </c>
      <c r="F1612" s="10">
        <v>46181</v>
      </c>
      <c r="G1612" s="6" t="str">
        <f>_xlfn.TEXTJOIN("|",TRUE,GameLog[[#This Row],[Pod]],TEXT(INT(GameLog[[#This Row],[Round]]),"yyyymmdd"),GameLog[[#This Row],[Date]])</f>
        <v>5|19000101|46181</v>
      </c>
      <c r="H1612" s="6">
        <f>COUNTIF(GameLog[Pod ID],GameLog[[#This Row],[Pod ID]])</f>
        <v>4</v>
      </c>
      <c r="I1612" s="6">
        <f>YEAR(GameLog[[#This Row],[Date]])</f>
        <v>2026</v>
      </c>
      <c r="J1612" s="6">
        <f>MONTH(GameLog[[#This Row],[Date]])</f>
        <v>6</v>
      </c>
      <c r="K1612" s="6" t="str">
        <f>IF(GameLog[[#This Row],[Date]]=MAX(GameLog[Date]),"Current","Previous")</f>
        <v>Previous</v>
      </c>
      <c r="L1612" s="6"/>
      <c r="M16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2" s="6" t="str">
        <f ca="1">IF(GameLog[[#This Row],[Check]]="","",COUNTIF(GameLog[[#Headers],[Check]]:GameLog[[#This Row],[Check]],"?*")-1)</f>
        <v/>
      </c>
      <c r="O1612" s="6" t="str">
        <f>IFERROR(INDEX(Players[New name],MATCH(GameLog[[#This Row],[Player]],Players[Name],0)),GameLog[[#This Row],[Player]])</f>
        <v>Jake D</v>
      </c>
    </row>
    <row r="1613" spans="1:15" x14ac:dyDescent="0.45">
      <c r="A1613" s="6" t="s">
        <v>71</v>
      </c>
      <c r="B1613" s="6" t="s">
        <v>53</v>
      </c>
      <c r="C1613" s="6">
        <v>1</v>
      </c>
      <c r="D1613" s="6">
        <v>1</v>
      </c>
      <c r="E1613" s="6">
        <v>2</v>
      </c>
      <c r="F1613" s="10">
        <v>46181</v>
      </c>
      <c r="G1613" s="6" t="str">
        <f>_xlfn.TEXTJOIN("|",TRUE,GameLog[[#This Row],[Pod]],TEXT(INT(GameLog[[#This Row],[Round]]),"yyyymmdd"),GameLog[[#This Row],[Date]])</f>
        <v>1|19000102|46181</v>
      </c>
      <c r="H1613" s="6">
        <f>COUNTIF(GameLog[Pod ID],GameLog[[#This Row],[Pod ID]])</f>
        <v>4</v>
      </c>
      <c r="I1613" s="6">
        <f>YEAR(GameLog[[#This Row],[Date]])</f>
        <v>2026</v>
      </c>
      <c r="J1613" s="6">
        <f>MONTH(GameLog[[#This Row],[Date]])</f>
        <v>6</v>
      </c>
      <c r="K1613" s="6" t="str">
        <f>IF(GameLog[[#This Row],[Date]]=MAX(GameLog[Date]),"Current","Previous")</f>
        <v>Previous</v>
      </c>
      <c r="L1613" s="6"/>
      <c r="M16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3" s="6" t="str">
        <f ca="1">IF(GameLog[[#This Row],[Check]]="","",COUNTIF(GameLog[[#Headers],[Check]]:GameLog[[#This Row],[Check]],"?*")-1)</f>
        <v/>
      </c>
      <c r="O1613" s="6" t="str">
        <f>IFERROR(INDEX(Players[New name],MATCH(GameLog[[#This Row],[Player]],Players[Name],0)),GameLog[[#This Row],[Player]])</f>
        <v>Rodney Y</v>
      </c>
    </row>
    <row r="1614" spans="1:15" x14ac:dyDescent="0.45">
      <c r="A1614" s="6" t="s">
        <v>73</v>
      </c>
      <c r="B1614" s="6" t="s">
        <v>50</v>
      </c>
      <c r="C1614" s="6">
        <v>2</v>
      </c>
      <c r="D1614" s="6">
        <v>1</v>
      </c>
      <c r="E1614" s="6">
        <v>2</v>
      </c>
      <c r="F1614" s="10">
        <v>46181</v>
      </c>
      <c r="G1614" s="6" t="str">
        <f>_xlfn.TEXTJOIN("|",TRUE,GameLog[[#This Row],[Pod]],TEXT(INT(GameLog[[#This Row],[Round]]),"yyyymmdd"),GameLog[[#This Row],[Date]])</f>
        <v>1|19000102|46181</v>
      </c>
      <c r="H1614" s="6">
        <f>COUNTIF(GameLog[Pod ID],GameLog[[#This Row],[Pod ID]])</f>
        <v>4</v>
      </c>
      <c r="I1614" s="6">
        <f>YEAR(GameLog[[#This Row],[Date]])</f>
        <v>2026</v>
      </c>
      <c r="J1614" s="6">
        <f>MONTH(GameLog[[#This Row],[Date]])</f>
        <v>6</v>
      </c>
      <c r="K1614" s="6" t="str">
        <f>IF(GameLog[[#This Row],[Date]]=MAX(GameLog[Date]),"Current","Previous")</f>
        <v>Previous</v>
      </c>
      <c r="L1614" s="6"/>
      <c r="M16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4" s="6" t="str">
        <f ca="1">IF(GameLog[[#This Row],[Check]]="","",COUNTIF(GameLog[[#Headers],[Check]]:GameLog[[#This Row],[Check]],"?*")-1)</f>
        <v/>
      </c>
      <c r="O1614" s="6" t="str">
        <f>IFERROR(INDEX(Players[New name],MATCH(GameLog[[#This Row],[Player]],Players[Name],0)),GameLog[[#This Row],[Player]])</f>
        <v>Brandon B</v>
      </c>
    </row>
    <row r="1615" spans="1:15" x14ac:dyDescent="0.45">
      <c r="A1615" s="6" t="s">
        <v>57</v>
      </c>
      <c r="B1615" s="6" t="s">
        <v>53</v>
      </c>
      <c r="C1615" s="6">
        <v>3</v>
      </c>
      <c r="D1615" s="6">
        <v>1</v>
      </c>
      <c r="E1615" s="6">
        <v>2</v>
      </c>
      <c r="F1615" s="10">
        <v>46181</v>
      </c>
      <c r="G1615" s="6" t="str">
        <f>_xlfn.TEXTJOIN("|",TRUE,GameLog[[#This Row],[Pod]],TEXT(INT(GameLog[[#This Row],[Round]]),"yyyymmdd"),GameLog[[#This Row],[Date]])</f>
        <v>1|19000102|46181</v>
      </c>
      <c r="H1615" s="6">
        <f>COUNTIF(GameLog[Pod ID],GameLog[[#This Row],[Pod ID]])</f>
        <v>4</v>
      </c>
      <c r="I1615" s="6">
        <f>YEAR(GameLog[[#This Row],[Date]])</f>
        <v>2026</v>
      </c>
      <c r="J1615" s="6">
        <f>MONTH(GameLog[[#This Row],[Date]])</f>
        <v>6</v>
      </c>
      <c r="K1615" s="6" t="str">
        <f>IF(GameLog[[#This Row],[Date]]=MAX(GameLog[Date]),"Current","Previous")</f>
        <v>Previous</v>
      </c>
      <c r="L1615" s="6"/>
      <c r="M16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5" s="6" t="str">
        <f ca="1">IF(GameLog[[#This Row],[Check]]="","",COUNTIF(GameLog[[#Headers],[Check]]:GameLog[[#This Row],[Check]],"?*")-1)</f>
        <v/>
      </c>
      <c r="O1615" s="6" t="str">
        <f>IFERROR(INDEX(Players[New name],MATCH(GameLog[[#This Row],[Player]],Players[Name],0)),GameLog[[#This Row],[Player]])</f>
        <v>AJ W</v>
      </c>
    </row>
    <row r="1616" spans="1:15" x14ac:dyDescent="0.45">
      <c r="A1616" s="6" t="s">
        <v>58</v>
      </c>
      <c r="B1616" s="6" t="s">
        <v>53</v>
      </c>
      <c r="C1616" s="6">
        <v>4</v>
      </c>
      <c r="D1616" s="6">
        <v>1</v>
      </c>
      <c r="E1616" s="6">
        <v>2</v>
      </c>
      <c r="F1616" s="10">
        <v>46181</v>
      </c>
      <c r="G1616" s="6" t="str">
        <f>_xlfn.TEXTJOIN("|",TRUE,GameLog[[#This Row],[Pod]],TEXT(INT(GameLog[[#This Row],[Round]]),"yyyymmdd"),GameLog[[#This Row],[Date]])</f>
        <v>1|19000102|46181</v>
      </c>
      <c r="H1616" s="6">
        <f>COUNTIF(GameLog[Pod ID],GameLog[[#This Row],[Pod ID]])</f>
        <v>4</v>
      </c>
      <c r="I1616" s="6">
        <f>YEAR(GameLog[[#This Row],[Date]])</f>
        <v>2026</v>
      </c>
      <c r="J1616" s="6">
        <f>MONTH(GameLog[[#This Row],[Date]])</f>
        <v>6</v>
      </c>
      <c r="K1616" s="6" t="str">
        <f>IF(GameLog[[#This Row],[Date]]=MAX(GameLog[Date]),"Current","Previous")</f>
        <v>Previous</v>
      </c>
      <c r="L1616" s="6"/>
      <c r="M16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6" s="6" t="str">
        <f ca="1">IF(GameLog[[#This Row],[Check]]="","",COUNTIF(GameLog[[#Headers],[Check]]:GameLog[[#This Row],[Check]],"?*")-1)</f>
        <v/>
      </c>
      <c r="O1616" s="6" t="str">
        <f>IFERROR(INDEX(Players[New name],MATCH(GameLog[[#This Row],[Player]],Players[Name],0)),GameLog[[#This Row],[Player]])</f>
        <v>Dakota P</v>
      </c>
    </row>
    <row r="1617" spans="1:15" x14ac:dyDescent="0.45">
      <c r="A1617" s="6" t="s">
        <v>63</v>
      </c>
      <c r="B1617" s="6" t="s">
        <v>50</v>
      </c>
      <c r="C1617" s="6">
        <v>1</v>
      </c>
      <c r="D1617" s="6">
        <v>2</v>
      </c>
      <c r="E1617" s="6">
        <v>2</v>
      </c>
      <c r="F1617" s="10">
        <v>46181</v>
      </c>
      <c r="G1617" s="6" t="str">
        <f>_xlfn.TEXTJOIN("|",TRUE,GameLog[[#This Row],[Pod]],TEXT(INT(GameLog[[#This Row],[Round]]),"yyyymmdd"),GameLog[[#This Row],[Date]])</f>
        <v>2|19000102|46181</v>
      </c>
      <c r="H1617" s="6">
        <f>COUNTIF(GameLog[Pod ID],GameLog[[#This Row],[Pod ID]])</f>
        <v>4</v>
      </c>
      <c r="I1617" s="6">
        <f>YEAR(GameLog[[#This Row],[Date]])</f>
        <v>2026</v>
      </c>
      <c r="J1617" s="6">
        <f>MONTH(GameLog[[#This Row],[Date]])</f>
        <v>6</v>
      </c>
      <c r="K1617" s="6" t="str">
        <f>IF(GameLog[[#This Row],[Date]]=MAX(GameLog[Date]),"Current","Previous")</f>
        <v>Previous</v>
      </c>
      <c r="L1617" s="6"/>
      <c r="M16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7" s="6" t="str">
        <f ca="1">IF(GameLog[[#This Row],[Check]]="","",COUNTIF(GameLog[[#Headers],[Check]]:GameLog[[#This Row],[Check]],"?*")-1)</f>
        <v/>
      </c>
      <c r="O1617" s="6" t="str">
        <f>IFERROR(INDEX(Players[New name],MATCH(GameLog[[#This Row],[Player]],Players[Name],0)),GameLog[[#This Row],[Player]])</f>
        <v>Jake D</v>
      </c>
    </row>
    <row r="1618" spans="1:15" x14ac:dyDescent="0.45">
      <c r="A1618" s="6" t="s">
        <v>64</v>
      </c>
      <c r="B1618" s="6" t="s">
        <v>53</v>
      </c>
      <c r="C1618" s="6">
        <v>2</v>
      </c>
      <c r="D1618" s="6">
        <v>2</v>
      </c>
      <c r="E1618" s="6">
        <v>2</v>
      </c>
      <c r="F1618" s="10">
        <v>46181</v>
      </c>
      <c r="G1618" s="6" t="str">
        <f>_xlfn.TEXTJOIN("|",TRUE,GameLog[[#This Row],[Pod]],TEXT(INT(GameLog[[#This Row],[Round]]),"yyyymmdd"),GameLog[[#This Row],[Date]])</f>
        <v>2|19000102|46181</v>
      </c>
      <c r="H1618" s="6">
        <f>COUNTIF(GameLog[Pod ID],GameLog[[#This Row],[Pod ID]])</f>
        <v>4</v>
      </c>
      <c r="I1618" s="6">
        <f>YEAR(GameLog[[#This Row],[Date]])</f>
        <v>2026</v>
      </c>
      <c r="J1618" s="6">
        <f>MONTH(GameLog[[#This Row],[Date]])</f>
        <v>6</v>
      </c>
      <c r="K1618" s="6" t="str">
        <f>IF(GameLog[[#This Row],[Date]]=MAX(GameLog[Date]),"Current","Previous")</f>
        <v>Previous</v>
      </c>
      <c r="L1618" s="6"/>
      <c r="M16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8" s="6" t="str">
        <f ca="1">IF(GameLog[[#This Row],[Check]]="","",COUNTIF(GameLog[[#Headers],[Check]]:GameLog[[#This Row],[Check]],"?*")-1)</f>
        <v/>
      </c>
      <c r="O1618" s="6" t="str">
        <f>IFERROR(INDEX(Players[New name],MATCH(GameLog[[#This Row],[Player]],Players[Name],0)),GameLog[[#This Row],[Player]])</f>
        <v>Tyler B</v>
      </c>
    </row>
    <row r="1619" spans="1:15" x14ac:dyDescent="0.45">
      <c r="A1619" s="6" t="s">
        <v>59</v>
      </c>
      <c r="B1619" s="6" t="s">
        <v>53</v>
      </c>
      <c r="C1619" s="6">
        <v>3</v>
      </c>
      <c r="D1619" s="6">
        <v>2</v>
      </c>
      <c r="E1619" s="6">
        <v>2</v>
      </c>
      <c r="F1619" s="10">
        <v>46181</v>
      </c>
      <c r="G1619" s="6" t="str">
        <f>_xlfn.TEXTJOIN("|",TRUE,GameLog[[#This Row],[Pod]],TEXT(INT(GameLog[[#This Row],[Round]]),"yyyymmdd"),GameLog[[#This Row],[Date]])</f>
        <v>2|19000102|46181</v>
      </c>
      <c r="H1619" s="6">
        <f>COUNTIF(GameLog[Pod ID],GameLog[[#This Row],[Pod ID]])</f>
        <v>4</v>
      </c>
      <c r="I1619" s="6">
        <f>YEAR(GameLog[[#This Row],[Date]])</f>
        <v>2026</v>
      </c>
      <c r="J1619" s="6">
        <f>MONTH(GameLog[[#This Row],[Date]])</f>
        <v>6</v>
      </c>
      <c r="K1619" s="6" t="str">
        <f>IF(GameLog[[#This Row],[Date]]=MAX(GameLog[Date]),"Current","Previous")</f>
        <v>Previous</v>
      </c>
      <c r="L1619" s="6"/>
      <c r="M16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19" s="6" t="str">
        <f ca="1">IF(GameLog[[#This Row],[Check]]="","",COUNTIF(GameLog[[#Headers],[Check]]:GameLog[[#This Row],[Check]],"?*")-1)</f>
        <v/>
      </c>
      <c r="O1619" s="6" t="str">
        <f>IFERROR(INDEX(Players[New name],MATCH(GameLog[[#This Row],[Player]],Players[Name],0)),GameLog[[#This Row],[Player]])</f>
        <v>Zack B</v>
      </c>
    </row>
    <row r="1620" spans="1:15" x14ac:dyDescent="0.45">
      <c r="A1620" s="6" t="s">
        <v>72</v>
      </c>
      <c r="B1620" s="6" t="s">
        <v>53</v>
      </c>
      <c r="C1620" s="6">
        <v>4</v>
      </c>
      <c r="D1620" s="6">
        <v>2</v>
      </c>
      <c r="E1620" s="6">
        <v>2</v>
      </c>
      <c r="F1620" s="10">
        <v>46181</v>
      </c>
      <c r="G1620" s="6" t="str">
        <f>_xlfn.TEXTJOIN("|",TRUE,GameLog[[#This Row],[Pod]],TEXT(INT(GameLog[[#This Row],[Round]]),"yyyymmdd"),GameLog[[#This Row],[Date]])</f>
        <v>2|19000102|46181</v>
      </c>
      <c r="H1620" s="6">
        <f>COUNTIF(GameLog[Pod ID],GameLog[[#This Row],[Pod ID]])</f>
        <v>4</v>
      </c>
      <c r="I1620" s="6">
        <f>YEAR(GameLog[[#This Row],[Date]])</f>
        <v>2026</v>
      </c>
      <c r="J1620" s="6">
        <f>MONTH(GameLog[[#This Row],[Date]])</f>
        <v>6</v>
      </c>
      <c r="K1620" s="6" t="str">
        <f>IF(GameLog[[#This Row],[Date]]=MAX(GameLog[Date]),"Current","Previous")</f>
        <v>Previous</v>
      </c>
      <c r="L1620" s="6"/>
      <c r="M16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0" s="6" t="str">
        <f ca="1">IF(GameLog[[#This Row],[Check]]="","",COUNTIF(GameLog[[#Headers],[Check]]:GameLog[[#This Row],[Check]],"?*")-1)</f>
        <v/>
      </c>
      <c r="O1620" s="6" t="str">
        <f>IFERROR(INDEX(Players[New name],MATCH(GameLog[[#This Row],[Player]],Players[Name],0)),GameLog[[#This Row],[Player]])</f>
        <v>Ben H</v>
      </c>
    </row>
    <row r="1621" spans="1:15" x14ac:dyDescent="0.45">
      <c r="A1621" s="6" t="s">
        <v>97</v>
      </c>
      <c r="B1621" s="6" t="s">
        <v>90</v>
      </c>
      <c r="C1621" s="6">
        <v>1</v>
      </c>
      <c r="D1621" s="6">
        <v>3</v>
      </c>
      <c r="E1621" s="6">
        <v>2</v>
      </c>
      <c r="F1621" s="10">
        <v>46181</v>
      </c>
      <c r="G1621" s="6" t="str">
        <f>_xlfn.TEXTJOIN("|",TRUE,GameLog[[#This Row],[Pod]],TEXT(INT(GameLog[[#This Row],[Round]]),"yyyymmdd"),GameLog[[#This Row],[Date]])</f>
        <v>3|19000102|46181</v>
      </c>
      <c r="H1621" s="6">
        <f>COUNTIF(GameLog[Pod ID],GameLog[[#This Row],[Pod ID]])</f>
        <v>4</v>
      </c>
      <c r="I1621" s="6">
        <f>YEAR(GameLog[[#This Row],[Date]])</f>
        <v>2026</v>
      </c>
      <c r="J1621" s="6">
        <f>MONTH(GameLog[[#This Row],[Date]])</f>
        <v>6</v>
      </c>
      <c r="K1621" s="6" t="str">
        <f>IF(GameLog[[#This Row],[Date]]=MAX(GameLog[Date]),"Current","Previous")</f>
        <v>Previous</v>
      </c>
      <c r="L1621" s="6"/>
      <c r="M16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1" s="6" t="str">
        <f ca="1">IF(GameLog[[#This Row],[Check]]="","",COUNTIF(GameLog[[#Headers],[Check]]:GameLog[[#This Row],[Check]],"?*")-1)</f>
        <v/>
      </c>
      <c r="O1621" s="6" t="str">
        <f>IFERROR(INDEX(Players[New name],MATCH(GameLog[[#This Row],[Player]],Players[Name],0)),GameLog[[#This Row],[Player]])</f>
        <v>Arman H</v>
      </c>
    </row>
    <row r="1622" spans="1:15" x14ac:dyDescent="0.45">
      <c r="A1622" s="6" t="s">
        <v>98</v>
      </c>
      <c r="B1622" s="6" t="s">
        <v>90</v>
      </c>
      <c r="C1622" s="6">
        <v>2</v>
      </c>
      <c r="D1622" s="6">
        <v>3</v>
      </c>
      <c r="E1622" s="6">
        <v>2</v>
      </c>
      <c r="F1622" s="10">
        <v>46181</v>
      </c>
      <c r="G1622" s="6" t="str">
        <f>_xlfn.TEXTJOIN("|",TRUE,GameLog[[#This Row],[Pod]],TEXT(INT(GameLog[[#This Row],[Round]]),"yyyymmdd"),GameLog[[#This Row],[Date]])</f>
        <v>3|19000102|46181</v>
      </c>
      <c r="H1622" s="6">
        <f>COUNTIF(GameLog[Pod ID],GameLog[[#This Row],[Pod ID]])</f>
        <v>4</v>
      </c>
      <c r="I1622" s="6">
        <f>YEAR(GameLog[[#This Row],[Date]])</f>
        <v>2026</v>
      </c>
      <c r="J1622" s="6">
        <f>MONTH(GameLog[[#This Row],[Date]])</f>
        <v>6</v>
      </c>
      <c r="K1622" s="6" t="str">
        <f>IF(GameLog[[#This Row],[Date]]=MAX(GameLog[Date]),"Current","Previous")</f>
        <v>Previous</v>
      </c>
      <c r="L1622" s="6"/>
      <c r="M16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2" s="6" t="str">
        <f ca="1">IF(GameLog[[#This Row],[Check]]="","",COUNTIF(GameLog[[#Headers],[Check]]:GameLog[[#This Row],[Check]],"?*")-1)</f>
        <v/>
      </c>
      <c r="O1622" s="6" t="str">
        <f>IFERROR(INDEX(Players[New name],MATCH(GameLog[[#This Row],[Player]],Players[Name],0)),GameLog[[#This Row],[Player]])</f>
        <v>Charlie B</v>
      </c>
    </row>
    <row r="1623" spans="1:15" x14ac:dyDescent="0.45">
      <c r="A1623" s="6" t="s">
        <v>49</v>
      </c>
      <c r="B1623" s="6" t="s">
        <v>90</v>
      </c>
      <c r="C1623" s="6">
        <v>3</v>
      </c>
      <c r="D1623" s="6">
        <v>3</v>
      </c>
      <c r="E1623" s="6">
        <v>2</v>
      </c>
      <c r="F1623" s="10">
        <v>46181</v>
      </c>
      <c r="G1623" s="6" t="str">
        <f>_xlfn.TEXTJOIN("|",TRUE,GameLog[[#This Row],[Pod]],TEXT(INT(GameLog[[#This Row],[Round]]),"yyyymmdd"),GameLog[[#This Row],[Date]])</f>
        <v>3|19000102|46181</v>
      </c>
      <c r="H1623" s="6">
        <f>COUNTIF(GameLog[Pod ID],GameLog[[#This Row],[Pod ID]])</f>
        <v>4</v>
      </c>
      <c r="I1623" s="6">
        <f>YEAR(GameLog[[#This Row],[Date]])</f>
        <v>2026</v>
      </c>
      <c r="J1623" s="6">
        <f>MONTH(GameLog[[#This Row],[Date]])</f>
        <v>6</v>
      </c>
      <c r="K1623" s="6" t="str">
        <f>IF(GameLog[[#This Row],[Date]]=MAX(GameLog[Date]),"Current","Previous")</f>
        <v>Previous</v>
      </c>
      <c r="L1623" s="6"/>
      <c r="M16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3" s="6" t="str">
        <f ca="1">IF(GameLog[[#This Row],[Check]]="","",COUNTIF(GameLog[[#Headers],[Check]]:GameLog[[#This Row],[Check]],"?*")-1)</f>
        <v/>
      </c>
      <c r="O1623" s="6" t="str">
        <f>IFERROR(INDEX(Players[New name],MATCH(GameLog[[#This Row],[Player]],Players[Name],0)),GameLog[[#This Row],[Player]])</f>
        <v>Brett R</v>
      </c>
    </row>
    <row r="1624" spans="1:15" x14ac:dyDescent="0.45">
      <c r="A1624" s="6" t="s">
        <v>61</v>
      </c>
      <c r="B1624" s="6" t="s">
        <v>90</v>
      </c>
      <c r="C1624" s="6">
        <v>4</v>
      </c>
      <c r="D1624" s="6">
        <v>3</v>
      </c>
      <c r="E1624" s="6">
        <v>2</v>
      </c>
      <c r="F1624" s="10">
        <v>46181</v>
      </c>
      <c r="G1624" s="6" t="str">
        <f>_xlfn.TEXTJOIN("|",TRUE,GameLog[[#This Row],[Pod]],TEXT(INT(GameLog[[#This Row],[Round]]),"yyyymmdd"),GameLog[[#This Row],[Date]])</f>
        <v>3|19000102|46181</v>
      </c>
      <c r="H1624" s="6">
        <f>COUNTIF(GameLog[Pod ID],GameLog[[#This Row],[Pod ID]])</f>
        <v>4</v>
      </c>
      <c r="I1624" s="6">
        <f>YEAR(GameLog[[#This Row],[Date]])</f>
        <v>2026</v>
      </c>
      <c r="J1624" s="6">
        <f>MONTH(GameLog[[#This Row],[Date]])</f>
        <v>6</v>
      </c>
      <c r="K1624" s="6" t="str">
        <f>IF(GameLog[[#This Row],[Date]]=MAX(GameLog[Date]),"Current","Previous")</f>
        <v>Previous</v>
      </c>
      <c r="L1624" s="6"/>
      <c r="M16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4" s="6" t="str">
        <f ca="1">IF(GameLog[[#This Row],[Check]]="","",COUNTIF(GameLog[[#Headers],[Check]]:GameLog[[#This Row],[Check]],"?*")-1)</f>
        <v/>
      </c>
      <c r="O1624" s="6" t="str">
        <f>IFERROR(INDEX(Players[New name],MATCH(GameLog[[#This Row],[Player]],Players[Name],0)),GameLog[[#This Row],[Player]])</f>
        <v>Trevor</v>
      </c>
    </row>
    <row r="1625" spans="1:15" x14ac:dyDescent="0.45">
      <c r="A1625" s="6" t="s">
        <v>110</v>
      </c>
      <c r="B1625" s="6" t="s">
        <v>53</v>
      </c>
      <c r="C1625" s="6">
        <v>1</v>
      </c>
      <c r="D1625" s="6">
        <v>4</v>
      </c>
      <c r="E1625" s="6">
        <v>2</v>
      </c>
      <c r="F1625" s="10">
        <v>46181</v>
      </c>
      <c r="G1625" s="6" t="str">
        <f>_xlfn.TEXTJOIN("|",TRUE,GameLog[[#This Row],[Pod]],TEXT(INT(GameLog[[#This Row],[Round]]),"yyyymmdd"),GameLog[[#This Row],[Date]])</f>
        <v>4|19000102|46181</v>
      </c>
      <c r="H1625" s="6">
        <f>COUNTIF(GameLog[Pod ID],GameLog[[#This Row],[Pod ID]])</f>
        <v>4</v>
      </c>
      <c r="I1625" s="6">
        <f>YEAR(GameLog[[#This Row],[Date]])</f>
        <v>2026</v>
      </c>
      <c r="J1625" s="6">
        <f>MONTH(GameLog[[#This Row],[Date]])</f>
        <v>6</v>
      </c>
      <c r="K1625" s="6" t="str">
        <f>IF(GameLog[[#This Row],[Date]]=MAX(GameLog[Date]),"Current","Previous")</f>
        <v>Previous</v>
      </c>
      <c r="L1625" s="6"/>
      <c r="M16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5" s="6" t="str">
        <f ca="1">IF(GameLog[[#This Row],[Check]]="","",COUNTIF(GameLog[[#Headers],[Check]]:GameLog[[#This Row],[Check]],"?*")-1)</f>
        <v/>
      </c>
      <c r="O1625" s="6" t="str">
        <f>IFERROR(INDEX(Players[New name],MATCH(GameLog[[#This Row],[Player]],Players[Name],0)),GameLog[[#This Row],[Player]])</f>
        <v>Paul B</v>
      </c>
    </row>
    <row r="1626" spans="1:15" x14ac:dyDescent="0.45">
      <c r="A1626" s="6" t="s">
        <v>104</v>
      </c>
      <c r="B1626" s="6" t="s">
        <v>50</v>
      </c>
      <c r="C1626" s="6">
        <v>2</v>
      </c>
      <c r="D1626" s="6">
        <v>4</v>
      </c>
      <c r="E1626" s="6">
        <v>2</v>
      </c>
      <c r="F1626" s="10">
        <v>46181</v>
      </c>
      <c r="G1626" s="6" t="str">
        <f>_xlfn.TEXTJOIN("|",TRUE,GameLog[[#This Row],[Pod]],TEXT(INT(GameLog[[#This Row],[Round]]),"yyyymmdd"),GameLog[[#This Row],[Date]])</f>
        <v>4|19000102|46181</v>
      </c>
      <c r="H1626" s="6">
        <f>COUNTIF(GameLog[Pod ID],GameLog[[#This Row],[Pod ID]])</f>
        <v>4</v>
      </c>
      <c r="I1626" s="6">
        <f>YEAR(GameLog[[#This Row],[Date]])</f>
        <v>2026</v>
      </c>
      <c r="J1626" s="6">
        <f>MONTH(GameLog[[#This Row],[Date]])</f>
        <v>6</v>
      </c>
      <c r="K1626" s="6" t="str">
        <f>IF(GameLog[[#This Row],[Date]]=MAX(GameLog[Date]),"Current","Previous")</f>
        <v>Previous</v>
      </c>
      <c r="L1626" s="6"/>
      <c r="M16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6" s="6" t="str">
        <f ca="1">IF(GameLog[[#This Row],[Check]]="","",COUNTIF(GameLog[[#Headers],[Check]]:GameLog[[#This Row],[Check]],"?*")-1)</f>
        <v/>
      </c>
      <c r="O1626" s="6" t="str">
        <f>IFERROR(INDEX(Players[New name],MATCH(GameLog[[#This Row],[Player]],Players[Name],0)),GameLog[[#This Row],[Player]])</f>
        <v>Eric E</v>
      </c>
    </row>
    <row r="1627" spans="1:15" x14ac:dyDescent="0.45">
      <c r="A1627" s="6" t="s">
        <v>68</v>
      </c>
      <c r="B1627" s="6" t="s">
        <v>53</v>
      </c>
      <c r="C1627" s="6">
        <v>3</v>
      </c>
      <c r="D1627" s="6">
        <v>4</v>
      </c>
      <c r="E1627" s="6">
        <v>2</v>
      </c>
      <c r="F1627" s="10">
        <v>46181</v>
      </c>
      <c r="G1627" s="6" t="str">
        <f>_xlfn.TEXTJOIN("|",TRUE,GameLog[[#This Row],[Pod]],TEXT(INT(GameLog[[#This Row],[Round]]),"yyyymmdd"),GameLog[[#This Row],[Date]])</f>
        <v>4|19000102|46181</v>
      </c>
      <c r="H1627" s="6">
        <f>COUNTIF(GameLog[Pod ID],GameLog[[#This Row],[Pod ID]])</f>
        <v>4</v>
      </c>
      <c r="I1627" s="6">
        <f>YEAR(GameLog[[#This Row],[Date]])</f>
        <v>2026</v>
      </c>
      <c r="J1627" s="6">
        <f>MONTH(GameLog[[#This Row],[Date]])</f>
        <v>6</v>
      </c>
      <c r="K1627" s="6" t="str">
        <f>IF(GameLog[[#This Row],[Date]]=MAX(GameLog[Date]),"Current","Previous")</f>
        <v>Previous</v>
      </c>
      <c r="L1627" s="6"/>
      <c r="M16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7" s="6" t="str">
        <f ca="1">IF(GameLog[[#This Row],[Check]]="","",COUNTIF(GameLog[[#Headers],[Check]]:GameLog[[#This Row],[Check]],"?*")-1)</f>
        <v/>
      </c>
      <c r="O1627" s="6" t="str">
        <f>IFERROR(INDEX(Players[New name],MATCH(GameLog[[#This Row],[Player]],Players[Name],0)),GameLog[[#This Row],[Player]])</f>
        <v>Edwin M</v>
      </c>
    </row>
    <row r="1628" spans="1:15" x14ac:dyDescent="0.45">
      <c r="A1628" s="6" t="s">
        <v>70</v>
      </c>
      <c r="B1628" s="6" t="s">
        <v>53</v>
      </c>
      <c r="C1628" s="6">
        <v>4</v>
      </c>
      <c r="D1628" s="6">
        <v>4</v>
      </c>
      <c r="E1628" s="6">
        <v>2</v>
      </c>
      <c r="F1628" s="10">
        <v>46181</v>
      </c>
      <c r="G1628" s="6" t="str">
        <f>_xlfn.TEXTJOIN("|",TRUE,GameLog[[#This Row],[Pod]],TEXT(INT(GameLog[[#This Row],[Round]]),"yyyymmdd"),GameLog[[#This Row],[Date]])</f>
        <v>4|19000102|46181</v>
      </c>
      <c r="H1628" s="6">
        <f>COUNTIF(GameLog[Pod ID],GameLog[[#This Row],[Pod ID]])</f>
        <v>4</v>
      </c>
      <c r="I1628" s="6">
        <f>YEAR(GameLog[[#This Row],[Date]])</f>
        <v>2026</v>
      </c>
      <c r="J1628" s="6">
        <f>MONTH(GameLog[[#This Row],[Date]])</f>
        <v>6</v>
      </c>
      <c r="K1628" s="6" t="str">
        <f>IF(GameLog[[#This Row],[Date]]=MAX(GameLog[Date]),"Current","Previous")</f>
        <v>Previous</v>
      </c>
      <c r="L1628" s="6"/>
      <c r="M16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8" s="6" t="str">
        <f ca="1">IF(GameLog[[#This Row],[Check]]="","",COUNTIF(GameLog[[#Headers],[Check]]:GameLog[[#This Row],[Check]],"?*")-1)</f>
        <v/>
      </c>
      <c r="O1628" s="6" t="str">
        <f>IFERROR(INDEX(Players[New name],MATCH(GameLog[[#This Row],[Player]],Players[Name],0)),GameLog[[#This Row],[Player]])</f>
        <v>Brad F</v>
      </c>
    </row>
    <row r="1629" spans="1:15" x14ac:dyDescent="0.45">
      <c r="A1629" s="6" t="s">
        <v>74</v>
      </c>
      <c r="B1629" s="6" t="s">
        <v>53</v>
      </c>
      <c r="C1629" s="6">
        <v>1</v>
      </c>
      <c r="D1629" s="6">
        <v>5</v>
      </c>
      <c r="E1629" s="6">
        <v>2</v>
      </c>
      <c r="F1629" s="10">
        <v>46181</v>
      </c>
      <c r="G1629" s="6" t="str">
        <f>_xlfn.TEXTJOIN("|",TRUE,GameLog[[#This Row],[Pod]],TEXT(INT(GameLog[[#This Row],[Round]]),"yyyymmdd"),GameLog[[#This Row],[Date]])</f>
        <v>5|19000102|46181</v>
      </c>
      <c r="H1629" s="6">
        <f>COUNTIF(GameLog[Pod ID],GameLog[[#This Row],[Pod ID]])</f>
        <v>4</v>
      </c>
      <c r="I1629" s="6">
        <f>YEAR(GameLog[[#This Row],[Date]])</f>
        <v>2026</v>
      </c>
      <c r="J1629" s="6">
        <f>MONTH(GameLog[[#This Row],[Date]])</f>
        <v>6</v>
      </c>
      <c r="K1629" s="6" t="str">
        <f>IF(GameLog[[#This Row],[Date]]=MAX(GameLog[Date]),"Current","Previous")</f>
        <v>Previous</v>
      </c>
      <c r="L1629" s="6"/>
      <c r="M16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29" s="6" t="str">
        <f ca="1">IF(GameLog[[#This Row],[Check]]="","",COUNTIF(GameLog[[#Headers],[Check]]:GameLog[[#This Row],[Check]],"?*")-1)</f>
        <v/>
      </c>
      <c r="O1629" s="6" t="str">
        <f>IFERROR(INDEX(Players[New name],MATCH(GameLog[[#This Row],[Player]],Players[Name],0)),GameLog[[#This Row],[Player]])</f>
        <v>Jarrod O</v>
      </c>
    </row>
    <row r="1630" spans="1:15" x14ac:dyDescent="0.45">
      <c r="A1630" s="6" t="s">
        <v>55</v>
      </c>
      <c r="B1630" s="6" t="s">
        <v>50</v>
      </c>
      <c r="C1630" s="6">
        <v>2</v>
      </c>
      <c r="D1630" s="6">
        <v>5</v>
      </c>
      <c r="E1630" s="6">
        <v>2</v>
      </c>
      <c r="F1630" s="10">
        <v>46181</v>
      </c>
      <c r="G1630" s="6" t="str">
        <f>_xlfn.TEXTJOIN("|",TRUE,GameLog[[#This Row],[Pod]],TEXT(INT(GameLog[[#This Row],[Round]]),"yyyymmdd"),GameLog[[#This Row],[Date]])</f>
        <v>5|19000102|46181</v>
      </c>
      <c r="H1630" s="6">
        <f>COUNTIF(GameLog[Pod ID],GameLog[[#This Row],[Pod ID]])</f>
        <v>4</v>
      </c>
      <c r="I1630" s="6">
        <f>YEAR(GameLog[[#This Row],[Date]])</f>
        <v>2026</v>
      </c>
      <c r="J1630" s="6">
        <f>MONTH(GameLog[[#This Row],[Date]])</f>
        <v>6</v>
      </c>
      <c r="K1630" s="6" t="str">
        <f>IF(GameLog[[#This Row],[Date]]=MAX(GameLog[Date]),"Current","Previous")</f>
        <v>Previous</v>
      </c>
      <c r="L1630" s="6"/>
      <c r="M16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0" s="6" t="str">
        <f ca="1">IF(GameLog[[#This Row],[Check]]="","",COUNTIF(GameLog[[#Headers],[Check]]:GameLog[[#This Row],[Check]],"?*")-1)</f>
        <v/>
      </c>
      <c r="O1630" s="6" t="str">
        <f>IFERROR(INDEX(Players[New name],MATCH(GameLog[[#This Row],[Player]],Players[Name],0)),GameLog[[#This Row],[Player]])</f>
        <v>Bryce C</v>
      </c>
    </row>
    <row r="1631" spans="1:15" x14ac:dyDescent="0.45">
      <c r="A1631" s="6" t="s">
        <v>109</v>
      </c>
      <c r="B1631" s="6" t="s">
        <v>53</v>
      </c>
      <c r="C1631" s="6">
        <v>3</v>
      </c>
      <c r="D1631" s="6">
        <v>5</v>
      </c>
      <c r="E1631" s="6">
        <v>2</v>
      </c>
      <c r="F1631" s="10">
        <v>46181</v>
      </c>
      <c r="G1631" s="6" t="str">
        <f>_xlfn.TEXTJOIN("|",TRUE,GameLog[[#This Row],[Pod]],TEXT(INT(GameLog[[#This Row],[Round]]),"yyyymmdd"),GameLog[[#This Row],[Date]])</f>
        <v>5|19000102|46181</v>
      </c>
      <c r="H1631" s="6">
        <f>COUNTIF(GameLog[Pod ID],GameLog[[#This Row],[Pod ID]])</f>
        <v>4</v>
      </c>
      <c r="I1631" s="6">
        <f>YEAR(GameLog[[#This Row],[Date]])</f>
        <v>2026</v>
      </c>
      <c r="J1631" s="6">
        <f>MONTH(GameLog[[#This Row],[Date]])</f>
        <v>6</v>
      </c>
      <c r="K1631" s="6" t="str">
        <f>IF(GameLog[[#This Row],[Date]]=MAX(GameLog[Date]),"Current","Previous")</f>
        <v>Previous</v>
      </c>
      <c r="L1631" s="6"/>
      <c r="M16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1" s="6" t="str">
        <f ca="1">IF(GameLog[[#This Row],[Check]]="","",COUNTIF(GameLog[[#Headers],[Check]]:GameLog[[#This Row],[Check]],"?*")-1)</f>
        <v/>
      </c>
      <c r="O1631" s="6" t="str">
        <f>IFERROR(INDEX(Players[New name],MATCH(GameLog[[#This Row],[Player]],Players[Name],0)),GameLog[[#This Row],[Player]])</f>
        <v>Taylor C</v>
      </c>
    </row>
    <row r="1632" spans="1:15" x14ac:dyDescent="0.45">
      <c r="A1632" s="6" t="s">
        <v>112</v>
      </c>
      <c r="B1632" s="6" t="s">
        <v>53</v>
      </c>
      <c r="C1632" s="6">
        <v>4</v>
      </c>
      <c r="D1632" s="6">
        <v>5</v>
      </c>
      <c r="E1632" s="6">
        <v>2</v>
      </c>
      <c r="F1632" s="10">
        <v>46181</v>
      </c>
      <c r="G1632" s="6" t="str">
        <f>_xlfn.TEXTJOIN("|",TRUE,GameLog[[#This Row],[Pod]],TEXT(INT(GameLog[[#This Row],[Round]]),"yyyymmdd"),GameLog[[#This Row],[Date]])</f>
        <v>5|19000102|46181</v>
      </c>
      <c r="H1632" s="6">
        <f>COUNTIF(GameLog[Pod ID],GameLog[[#This Row],[Pod ID]])</f>
        <v>4</v>
      </c>
      <c r="I1632" s="6">
        <f>YEAR(GameLog[[#This Row],[Date]])</f>
        <v>2026</v>
      </c>
      <c r="J1632" s="6">
        <f>MONTH(GameLog[[#This Row],[Date]])</f>
        <v>6</v>
      </c>
      <c r="K1632" s="6" t="str">
        <f>IF(GameLog[[#This Row],[Date]]=MAX(GameLog[Date]),"Current","Previous")</f>
        <v>Previous</v>
      </c>
      <c r="L1632" s="6"/>
      <c r="M16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2" s="6" t="str">
        <f ca="1">IF(GameLog[[#This Row],[Check]]="","",COUNTIF(GameLog[[#Headers],[Check]]:GameLog[[#This Row],[Check]],"?*")-1)</f>
        <v/>
      </c>
      <c r="O1632" s="6" t="str">
        <f>IFERROR(INDEX(Players[New name],MATCH(GameLog[[#This Row],[Player]],Players[Name],0)),GameLog[[#This Row],[Player]])</f>
        <v>Savi</v>
      </c>
    </row>
    <row r="1633" spans="1:15" x14ac:dyDescent="0.45">
      <c r="A1633" s="6" t="s">
        <v>71</v>
      </c>
      <c r="B1633" s="6" t="s">
        <v>53</v>
      </c>
      <c r="C1633" s="6">
        <v>1</v>
      </c>
      <c r="D1633" s="6">
        <v>1</v>
      </c>
      <c r="E1633" s="6">
        <v>1</v>
      </c>
      <c r="F1633" s="10">
        <v>46188</v>
      </c>
      <c r="G1633" s="6" t="str">
        <f>_xlfn.TEXTJOIN("|",TRUE,GameLog[[#This Row],[Pod]],TEXT(INT(GameLog[[#This Row],[Round]]),"yyyymmdd"),GameLog[[#This Row],[Date]])</f>
        <v>1|19000101|46188</v>
      </c>
      <c r="H1633" s="6">
        <f>COUNTIF(GameLog[Pod ID],GameLog[[#This Row],[Pod ID]])</f>
        <v>4</v>
      </c>
      <c r="I1633" s="6">
        <f>YEAR(GameLog[[#This Row],[Date]])</f>
        <v>2026</v>
      </c>
      <c r="J1633" s="6">
        <f>MONTH(GameLog[[#This Row],[Date]])</f>
        <v>6</v>
      </c>
      <c r="K1633" s="6" t="str">
        <f>IF(GameLog[[#This Row],[Date]]=MAX(GameLog[Date]),"Current","Previous")</f>
        <v>Previous</v>
      </c>
      <c r="L1633" s="6"/>
      <c r="M16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3" s="6" t="str">
        <f ca="1">IF(GameLog[[#This Row],[Check]]="","",COUNTIF(GameLog[[#Headers],[Check]]:GameLog[[#This Row],[Check]],"?*")-1)</f>
        <v/>
      </c>
      <c r="O1633" s="6" t="str">
        <f>IFERROR(INDEX(Players[New name],MATCH(GameLog[[#This Row],[Player]],Players[Name],0)),GameLog[[#This Row],[Player]])</f>
        <v>Rodney Y</v>
      </c>
    </row>
    <row r="1634" spans="1:15" x14ac:dyDescent="0.45">
      <c r="A1634" s="6" t="s">
        <v>96</v>
      </c>
      <c r="B1634" s="6" t="s">
        <v>53</v>
      </c>
      <c r="C1634" s="6">
        <v>2</v>
      </c>
      <c r="D1634" s="6">
        <v>1</v>
      </c>
      <c r="E1634" s="6">
        <v>1</v>
      </c>
      <c r="F1634" s="10">
        <v>46188</v>
      </c>
      <c r="G1634" s="6" t="str">
        <f>_xlfn.TEXTJOIN("|",TRUE,GameLog[[#This Row],[Pod]],TEXT(INT(GameLog[[#This Row],[Round]]),"yyyymmdd"),GameLog[[#This Row],[Date]])</f>
        <v>1|19000101|46188</v>
      </c>
      <c r="H1634" s="6">
        <f>COUNTIF(GameLog[Pod ID],GameLog[[#This Row],[Pod ID]])</f>
        <v>4</v>
      </c>
      <c r="I1634" s="6">
        <f>YEAR(GameLog[[#This Row],[Date]])</f>
        <v>2026</v>
      </c>
      <c r="J1634" s="6">
        <f>MONTH(GameLog[[#This Row],[Date]])</f>
        <v>6</v>
      </c>
      <c r="K1634" s="6" t="str">
        <f>IF(GameLog[[#This Row],[Date]]=MAX(GameLog[Date]),"Current","Previous")</f>
        <v>Previous</v>
      </c>
      <c r="L1634" s="6"/>
      <c r="M16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4" s="6" t="str">
        <f ca="1">IF(GameLog[[#This Row],[Check]]="","",COUNTIF(GameLog[[#Headers],[Check]]:GameLog[[#This Row],[Check]],"?*")-1)</f>
        <v/>
      </c>
      <c r="O1634" s="6" t="str">
        <f>IFERROR(INDEX(Players[New name],MATCH(GameLog[[#This Row],[Player]],Players[Name],0)),GameLog[[#This Row],[Player]])</f>
        <v>Brandon A</v>
      </c>
    </row>
    <row r="1635" spans="1:15" x14ac:dyDescent="0.45">
      <c r="A1635" s="6" t="s">
        <v>68</v>
      </c>
      <c r="B1635" s="6" t="s">
        <v>50</v>
      </c>
      <c r="C1635" s="6">
        <v>3</v>
      </c>
      <c r="D1635" s="6">
        <v>1</v>
      </c>
      <c r="E1635" s="6">
        <v>1</v>
      </c>
      <c r="F1635" s="10">
        <v>46188</v>
      </c>
      <c r="G1635" s="6" t="str">
        <f>_xlfn.TEXTJOIN("|",TRUE,GameLog[[#This Row],[Pod]],TEXT(INT(GameLog[[#This Row],[Round]]),"yyyymmdd"),GameLog[[#This Row],[Date]])</f>
        <v>1|19000101|46188</v>
      </c>
      <c r="H1635" s="6">
        <f>COUNTIF(GameLog[Pod ID],GameLog[[#This Row],[Pod ID]])</f>
        <v>4</v>
      </c>
      <c r="I1635" s="6">
        <f>YEAR(GameLog[[#This Row],[Date]])</f>
        <v>2026</v>
      </c>
      <c r="J1635" s="6">
        <f>MONTH(GameLog[[#This Row],[Date]])</f>
        <v>6</v>
      </c>
      <c r="K1635" s="6" t="str">
        <f>IF(GameLog[[#This Row],[Date]]=MAX(GameLog[Date]),"Current","Previous")</f>
        <v>Previous</v>
      </c>
      <c r="L1635" s="6"/>
      <c r="M16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5" s="6" t="str">
        <f ca="1">IF(GameLog[[#This Row],[Check]]="","",COUNTIF(GameLog[[#Headers],[Check]]:GameLog[[#This Row],[Check]],"?*")-1)</f>
        <v/>
      </c>
      <c r="O1635" s="6" t="str">
        <f>IFERROR(INDEX(Players[New name],MATCH(GameLog[[#This Row],[Player]],Players[Name],0)),GameLog[[#This Row],[Player]])</f>
        <v>Edwin M</v>
      </c>
    </row>
    <row r="1636" spans="1:15" x14ac:dyDescent="0.45">
      <c r="A1636" s="6" t="s">
        <v>113</v>
      </c>
      <c r="B1636" s="6" t="s">
        <v>53</v>
      </c>
      <c r="C1636" s="6">
        <v>4</v>
      </c>
      <c r="D1636" s="6">
        <v>1</v>
      </c>
      <c r="E1636" s="6">
        <v>1</v>
      </c>
      <c r="F1636" s="10">
        <v>46188</v>
      </c>
      <c r="G1636" s="6" t="str">
        <f>_xlfn.TEXTJOIN("|",TRUE,GameLog[[#This Row],[Pod]],TEXT(INT(GameLog[[#This Row],[Round]]),"yyyymmdd"),GameLog[[#This Row],[Date]])</f>
        <v>1|19000101|46188</v>
      </c>
      <c r="H1636" s="6">
        <f>COUNTIF(GameLog[Pod ID],GameLog[[#This Row],[Pod ID]])</f>
        <v>4</v>
      </c>
      <c r="I1636" s="6">
        <f>YEAR(GameLog[[#This Row],[Date]])</f>
        <v>2026</v>
      </c>
      <c r="J1636" s="6">
        <f>MONTH(GameLog[[#This Row],[Date]])</f>
        <v>6</v>
      </c>
      <c r="K1636" s="6" t="str">
        <f>IF(GameLog[[#This Row],[Date]]=MAX(GameLog[Date]),"Current","Previous")</f>
        <v>Previous</v>
      </c>
      <c r="L1636" s="6"/>
      <c r="M16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6" s="6" t="str">
        <f ca="1">IF(GameLog[[#This Row],[Check]]="","",COUNTIF(GameLog[[#Headers],[Check]]:GameLog[[#This Row],[Check]],"?*")-1)</f>
        <v/>
      </c>
      <c r="O1636" s="6" t="str">
        <f>IFERROR(INDEX(Players[New name],MATCH(GameLog[[#This Row],[Player]],Players[Name],0)),GameLog[[#This Row],[Player]])</f>
        <v>Gavin J</v>
      </c>
    </row>
    <row r="1637" spans="1:15" x14ac:dyDescent="0.45">
      <c r="A1637" s="6" t="s">
        <v>98</v>
      </c>
      <c r="B1637" s="6" t="s">
        <v>90</v>
      </c>
      <c r="C1637" s="6">
        <v>1</v>
      </c>
      <c r="D1637" s="6">
        <v>2</v>
      </c>
      <c r="E1637" s="6">
        <v>1</v>
      </c>
      <c r="F1637" s="10">
        <v>46188</v>
      </c>
      <c r="G1637" s="6" t="str">
        <f>_xlfn.TEXTJOIN("|",TRUE,GameLog[[#This Row],[Pod]],TEXT(INT(GameLog[[#This Row],[Round]]),"yyyymmdd"),GameLog[[#This Row],[Date]])</f>
        <v>2|19000101|46188</v>
      </c>
      <c r="H1637" s="6">
        <f>COUNTIF(GameLog[Pod ID],GameLog[[#This Row],[Pod ID]])</f>
        <v>4</v>
      </c>
      <c r="I1637" s="6">
        <f>YEAR(GameLog[[#This Row],[Date]])</f>
        <v>2026</v>
      </c>
      <c r="J1637" s="6">
        <f>MONTH(GameLog[[#This Row],[Date]])</f>
        <v>6</v>
      </c>
      <c r="K1637" s="6" t="str">
        <f>IF(GameLog[[#This Row],[Date]]=MAX(GameLog[Date]),"Current","Previous")</f>
        <v>Previous</v>
      </c>
      <c r="L1637" s="6"/>
      <c r="M16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7" s="6" t="str">
        <f ca="1">IF(GameLog[[#This Row],[Check]]="","",COUNTIF(GameLog[[#Headers],[Check]]:GameLog[[#This Row],[Check]],"?*")-1)</f>
        <v/>
      </c>
      <c r="O1637" s="6" t="str">
        <f>IFERROR(INDEX(Players[New name],MATCH(GameLog[[#This Row],[Player]],Players[Name],0)),GameLog[[#This Row],[Player]])</f>
        <v>Charlie B</v>
      </c>
    </row>
    <row r="1638" spans="1:15" x14ac:dyDescent="0.45">
      <c r="A1638" s="6" t="s">
        <v>56</v>
      </c>
      <c r="B1638" s="6" t="s">
        <v>90</v>
      </c>
      <c r="C1638" s="6">
        <v>2</v>
      </c>
      <c r="D1638" s="6">
        <v>2</v>
      </c>
      <c r="E1638" s="6">
        <v>1</v>
      </c>
      <c r="F1638" s="10">
        <v>46188</v>
      </c>
      <c r="G1638" s="6" t="str">
        <f>_xlfn.TEXTJOIN("|",TRUE,GameLog[[#This Row],[Pod]],TEXT(INT(GameLog[[#This Row],[Round]]),"yyyymmdd"),GameLog[[#This Row],[Date]])</f>
        <v>2|19000101|46188</v>
      </c>
      <c r="H1638" s="6">
        <f>COUNTIF(GameLog[Pod ID],GameLog[[#This Row],[Pod ID]])</f>
        <v>4</v>
      </c>
      <c r="I1638" s="6">
        <f>YEAR(GameLog[[#This Row],[Date]])</f>
        <v>2026</v>
      </c>
      <c r="J1638" s="6">
        <f>MONTH(GameLog[[#This Row],[Date]])</f>
        <v>6</v>
      </c>
      <c r="K1638" s="6" t="str">
        <f>IF(GameLog[[#This Row],[Date]]=MAX(GameLog[Date]),"Current","Previous")</f>
        <v>Previous</v>
      </c>
      <c r="L1638" s="6"/>
      <c r="M16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8" s="6" t="str">
        <f ca="1">IF(GameLog[[#This Row],[Check]]="","",COUNTIF(GameLog[[#Headers],[Check]]:GameLog[[#This Row],[Check]],"?*")-1)</f>
        <v/>
      </c>
      <c r="O1638" s="6" t="str">
        <f>IFERROR(INDEX(Players[New name],MATCH(GameLog[[#This Row],[Player]],Players[Name],0)),GameLog[[#This Row],[Player]])</f>
        <v>Mark D</v>
      </c>
    </row>
    <row r="1639" spans="1:15" x14ac:dyDescent="0.45">
      <c r="A1639" s="6" t="s">
        <v>55</v>
      </c>
      <c r="B1639" s="6" t="s">
        <v>90</v>
      </c>
      <c r="C1639" s="6">
        <v>3</v>
      </c>
      <c r="D1639" s="6">
        <v>2</v>
      </c>
      <c r="E1639" s="6">
        <v>1</v>
      </c>
      <c r="F1639" s="10">
        <v>46188</v>
      </c>
      <c r="G1639" s="6" t="str">
        <f>_xlfn.TEXTJOIN("|",TRUE,GameLog[[#This Row],[Pod]],TEXT(INT(GameLog[[#This Row],[Round]]),"yyyymmdd"),GameLog[[#This Row],[Date]])</f>
        <v>2|19000101|46188</v>
      </c>
      <c r="H1639" s="6">
        <f>COUNTIF(GameLog[Pod ID],GameLog[[#This Row],[Pod ID]])</f>
        <v>4</v>
      </c>
      <c r="I1639" s="6">
        <f>YEAR(GameLog[[#This Row],[Date]])</f>
        <v>2026</v>
      </c>
      <c r="J1639" s="6">
        <f>MONTH(GameLog[[#This Row],[Date]])</f>
        <v>6</v>
      </c>
      <c r="K1639" s="6" t="str">
        <f>IF(GameLog[[#This Row],[Date]]=MAX(GameLog[Date]),"Current","Previous")</f>
        <v>Previous</v>
      </c>
      <c r="L1639" s="6"/>
      <c r="M16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39" s="6" t="str">
        <f ca="1">IF(GameLog[[#This Row],[Check]]="","",COUNTIF(GameLog[[#Headers],[Check]]:GameLog[[#This Row],[Check]],"?*")-1)</f>
        <v/>
      </c>
      <c r="O1639" s="6" t="str">
        <f>IFERROR(INDEX(Players[New name],MATCH(GameLog[[#This Row],[Player]],Players[Name],0)),GameLog[[#This Row],[Player]])</f>
        <v>Bryce C</v>
      </c>
    </row>
    <row r="1640" spans="1:15" x14ac:dyDescent="0.45">
      <c r="A1640" s="6" t="s">
        <v>49</v>
      </c>
      <c r="B1640" s="6" t="s">
        <v>90</v>
      </c>
      <c r="C1640" s="6">
        <v>4</v>
      </c>
      <c r="D1640" s="6">
        <v>2</v>
      </c>
      <c r="E1640" s="6">
        <v>1</v>
      </c>
      <c r="F1640" s="10">
        <v>46188</v>
      </c>
      <c r="G1640" s="6" t="str">
        <f>_xlfn.TEXTJOIN("|",TRUE,GameLog[[#This Row],[Pod]],TEXT(INT(GameLog[[#This Row],[Round]]),"yyyymmdd"),GameLog[[#This Row],[Date]])</f>
        <v>2|19000101|46188</v>
      </c>
      <c r="H1640" s="6">
        <f>COUNTIF(GameLog[Pod ID],GameLog[[#This Row],[Pod ID]])</f>
        <v>4</v>
      </c>
      <c r="I1640" s="6">
        <f>YEAR(GameLog[[#This Row],[Date]])</f>
        <v>2026</v>
      </c>
      <c r="J1640" s="6">
        <f>MONTH(GameLog[[#This Row],[Date]])</f>
        <v>6</v>
      </c>
      <c r="K1640" s="6" t="str">
        <f>IF(GameLog[[#This Row],[Date]]=MAX(GameLog[Date]),"Current","Previous")</f>
        <v>Previous</v>
      </c>
      <c r="L1640" s="6"/>
      <c r="M16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0" s="6" t="str">
        <f ca="1">IF(GameLog[[#This Row],[Check]]="","",COUNTIF(GameLog[[#Headers],[Check]]:GameLog[[#This Row],[Check]],"?*")-1)</f>
        <v/>
      </c>
      <c r="O1640" s="6" t="str">
        <f>IFERROR(INDEX(Players[New name],MATCH(GameLog[[#This Row],[Player]],Players[Name],0)),GameLog[[#This Row],[Player]])</f>
        <v>Brett R</v>
      </c>
    </row>
    <row r="1641" spans="1:15" x14ac:dyDescent="0.45">
      <c r="A1641" s="6" t="s">
        <v>75</v>
      </c>
      <c r="B1641" s="6" t="s">
        <v>53</v>
      </c>
      <c r="C1641" s="6">
        <v>1</v>
      </c>
      <c r="D1641" s="6">
        <v>3</v>
      </c>
      <c r="E1641" s="6">
        <v>1</v>
      </c>
      <c r="F1641" s="10">
        <v>46188</v>
      </c>
      <c r="G1641" s="6" t="str">
        <f>_xlfn.TEXTJOIN("|",TRUE,GameLog[[#This Row],[Pod]],TEXT(INT(GameLog[[#This Row],[Round]]),"yyyymmdd"),GameLog[[#This Row],[Date]])</f>
        <v>3|19000101|46188</v>
      </c>
      <c r="H1641" s="6">
        <f>COUNTIF(GameLog[Pod ID],GameLog[[#This Row],[Pod ID]])</f>
        <v>4</v>
      </c>
      <c r="I1641" s="6">
        <f>YEAR(GameLog[[#This Row],[Date]])</f>
        <v>2026</v>
      </c>
      <c r="J1641" s="6">
        <f>MONTH(GameLog[[#This Row],[Date]])</f>
        <v>6</v>
      </c>
      <c r="K1641" s="6" t="str">
        <f>IF(GameLog[[#This Row],[Date]]=MAX(GameLog[Date]),"Current","Previous")</f>
        <v>Previous</v>
      </c>
      <c r="L1641" s="6"/>
      <c r="M16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1" s="6" t="str">
        <f ca="1">IF(GameLog[[#This Row],[Check]]="","",COUNTIF(GameLog[[#Headers],[Check]]:GameLog[[#This Row],[Check]],"?*")-1)</f>
        <v/>
      </c>
      <c r="O1641" s="6" t="str">
        <f>IFERROR(INDEX(Players[New name],MATCH(GameLog[[#This Row],[Player]],Players[Name],0)),GameLog[[#This Row],[Player]])</f>
        <v>Eli T</v>
      </c>
    </row>
    <row r="1642" spans="1:15" x14ac:dyDescent="0.45">
      <c r="A1642" s="6" t="s">
        <v>70</v>
      </c>
      <c r="B1642" s="6" t="s">
        <v>53</v>
      </c>
      <c r="C1642" s="6">
        <v>2</v>
      </c>
      <c r="D1642" s="6">
        <v>3</v>
      </c>
      <c r="E1642" s="6">
        <v>1</v>
      </c>
      <c r="F1642" s="10">
        <v>46188</v>
      </c>
      <c r="G1642" s="6" t="str">
        <f>_xlfn.TEXTJOIN("|",TRUE,GameLog[[#This Row],[Pod]],TEXT(INT(GameLog[[#This Row],[Round]]),"yyyymmdd"),GameLog[[#This Row],[Date]])</f>
        <v>3|19000101|46188</v>
      </c>
      <c r="H1642" s="6">
        <f>COUNTIF(GameLog[Pod ID],GameLog[[#This Row],[Pod ID]])</f>
        <v>4</v>
      </c>
      <c r="I1642" s="6">
        <f>YEAR(GameLog[[#This Row],[Date]])</f>
        <v>2026</v>
      </c>
      <c r="J1642" s="6">
        <f>MONTH(GameLog[[#This Row],[Date]])</f>
        <v>6</v>
      </c>
      <c r="K1642" s="6" t="str">
        <f>IF(GameLog[[#This Row],[Date]]=MAX(GameLog[Date]),"Current","Previous")</f>
        <v>Previous</v>
      </c>
      <c r="L1642" s="6"/>
      <c r="M16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2" s="6" t="str">
        <f ca="1">IF(GameLog[[#This Row],[Check]]="","",COUNTIF(GameLog[[#Headers],[Check]]:GameLog[[#This Row],[Check]],"?*")-1)</f>
        <v/>
      </c>
      <c r="O1642" s="6" t="str">
        <f>IFERROR(INDEX(Players[New name],MATCH(GameLog[[#This Row],[Player]],Players[Name],0)),GameLog[[#This Row],[Player]])</f>
        <v>Brad F</v>
      </c>
    </row>
    <row r="1643" spans="1:15" x14ac:dyDescent="0.45">
      <c r="A1643" s="6" t="s">
        <v>107</v>
      </c>
      <c r="B1643" s="6" t="s">
        <v>53</v>
      </c>
      <c r="C1643" s="6">
        <v>3</v>
      </c>
      <c r="D1643" s="6">
        <v>3</v>
      </c>
      <c r="E1643" s="6">
        <v>1</v>
      </c>
      <c r="F1643" s="10">
        <v>46188</v>
      </c>
      <c r="G1643" s="6" t="str">
        <f>_xlfn.TEXTJOIN("|",TRUE,GameLog[[#This Row],[Pod]],TEXT(INT(GameLog[[#This Row],[Round]]),"yyyymmdd"),GameLog[[#This Row],[Date]])</f>
        <v>3|19000101|46188</v>
      </c>
      <c r="H1643" s="6">
        <f>COUNTIF(GameLog[Pod ID],GameLog[[#This Row],[Pod ID]])</f>
        <v>4</v>
      </c>
      <c r="I1643" s="6">
        <f>YEAR(GameLog[[#This Row],[Date]])</f>
        <v>2026</v>
      </c>
      <c r="J1643" s="6">
        <f>MONTH(GameLog[[#This Row],[Date]])</f>
        <v>6</v>
      </c>
      <c r="K1643" s="6" t="str">
        <f>IF(GameLog[[#This Row],[Date]]=MAX(GameLog[Date]),"Current","Previous")</f>
        <v>Previous</v>
      </c>
      <c r="L1643" s="6"/>
      <c r="M16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3" s="6" t="str">
        <f ca="1">IF(GameLog[[#This Row],[Check]]="","",COUNTIF(GameLog[[#Headers],[Check]]:GameLog[[#This Row],[Check]],"?*")-1)</f>
        <v/>
      </c>
      <c r="O1643" s="6" t="str">
        <f>IFERROR(INDEX(Players[New name],MATCH(GameLog[[#This Row],[Player]],Players[Name],0)),GameLog[[#This Row],[Player]])</f>
        <v>Lee C</v>
      </c>
    </row>
    <row r="1644" spans="1:15" x14ac:dyDescent="0.45">
      <c r="A1644" s="6" t="s">
        <v>57</v>
      </c>
      <c r="B1644" s="6" t="s">
        <v>50</v>
      </c>
      <c r="C1644" s="6">
        <v>4</v>
      </c>
      <c r="D1644" s="6">
        <v>3</v>
      </c>
      <c r="E1644" s="6">
        <v>1</v>
      </c>
      <c r="F1644" s="10">
        <v>46188</v>
      </c>
      <c r="G1644" s="6" t="str">
        <f>_xlfn.TEXTJOIN("|",TRUE,GameLog[[#This Row],[Pod]],TEXT(INT(GameLog[[#This Row],[Round]]),"yyyymmdd"),GameLog[[#This Row],[Date]])</f>
        <v>3|19000101|46188</v>
      </c>
      <c r="H1644" s="6">
        <f>COUNTIF(GameLog[Pod ID],GameLog[[#This Row],[Pod ID]])</f>
        <v>4</v>
      </c>
      <c r="I1644" s="6">
        <f>YEAR(GameLog[[#This Row],[Date]])</f>
        <v>2026</v>
      </c>
      <c r="J1644" s="6">
        <f>MONTH(GameLog[[#This Row],[Date]])</f>
        <v>6</v>
      </c>
      <c r="K1644" s="6" t="str">
        <f>IF(GameLog[[#This Row],[Date]]=MAX(GameLog[Date]),"Current","Previous")</f>
        <v>Previous</v>
      </c>
      <c r="L1644" s="6"/>
      <c r="M16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4" s="6" t="str">
        <f ca="1">IF(GameLog[[#This Row],[Check]]="","",COUNTIF(GameLog[[#Headers],[Check]]:GameLog[[#This Row],[Check]],"?*")-1)</f>
        <v/>
      </c>
      <c r="O1644" s="6" t="str">
        <f>IFERROR(INDEX(Players[New name],MATCH(GameLog[[#This Row],[Player]],Players[Name],0)),GameLog[[#This Row],[Player]])</f>
        <v>AJ W</v>
      </c>
    </row>
    <row r="1645" spans="1:15" x14ac:dyDescent="0.45">
      <c r="A1645" s="6" t="s">
        <v>59</v>
      </c>
      <c r="B1645" s="6" t="s">
        <v>53</v>
      </c>
      <c r="C1645" s="6">
        <v>1</v>
      </c>
      <c r="D1645" s="6">
        <v>4</v>
      </c>
      <c r="E1645" s="6">
        <v>1</v>
      </c>
      <c r="F1645" s="10">
        <v>46188</v>
      </c>
      <c r="G1645" s="6" t="str">
        <f>_xlfn.TEXTJOIN("|",TRUE,GameLog[[#This Row],[Pod]],TEXT(INT(GameLog[[#This Row],[Round]]),"yyyymmdd"),GameLog[[#This Row],[Date]])</f>
        <v>4|19000101|46188</v>
      </c>
      <c r="H1645" s="6">
        <f>COUNTIF(GameLog[Pod ID],GameLog[[#This Row],[Pod ID]])</f>
        <v>4</v>
      </c>
      <c r="I1645" s="6">
        <f>YEAR(GameLog[[#This Row],[Date]])</f>
        <v>2026</v>
      </c>
      <c r="J1645" s="6">
        <f>MONTH(GameLog[[#This Row],[Date]])</f>
        <v>6</v>
      </c>
      <c r="K1645" s="6" t="str">
        <f>IF(GameLog[[#This Row],[Date]]=MAX(GameLog[Date]),"Current","Previous")</f>
        <v>Previous</v>
      </c>
      <c r="L1645" s="6"/>
      <c r="M16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5" s="6" t="str">
        <f ca="1">IF(GameLog[[#This Row],[Check]]="","",COUNTIF(GameLog[[#Headers],[Check]]:GameLog[[#This Row],[Check]],"?*")-1)</f>
        <v/>
      </c>
      <c r="O1645" s="6" t="str">
        <f>IFERROR(INDEX(Players[New name],MATCH(GameLog[[#This Row],[Player]],Players[Name],0)),GameLog[[#This Row],[Player]])</f>
        <v>Zack B</v>
      </c>
    </row>
    <row r="1646" spans="1:15" x14ac:dyDescent="0.45">
      <c r="A1646" s="6" t="s">
        <v>61</v>
      </c>
      <c r="B1646" s="6" t="s">
        <v>50</v>
      </c>
      <c r="C1646" s="6">
        <v>2</v>
      </c>
      <c r="D1646" s="6">
        <v>4</v>
      </c>
      <c r="E1646" s="6">
        <v>1</v>
      </c>
      <c r="F1646" s="10">
        <v>46188</v>
      </c>
      <c r="G1646" s="6" t="str">
        <f>_xlfn.TEXTJOIN("|",TRUE,GameLog[[#This Row],[Pod]],TEXT(INT(GameLog[[#This Row],[Round]]),"yyyymmdd"),GameLog[[#This Row],[Date]])</f>
        <v>4|19000101|46188</v>
      </c>
      <c r="H1646" s="6">
        <f>COUNTIF(GameLog[Pod ID],GameLog[[#This Row],[Pod ID]])</f>
        <v>4</v>
      </c>
      <c r="I1646" s="6">
        <f>YEAR(GameLog[[#This Row],[Date]])</f>
        <v>2026</v>
      </c>
      <c r="J1646" s="6">
        <f>MONTH(GameLog[[#This Row],[Date]])</f>
        <v>6</v>
      </c>
      <c r="K1646" s="6" t="str">
        <f>IF(GameLog[[#This Row],[Date]]=MAX(GameLog[Date]),"Current","Previous")</f>
        <v>Previous</v>
      </c>
      <c r="L1646" s="6"/>
      <c r="M16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6" s="6" t="str">
        <f ca="1">IF(GameLog[[#This Row],[Check]]="","",COUNTIF(GameLog[[#Headers],[Check]]:GameLog[[#This Row],[Check]],"?*")-1)</f>
        <v/>
      </c>
      <c r="O1646" s="6" t="str">
        <f>IFERROR(INDEX(Players[New name],MATCH(GameLog[[#This Row],[Player]],Players[Name],0)),GameLog[[#This Row],[Player]])</f>
        <v>Trevor</v>
      </c>
    </row>
    <row r="1647" spans="1:15" x14ac:dyDescent="0.45">
      <c r="A1647" s="6" t="s">
        <v>102</v>
      </c>
      <c r="B1647" s="6" t="s">
        <v>53</v>
      </c>
      <c r="C1647" s="6">
        <v>3</v>
      </c>
      <c r="D1647" s="6">
        <v>4</v>
      </c>
      <c r="E1647" s="6">
        <v>1</v>
      </c>
      <c r="F1647" s="10">
        <v>46188</v>
      </c>
      <c r="G1647" s="6" t="str">
        <f>_xlfn.TEXTJOIN("|",TRUE,GameLog[[#This Row],[Pod]],TEXT(INT(GameLog[[#This Row],[Round]]),"yyyymmdd"),GameLog[[#This Row],[Date]])</f>
        <v>4|19000101|46188</v>
      </c>
      <c r="H1647" s="6">
        <f>COUNTIF(GameLog[Pod ID],GameLog[[#This Row],[Pod ID]])</f>
        <v>4</v>
      </c>
      <c r="I1647" s="6">
        <f>YEAR(GameLog[[#This Row],[Date]])</f>
        <v>2026</v>
      </c>
      <c r="J1647" s="6">
        <f>MONTH(GameLog[[#This Row],[Date]])</f>
        <v>6</v>
      </c>
      <c r="K1647" s="6" t="str">
        <f>IF(GameLog[[#This Row],[Date]]=MAX(GameLog[Date]),"Current","Previous")</f>
        <v>Previous</v>
      </c>
      <c r="L1647" s="6"/>
      <c r="M16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7" s="6" t="str">
        <f ca="1">IF(GameLog[[#This Row],[Check]]="","",COUNTIF(GameLog[[#Headers],[Check]]:GameLog[[#This Row],[Check]],"?*")-1)</f>
        <v/>
      </c>
      <c r="O1647" s="6" t="str">
        <f>IFERROR(INDEX(Players[New name],MATCH(GameLog[[#This Row],[Player]],Players[Name],0)),GameLog[[#This Row],[Player]])</f>
        <v>Sage</v>
      </c>
    </row>
    <row r="1648" spans="1:15" x14ac:dyDescent="0.45">
      <c r="A1648" s="6" t="s">
        <v>104</v>
      </c>
      <c r="B1648" s="6" t="s">
        <v>53</v>
      </c>
      <c r="C1648" s="6">
        <v>4</v>
      </c>
      <c r="D1648" s="6">
        <v>4</v>
      </c>
      <c r="E1648" s="6">
        <v>1</v>
      </c>
      <c r="F1648" s="10">
        <v>46188</v>
      </c>
      <c r="G1648" s="6" t="str">
        <f>_xlfn.TEXTJOIN("|",TRUE,GameLog[[#This Row],[Pod]],TEXT(INT(GameLog[[#This Row],[Round]]),"yyyymmdd"),GameLog[[#This Row],[Date]])</f>
        <v>4|19000101|46188</v>
      </c>
      <c r="H1648" s="6">
        <f>COUNTIF(GameLog[Pod ID],GameLog[[#This Row],[Pod ID]])</f>
        <v>4</v>
      </c>
      <c r="I1648" s="6">
        <f>YEAR(GameLog[[#This Row],[Date]])</f>
        <v>2026</v>
      </c>
      <c r="J1648" s="6">
        <f>MONTH(GameLog[[#This Row],[Date]])</f>
        <v>6</v>
      </c>
      <c r="K1648" s="6" t="str">
        <f>IF(GameLog[[#This Row],[Date]]=MAX(GameLog[Date]),"Current","Previous")</f>
        <v>Previous</v>
      </c>
      <c r="L1648" s="6"/>
      <c r="M16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8" s="6" t="str">
        <f ca="1">IF(GameLog[[#This Row],[Check]]="","",COUNTIF(GameLog[[#Headers],[Check]]:GameLog[[#This Row],[Check]],"?*")-1)</f>
        <v/>
      </c>
      <c r="O1648" s="6" t="str">
        <f>IFERROR(INDEX(Players[New name],MATCH(GameLog[[#This Row],[Player]],Players[Name],0)),GameLog[[#This Row],[Player]])</f>
        <v>Eric E</v>
      </c>
    </row>
    <row r="1649" spans="1:15" x14ac:dyDescent="0.45">
      <c r="A1649" s="6" t="s">
        <v>109</v>
      </c>
      <c r="B1649" s="6" t="s">
        <v>50</v>
      </c>
      <c r="C1649" s="6">
        <v>1</v>
      </c>
      <c r="D1649" s="6">
        <v>5</v>
      </c>
      <c r="E1649" s="6">
        <v>1</v>
      </c>
      <c r="F1649" s="10">
        <v>46188</v>
      </c>
      <c r="G1649" s="6" t="str">
        <f>_xlfn.TEXTJOIN("|",TRUE,GameLog[[#This Row],[Pod]],TEXT(INT(GameLog[[#This Row],[Round]]),"yyyymmdd"),GameLog[[#This Row],[Date]])</f>
        <v>5|19000101|46188</v>
      </c>
      <c r="H1649" s="6">
        <f>COUNTIF(GameLog[Pod ID],GameLog[[#This Row],[Pod ID]])</f>
        <v>3</v>
      </c>
      <c r="I1649" s="6">
        <f>YEAR(GameLog[[#This Row],[Date]])</f>
        <v>2026</v>
      </c>
      <c r="J1649" s="6">
        <f>MONTH(GameLog[[#This Row],[Date]])</f>
        <v>6</v>
      </c>
      <c r="K1649" s="6" t="str">
        <f>IF(GameLog[[#This Row],[Date]]=MAX(GameLog[Date]),"Current","Previous")</f>
        <v>Previous</v>
      </c>
      <c r="L1649" s="6"/>
      <c r="M16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49" s="6" t="str">
        <f ca="1">IF(GameLog[[#This Row],[Check]]="","",COUNTIF(GameLog[[#Headers],[Check]]:GameLog[[#This Row],[Check]],"?*")-1)</f>
        <v/>
      </c>
      <c r="O1649" s="6" t="str">
        <f>IFERROR(INDEX(Players[New name],MATCH(GameLog[[#This Row],[Player]],Players[Name],0)),GameLog[[#This Row],[Player]])</f>
        <v>Taylor C</v>
      </c>
    </row>
    <row r="1650" spans="1:15" x14ac:dyDescent="0.45">
      <c r="A1650" s="6" t="s">
        <v>74</v>
      </c>
      <c r="B1650" s="6" t="s">
        <v>53</v>
      </c>
      <c r="C1650" s="6">
        <v>2</v>
      </c>
      <c r="D1650" s="6">
        <v>5</v>
      </c>
      <c r="E1650" s="6">
        <v>1</v>
      </c>
      <c r="F1650" s="10">
        <v>46188</v>
      </c>
      <c r="G1650" s="6" t="str">
        <f>_xlfn.TEXTJOIN("|",TRUE,GameLog[[#This Row],[Pod]],TEXT(INT(GameLog[[#This Row],[Round]]),"yyyymmdd"),GameLog[[#This Row],[Date]])</f>
        <v>5|19000101|46188</v>
      </c>
      <c r="H1650" s="6">
        <f>COUNTIF(GameLog[Pod ID],GameLog[[#This Row],[Pod ID]])</f>
        <v>3</v>
      </c>
      <c r="I1650" s="6">
        <f>YEAR(GameLog[[#This Row],[Date]])</f>
        <v>2026</v>
      </c>
      <c r="J1650" s="6">
        <f>MONTH(GameLog[[#This Row],[Date]])</f>
        <v>6</v>
      </c>
      <c r="K1650" s="6" t="str">
        <f>IF(GameLog[[#This Row],[Date]]=MAX(GameLog[Date]),"Current","Previous")</f>
        <v>Previous</v>
      </c>
      <c r="L1650" s="6"/>
      <c r="M16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0" s="6" t="str">
        <f ca="1">IF(GameLog[[#This Row],[Check]]="","",COUNTIF(GameLog[[#Headers],[Check]]:GameLog[[#This Row],[Check]],"?*")-1)</f>
        <v/>
      </c>
      <c r="O1650" s="6" t="str">
        <f>IFERROR(INDEX(Players[New name],MATCH(GameLog[[#This Row],[Player]],Players[Name],0)),GameLog[[#This Row],[Player]])</f>
        <v>Jarrod O</v>
      </c>
    </row>
    <row r="1651" spans="1:15" x14ac:dyDescent="0.45">
      <c r="A1651" s="6" t="s">
        <v>72</v>
      </c>
      <c r="B1651" s="6" t="s">
        <v>53</v>
      </c>
      <c r="C1651" s="6">
        <v>3</v>
      </c>
      <c r="D1651" s="6">
        <v>5</v>
      </c>
      <c r="E1651" s="6">
        <v>1</v>
      </c>
      <c r="F1651" s="10">
        <v>46188</v>
      </c>
      <c r="G1651" s="6" t="str">
        <f>_xlfn.TEXTJOIN("|",TRUE,GameLog[[#This Row],[Pod]],TEXT(INT(GameLog[[#This Row],[Round]]),"yyyymmdd"),GameLog[[#This Row],[Date]])</f>
        <v>5|19000101|46188</v>
      </c>
      <c r="H1651" s="6">
        <f>COUNTIF(GameLog[Pod ID],GameLog[[#This Row],[Pod ID]])</f>
        <v>3</v>
      </c>
      <c r="I1651" s="6">
        <f>YEAR(GameLog[[#This Row],[Date]])</f>
        <v>2026</v>
      </c>
      <c r="J1651" s="6">
        <f>MONTH(GameLog[[#This Row],[Date]])</f>
        <v>6</v>
      </c>
      <c r="K1651" s="6" t="str">
        <f>IF(GameLog[[#This Row],[Date]]=MAX(GameLog[Date]),"Current","Previous")</f>
        <v>Previous</v>
      </c>
      <c r="L1651" s="6"/>
      <c r="M16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1" s="6" t="str">
        <f ca="1">IF(GameLog[[#This Row],[Check]]="","",COUNTIF(GameLog[[#Headers],[Check]]:GameLog[[#This Row],[Check]],"?*")-1)</f>
        <v/>
      </c>
      <c r="O1651" s="6" t="str">
        <f>IFERROR(INDEX(Players[New name],MATCH(GameLog[[#This Row],[Player]],Players[Name],0)),GameLog[[#This Row],[Player]])</f>
        <v>Ben H</v>
      </c>
    </row>
    <row r="1652" spans="1:15" x14ac:dyDescent="0.45">
      <c r="A1652" s="6" t="s">
        <v>57</v>
      </c>
      <c r="B1652" s="6" t="s">
        <v>50</v>
      </c>
      <c r="C1652" s="6">
        <v>1</v>
      </c>
      <c r="D1652" s="6">
        <v>1</v>
      </c>
      <c r="E1652" s="6">
        <v>2</v>
      </c>
      <c r="F1652" s="10">
        <v>46188</v>
      </c>
      <c r="G1652" s="6" t="str">
        <f>_xlfn.TEXTJOIN("|",TRUE,GameLog[[#This Row],[Pod]],TEXT(INT(GameLog[[#This Row],[Round]]),"yyyymmdd"),GameLog[[#This Row],[Date]])</f>
        <v>1|19000102|46188</v>
      </c>
      <c r="H1652" s="6">
        <f>COUNTIF(GameLog[Pod ID],GameLog[[#This Row],[Pod ID]])</f>
        <v>4</v>
      </c>
      <c r="I1652" s="6">
        <f>YEAR(GameLog[[#This Row],[Date]])</f>
        <v>2026</v>
      </c>
      <c r="J1652" s="6">
        <f>MONTH(GameLog[[#This Row],[Date]])</f>
        <v>6</v>
      </c>
      <c r="K1652" s="6" t="str">
        <f>IF(GameLog[[#This Row],[Date]]=MAX(GameLog[Date]),"Current","Previous")</f>
        <v>Previous</v>
      </c>
      <c r="L1652" s="6"/>
      <c r="M16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2" s="6" t="str">
        <f ca="1">IF(GameLog[[#This Row],[Check]]="","",COUNTIF(GameLog[[#Headers],[Check]]:GameLog[[#This Row],[Check]],"?*")-1)</f>
        <v/>
      </c>
      <c r="O1652" s="6" t="str">
        <f>IFERROR(INDEX(Players[New name],MATCH(GameLog[[#This Row],[Player]],Players[Name],0)),GameLog[[#This Row],[Player]])</f>
        <v>AJ W</v>
      </c>
    </row>
    <row r="1653" spans="1:15" x14ac:dyDescent="0.45">
      <c r="A1653" s="6" t="s">
        <v>61</v>
      </c>
      <c r="B1653" s="6" t="s">
        <v>53</v>
      </c>
      <c r="C1653" s="6">
        <v>2</v>
      </c>
      <c r="D1653" s="6">
        <v>1</v>
      </c>
      <c r="E1653" s="6">
        <v>2</v>
      </c>
      <c r="F1653" s="10">
        <v>46188</v>
      </c>
      <c r="G1653" s="6" t="str">
        <f>_xlfn.TEXTJOIN("|",TRUE,GameLog[[#This Row],[Pod]],TEXT(INT(GameLog[[#This Row],[Round]]),"yyyymmdd"),GameLog[[#This Row],[Date]])</f>
        <v>1|19000102|46188</v>
      </c>
      <c r="H1653" s="6">
        <f>COUNTIF(GameLog[Pod ID],GameLog[[#This Row],[Pod ID]])</f>
        <v>4</v>
      </c>
      <c r="I1653" s="6">
        <f>YEAR(GameLog[[#This Row],[Date]])</f>
        <v>2026</v>
      </c>
      <c r="J1653" s="6">
        <f>MONTH(GameLog[[#This Row],[Date]])</f>
        <v>6</v>
      </c>
      <c r="K1653" s="6" t="str">
        <f>IF(GameLog[[#This Row],[Date]]=MAX(GameLog[Date]),"Current","Previous")</f>
        <v>Previous</v>
      </c>
      <c r="L1653" s="6"/>
      <c r="M16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3" s="6" t="str">
        <f ca="1">IF(GameLog[[#This Row],[Check]]="","",COUNTIF(GameLog[[#Headers],[Check]]:GameLog[[#This Row],[Check]],"?*")-1)</f>
        <v/>
      </c>
      <c r="O1653" s="6" t="str">
        <f>IFERROR(INDEX(Players[New name],MATCH(GameLog[[#This Row],[Player]],Players[Name],0)),GameLog[[#This Row],[Player]])</f>
        <v>Trevor</v>
      </c>
    </row>
    <row r="1654" spans="1:15" x14ac:dyDescent="0.45">
      <c r="A1654" s="6" t="s">
        <v>68</v>
      </c>
      <c r="B1654" s="6" t="s">
        <v>53</v>
      </c>
      <c r="C1654" s="6">
        <v>3</v>
      </c>
      <c r="D1654" s="6">
        <v>1</v>
      </c>
      <c r="E1654" s="6">
        <v>2</v>
      </c>
      <c r="F1654" s="10">
        <v>46188</v>
      </c>
      <c r="G1654" s="6" t="str">
        <f>_xlfn.TEXTJOIN("|",TRUE,GameLog[[#This Row],[Pod]],TEXT(INT(GameLog[[#This Row],[Round]]),"yyyymmdd"),GameLog[[#This Row],[Date]])</f>
        <v>1|19000102|46188</v>
      </c>
      <c r="H1654" s="6">
        <f>COUNTIF(GameLog[Pod ID],GameLog[[#This Row],[Pod ID]])</f>
        <v>4</v>
      </c>
      <c r="I1654" s="6">
        <f>YEAR(GameLog[[#This Row],[Date]])</f>
        <v>2026</v>
      </c>
      <c r="J1654" s="6">
        <f>MONTH(GameLog[[#This Row],[Date]])</f>
        <v>6</v>
      </c>
      <c r="K1654" s="6" t="str">
        <f>IF(GameLog[[#This Row],[Date]]=MAX(GameLog[Date]),"Current","Previous")</f>
        <v>Previous</v>
      </c>
      <c r="L1654" s="6"/>
      <c r="M16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4" s="6" t="str">
        <f ca="1">IF(GameLog[[#This Row],[Check]]="","",COUNTIF(GameLog[[#Headers],[Check]]:GameLog[[#This Row],[Check]],"?*")-1)</f>
        <v/>
      </c>
      <c r="O1654" s="6" t="str">
        <f>IFERROR(INDEX(Players[New name],MATCH(GameLog[[#This Row],[Player]],Players[Name],0)),GameLog[[#This Row],[Player]])</f>
        <v>Edwin M</v>
      </c>
    </row>
    <row r="1655" spans="1:15" x14ac:dyDescent="0.45">
      <c r="A1655" s="6" t="s">
        <v>109</v>
      </c>
      <c r="B1655" s="6" t="s">
        <v>53</v>
      </c>
      <c r="C1655" s="6">
        <v>4</v>
      </c>
      <c r="D1655" s="6">
        <v>1</v>
      </c>
      <c r="E1655" s="6">
        <v>2</v>
      </c>
      <c r="F1655" s="10">
        <v>46188</v>
      </c>
      <c r="G1655" s="6" t="str">
        <f>_xlfn.TEXTJOIN("|",TRUE,GameLog[[#This Row],[Pod]],TEXT(INT(GameLog[[#This Row],[Round]]),"yyyymmdd"),GameLog[[#This Row],[Date]])</f>
        <v>1|19000102|46188</v>
      </c>
      <c r="H1655" s="6">
        <f>COUNTIF(GameLog[Pod ID],GameLog[[#This Row],[Pod ID]])</f>
        <v>4</v>
      </c>
      <c r="I1655" s="6">
        <f>YEAR(GameLog[[#This Row],[Date]])</f>
        <v>2026</v>
      </c>
      <c r="J1655" s="6">
        <f>MONTH(GameLog[[#This Row],[Date]])</f>
        <v>6</v>
      </c>
      <c r="K1655" s="6" t="str">
        <f>IF(GameLog[[#This Row],[Date]]=MAX(GameLog[Date]),"Current","Previous")</f>
        <v>Previous</v>
      </c>
      <c r="L1655" s="6"/>
      <c r="M16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5" s="6" t="str">
        <f ca="1">IF(GameLog[[#This Row],[Check]]="","",COUNTIF(GameLog[[#Headers],[Check]]:GameLog[[#This Row],[Check]],"?*")-1)</f>
        <v/>
      </c>
      <c r="O1655" s="6" t="str">
        <f>IFERROR(INDEX(Players[New name],MATCH(GameLog[[#This Row],[Player]],Players[Name],0)),GameLog[[#This Row],[Player]])</f>
        <v>Taylor C</v>
      </c>
    </row>
    <row r="1656" spans="1:15" x14ac:dyDescent="0.45">
      <c r="A1656" s="6" t="s">
        <v>74</v>
      </c>
      <c r="B1656" s="6" t="s">
        <v>53</v>
      </c>
      <c r="C1656" s="6">
        <v>1</v>
      </c>
      <c r="D1656" s="6">
        <v>2</v>
      </c>
      <c r="E1656" s="6">
        <v>2</v>
      </c>
      <c r="F1656" s="10">
        <v>46188</v>
      </c>
      <c r="G1656" s="6" t="str">
        <f>_xlfn.TEXTJOIN("|",TRUE,GameLog[[#This Row],[Pod]],TEXT(INT(GameLog[[#This Row],[Round]]),"yyyymmdd"),GameLog[[#This Row],[Date]])</f>
        <v>2|19000102|46188</v>
      </c>
      <c r="H1656" s="6">
        <f>COUNTIF(GameLog[Pod ID],GameLog[[#This Row],[Pod ID]])</f>
        <v>4</v>
      </c>
      <c r="I1656" s="6">
        <f>YEAR(GameLog[[#This Row],[Date]])</f>
        <v>2026</v>
      </c>
      <c r="J1656" s="6">
        <f>MONTH(GameLog[[#This Row],[Date]])</f>
        <v>6</v>
      </c>
      <c r="K1656" s="6" t="str">
        <f>IF(GameLog[[#This Row],[Date]]=MAX(GameLog[Date]),"Current","Previous")</f>
        <v>Previous</v>
      </c>
      <c r="L1656" s="6"/>
      <c r="M16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6" s="6" t="str">
        <f ca="1">IF(GameLog[[#This Row],[Check]]="","",COUNTIF(GameLog[[#Headers],[Check]]:GameLog[[#This Row],[Check]],"?*")-1)</f>
        <v/>
      </c>
      <c r="O1656" s="6" t="str">
        <f>IFERROR(INDEX(Players[New name],MATCH(GameLog[[#This Row],[Player]],Players[Name],0)),GameLog[[#This Row],[Player]])</f>
        <v>Jarrod O</v>
      </c>
    </row>
    <row r="1657" spans="1:15" x14ac:dyDescent="0.45">
      <c r="A1657" s="6" t="s">
        <v>56</v>
      </c>
      <c r="B1657" s="6" t="s">
        <v>53</v>
      </c>
      <c r="C1657" s="6">
        <v>2</v>
      </c>
      <c r="D1657" s="6">
        <v>2</v>
      </c>
      <c r="E1657" s="6">
        <v>2</v>
      </c>
      <c r="F1657" s="10">
        <v>46188</v>
      </c>
      <c r="G1657" s="6" t="str">
        <f>_xlfn.TEXTJOIN("|",TRUE,GameLog[[#This Row],[Pod]],TEXT(INT(GameLog[[#This Row],[Round]]),"yyyymmdd"),GameLog[[#This Row],[Date]])</f>
        <v>2|19000102|46188</v>
      </c>
      <c r="H1657" s="6">
        <f>COUNTIF(GameLog[Pod ID],GameLog[[#This Row],[Pod ID]])</f>
        <v>4</v>
      </c>
      <c r="I1657" s="6">
        <f>YEAR(GameLog[[#This Row],[Date]])</f>
        <v>2026</v>
      </c>
      <c r="J1657" s="6">
        <f>MONTH(GameLog[[#This Row],[Date]])</f>
        <v>6</v>
      </c>
      <c r="K1657" s="6" t="str">
        <f>IF(GameLog[[#This Row],[Date]]=MAX(GameLog[Date]),"Current","Previous")</f>
        <v>Previous</v>
      </c>
      <c r="L1657" s="6"/>
      <c r="M16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7" s="6" t="str">
        <f ca="1">IF(GameLog[[#This Row],[Check]]="","",COUNTIF(GameLog[[#Headers],[Check]]:GameLog[[#This Row],[Check]],"?*")-1)</f>
        <v/>
      </c>
      <c r="O1657" s="6" t="str">
        <f>IFERROR(INDEX(Players[New name],MATCH(GameLog[[#This Row],[Player]],Players[Name],0)),GameLog[[#This Row],[Player]])</f>
        <v>Mark D</v>
      </c>
    </row>
    <row r="1658" spans="1:15" x14ac:dyDescent="0.45">
      <c r="A1658" s="6" t="s">
        <v>71</v>
      </c>
      <c r="B1658" s="6" t="s">
        <v>50</v>
      </c>
      <c r="C1658" s="6">
        <v>3</v>
      </c>
      <c r="D1658" s="6">
        <v>2</v>
      </c>
      <c r="E1658" s="6">
        <v>2</v>
      </c>
      <c r="F1658" s="10">
        <v>46188</v>
      </c>
      <c r="G1658" s="6" t="str">
        <f>_xlfn.TEXTJOIN("|",TRUE,GameLog[[#This Row],[Pod]],TEXT(INT(GameLog[[#This Row],[Round]]),"yyyymmdd"),GameLog[[#This Row],[Date]])</f>
        <v>2|19000102|46188</v>
      </c>
      <c r="H1658" s="6">
        <f>COUNTIF(GameLog[Pod ID],GameLog[[#This Row],[Pod ID]])</f>
        <v>4</v>
      </c>
      <c r="I1658" s="6">
        <f>YEAR(GameLog[[#This Row],[Date]])</f>
        <v>2026</v>
      </c>
      <c r="J1658" s="6">
        <f>MONTH(GameLog[[#This Row],[Date]])</f>
        <v>6</v>
      </c>
      <c r="K1658" s="6" t="str">
        <f>IF(GameLog[[#This Row],[Date]]=MAX(GameLog[Date]),"Current","Previous")</f>
        <v>Previous</v>
      </c>
      <c r="L1658" s="6"/>
      <c r="M16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8" s="6" t="str">
        <f ca="1">IF(GameLog[[#This Row],[Check]]="","",COUNTIF(GameLog[[#Headers],[Check]]:GameLog[[#This Row],[Check]],"?*")-1)</f>
        <v/>
      </c>
      <c r="O1658" s="6" t="str">
        <f>IFERROR(INDEX(Players[New name],MATCH(GameLog[[#This Row],[Player]],Players[Name],0)),GameLog[[#This Row],[Player]])</f>
        <v>Rodney Y</v>
      </c>
    </row>
    <row r="1659" spans="1:15" x14ac:dyDescent="0.45">
      <c r="A1659" s="6" t="s">
        <v>75</v>
      </c>
      <c r="B1659" s="6" t="s">
        <v>53</v>
      </c>
      <c r="C1659" s="6">
        <v>4</v>
      </c>
      <c r="D1659" s="6">
        <v>2</v>
      </c>
      <c r="E1659" s="6">
        <v>2</v>
      </c>
      <c r="F1659" s="10">
        <v>46188</v>
      </c>
      <c r="G1659" s="6" t="str">
        <f>_xlfn.TEXTJOIN("|",TRUE,GameLog[[#This Row],[Pod]],TEXT(INT(GameLog[[#This Row],[Round]]),"yyyymmdd"),GameLog[[#This Row],[Date]])</f>
        <v>2|19000102|46188</v>
      </c>
      <c r="H1659" s="6">
        <f>COUNTIF(GameLog[Pod ID],GameLog[[#This Row],[Pod ID]])</f>
        <v>4</v>
      </c>
      <c r="I1659" s="6">
        <f>YEAR(GameLog[[#This Row],[Date]])</f>
        <v>2026</v>
      </c>
      <c r="J1659" s="6">
        <f>MONTH(GameLog[[#This Row],[Date]])</f>
        <v>6</v>
      </c>
      <c r="K1659" s="6" t="str">
        <f>IF(GameLog[[#This Row],[Date]]=MAX(GameLog[Date]),"Current","Previous")</f>
        <v>Previous</v>
      </c>
      <c r="L1659" s="6"/>
      <c r="M16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59" s="6" t="str">
        <f ca="1">IF(GameLog[[#This Row],[Check]]="","",COUNTIF(GameLog[[#Headers],[Check]]:GameLog[[#This Row],[Check]],"?*")-1)</f>
        <v/>
      </c>
      <c r="O1659" s="6" t="str">
        <f>IFERROR(INDEX(Players[New name],MATCH(GameLog[[#This Row],[Player]],Players[Name],0)),GameLog[[#This Row],[Player]])</f>
        <v>Eli T</v>
      </c>
    </row>
    <row r="1660" spans="1:15" x14ac:dyDescent="0.45">
      <c r="A1660" s="6" t="s">
        <v>104</v>
      </c>
      <c r="B1660" s="6" t="s">
        <v>53</v>
      </c>
      <c r="C1660" s="6">
        <v>1</v>
      </c>
      <c r="D1660" s="6">
        <v>3</v>
      </c>
      <c r="E1660" s="6">
        <v>2</v>
      </c>
      <c r="F1660" s="10">
        <v>46188</v>
      </c>
      <c r="G1660" s="6" t="str">
        <f>_xlfn.TEXTJOIN("|",TRUE,GameLog[[#This Row],[Pod]],TEXT(INT(GameLog[[#This Row],[Round]]),"yyyymmdd"),GameLog[[#This Row],[Date]])</f>
        <v>3|19000102|46188</v>
      </c>
      <c r="H1660" s="6">
        <f>COUNTIF(GameLog[Pod ID],GameLog[[#This Row],[Pod ID]])</f>
        <v>4</v>
      </c>
      <c r="I1660" s="6">
        <f>YEAR(GameLog[[#This Row],[Date]])</f>
        <v>2026</v>
      </c>
      <c r="J1660" s="6">
        <f>MONTH(GameLog[[#This Row],[Date]])</f>
        <v>6</v>
      </c>
      <c r="K1660" s="6" t="str">
        <f>IF(GameLog[[#This Row],[Date]]=MAX(GameLog[Date]),"Current","Previous")</f>
        <v>Previous</v>
      </c>
      <c r="L1660" s="6"/>
      <c r="M16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0" s="6" t="str">
        <f ca="1">IF(GameLog[[#This Row],[Check]]="","",COUNTIF(GameLog[[#Headers],[Check]]:GameLog[[#This Row],[Check]],"?*")-1)</f>
        <v/>
      </c>
      <c r="O1660" s="6" t="str">
        <f>IFERROR(INDEX(Players[New name],MATCH(GameLog[[#This Row],[Player]],Players[Name],0)),GameLog[[#This Row],[Player]])</f>
        <v>Eric E</v>
      </c>
    </row>
    <row r="1661" spans="1:15" x14ac:dyDescent="0.45">
      <c r="A1661" s="6" t="s">
        <v>107</v>
      </c>
      <c r="B1661" s="6" t="s">
        <v>53</v>
      </c>
      <c r="C1661" s="6">
        <v>2</v>
      </c>
      <c r="D1661" s="6">
        <v>3</v>
      </c>
      <c r="E1661" s="6">
        <v>2</v>
      </c>
      <c r="F1661" s="10">
        <v>46188</v>
      </c>
      <c r="G1661" s="6" t="str">
        <f>_xlfn.TEXTJOIN("|",TRUE,GameLog[[#This Row],[Pod]],TEXT(INT(GameLog[[#This Row],[Round]]),"yyyymmdd"),GameLog[[#This Row],[Date]])</f>
        <v>3|19000102|46188</v>
      </c>
      <c r="H1661" s="6">
        <f>COUNTIF(GameLog[Pod ID],GameLog[[#This Row],[Pod ID]])</f>
        <v>4</v>
      </c>
      <c r="I1661" s="6">
        <f>YEAR(GameLog[[#This Row],[Date]])</f>
        <v>2026</v>
      </c>
      <c r="J1661" s="6">
        <f>MONTH(GameLog[[#This Row],[Date]])</f>
        <v>6</v>
      </c>
      <c r="K1661" s="6" t="str">
        <f>IF(GameLog[[#This Row],[Date]]=MAX(GameLog[Date]),"Current","Previous")</f>
        <v>Previous</v>
      </c>
      <c r="L1661" s="6"/>
      <c r="M16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1" s="6" t="str">
        <f ca="1">IF(GameLog[[#This Row],[Check]]="","",COUNTIF(GameLog[[#Headers],[Check]]:GameLog[[#This Row],[Check]],"?*")-1)</f>
        <v/>
      </c>
      <c r="O1661" s="6" t="str">
        <f>IFERROR(INDEX(Players[New name],MATCH(GameLog[[#This Row],[Player]],Players[Name],0)),GameLog[[#This Row],[Player]])</f>
        <v>Lee C</v>
      </c>
    </row>
    <row r="1662" spans="1:15" x14ac:dyDescent="0.45">
      <c r="A1662" s="6" t="s">
        <v>55</v>
      </c>
      <c r="B1662" s="6" t="s">
        <v>53</v>
      </c>
      <c r="C1662" s="6">
        <v>3</v>
      </c>
      <c r="D1662" s="6">
        <v>3</v>
      </c>
      <c r="E1662" s="6">
        <v>2</v>
      </c>
      <c r="F1662" s="10">
        <v>46188</v>
      </c>
      <c r="G1662" s="6" t="str">
        <f>_xlfn.TEXTJOIN("|",TRUE,GameLog[[#This Row],[Pod]],TEXT(INT(GameLog[[#This Row],[Round]]),"yyyymmdd"),GameLog[[#This Row],[Date]])</f>
        <v>3|19000102|46188</v>
      </c>
      <c r="H1662" s="6">
        <f>COUNTIF(GameLog[Pod ID],GameLog[[#This Row],[Pod ID]])</f>
        <v>4</v>
      </c>
      <c r="I1662" s="6">
        <f>YEAR(GameLog[[#This Row],[Date]])</f>
        <v>2026</v>
      </c>
      <c r="J1662" s="6">
        <f>MONTH(GameLog[[#This Row],[Date]])</f>
        <v>6</v>
      </c>
      <c r="K1662" s="6" t="str">
        <f>IF(GameLog[[#This Row],[Date]]=MAX(GameLog[Date]),"Current","Previous")</f>
        <v>Previous</v>
      </c>
      <c r="L1662" s="6"/>
      <c r="M16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2" s="6" t="str">
        <f ca="1">IF(GameLog[[#This Row],[Check]]="","",COUNTIF(GameLog[[#Headers],[Check]]:GameLog[[#This Row],[Check]],"?*")-1)</f>
        <v/>
      </c>
      <c r="O1662" s="6" t="str">
        <f>IFERROR(INDEX(Players[New name],MATCH(GameLog[[#This Row],[Player]],Players[Name],0)),GameLog[[#This Row],[Player]])</f>
        <v>Bryce C</v>
      </c>
    </row>
    <row r="1663" spans="1:15" x14ac:dyDescent="0.45">
      <c r="A1663" s="6" t="s">
        <v>96</v>
      </c>
      <c r="B1663" s="6" t="s">
        <v>50</v>
      </c>
      <c r="C1663" s="6">
        <v>4</v>
      </c>
      <c r="D1663" s="6">
        <v>3</v>
      </c>
      <c r="E1663" s="6">
        <v>2</v>
      </c>
      <c r="F1663" s="10">
        <v>46188</v>
      </c>
      <c r="G1663" s="6" t="str">
        <f>_xlfn.TEXTJOIN("|",TRUE,GameLog[[#This Row],[Pod]],TEXT(INT(GameLog[[#This Row],[Round]]),"yyyymmdd"),GameLog[[#This Row],[Date]])</f>
        <v>3|19000102|46188</v>
      </c>
      <c r="H1663" s="6">
        <f>COUNTIF(GameLog[Pod ID],GameLog[[#This Row],[Pod ID]])</f>
        <v>4</v>
      </c>
      <c r="I1663" s="6">
        <f>YEAR(GameLog[[#This Row],[Date]])</f>
        <v>2026</v>
      </c>
      <c r="J1663" s="6">
        <f>MONTH(GameLog[[#This Row],[Date]])</f>
        <v>6</v>
      </c>
      <c r="K1663" s="6" t="str">
        <f>IF(GameLog[[#This Row],[Date]]=MAX(GameLog[Date]),"Current","Previous")</f>
        <v>Previous</v>
      </c>
      <c r="L1663" s="6"/>
      <c r="M16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3" s="6" t="str">
        <f ca="1">IF(GameLog[[#This Row],[Check]]="","",COUNTIF(GameLog[[#Headers],[Check]]:GameLog[[#This Row],[Check]],"?*")-1)</f>
        <v/>
      </c>
      <c r="O1663" s="6" t="str">
        <f>IFERROR(INDEX(Players[New name],MATCH(GameLog[[#This Row],[Player]],Players[Name],0)),GameLog[[#This Row],[Player]])</f>
        <v>Brandon A</v>
      </c>
    </row>
    <row r="1664" spans="1:15" x14ac:dyDescent="0.45">
      <c r="A1664" s="6" t="s">
        <v>49</v>
      </c>
      <c r="B1664" s="6" t="s">
        <v>53</v>
      </c>
      <c r="C1664" s="6">
        <v>1</v>
      </c>
      <c r="D1664" s="6">
        <v>4</v>
      </c>
      <c r="E1664" s="6">
        <v>2</v>
      </c>
      <c r="F1664" s="10">
        <v>46188</v>
      </c>
      <c r="G1664" s="6" t="str">
        <f>_xlfn.TEXTJOIN("|",TRUE,GameLog[[#This Row],[Pod]],TEXT(INT(GameLog[[#This Row],[Round]]),"yyyymmdd"),GameLog[[#This Row],[Date]])</f>
        <v>4|19000102|46188</v>
      </c>
      <c r="H1664" s="6">
        <f>COUNTIF(GameLog[Pod ID],GameLog[[#This Row],[Pod ID]])</f>
        <v>4</v>
      </c>
      <c r="I1664" s="6">
        <f>YEAR(GameLog[[#This Row],[Date]])</f>
        <v>2026</v>
      </c>
      <c r="J1664" s="6">
        <f>MONTH(GameLog[[#This Row],[Date]])</f>
        <v>6</v>
      </c>
      <c r="K1664" s="6" t="str">
        <f>IF(GameLog[[#This Row],[Date]]=MAX(GameLog[Date]),"Current","Previous")</f>
        <v>Previous</v>
      </c>
      <c r="L1664" s="6"/>
      <c r="M16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4" s="6" t="str">
        <f ca="1">IF(GameLog[[#This Row],[Check]]="","",COUNTIF(GameLog[[#Headers],[Check]]:GameLog[[#This Row],[Check]],"?*")-1)</f>
        <v/>
      </c>
      <c r="O1664" s="6" t="str">
        <f>IFERROR(INDEX(Players[New name],MATCH(GameLog[[#This Row],[Player]],Players[Name],0)),GameLog[[#This Row],[Player]])</f>
        <v>Brett R</v>
      </c>
    </row>
    <row r="1665" spans="1:15" x14ac:dyDescent="0.45">
      <c r="A1665" s="6" t="s">
        <v>72</v>
      </c>
      <c r="B1665" s="6" t="s">
        <v>53</v>
      </c>
      <c r="C1665" s="6">
        <v>2</v>
      </c>
      <c r="D1665" s="6">
        <v>4</v>
      </c>
      <c r="E1665" s="6">
        <v>2</v>
      </c>
      <c r="F1665" s="10">
        <v>46188</v>
      </c>
      <c r="G1665" s="6" t="str">
        <f>_xlfn.TEXTJOIN("|",TRUE,GameLog[[#This Row],[Pod]],TEXT(INT(GameLog[[#This Row],[Round]]),"yyyymmdd"),GameLog[[#This Row],[Date]])</f>
        <v>4|19000102|46188</v>
      </c>
      <c r="H1665" s="6">
        <f>COUNTIF(GameLog[Pod ID],GameLog[[#This Row],[Pod ID]])</f>
        <v>4</v>
      </c>
      <c r="I1665" s="6">
        <f>YEAR(GameLog[[#This Row],[Date]])</f>
        <v>2026</v>
      </c>
      <c r="J1665" s="6">
        <f>MONTH(GameLog[[#This Row],[Date]])</f>
        <v>6</v>
      </c>
      <c r="K1665" s="6" t="str">
        <f>IF(GameLog[[#This Row],[Date]]=MAX(GameLog[Date]),"Current","Previous")</f>
        <v>Previous</v>
      </c>
      <c r="L1665" s="6"/>
      <c r="M16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5" s="6" t="str">
        <f ca="1">IF(GameLog[[#This Row],[Check]]="","",COUNTIF(GameLog[[#Headers],[Check]]:GameLog[[#This Row],[Check]],"?*")-1)</f>
        <v/>
      </c>
      <c r="O1665" s="6" t="str">
        <f>IFERROR(INDEX(Players[New name],MATCH(GameLog[[#This Row],[Player]],Players[Name],0)),GameLog[[#This Row],[Player]])</f>
        <v>Ben H</v>
      </c>
    </row>
    <row r="1666" spans="1:15" x14ac:dyDescent="0.45">
      <c r="A1666" s="6" t="s">
        <v>113</v>
      </c>
      <c r="B1666" s="6" t="s">
        <v>53</v>
      </c>
      <c r="C1666" s="6">
        <v>3</v>
      </c>
      <c r="D1666" s="6">
        <v>4</v>
      </c>
      <c r="E1666" s="6">
        <v>2</v>
      </c>
      <c r="F1666" s="10">
        <v>46188</v>
      </c>
      <c r="G1666" s="6" t="str">
        <f>_xlfn.TEXTJOIN("|",TRUE,GameLog[[#This Row],[Pod]],TEXT(INT(GameLog[[#This Row],[Round]]),"yyyymmdd"),GameLog[[#This Row],[Date]])</f>
        <v>4|19000102|46188</v>
      </c>
      <c r="H1666" s="6">
        <f>COUNTIF(GameLog[Pod ID],GameLog[[#This Row],[Pod ID]])</f>
        <v>4</v>
      </c>
      <c r="I1666" s="6">
        <f>YEAR(GameLog[[#This Row],[Date]])</f>
        <v>2026</v>
      </c>
      <c r="J1666" s="6">
        <f>MONTH(GameLog[[#This Row],[Date]])</f>
        <v>6</v>
      </c>
      <c r="K1666" s="6" t="str">
        <f>IF(GameLog[[#This Row],[Date]]=MAX(GameLog[Date]),"Current","Previous")</f>
        <v>Previous</v>
      </c>
      <c r="L1666" s="6"/>
      <c r="M16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6" s="6" t="str">
        <f ca="1">IF(GameLog[[#This Row],[Check]]="","",COUNTIF(GameLog[[#Headers],[Check]]:GameLog[[#This Row],[Check]],"?*")-1)</f>
        <v/>
      </c>
      <c r="O1666" s="6" t="str">
        <f>IFERROR(INDEX(Players[New name],MATCH(GameLog[[#This Row],[Player]],Players[Name],0)),GameLog[[#This Row],[Player]])</f>
        <v>Gavin J</v>
      </c>
    </row>
    <row r="1667" spans="1:15" x14ac:dyDescent="0.45">
      <c r="A1667" s="6" t="s">
        <v>59</v>
      </c>
      <c r="B1667" s="6" t="s">
        <v>50</v>
      </c>
      <c r="C1667" s="6">
        <v>4</v>
      </c>
      <c r="D1667" s="6">
        <v>4</v>
      </c>
      <c r="E1667" s="6">
        <v>2</v>
      </c>
      <c r="F1667" s="10">
        <v>46188</v>
      </c>
      <c r="G1667" s="6" t="str">
        <f>_xlfn.TEXTJOIN("|",TRUE,GameLog[[#This Row],[Pod]],TEXT(INT(GameLog[[#This Row],[Round]]),"yyyymmdd"),GameLog[[#This Row],[Date]])</f>
        <v>4|19000102|46188</v>
      </c>
      <c r="H1667" s="6">
        <f>COUNTIF(GameLog[Pod ID],GameLog[[#This Row],[Pod ID]])</f>
        <v>4</v>
      </c>
      <c r="I1667" s="6">
        <f>YEAR(GameLog[[#This Row],[Date]])</f>
        <v>2026</v>
      </c>
      <c r="J1667" s="6">
        <f>MONTH(GameLog[[#This Row],[Date]])</f>
        <v>6</v>
      </c>
      <c r="K1667" s="6" t="str">
        <f>IF(GameLog[[#This Row],[Date]]=MAX(GameLog[Date]),"Current","Previous")</f>
        <v>Previous</v>
      </c>
      <c r="L1667" s="6"/>
      <c r="M16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7" s="6" t="str">
        <f ca="1">IF(GameLog[[#This Row],[Check]]="","",COUNTIF(GameLog[[#Headers],[Check]]:GameLog[[#This Row],[Check]],"?*")-1)</f>
        <v/>
      </c>
      <c r="O1667" s="6" t="str">
        <f>IFERROR(INDEX(Players[New name],MATCH(GameLog[[#This Row],[Player]],Players[Name],0)),GameLog[[#This Row],[Player]])</f>
        <v>Zack B</v>
      </c>
    </row>
    <row r="1668" spans="1:15" x14ac:dyDescent="0.45">
      <c r="A1668" s="6" t="s">
        <v>102</v>
      </c>
      <c r="B1668" s="6" t="s">
        <v>90</v>
      </c>
      <c r="C1668" s="6">
        <v>1</v>
      </c>
      <c r="D1668" s="6">
        <v>5</v>
      </c>
      <c r="E1668" s="6">
        <v>2</v>
      </c>
      <c r="F1668" s="10">
        <v>46188</v>
      </c>
      <c r="G1668" s="6" t="str">
        <f>_xlfn.TEXTJOIN("|",TRUE,GameLog[[#This Row],[Pod]],TEXT(INT(GameLog[[#This Row],[Round]]),"yyyymmdd"),GameLog[[#This Row],[Date]])</f>
        <v>5|19000102|46188</v>
      </c>
      <c r="H1668" s="6">
        <f>COUNTIF(GameLog[Pod ID],GameLog[[#This Row],[Pod ID]])</f>
        <v>3</v>
      </c>
      <c r="I1668" s="6">
        <f>YEAR(GameLog[[#This Row],[Date]])</f>
        <v>2026</v>
      </c>
      <c r="J1668" s="6">
        <f>MONTH(GameLog[[#This Row],[Date]])</f>
        <v>6</v>
      </c>
      <c r="K1668" s="6" t="str">
        <f>IF(GameLog[[#This Row],[Date]]=MAX(GameLog[Date]),"Current","Previous")</f>
        <v>Previous</v>
      </c>
      <c r="L1668" s="6"/>
      <c r="M16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8" s="6" t="str">
        <f ca="1">IF(GameLog[[#This Row],[Check]]="","",COUNTIF(GameLog[[#Headers],[Check]]:GameLog[[#This Row],[Check]],"?*")-1)</f>
        <v/>
      </c>
      <c r="O1668" s="6" t="str">
        <f>IFERROR(INDEX(Players[New name],MATCH(GameLog[[#This Row],[Player]],Players[Name],0)),GameLog[[#This Row],[Player]])</f>
        <v>Sage</v>
      </c>
    </row>
    <row r="1669" spans="1:15" x14ac:dyDescent="0.45">
      <c r="A1669" s="6" t="s">
        <v>70</v>
      </c>
      <c r="B1669" s="6" t="s">
        <v>90</v>
      </c>
      <c r="C1669" s="6">
        <v>2</v>
      </c>
      <c r="D1669" s="6">
        <v>5</v>
      </c>
      <c r="E1669" s="6">
        <v>2</v>
      </c>
      <c r="F1669" s="10">
        <v>46188</v>
      </c>
      <c r="G1669" s="6" t="str">
        <f>_xlfn.TEXTJOIN("|",TRUE,GameLog[[#This Row],[Pod]],TEXT(INT(GameLog[[#This Row],[Round]]),"yyyymmdd"),GameLog[[#This Row],[Date]])</f>
        <v>5|19000102|46188</v>
      </c>
      <c r="H1669" s="6">
        <f>COUNTIF(GameLog[Pod ID],GameLog[[#This Row],[Pod ID]])</f>
        <v>3</v>
      </c>
      <c r="I1669" s="6">
        <f>YEAR(GameLog[[#This Row],[Date]])</f>
        <v>2026</v>
      </c>
      <c r="J1669" s="6">
        <f>MONTH(GameLog[[#This Row],[Date]])</f>
        <v>6</v>
      </c>
      <c r="K1669" s="6" t="str">
        <f>IF(GameLog[[#This Row],[Date]]=MAX(GameLog[Date]),"Current","Previous")</f>
        <v>Previous</v>
      </c>
      <c r="L1669" s="6"/>
      <c r="M16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69" s="6" t="str">
        <f ca="1">IF(GameLog[[#This Row],[Check]]="","",COUNTIF(GameLog[[#Headers],[Check]]:GameLog[[#This Row],[Check]],"?*")-1)</f>
        <v/>
      </c>
      <c r="O1669" s="6" t="str">
        <f>IFERROR(INDEX(Players[New name],MATCH(GameLog[[#This Row],[Player]],Players[Name],0)),GameLog[[#This Row],[Player]])</f>
        <v>Brad F</v>
      </c>
    </row>
    <row r="1670" spans="1:15" x14ac:dyDescent="0.45">
      <c r="A1670" s="6" t="s">
        <v>98</v>
      </c>
      <c r="B1670" s="6" t="s">
        <v>90</v>
      </c>
      <c r="C1670" s="6">
        <v>3</v>
      </c>
      <c r="D1670" s="6">
        <v>5</v>
      </c>
      <c r="E1670" s="6">
        <v>2</v>
      </c>
      <c r="F1670" s="10">
        <v>46188</v>
      </c>
      <c r="G1670" s="6" t="str">
        <f>_xlfn.TEXTJOIN("|",TRUE,GameLog[[#This Row],[Pod]],TEXT(INT(GameLog[[#This Row],[Round]]),"yyyymmdd"),GameLog[[#This Row],[Date]])</f>
        <v>5|19000102|46188</v>
      </c>
      <c r="H1670" s="6">
        <f>COUNTIF(GameLog[Pod ID],GameLog[[#This Row],[Pod ID]])</f>
        <v>3</v>
      </c>
      <c r="I1670" s="6">
        <f>YEAR(GameLog[[#This Row],[Date]])</f>
        <v>2026</v>
      </c>
      <c r="J1670" s="6">
        <f>MONTH(GameLog[[#This Row],[Date]])</f>
        <v>6</v>
      </c>
      <c r="K1670" s="6" t="str">
        <f>IF(GameLog[[#This Row],[Date]]=MAX(GameLog[Date]),"Current","Previous")</f>
        <v>Previous</v>
      </c>
      <c r="L1670" s="6"/>
      <c r="M16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0" s="6" t="str">
        <f ca="1">IF(GameLog[[#This Row],[Check]]="","",COUNTIF(GameLog[[#Headers],[Check]]:GameLog[[#This Row],[Check]],"?*")-1)</f>
        <v/>
      </c>
      <c r="O1670" s="6" t="str">
        <f>IFERROR(INDEX(Players[New name],MATCH(GameLog[[#This Row],[Player]],Players[Name],0)),GameLog[[#This Row],[Player]])</f>
        <v>Charlie B</v>
      </c>
    </row>
    <row r="1671" spans="1:15" x14ac:dyDescent="0.45">
      <c r="A1671" s="6" t="s">
        <v>113</v>
      </c>
      <c r="B1671" s="6" t="s">
        <v>53</v>
      </c>
      <c r="C1671" s="6">
        <v>1</v>
      </c>
      <c r="D1671" s="6">
        <v>1</v>
      </c>
      <c r="E1671" s="6">
        <v>1</v>
      </c>
      <c r="F1671" s="10">
        <v>46195</v>
      </c>
      <c r="G1671" s="6" t="str">
        <f>_xlfn.TEXTJOIN("|",TRUE,GameLog[[#This Row],[Pod]],TEXT(INT(GameLog[[#This Row],[Round]]),"yyyymmdd"),GameLog[[#This Row],[Date]])</f>
        <v>1|19000101|46195</v>
      </c>
      <c r="H1671" s="6">
        <f>COUNTIF(GameLog[Pod ID],GameLog[[#This Row],[Pod ID]])</f>
        <v>4</v>
      </c>
      <c r="I1671" s="6">
        <f>YEAR(GameLog[[#This Row],[Date]])</f>
        <v>2026</v>
      </c>
      <c r="J1671" s="6">
        <f>MONTH(GameLog[[#This Row],[Date]])</f>
        <v>6</v>
      </c>
      <c r="K1671" s="6" t="str">
        <f>IF(GameLog[[#This Row],[Date]]=MAX(GameLog[Date]),"Current","Previous")</f>
        <v>Previous</v>
      </c>
      <c r="L1671" s="6"/>
      <c r="M16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1" s="6" t="str">
        <f ca="1">IF(GameLog[[#This Row],[Check]]="","",COUNTIF(GameLog[[#Headers],[Check]]:GameLog[[#This Row],[Check]],"?*")-1)</f>
        <v/>
      </c>
      <c r="O1671" s="6" t="str">
        <f>IFERROR(INDEX(Players[New name],MATCH(GameLog[[#This Row],[Player]],Players[Name],0)),GameLog[[#This Row],[Player]])</f>
        <v>Gavin J</v>
      </c>
    </row>
    <row r="1672" spans="1:15" x14ac:dyDescent="0.45">
      <c r="A1672" s="6" t="s">
        <v>61</v>
      </c>
      <c r="B1672" s="6" t="s">
        <v>53</v>
      </c>
      <c r="C1672" s="6">
        <v>2</v>
      </c>
      <c r="D1672" s="6">
        <v>1</v>
      </c>
      <c r="E1672" s="6">
        <v>1</v>
      </c>
      <c r="F1672" s="10">
        <v>46195</v>
      </c>
      <c r="G1672" s="6" t="str">
        <f>_xlfn.TEXTJOIN("|",TRUE,GameLog[[#This Row],[Pod]],TEXT(INT(GameLog[[#This Row],[Round]]),"yyyymmdd"),GameLog[[#This Row],[Date]])</f>
        <v>1|19000101|46195</v>
      </c>
      <c r="H1672" s="6">
        <f>COUNTIF(GameLog[Pod ID],GameLog[[#This Row],[Pod ID]])</f>
        <v>4</v>
      </c>
      <c r="I1672" s="6">
        <f>YEAR(GameLog[[#This Row],[Date]])</f>
        <v>2026</v>
      </c>
      <c r="J1672" s="6">
        <f>MONTH(GameLog[[#This Row],[Date]])</f>
        <v>6</v>
      </c>
      <c r="K1672" s="6" t="str">
        <f>IF(GameLog[[#This Row],[Date]]=MAX(GameLog[Date]),"Current","Previous")</f>
        <v>Previous</v>
      </c>
      <c r="L1672" s="6"/>
      <c r="M16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2" s="6" t="str">
        <f ca="1">IF(GameLog[[#This Row],[Check]]="","",COUNTIF(GameLog[[#Headers],[Check]]:GameLog[[#This Row],[Check]],"?*")-1)</f>
        <v/>
      </c>
      <c r="O1672" s="6" t="str">
        <f>IFERROR(INDEX(Players[New name],MATCH(GameLog[[#This Row],[Player]],Players[Name],0)),GameLog[[#This Row],[Player]])</f>
        <v>Trevor</v>
      </c>
    </row>
    <row r="1673" spans="1:15" x14ac:dyDescent="0.45">
      <c r="A1673" s="6" t="s">
        <v>57</v>
      </c>
      <c r="B1673" s="6" t="s">
        <v>50</v>
      </c>
      <c r="C1673" s="6">
        <v>3</v>
      </c>
      <c r="D1673" s="6">
        <v>1</v>
      </c>
      <c r="E1673" s="6">
        <v>1</v>
      </c>
      <c r="F1673" s="10">
        <v>46195</v>
      </c>
      <c r="G1673" s="6" t="str">
        <f>_xlfn.TEXTJOIN("|",TRUE,GameLog[[#This Row],[Pod]],TEXT(INT(GameLog[[#This Row],[Round]]),"yyyymmdd"),GameLog[[#This Row],[Date]])</f>
        <v>1|19000101|46195</v>
      </c>
      <c r="H1673" s="6">
        <f>COUNTIF(GameLog[Pod ID],GameLog[[#This Row],[Pod ID]])</f>
        <v>4</v>
      </c>
      <c r="I1673" s="6">
        <f>YEAR(GameLog[[#This Row],[Date]])</f>
        <v>2026</v>
      </c>
      <c r="J1673" s="6">
        <f>MONTH(GameLog[[#This Row],[Date]])</f>
        <v>6</v>
      </c>
      <c r="K1673" s="6" t="str">
        <f>IF(GameLog[[#This Row],[Date]]=MAX(GameLog[Date]),"Current","Previous")</f>
        <v>Previous</v>
      </c>
      <c r="L1673" s="6"/>
      <c r="M16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3" s="6" t="str">
        <f ca="1">IF(GameLog[[#This Row],[Check]]="","",COUNTIF(GameLog[[#Headers],[Check]]:GameLog[[#This Row],[Check]],"?*")-1)</f>
        <v/>
      </c>
      <c r="O1673" s="6" t="str">
        <f>IFERROR(INDEX(Players[New name],MATCH(GameLog[[#This Row],[Player]],Players[Name],0)),GameLog[[#This Row],[Player]])</f>
        <v>AJ W</v>
      </c>
    </row>
    <row r="1674" spans="1:15" x14ac:dyDescent="0.45">
      <c r="A1674" s="6" t="s">
        <v>68</v>
      </c>
      <c r="B1674" s="6" t="s">
        <v>53</v>
      </c>
      <c r="C1674" s="6">
        <v>4</v>
      </c>
      <c r="D1674" s="6">
        <v>1</v>
      </c>
      <c r="E1674" s="6">
        <v>1</v>
      </c>
      <c r="F1674" s="10">
        <v>46195</v>
      </c>
      <c r="G1674" s="6" t="str">
        <f>_xlfn.TEXTJOIN("|",TRUE,GameLog[[#This Row],[Pod]],TEXT(INT(GameLog[[#This Row],[Round]]),"yyyymmdd"),GameLog[[#This Row],[Date]])</f>
        <v>1|19000101|46195</v>
      </c>
      <c r="H1674" s="6">
        <f>COUNTIF(GameLog[Pod ID],GameLog[[#This Row],[Pod ID]])</f>
        <v>4</v>
      </c>
      <c r="I1674" s="6">
        <f>YEAR(GameLog[[#This Row],[Date]])</f>
        <v>2026</v>
      </c>
      <c r="J1674" s="6">
        <f>MONTH(GameLog[[#This Row],[Date]])</f>
        <v>6</v>
      </c>
      <c r="K1674" s="6" t="str">
        <f>IF(GameLog[[#This Row],[Date]]=MAX(GameLog[Date]),"Current","Previous")</f>
        <v>Previous</v>
      </c>
      <c r="L1674" s="6"/>
      <c r="M16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4" s="6" t="str">
        <f ca="1">IF(GameLog[[#This Row],[Check]]="","",COUNTIF(GameLog[[#Headers],[Check]]:GameLog[[#This Row],[Check]],"?*")-1)</f>
        <v/>
      </c>
      <c r="O1674" s="6" t="str">
        <f>IFERROR(INDEX(Players[New name],MATCH(GameLog[[#This Row],[Player]],Players[Name],0)),GameLog[[#This Row],[Player]])</f>
        <v>Edwin M</v>
      </c>
    </row>
    <row r="1675" spans="1:15" x14ac:dyDescent="0.45">
      <c r="A1675" s="6" t="s">
        <v>49</v>
      </c>
      <c r="B1675" s="6" t="s">
        <v>90</v>
      </c>
      <c r="C1675" s="6">
        <v>1</v>
      </c>
      <c r="D1675" s="6">
        <v>2</v>
      </c>
      <c r="E1675" s="6">
        <v>1</v>
      </c>
      <c r="F1675" s="10">
        <v>46195</v>
      </c>
      <c r="G1675" s="6" t="str">
        <f>_xlfn.TEXTJOIN("|",TRUE,GameLog[[#This Row],[Pod]],TEXT(INT(GameLog[[#This Row],[Round]]),"yyyymmdd"),GameLog[[#This Row],[Date]])</f>
        <v>2|19000101|46195</v>
      </c>
      <c r="H1675" s="6">
        <f>COUNTIF(GameLog[Pod ID],GameLog[[#This Row],[Pod ID]])</f>
        <v>4</v>
      </c>
      <c r="I1675" s="6">
        <f>YEAR(GameLog[[#This Row],[Date]])</f>
        <v>2026</v>
      </c>
      <c r="J1675" s="6">
        <f>MONTH(GameLog[[#This Row],[Date]])</f>
        <v>6</v>
      </c>
      <c r="K1675" s="6" t="str">
        <f>IF(GameLog[[#This Row],[Date]]=MAX(GameLog[Date]),"Current","Previous")</f>
        <v>Previous</v>
      </c>
      <c r="L1675" s="6"/>
      <c r="M16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5" s="6" t="str">
        <f ca="1">IF(GameLog[[#This Row],[Check]]="","",COUNTIF(GameLog[[#Headers],[Check]]:GameLog[[#This Row],[Check]],"?*")-1)</f>
        <v/>
      </c>
      <c r="O1675" s="6" t="str">
        <f>IFERROR(INDEX(Players[New name],MATCH(GameLog[[#This Row],[Player]],Players[Name],0)),GameLog[[#This Row],[Player]])</f>
        <v>Brett R</v>
      </c>
    </row>
    <row r="1676" spans="1:15" x14ac:dyDescent="0.45">
      <c r="A1676" s="6" t="s">
        <v>104</v>
      </c>
      <c r="B1676" s="6" t="s">
        <v>90</v>
      </c>
      <c r="C1676" s="6">
        <v>2</v>
      </c>
      <c r="D1676" s="6">
        <v>2</v>
      </c>
      <c r="E1676" s="6">
        <v>1</v>
      </c>
      <c r="F1676" s="10">
        <v>46195</v>
      </c>
      <c r="G1676" s="6" t="str">
        <f>_xlfn.TEXTJOIN("|",TRUE,GameLog[[#This Row],[Pod]],TEXT(INT(GameLog[[#This Row],[Round]]),"yyyymmdd"),GameLog[[#This Row],[Date]])</f>
        <v>2|19000101|46195</v>
      </c>
      <c r="H1676" s="6">
        <f>COUNTIF(GameLog[Pod ID],GameLog[[#This Row],[Pod ID]])</f>
        <v>4</v>
      </c>
      <c r="I1676" s="6">
        <f>YEAR(GameLog[[#This Row],[Date]])</f>
        <v>2026</v>
      </c>
      <c r="J1676" s="6">
        <f>MONTH(GameLog[[#This Row],[Date]])</f>
        <v>6</v>
      </c>
      <c r="K1676" s="6" t="str">
        <f>IF(GameLog[[#This Row],[Date]]=MAX(GameLog[Date]),"Current","Previous")</f>
        <v>Previous</v>
      </c>
      <c r="L1676" s="6"/>
      <c r="M16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6" s="6" t="str">
        <f ca="1">IF(GameLog[[#This Row],[Check]]="","",COUNTIF(GameLog[[#Headers],[Check]]:GameLog[[#This Row],[Check]],"?*")-1)</f>
        <v/>
      </c>
      <c r="O1676" s="6" t="str">
        <f>IFERROR(INDEX(Players[New name],MATCH(GameLog[[#This Row],[Player]],Players[Name],0)),GameLog[[#This Row],[Player]])</f>
        <v>Eric E</v>
      </c>
    </row>
    <row r="1677" spans="1:15" x14ac:dyDescent="0.45">
      <c r="A1677" s="6" t="s">
        <v>59</v>
      </c>
      <c r="B1677" s="6" t="s">
        <v>90</v>
      </c>
      <c r="C1677" s="6">
        <v>3</v>
      </c>
      <c r="D1677" s="6">
        <v>2</v>
      </c>
      <c r="E1677" s="6">
        <v>1</v>
      </c>
      <c r="F1677" s="10">
        <v>46195</v>
      </c>
      <c r="G1677" s="6" t="str">
        <f>_xlfn.TEXTJOIN("|",TRUE,GameLog[[#This Row],[Pod]],TEXT(INT(GameLog[[#This Row],[Round]]),"yyyymmdd"),GameLog[[#This Row],[Date]])</f>
        <v>2|19000101|46195</v>
      </c>
      <c r="H1677" s="6">
        <f>COUNTIF(GameLog[Pod ID],GameLog[[#This Row],[Pod ID]])</f>
        <v>4</v>
      </c>
      <c r="I1677" s="6">
        <f>YEAR(GameLog[[#This Row],[Date]])</f>
        <v>2026</v>
      </c>
      <c r="J1677" s="6">
        <f>MONTH(GameLog[[#This Row],[Date]])</f>
        <v>6</v>
      </c>
      <c r="K1677" s="6" t="str">
        <f>IF(GameLog[[#This Row],[Date]]=MAX(GameLog[Date]),"Current","Previous")</f>
        <v>Previous</v>
      </c>
      <c r="L1677" s="6"/>
      <c r="M16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7" s="6" t="str">
        <f ca="1">IF(GameLog[[#This Row],[Check]]="","",COUNTIF(GameLog[[#Headers],[Check]]:GameLog[[#This Row],[Check]],"?*")-1)</f>
        <v/>
      </c>
      <c r="O1677" s="6" t="str">
        <f>IFERROR(INDEX(Players[New name],MATCH(GameLog[[#This Row],[Player]],Players[Name],0)),GameLog[[#This Row],[Player]])</f>
        <v>Zack B</v>
      </c>
    </row>
    <row r="1678" spans="1:15" x14ac:dyDescent="0.45">
      <c r="A1678" s="6" t="s">
        <v>97</v>
      </c>
      <c r="B1678" s="6" t="s">
        <v>90</v>
      </c>
      <c r="C1678" s="6">
        <v>4</v>
      </c>
      <c r="D1678" s="6">
        <v>2</v>
      </c>
      <c r="E1678" s="6">
        <v>1</v>
      </c>
      <c r="F1678" s="10">
        <v>46195</v>
      </c>
      <c r="G1678" s="6" t="str">
        <f>_xlfn.TEXTJOIN("|",TRUE,GameLog[[#This Row],[Pod]],TEXT(INT(GameLog[[#This Row],[Round]]),"yyyymmdd"),GameLog[[#This Row],[Date]])</f>
        <v>2|19000101|46195</v>
      </c>
      <c r="H1678" s="6">
        <f>COUNTIF(GameLog[Pod ID],GameLog[[#This Row],[Pod ID]])</f>
        <v>4</v>
      </c>
      <c r="I1678" s="6">
        <f>YEAR(GameLog[[#This Row],[Date]])</f>
        <v>2026</v>
      </c>
      <c r="J1678" s="6">
        <f>MONTH(GameLog[[#This Row],[Date]])</f>
        <v>6</v>
      </c>
      <c r="K1678" s="6" t="str">
        <f>IF(GameLog[[#This Row],[Date]]=MAX(GameLog[Date]),"Current","Previous")</f>
        <v>Previous</v>
      </c>
      <c r="L1678" s="6"/>
      <c r="M16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8" s="6" t="str">
        <f ca="1">IF(GameLog[[#This Row],[Check]]="","",COUNTIF(GameLog[[#Headers],[Check]]:GameLog[[#This Row],[Check]],"?*")-1)</f>
        <v/>
      </c>
      <c r="O1678" s="6" t="str">
        <f>IFERROR(INDEX(Players[New name],MATCH(GameLog[[#This Row],[Player]],Players[Name],0)),GameLog[[#This Row],[Player]])</f>
        <v>Arman H</v>
      </c>
    </row>
    <row r="1679" spans="1:15" x14ac:dyDescent="0.45">
      <c r="A1679" s="6" t="s">
        <v>55</v>
      </c>
      <c r="B1679" s="6" t="s">
        <v>53</v>
      </c>
      <c r="C1679" s="6">
        <v>1</v>
      </c>
      <c r="D1679" s="6">
        <v>3</v>
      </c>
      <c r="E1679" s="6">
        <v>1</v>
      </c>
      <c r="F1679" s="10">
        <v>46195</v>
      </c>
      <c r="G1679" s="6" t="str">
        <f>_xlfn.TEXTJOIN("|",TRUE,GameLog[[#This Row],[Pod]],TEXT(INT(GameLog[[#This Row],[Round]]),"yyyymmdd"),GameLog[[#This Row],[Date]])</f>
        <v>3|19000101|46195</v>
      </c>
      <c r="H1679" s="6">
        <f>COUNTIF(GameLog[Pod ID],GameLog[[#This Row],[Pod ID]])</f>
        <v>4</v>
      </c>
      <c r="I1679" s="6">
        <f>YEAR(GameLog[[#This Row],[Date]])</f>
        <v>2026</v>
      </c>
      <c r="J1679" s="6">
        <f>MONTH(GameLog[[#This Row],[Date]])</f>
        <v>6</v>
      </c>
      <c r="K1679" s="6" t="str">
        <f>IF(GameLog[[#This Row],[Date]]=MAX(GameLog[Date]),"Current","Previous")</f>
        <v>Previous</v>
      </c>
      <c r="L1679" s="6"/>
      <c r="M16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79" s="6" t="str">
        <f ca="1">IF(GameLog[[#This Row],[Check]]="","",COUNTIF(GameLog[[#Headers],[Check]]:GameLog[[#This Row],[Check]],"?*")-1)</f>
        <v/>
      </c>
      <c r="O1679" s="6" t="str">
        <f>IFERROR(INDEX(Players[New name],MATCH(GameLog[[#This Row],[Player]],Players[Name],0)),GameLog[[#This Row],[Player]])</f>
        <v>Bryce C</v>
      </c>
    </row>
    <row r="1680" spans="1:15" x14ac:dyDescent="0.45">
      <c r="A1680" s="6" t="s">
        <v>56</v>
      </c>
      <c r="B1680" s="6" t="s">
        <v>53</v>
      </c>
      <c r="C1680" s="6">
        <v>2</v>
      </c>
      <c r="D1680" s="6">
        <v>3</v>
      </c>
      <c r="E1680" s="6">
        <v>1</v>
      </c>
      <c r="F1680" s="10">
        <v>46195</v>
      </c>
      <c r="G1680" s="6" t="str">
        <f>_xlfn.TEXTJOIN("|",TRUE,GameLog[[#This Row],[Pod]],TEXT(INT(GameLog[[#This Row],[Round]]),"yyyymmdd"),GameLog[[#This Row],[Date]])</f>
        <v>3|19000101|46195</v>
      </c>
      <c r="H1680" s="6">
        <f>COUNTIF(GameLog[Pod ID],GameLog[[#This Row],[Pod ID]])</f>
        <v>4</v>
      </c>
      <c r="I1680" s="6">
        <f>YEAR(GameLog[[#This Row],[Date]])</f>
        <v>2026</v>
      </c>
      <c r="J1680" s="6">
        <f>MONTH(GameLog[[#This Row],[Date]])</f>
        <v>6</v>
      </c>
      <c r="K1680" s="6" t="str">
        <f>IF(GameLog[[#This Row],[Date]]=MAX(GameLog[Date]),"Current","Previous")</f>
        <v>Previous</v>
      </c>
      <c r="L1680" s="6"/>
      <c r="M16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0" s="6" t="str">
        <f ca="1">IF(GameLog[[#This Row],[Check]]="","",COUNTIF(GameLog[[#Headers],[Check]]:GameLog[[#This Row],[Check]],"?*")-1)</f>
        <v/>
      </c>
      <c r="O1680" s="6" t="str">
        <f>IFERROR(INDEX(Players[New name],MATCH(GameLog[[#This Row],[Player]],Players[Name],0)),GameLog[[#This Row],[Player]])</f>
        <v>Mark D</v>
      </c>
    </row>
    <row r="1681" spans="1:15" x14ac:dyDescent="0.45">
      <c r="A1681" s="6" t="s">
        <v>112</v>
      </c>
      <c r="B1681" s="6" t="s">
        <v>50</v>
      </c>
      <c r="C1681" s="6">
        <v>3</v>
      </c>
      <c r="D1681" s="6">
        <v>3</v>
      </c>
      <c r="E1681" s="6">
        <v>1</v>
      </c>
      <c r="F1681" s="10">
        <v>46195</v>
      </c>
      <c r="G1681" s="6" t="str">
        <f>_xlfn.TEXTJOIN("|",TRUE,GameLog[[#This Row],[Pod]],TEXT(INT(GameLog[[#This Row],[Round]]),"yyyymmdd"),GameLog[[#This Row],[Date]])</f>
        <v>3|19000101|46195</v>
      </c>
      <c r="H1681" s="6">
        <f>COUNTIF(GameLog[Pod ID],GameLog[[#This Row],[Pod ID]])</f>
        <v>4</v>
      </c>
      <c r="I1681" s="6">
        <f>YEAR(GameLog[[#This Row],[Date]])</f>
        <v>2026</v>
      </c>
      <c r="J1681" s="6">
        <f>MONTH(GameLog[[#This Row],[Date]])</f>
        <v>6</v>
      </c>
      <c r="K1681" s="6" t="str">
        <f>IF(GameLog[[#This Row],[Date]]=MAX(GameLog[Date]),"Current","Previous")</f>
        <v>Previous</v>
      </c>
      <c r="L1681" s="6"/>
      <c r="M16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1" s="6" t="str">
        <f ca="1">IF(GameLog[[#This Row],[Check]]="","",COUNTIF(GameLog[[#Headers],[Check]]:GameLog[[#This Row],[Check]],"?*")-1)</f>
        <v/>
      </c>
      <c r="O1681" s="6" t="str">
        <f>IFERROR(INDEX(Players[New name],MATCH(GameLog[[#This Row],[Player]],Players[Name],0)),GameLog[[#This Row],[Player]])</f>
        <v>Savi</v>
      </c>
    </row>
    <row r="1682" spans="1:15" x14ac:dyDescent="0.45">
      <c r="A1682" s="6" t="s">
        <v>52</v>
      </c>
      <c r="B1682" s="6" t="s">
        <v>53</v>
      </c>
      <c r="C1682" s="6">
        <v>4</v>
      </c>
      <c r="D1682" s="6">
        <v>3</v>
      </c>
      <c r="E1682" s="6">
        <v>1</v>
      </c>
      <c r="F1682" s="10">
        <v>46195</v>
      </c>
      <c r="G1682" s="6" t="str">
        <f>_xlfn.TEXTJOIN("|",TRUE,GameLog[[#This Row],[Pod]],TEXT(INT(GameLog[[#This Row],[Round]]),"yyyymmdd"),GameLog[[#This Row],[Date]])</f>
        <v>3|19000101|46195</v>
      </c>
      <c r="H1682" s="6">
        <f>COUNTIF(GameLog[Pod ID],GameLog[[#This Row],[Pod ID]])</f>
        <v>4</v>
      </c>
      <c r="I1682" s="6">
        <f>YEAR(GameLog[[#This Row],[Date]])</f>
        <v>2026</v>
      </c>
      <c r="J1682" s="6">
        <f>MONTH(GameLog[[#This Row],[Date]])</f>
        <v>6</v>
      </c>
      <c r="K1682" s="6" t="str">
        <f>IF(GameLog[[#This Row],[Date]]=MAX(GameLog[Date]),"Current","Previous")</f>
        <v>Previous</v>
      </c>
      <c r="L1682" s="6"/>
      <c r="M16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2" s="6" t="str">
        <f ca="1">IF(GameLog[[#This Row],[Check]]="","",COUNTIF(GameLog[[#Headers],[Check]]:GameLog[[#This Row],[Check]],"?*")-1)</f>
        <v/>
      </c>
      <c r="O1682" s="6" t="str">
        <f>IFERROR(INDEX(Players[New name],MATCH(GameLog[[#This Row],[Player]],Players[Name],0)),GameLog[[#This Row],[Player]])</f>
        <v>Unknown</v>
      </c>
    </row>
    <row r="1683" spans="1:15" x14ac:dyDescent="0.45">
      <c r="A1683" s="6" t="s">
        <v>110</v>
      </c>
      <c r="B1683" s="6" t="s">
        <v>90</v>
      </c>
      <c r="C1683" s="6">
        <v>1</v>
      </c>
      <c r="D1683" s="6">
        <v>4</v>
      </c>
      <c r="E1683" s="6">
        <v>1</v>
      </c>
      <c r="F1683" s="10">
        <v>46195</v>
      </c>
      <c r="G1683" s="6" t="str">
        <f>_xlfn.TEXTJOIN("|",TRUE,GameLog[[#This Row],[Pod]],TEXT(INT(GameLog[[#This Row],[Round]]),"yyyymmdd"),GameLog[[#This Row],[Date]])</f>
        <v>4|19000101|46195</v>
      </c>
      <c r="H1683" s="6">
        <f>COUNTIF(GameLog[Pod ID],GameLog[[#This Row],[Pod ID]])</f>
        <v>4</v>
      </c>
      <c r="I1683" s="6">
        <f>YEAR(GameLog[[#This Row],[Date]])</f>
        <v>2026</v>
      </c>
      <c r="J1683" s="6">
        <f>MONTH(GameLog[[#This Row],[Date]])</f>
        <v>6</v>
      </c>
      <c r="K1683" s="6" t="str">
        <f>IF(GameLog[[#This Row],[Date]]=MAX(GameLog[Date]),"Current","Previous")</f>
        <v>Previous</v>
      </c>
      <c r="L1683" s="6"/>
      <c r="M16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3" s="6" t="str">
        <f ca="1">IF(GameLog[[#This Row],[Check]]="","",COUNTIF(GameLog[[#Headers],[Check]]:GameLog[[#This Row],[Check]],"?*")-1)</f>
        <v/>
      </c>
      <c r="O1683" s="6" t="str">
        <f>IFERROR(INDEX(Players[New name],MATCH(GameLog[[#This Row],[Player]],Players[Name],0)),GameLog[[#This Row],[Player]])</f>
        <v>Paul B</v>
      </c>
    </row>
    <row r="1684" spans="1:15" x14ac:dyDescent="0.45">
      <c r="A1684" s="6" t="s">
        <v>78</v>
      </c>
      <c r="B1684" s="6" t="s">
        <v>90</v>
      </c>
      <c r="C1684" s="6">
        <v>2</v>
      </c>
      <c r="D1684" s="6">
        <v>4</v>
      </c>
      <c r="E1684" s="6">
        <v>1</v>
      </c>
      <c r="F1684" s="10">
        <v>46195</v>
      </c>
      <c r="G1684" s="6" t="str">
        <f>_xlfn.TEXTJOIN("|",TRUE,GameLog[[#This Row],[Pod]],TEXT(INT(GameLog[[#This Row],[Round]]),"yyyymmdd"),GameLog[[#This Row],[Date]])</f>
        <v>4|19000101|46195</v>
      </c>
      <c r="H1684" s="6">
        <f>COUNTIF(GameLog[Pod ID],GameLog[[#This Row],[Pod ID]])</f>
        <v>4</v>
      </c>
      <c r="I1684" s="6">
        <f>YEAR(GameLog[[#This Row],[Date]])</f>
        <v>2026</v>
      </c>
      <c r="J1684" s="6">
        <f>MONTH(GameLog[[#This Row],[Date]])</f>
        <v>6</v>
      </c>
      <c r="K1684" s="6" t="str">
        <f>IF(GameLog[[#This Row],[Date]]=MAX(GameLog[Date]),"Current","Previous")</f>
        <v>Previous</v>
      </c>
      <c r="L1684" s="6"/>
      <c r="M16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4" s="6" t="str">
        <f ca="1">IF(GameLog[[#This Row],[Check]]="","",COUNTIF(GameLog[[#Headers],[Check]]:GameLog[[#This Row],[Check]],"?*")-1)</f>
        <v/>
      </c>
      <c r="O1684" s="6" t="str">
        <f>IFERROR(INDEX(Players[New name],MATCH(GameLog[[#This Row],[Player]],Players[Name],0)),GameLog[[#This Row],[Player]])</f>
        <v>Justin M</v>
      </c>
    </row>
    <row r="1685" spans="1:15" x14ac:dyDescent="0.45">
      <c r="A1685" s="6" t="s">
        <v>114</v>
      </c>
      <c r="B1685" s="6" t="s">
        <v>90</v>
      </c>
      <c r="C1685" s="6">
        <v>3</v>
      </c>
      <c r="D1685" s="6">
        <v>4</v>
      </c>
      <c r="E1685" s="6">
        <v>1</v>
      </c>
      <c r="F1685" s="10">
        <v>46195</v>
      </c>
      <c r="G1685" s="6" t="str">
        <f>_xlfn.TEXTJOIN("|",TRUE,GameLog[[#This Row],[Pod]],TEXT(INT(GameLog[[#This Row],[Round]]),"yyyymmdd"),GameLog[[#This Row],[Date]])</f>
        <v>4|19000101|46195</v>
      </c>
      <c r="H1685" s="6">
        <f>COUNTIF(GameLog[Pod ID],GameLog[[#This Row],[Pod ID]])</f>
        <v>4</v>
      </c>
      <c r="I1685" s="6">
        <f>YEAR(GameLog[[#This Row],[Date]])</f>
        <v>2026</v>
      </c>
      <c r="J1685" s="6">
        <f>MONTH(GameLog[[#This Row],[Date]])</f>
        <v>6</v>
      </c>
      <c r="K1685" s="6" t="str">
        <f>IF(GameLog[[#This Row],[Date]]=MAX(GameLog[Date]),"Current","Previous")</f>
        <v>Previous</v>
      </c>
      <c r="L1685" s="6"/>
      <c r="M16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5" s="6" t="str">
        <f ca="1">IF(GameLog[[#This Row],[Check]]="","",COUNTIF(GameLog[[#Headers],[Check]]:GameLog[[#This Row],[Check]],"?*")-1)</f>
        <v/>
      </c>
      <c r="O1685" s="6" t="str">
        <f>IFERROR(INDEX(Players[New name],MATCH(GameLog[[#This Row],[Player]],Players[Name],0)),GameLog[[#This Row],[Player]])</f>
        <v>Jared B</v>
      </c>
    </row>
    <row r="1686" spans="1:15" x14ac:dyDescent="0.45">
      <c r="A1686" s="6" t="s">
        <v>98</v>
      </c>
      <c r="B1686" s="6" t="s">
        <v>90</v>
      </c>
      <c r="C1686" s="6">
        <v>4</v>
      </c>
      <c r="D1686" s="6">
        <v>4</v>
      </c>
      <c r="E1686" s="6">
        <v>1</v>
      </c>
      <c r="F1686" s="10">
        <v>46195</v>
      </c>
      <c r="G1686" s="6" t="str">
        <f>_xlfn.TEXTJOIN("|",TRUE,GameLog[[#This Row],[Pod]],TEXT(INT(GameLog[[#This Row],[Round]]),"yyyymmdd"),GameLog[[#This Row],[Date]])</f>
        <v>4|19000101|46195</v>
      </c>
      <c r="H1686" s="6">
        <f>COUNTIF(GameLog[Pod ID],GameLog[[#This Row],[Pod ID]])</f>
        <v>4</v>
      </c>
      <c r="I1686" s="6">
        <f>YEAR(GameLog[[#This Row],[Date]])</f>
        <v>2026</v>
      </c>
      <c r="J1686" s="6">
        <f>MONTH(GameLog[[#This Row],[Date]])</f>
        <v>6</v>
      </c>
      <c r="K1686" s="6" t="str">
        <f>IF(GameLog[[#This Row],[Date]]=MAX(GameLog[Date]),"Current","Previous")</f>
        <v>Previous</v>
      </c>
      <c r="L1686" s="6"/>
      <c r="M16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6" s="6" t="str">
        <f ca="1">IF(GameLog[[#This Row],[Check]]="","",COUNTIF(GameLog[[#Headers],[Check]]:GameLog[[#This Row],[Check]],"?*")-1)</f>
        <v/>
      </c>
      <c r="O1686" s="6" t="str">
        <f>IFERROR(INDEX(Players[New name],MATCH(GameLog[[#This Row],[Player]],Players[Name],0)),GameLog[[#This Row],[Player]])</f>
        <v>Charlie B</v>
      </c>
    </row>
    <row r="1687" spans="1:15" x14ac:dyDescent="0.45">
      <c r="A1687" s="6" t="s">
        <v>64</v>
      </c>
      <c r="B1687" s="6" t="s">
        <v>90</v>
      </c>
      <c r="C1687" s="6">
        <v>1</v>
      </c>
      <c r="D1687" s="6">
        <v>5</v>
      </c>
      <c r="E1687" s="6">
        <v>1</v>
      </c>
      <c r="F1687" s="10">
        <v>46195</v>
      </c>
      <c r="G1687" s="6" t="str">
        <f>_xlfn.TEXTJOIN("|",TRUE,GameLog[[#This Row],[Pod]],TEXT(INT(GameLog[[#This Row],[Round]]),"yyyymmdd"),GameLog[[#This Row],[Date]])</f>
        <v>5|19000101|46195</v>
      </c>
      <c r="H1687" s="6">
        <f>COUNTIF(GameLog[Pod ID],GameLog[[#This Row],[Pod ID]])</f>
        <v>4</v>
      </c>
      <c r="I1687" s="6">
        <f>YEAR(GameLog[[#This Row],[Date]])</f>
        <v>2026</v>
      </c>
      <c r="J1687" s="6">
        <f>MONTH(GameLog[[#This Row],[Date]])</f>
        <v>6</v>
      </c>
      <c r="K1687" s="6" t="str">
        <f>IF(GameLog[[#This Row],[Date]]=MAX(GameLog[Date]),"Current","Previous")</f>
        <v>Previous</v>
      </c>
      <c r="L1687" s="6"/>
      <c r="M16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7" s="6" t="str">
        <f ca="1">IF(GameLog[[#This Row],[Check]]="","",COUNTIF(GameLog[[#Headers],[Check]]:GameLog[[#This Row],[Check]],"?*")-1)</f>
        <v/>
      </c>
      <c r="O1687" s="6" t="str">
        <f>IFERROR(INDEX(Players[New name],MATCH(GameLog[[#This Row],[Player]],Players[Name],0)),GameLog[[#This Row],[Player]])</f>
        <v>Tyler B</v>
      </c>
    </row>
    <row r="1688" spans="1:15" x14ac:dyDescent="0.45">
      <c r="A1688" s="6" t="s">
        <v>63</v>
      </c>
      <c r="B1688" s="6" t="s">
        <v>90</v>
      </c>
      <c r="C1688" s="6">
        <v>2</v>
      </c>
      <c r="D1688" s="6">
        <v>5</v>
      </c>
      <c r="E1688" s="6">
        <v>1</v>
      </c>
      <c r="F1688" s="10">
        <v>46195</v>
      </c>
      <c r="G1688" s="6" t="str">
        <f>_xlfn.TEXTJOIN("|",TRUE,GameLog[[#This Row],[Pod]],TEXT(INT(GameLog[[#This Row],[Round]]),"yyyymmdd"),GameLog[[#This Row],[Date]])</f>
        <v>5|19000101|46195</v>
      </c>
      <c r="H1688" s="6">
        <f>COUNTIF(GameLog[Pod ID],GameLog[[#This Row],[Pod ID]])</f>
        <v>4</v>
      </c>
      <c r="I1688" s="6">
        <f>YEAR(GameLog[[#This Row],[Date]])</f>
        <v>2026</v>
      </c>
      <c r="J1688" s="6">
        <f>MONTH(GameLog[[#This Row],[Date]])</f>
        <v>6</v>
      </c>
      <c r="K1688" s="6" t="str">
        <f>IF(GameLog[[#This Row],[Date]]=MAX(GameLog[Date]),"Current","Previous")</f>
        <v>Previous</v>
      </c>
      <c r="L1688" s="6"/>
      <c r="M16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8" s="6" t="str">
        <f ca="1">IF(GameLog[[#This Row],[Check]]="","",COUNTIF(GameLog[[#Headers],[Check]]:GameLog[[#This Row],[Check]],"?*")-1)</f>
        <v/>
      </c>
      <c r="O1688" s="6" t="str">
        <f>IFERROR(INDEX(Players[New name],MATCH(GameLog[[#This Row],[Player]],Players[Name],0)),GameLog[[#This Row],[Player]])</f>
        <v>Jake D</v>
      </c>
    </row>
    <row r="1689" spans="1:15" x14ac:dyDescent="0.45">
      <c r="A1689" s="6" t="s">
        <v>115</v>
      </c>
      <c r="B1689" s="6" t="s">
        <v>90</v>
      </c>
      <c r="C1689" s="6">
        <v>3</v>
      </c>
      <c r="D1689" s="6">
        <v>5</v>
      </c>
      <c r="E1689" s="6">
        <v>1</v>
      </c>
      <c r="F1689" s="10">
        <v>46195</v>
      </c>
      <c r="G1689" s="6" t="str">
        <f>_xlfn.TEXTJOIN("|",TRUE,GameLog[[#This Row],[Pod]],TEXT(INT(GameLog[[#This Row],[Round]]),"yyyymmdd"),GameLog[[#This Row],[Date]])</f>
        <v>5|19000101|46195</v>
      </c>
      <c r="H1689" s="6">
        <f>COUNTIF(GameLog[Pod ID],GameLog[[#This Row],[Pod ID]])</f>
        <v>4</v>
      </c>
      <c r="I1689" s="6">
        <f>YEAR(GameLog[[#This Row],[Date]])</f>
        <v>2026</v>
      </c>
      <c r="J1689" s="6">
        <f>MONTH(GameLog[[#This Row],[Date]])</f>
        <v>6</v>
      </c>
      <c r="K1689" s="6" t="str">
        <f>IF(GameLog[[#This Row],[Date]]=MAX(GameLog[Date]),"Current","Previous")</f>
        <v>Previous</v>
      </c>
      <c r="L1689" s="6"/>
      <c r="M16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89" s="6" t="str">
        <f ca="1">IF(GameLog[[#This Row],[Check]]="","",COUNTIF(GameLog[[#Headers],[Check]]:GameLog[[#This Row],[Check]],"?*")-1)</f>
        <v/>
      </c>
      <c r="O1689" s="6" t="str">
        <f>IFERROR(INDEX(Players[New name],MATCH(GameLog[[#This Row],[Player]],Players[Name],0)),GameLog[[#This Row],[Player]])</f>
        <v>Joel C</v>
      </c>
    </row>
    <row r="1690" spans="1:15" x14ac:dyDescent="0.45">
      <c r="A1690" s="6" t="s">
        <v>74</v>
      </c>
      <c r="B1690" s="6" t="s">
        <v>90</v>
      </c>
      <c r="C1690" s="6">
        <v>4</v>
      </c>
      <c r="D1690" s="6">
        <v>5</v>
      </c>
      <c r="E1690" s="6">
        <v>1</v>
      </c>
      <c r="F1690" s="10">
        <v>46195</v>
      </c>
      <c r="G1690" s="6" t="str">
        <f>_xlfn.TEXTJOIN("|",TRUE,GameLog[[#This Row],[Pod]],TEXT(INT(GameLog[[#This Row],[Round]]),"yyyymmdd"),GameLog[[#This Row],[Date]])</f>
        <v>5|19000101|46195</v>
      </c>
      <c r="H1690" s="6">
        <f>COUNTIF(GameLog[Pod ID],GameLog[[#This Row],[Pod ID]])</f>
        <v>4</v>
      </c>
      <c r="I1690" s="6">
        <f>YEAR(GameLog[[#This Row],[Date]])</f>
        <v>2026</v>
      </c>
      <c r="J1690" s="6">
        <f>MONTH(GameLog[[#This Row],[Date]])</f>
        <v>6</v>
      </c>
      <c r="K1690" s="6" t="str">
        <f>IF(GameLog[[#This Row],[Date]]=MAX(GameLog[Date]),"Current","Previous")</f>
        <v>Previous</v>
      </c>
      <c r="L1690" s="6"/>
      <c r="M16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0" s="6" t="str">
        <f ca="1">IF(GameLog[[#This Row],[Check]]="","",COUNTIF(GameLog[[#Headers],[Check]]:GameLog[[#This Row],[Check]],"?*")-1)</f>
        <v/>
      </c>
      <c r="O1690" s="6" t="str">
        <f>IFERROR(INDEX(Players[New name],MATCH(GameLog[[#This Row],[Player]],Players[Name],0)),GameLog[[#This Row],[Player]])</f>
        <v>Jarrod O</v>
      </c>
    </row>
    <row r="1691" spans="1:15" x14ac:dyDescent="0.45">
      <c r="A1691" s="6" t="s">
        <v>70</v>
      </c>
      <c r="B1691" s="6" t="s">
        <v>50</v>
      </c>
      <c r="C1691" s="6">
        <v>1</v>
      </c>
      <c r="D1691" s="6">
        <v>6</v>
      </c>
      <c r="E1691" s="6">
        <v>1</v>
      </c>
      <c r="F1691" s="10">
        <v>46195</v>
      </c>
      <c r="G1691" s="6" t="str">
        <f>_xlfn.TEXTJOIN("|",TRUE,GameLog[[#This Row],[Pod]],TEXT(INT(GameLog[[#This Row],[Round]]),"yyyymmdd"),GameLog[[#This Row],[Date]])</f>
        <v>6|19000101|46195</v>
      </c>
      <c r="H1691" s="6">
        <f>COUNTIF(GameLog[Pod ID],GameLog[[#This Row],[Pod ID]])</f>
        <v>3</v>
      </c>
      <c r="I1691" s="6">
        <f>YEAR(GameLog[[#This Row],[Date]])</f>
        <v>2026</v>
      </c>
      <c r="J1691" s="6">
        <f>MONTH(GameLog[[#This Row],[Date]])</f>
        <v>6</v>
      </c>
      <c r="K1691" s="6" t="str">
        <f>IF(GameLog[[#This Row],[Date]]=MAX(GameLog[Date]),"Current","Previous")</f>
        <v>Previous</v>
      </c>
      <c r="L1691" s="6"/>
      <c r="M16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1" s="6" t="str">
        <f ca="1">IF(GameLog[[#This Row],[Check]]="","",COUNTIF(GameLog[[#Headers],[Check]]:GameLog[[#This Row],[Check]],"?*")-1)</f>
        <v/>
      </c>
      <c r="O1691" s="6" t="str">
        <f>IFERROR(INDEX(Players[New name],MATCH(GameLog[[#This Row],[Player]],Players[Name],0)),GameLog[[#This Row],[Player]])</f>
        <v>Brad F</v>
      </c>
    </row>
    <row r="1692" spans="1:15" x14ac:dyDescent="0.45">
      <c r="A1692" s="6" t="s">
        <v>109</v>
      </c>
      <c r="B1692" s="6" t="s">
        <v>53</v>
      </c>
      <c r="C1692" s="6">
        <v>2</v>
      </c>
      <c r="D1692" s="6">
        <v>6</v>
      </c>
      <c r="E1692" s="6">
        <v>1</v>
      </c>
      <c r="F1692" s="10">
        <v>46195</v>
      </c>
      <c r="G1692" s="6" t="str">
        <f>_xlfn.TEXTJOIN("|",TRUE,GameLog[[#This Row],[Pod]],TEXT(INT(GameLog[[#This Row],[Round]]),"yyyymmdd"),GameLog[[#This Row],[Date]])</f>
        <v>6|19000101|46195</v>
      </c>
      <c r="H1692" s="6">
        <f>COUNTIF(GameLog[Pod ID],GameLog[[#This Row],[Pod ID]])</f>
        <v>3</v>
      </c>
      <c r="I1692" s="6">
        <f>YEAR(GameLog[[#This Row],[Date]])</f>
        <v>2026</v>
      </c>
      <c r="J1692" s="6">
        <f>MONTH(GameLog[[#This Row],[Date]])</f>
        <v>6</v>
      </c>
      <c r="K1692" s="6" t="str">
        <f>IF(GameLog[[#This Row],[Date]]=MAX(GameLog[Date]),"Current","Previous")</f>
        <v>Previous</v>
      </c>
      <c r="L1692" s="6"/>
      <c r="M16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2" s="6" t="str">
        <f ca="1">IF(GameLog[[#This Row],[Check]]="","",COUNTIF(GameLog[[#Headers],[Check]]:GameLog[[#This Row],[Check]],"?*")-1)</f>
        <v/>
      </c>
      <c r="O1692" s="6" t="str">
        <f>IFERROR(INDEX(Players[New name],MATCH(GameLog[[#This Row],[Player]],Players[Name],0)),GameLog[[#This Row],[Player]])</f>
        <v>Taylor C</v>
      </c>
    </row>
    <row r="1693" spans="1:15" x14ac:dyDescent="0.45">
      <c r="A1693" s="6" t="s">
        <v>58</v>
      </c>
      <c r="B1693" s="6" t="s">
        <v>53</v>
      </c>
      <c r="C1693" s="6">
        <v>3</v>
      </c>
      <c r="D1693" s="6">
        <v>6</v>
      </c>
      <c r="E1693" s="6">
        <v>1</v>
      </c>
      <c r="F1693" s="10">
        <v>46195</v>
      </c>
      <c r="G1693" s="6" t="str">
        <f>_xlfn.TEXTJOIN("|",TRUE,GameLog[[#This Row],[Pod]],TEXT(INT(GameLog[[#This Row],[Round]]),"yyyymmdd"),GameLog[[#This Row],[Date]])</f>
        <v>6|19000101|46195</v>
      </c>
      <c r="H1693" s="6">
        <f>COUNTIF(GameLog[Pod ID],GameLog[[#This Row],[Pod ID]])</f>
        <v>3</v>
      </c>
      <c r="I1693" s="6">
        <f>YEAR(GameLog[[#This Row],[Date]])</f>
        <v>2026</v>
      </c>
      <c r="J1693" s="6">
        <f>MONTH(GameLog[[#This Row],[Date]])</f>
        <v>6</v>
      </c>
      <c r="K1693" s="6" t="str">
        <f>IF(GameLog[[#This Row],[Date]]=MAX(GameLog[Date]),"Current","Previous")</f>
        <v>Previous</v>
      </c>
      <c r="L1693" s="6"/>
      <c r="M16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3" s="6" t="str">
        <f ca="1">IF(GameLog[[#This Row],[Check]]="","",COUNTIF(GameLog[[#Headers],[Check]]:GameLog[[#This Row],[Check]],"?*")-1)</f>
        <v/>
      </c>
      <c r="O1693" s="6" t="str">
        <f>IFERROR(INDEX(Players[New name],MATCH(GameLog[[#This Row],[Player]],Players[Name],0)),GameLog[[#This Row],[Player]])</f>
        <v>Dakota P</v>
      </c>
    </row>
    <row r="1694" spans="1:15" x14ac:dyDescent="0.45">
      <c r="A1694" s="6" t="s">
        <v>74</v>
      </c>
      <c r="B1694" s="6" t="s">
        <v>53</v>
      </c>
      <c r="C1694" s="6">
        <v>1</v>
      </c>
      <c r="D1694" s="6">
        <v>1</v>
      </c>
      <c r="E1694" s="6">
        <v>2</v>
      </c>
      <c r="F1694" s="10">
        <v>46195</v>
      </c>
      <c r="G1694" s="6" t="str">
        <f>_xlfn.TEXTJOIN("|",TRUE,GameLog[[#This Row],[Pod]],TEXT(INT(GameLog[[#This Row],[Round]]),"yyyymmdd"),GameLog[[#This Row],[Date]])</f>
        <v>1|19000102|46195</v>
      </c>
      <c r="H1694" s="6">
        <f>COUNTIF(GameLog[Pod ID],GameLog[[#This Row],[Pod ID]])</f>
        <v>4</v>
      </c>
      <c r="I1694" s="6">
        <f>YEAR(GameLog[[#This Row],[Date]])</f>
        <v>2026</v>
      </c>
      <c r="J1694" s="6">
        <f>MONTH(GameLog[[#This Row],[Date]])</f>
        <v>6</v>
      </c>
      <c r="K1694" s="6" t="str">
        <f>IF(GameLog[[#This Row],[Date]]=MAX(GameLog[Date]),"Current","Previous")</f>
        <v>Previous</v>
      </c>
      <c r="L1694" s="6"/>
      <c r="M16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4" s="6" t="str">
        <f ca="1">IF(GameLog[[#This Row],[Check]]="","",COUNTIF(GameLog[[#Headers],[Check]]:GameLog[[#This Row],[Check]],"?*")-1)</f>
        <v/>
      </c>
      <c r="O1694" s="6" t="str">
        <f>IFERROR(INDEX(Players[New name],MATCH(GameLog[[#This Row],[Player]],Players[Name],0)),GameLog[[#This Row],[Player]])</f>
        <v>Jarrod O</v>
      </c>
    </row>
    <row r="1695" spans="1:15" x14ac:dyDescent="0.45">
      <c r="A1695" s="6" t="s">
        <v>110</v>
      </c>
      <c r="B1695" s="6" t="s">
        <v>53</v>
      </c>
      <c r="C1695" s="6">
        <v>2</v>
      </c>
      <c r="D1695" s="6">
        <v>1</v>
      </c>
      <c r="E1695" s="6">
        <v>2</v>
      </c>
      <c r="F1695" s="10">
        <v>46195</v>
      </c>
      <c r="G1695" s="6" t="str">
        <f>_xlfn.TEXTJOIN("|",TRUE,GameLog[[#This Row],[Pod]],TEXT(INT(GameLog[[#This Row],[Round]]),"yyyymmdd"),GameLog[[#This Row],[Date]])</f>
        <v>1|19000102|46195</v>
      </c>
      <c r="H1695" s="6">
        <f>COUNTIF(GameLog[Pod ID],GameLog[[#This Row],[Pod ID]])</f>
        <v>4</v>
      </c>
      <c r="I1695" s="6">
        <f>YEAR(GameLog[[#This Row],[Date]])</f>
        <v>2026</v>
      </c>
      <c r="J1695" s="6">
        <f>MONTH(GameLog[[#This Row],[Date]])</f>
        <v>6</v>
      </c>
      <c r="K1695" s="6" t="str">
        <f>IF(GameLog[[#This Row],[Date]]=MAX(GameLog[Date]),"Current","Previous")</f>
        <v>Previous</v>
      </c>
      <c r="L1695" s="6"/>
      <c r="M16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5" s="6" t="str">
        <f ca="1">IF(GameLog[[#This Row],[Check]]="","",COUNTIF(GameLog[[#Headers],[Check]]:GameLog[[#This Row],[Check]],"?*")-1)</f>
        <v/>
      </c>
      <c r="O1695" s="6" t="str">
        <f>IFERROR(INDEX(Players[New name],MATCH(GameLog[[#This Row],[Player]],Players[Name],0)),GameLog[[#This Row],[Player]])</f>
        <v>Paul B</v>
      </c>
    </row>
    <row r="1696" spans="1:15" x14ac:dyDescent="0.45">
      <c r="A1696" s="6" t="s">
        <v>73</v>
      </c>
      <c r="B1696" s="6" t="s">
        <v>50</v>
      </c>
      <c r="C1696" s="6">
        <v>3</v>
      </c>
      <c r="D1696" s="6">
        <v>1</v>
      </c>
      <c r="E1696" s="6">
        <v>2</v>
      </c>
      <c r="F1696" s="10">
        <v>46195</v>
      </c>
      <c r="G1696" s="6" t="str">
        <f>_xlfn.TEXTJOIN("|",TRUE,GameLog[[#This Row],[Pod]],TEXT(INT(GameLog[[#This Row],[Round]]),"yyyymmdd"),GameLog[[#This Row],[Date]])</f>
        <v>1|19000102|46195</v>
      </c>
      <c r="H1696" s="6">
        <f>COUNTIF(GameLog[Pod ID],GameLog[[#This Row],[Pod ID]])</f>
        <v>4</v>
      </c>
      <c r="I1696" s="6">
        <f>YEAR(GameLog[[#This Row],[Date]])</f>
        <v>2026</v>
      </c>
      <c r="J1696" s="6">
        <f>MONTH(GameLog[[#This Row],[Date]])</f>
        <v>6</v>
      </c>
      <c r="K1696" s="6" t="str">
        <f>IF(GameLog[[#This Row],[Date]]=MAX(GameLog[Date]),"Current","Previous")</f>
        <v>Previous</v>
      </c>
      <c r="L1696" s="6"/>
      <c r="M16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6" s="6" t="str">
        <f ca="1">IF(GameLog[[#This Row],[Check]]="","",COUNTIF(GameLog[[#Headers],[Check]]:GameLog[[#This Row],[Check]],"?*")-1)</f>
        <v/>
      </c>
      <c r="O1696" s="6" t="str">
        <f>IFERROR(INDEX(Players[New name],MATCH(GameLog[[#This Row],[Player]],Players[Name],0)),GameLog[[#This Row],[Player]])</f>
        <v>Brandon B</v>
      </c>
    </row>
    <row r="1697" spans="1:15" x14ac:dyDescent="0.45">
      <c r="A1697" s="6" t="s">
        <v>104</v>
      </c>
      <c r="B1697" s="6" t="s">
        <v>53</v>
      </c>
      <c r="C1697" s="6">
        <v>4</v>
      </c>
      <c r="D1697" s="6">
        <v>1</v>
      </c>
      <c r="E1697" s="6">
        <v>2</v>
      </c>
      <c r="F1697" s="10">
        <v>46195</v>
      </c>
      <c r="G1697" s="6" t="str">
        <f>_xlfn.TEXTJOIN("|",TRUE,GameLog[[#This Row],[Pod]],TEXT(INT(GameLog[[#This Row],[Round]]),"yyyymmdd"),GameLog[[#This Row],[Date]])</f>
        <v>1|19000102|46195</v>
      </c>
      <c r="H1697" s="6">
        <f>COUNTIF(GameLog[Pod ID],GameLog[[#This Row],[Pod ID]])</f>
        <v>4</v>
      </c>
      <c r="I1697" s="6">
        <f>YEAR(GameLog[[#This Row],[Date]])</f>
        <v>2026</v>
      </c>
      <c r="J1697" s="6">
        <f>MONTH(GameLog[[#This Row],[Date]])</f>
        <v>6</v>
      </c>
      <c r="K1697" s="6" t="str">
        <f>IF(GameLog[[#This Row],[Date]]=MAX(GameLog[Date]),"Current","Previous")</f>
        <v>Previous</v>
      </c>
      <c r="L1697" s="6"/>
      <c r="M16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7" s="6" t="str">
        <f ca="1">IF(GameLog[[#This Row],[Check]]="","",COUNTIF(GameLog[[#Headers],[Check]]:GameLog[[#This Row],[Check]],"?*")-1)</f>
        <v/>
      </c>
      <c r="O1697" s="6" t="str">
        <f>IFERROR(INDEX(Players[New name],MATCH(GameLog[[#This Row],[Player]],Players[Name],0)),GameLog[[#This Row],[Player]])</f>
        <v>Eric E</v>
      </c>
    </row>
    <row r="1698" spans="1:15" x14ac:dyDescent="0.45">
      <c r="A1698" s="6" t="s">
        <v>97</v>
      </c>
      <c r="B1698" s="6" t="s">
        <v>50</v>
      </c>
      <c r="C1698" s="6">
        <v>1</v>
      </c>
      <c r="D1698" s="6">
        <v>2</v>
      </c>
      <c r="E1698" s="6">
        <v>2</v>
      </c>
      <c r="F1698" s="10">
        <v>46195</v>
      </c>
      <c r="G1698" s="6" t="str">
        <f>_xlfn.TEXTJOIN("|",TRUE,GameLog[[#This Row],[Pod]],TEXT(INT(GameLog[[#This Row],[Round]]),"yyyymmdd"),GameLog[[#This Row],[Date]])</f>
        <v>2|19000102|46195</v>
      </c>
      <c r="H1698" s="6">
        <f>COUNTIF(GameLog[Pod ID],GameLog[[#This Row],[Pod ID]])</f>
        <v>4</v>
      </c>
      <c r="I1698" s="6">
        <f>YEAR(GameLog[[#This Row],[Date]])</f>
        <v>2026</v>
      </c>
      <c r="J1698" s="6">
        <f>MONTH(GameLog[[#This Row],[Date]])</f>
        <v>6</v>
      </c>
      <c r="K1698" s="6" t="str">
        <f>IF(GameLog[[#This Row],[Date]]=MAX(GameLog[Date]),"Current","Previous")</f>
        <v>Previous</v>
      </c>
      <c r="L1698" s="6"/>
      <c r="M16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8" s="6" t="str">
        <f ca="1">IF(GameLog[[#This Row],[Check]]="","",COUNTIF(GameLog[[#Headers],[Check]]:GameLog[[#This Row],[Check]],"?*")-1)</f>
        <v/>
      </c>
      <c r="O1698" s="6" t="str">
        <f>IFERROR(INDEX(Players[New name],MATCH(GameLog[[#This Row],[Player]],Players[Name],0)),GameLog[[#This Row],[Player]])</f>
        <v>Arman H</v>
      </c>
    </row>
    <row r="1699" spans="1:15" x14ac:dyDescent="0.45">
      <c r="A1699" s="6" t="s">
        <v>61</v>
      </c>
      <c r="B1699" s="6" t="s">
        <v>53</v>
      </c>
      <c r="C1699" s="6">
        <v>2</v>
      </c>
      <c r="D1699" s="6">
        <v>2</v>
      </c>
      <c r="E1699" s="6">
        <v>2</v>
      </c>
      <c r="F1699" s="10">
        <v>46195</v>
      </c>
      <c r="G1699" s="6" t="str">
        <f>_xlfn.TEXTJOIN("|",TRUE,GameLog[[#This Row],[Pod]],TEXT(INT(GameLog[[#This Row],[Round]]),"yyyymmdd"),GameLog[[#This Row],[Date]])</f>
        <v>2|19000102|46195</v>
      </c>
      <c r="H1699" s="6">
        <f>COUNTIF(GameLog[Pod ID],GameLog[[#This Row],[Pod ID]])</f>
        <v>4</v>
      </c>
      <c r="I1699" s="6">
        <f>YEAR(GameLog[[#This Row],[Date]])</f>
        <v>2026</v>
      </c>
      <c r="J1699" s="6">
        <f>MONTH(GameLog[[#This Row],[Date]])</f>
        <v>6</v>
      </c>
      <c r="K1699" s="6" t="str">
        <f>IF(GameLog[[#This Row],[Date]]=MAX(GameLog[Date]),"Current","Previous")</f>
        <v>Previous</v>
      </c>
      <c r="L1699" s="6"/>
      <c r="M16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699" s="6" t="str">
        <f ca="1">IF(GameLog[[#This Row],[Check]]="","",COUNTIF(GameLog[[#Headers],[Check]]:GameLog[[#This Row],[Check]],"?*")-1)</f>
        <v/>
      </c>
      <c r="O1699" s="6" t="str">
        <f>IFERROR(INDEX(Players[New name],MATCH(GameLog[[#This Row],[Player]],Players[Name],0)),GameLog[[#This Row],[Player]])</f>
        <v>Trevor</v>
      </c>
    </row>
    <row r="1700" spans="1:15" x14ac:dyDescent="0.45">
      <c r="A1700" s="6" t="s">
        <v>70</v>
      </c>
      <c r="B1700" s="6" t="s">
        <v>53</v>
      </c>
      <c r="C1700" s="6">
        <v>3</v>
      </c>
      <c r="D1700" s="6">
        <v>2</v>
      </c>
      <c r="E1700" s="6">
        <v>2</v>
      </c>
      <c r="F1700" s="10">
        <v>46195</v>
      </c>
      <c r="G1700" s="6" t="str">
        <f>_xlfn.TEXTJOIN("|",TRUE,GameLog[[#This Row],[Pod]],TEXT(INT(GameLog[[#This Row],[Round]]),"yyyymmdd"),GameLog[[#This Row],[Date]])</f>
        <v>2|19000102|46195</v>
      </c>
      <c r="H1700" s="6">
        <f>COUNTIF(GameLog[Pod ID],GameLog[[#This Row],[Pod ID]])</f>
        <v>4</v>
      </c>
      <c r="I1700" s="6">
        <f>YEAR(GameLog[[#This Row],[Date]])</f>
        <v>2026</v>
      </c>
      <c r="J1700" s="6">
        <f>MONTH(GameLog[[#This Row],[Date]])</f>
        <v>6</v>
      </c>
      <c r="K1700" s="6" t="str">
        <f>IF(GameLog[[#This Row],[Date]]=MAX(GameLog[Date]),"Current","Previous")</f>
        <v>Previous</v>
      </c>
      <c r="L1700" s="6"/>
      <c r="M17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0" s="6" t="str">
        <f ca="1">IF(GameLog[[#This Row],[Check]]="","",COUNTIF(GameLog[[#Headers],[Check]]:GameLog[[#This Row],[Check]],"?*")-1)</f>
        <v/>
      </c>
      <c r="O1700" s="6" t="str">
        <f>IFERROR(INDEX(Players[New name],MATCH(GameLog[[#This Row],[Player]],Players[Name],0)),GameLog[[#This Row],[Player]])</f>
        <v>Brad F</v>
      </c>
    </row>
    <row r="1701" spans="1:15" x14ac:dyDescent="0.45">
      <c r="A1701" s="6" t="s">
        <v>114</v>
      </c>
      <c r="B1701" s="6" t="s">
        <v>53</v>
      </c>
      <c r="C1701" s="6">
        <v>4</v>
      </c>
      <c r="D1701" s="6">
        <v>2</v>
      </c>
      <c r="E1701" s="6">
        <v>2</v>
      </c>
      <c r="F1701" s="10">
        <v>46195</v>
      </c>
      <c r="G1701" s="6" t="str">
        <f>_xlfn.TEXTJOIN("|",TRUE,GameLog[[#This Row],[Pod]],TEXT(INT(GameLog[[#This Row],[Round]]),"yyyymmdd"),GameLog[[#This Row],[Date]])</f>
        <v>2|19000102|46195</v>
      </c>
      <c r="H1701" s="6">
        <f>COUNTIF(GameLog[Pod ID],GameLog[[#This Row],[Pod ID]])</f>
        <v>4</v>
      </c>
      <c r="I1701" s="6">
        <f>YEAR(GameLog[[#This Row],[Date]])</f>
        <v>2026</v>
      </c>
      <c r="J1701" s="6">
        <f>MONTH(GameLog[[#This Row],[Date]])</f>
        <v>6</v>
      </c>
      <c r="K1701" s="6" t="str">
        <f>IF(GameLog[[#This Row],[Date]]=MAX(GameLog[Date]),"Current","Previous")</f>
        <v>Previous</v>
      </c>
      <c r="L1701" s="6"/>
      <c r="M17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1" s="6" t="str">
        <f ca="1">IF(GameLog[[#This Row],[Check]]="","",COUNTIF(GameLog[[#Headers],[Check]]:GameLog[[#This Row],[Check]],"?*")-1)</f>
        <v/>
      </c>
      <c r="O1701" s="6" t="str">
        <f>IFERROR(INDEX(Players[New name],MATCH(GameLog[[#This Row],[Player]],Players[Name],0)),GameLog[[#This Row],[Player]])</f>
        <v>Jared B</v>
      </c>
    </row>
    <row r="1702" spans="1:15" x14ac:dyDescent="0.45">
      <c r="A1702" s="6" t="s">
        <v>115</v>
      </c>
      <c r="B1702" s="6" t="s">
        <v>53</v>
      </c>
      <c r="C1702" s="6">
        <v>1</v>
      </c>
      <c r="D1702" s="6">
        <v>3</v>
      </c>
      <c r="E1702" s="6">
        <v>2</v>
      </c>
      <c r="F1702" s="10">
        <v>46195</v>
      </c>
      <c r="G1702" s="6" t="str">
        <f>_xlfn.TEXTJOIN("|",TRUE,GameLog[[#This Row],[Pod]],TEXT(INT(GameLog[[#This Row],[Round]]),"yyyymmdd"),GameLog[[#This Row],[Date]])</f>
        <v>3|19000102|46195</v>
      </c>
      <c r="H1702" s="6">
        <f>COUNTIF(GameLog[Pod ID],GameLog[[#This Row],[Pod ID]])</f>
        <v>4</v>
      </c>
      <c r="I1702" s="6">
        <f>YEAR(GameLog[[#This Row],[Date]])</f>
        <v>2026</v>
      </c>
      <c r="J1702" s="6">
        <f>MONTH(GameLog[[#This Row],[Date]])</f>
        <v>6</v>
      </c>
      <c r="K1702" s="6" t="str">
        <f>IF(GameLog[[#This Row],[Date]]=MAX(GameLog[Date]),"Current","Previous")</f>
        <v>Previous</v>
      </c>
      <c r="L1702" s="6"/>
      <c r="M17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2" s="6" t="str">
        <f ca="1">IF(GameLog[[#This Row],[Check]]="","",COUNTIF(GameLog[[#Headers],[Check]]:GameLog[[#This Row],[Check]],"?*")-1)</f>
        <v/>
      </c>
      <c r="O1702" s="6" t="str">
        <f>IFERROR(INDEX(Players[New name],MATCH(GameLog[[#This Row],[Player]],Players[Name],0)),GameLog[[#This Row],[Player]])</f>
        <v>Joel C</v>
      </c>
    </row>
    <row r="1703" spans="1:15" x14ac:dyDescent="0.45">
      <c r="A1703" s="6" t="s">
        <v>98</v>
      </c>
      <c r="B1703" s="6" t="s">
        <v>50</v>
      </c>
      <c r="C1703" s="6">
        <v>2</v>
      </c>
      <c r="D1703" s="6">
        <v>3</v>
      </c>
      <c r="E1703" s="6">
        <v>2</v>
      </c>
      <c r="F1703" s="10">
        <v>46195</v>
      </c>
      <c r="G1703" s="6" t="str">
        <f>_xlfn.TEXTJOIN("|",TRUE,GameLog[[#This Row],[Pod]],TEXT(INT(GameLog[[#This Row],[Round]]),"yyyymmdd"),GameLog[[#This Row],[Date]])</f>
        <v>3|19000102|46195</v>
      </c>
      <c r="H1703" s="6">
        <f>COUNTIF(GameLog[Pod ID],GameLog[[#This Row],[Pod ID]])</f>
        <v>4</v>
      </c>
      <c r="I1703" s="6">
        <f>YEAR(GameLog[[#This Row],[Date]])</f>
        <v>2026</v>
      </c>
      <c r="J1703" s="6">
        <f>MONTH(GameLog[[#This Row],[Date]])</f>
        <v>6</v>
      </c>
      <c r="K1703" s="6" t="str">
        <f>IF(GameLog[[#This Row],[Date]]=MAX(GameLog[Date]),"Current","Previous")</f>
        <v>Previous</v>
      </c>
      <c r="L1703" s="6"/>
      <c r="M17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3" s="6" t="str">
        <f ca="1">IF(GameLog[[#This Row],[Check]]="","",COUNTIF(GameLog[[#Headers],[Check]]:GameLog[[#This Row],[Check]],"?*")-1)</f>
        <v/>
      </c>
      <c r="O1703" s="6" t="str">
        <f>IFERROR(INDEX(Players[New name],MATCH(GameLog[[#This Row],[Player]],Players[Name],0)),GameLog[[#This Row],[Player]])</f>
        <v>Charlie B</v>
      </c>
    </row>
    <row r="1704" spans="1:15" x14ac:dyDescent="0.45">
      <c r="A1704" s="6" t="s">
        <v>52</v>
      </c>
      <c r="B1704" s="6" t="s">
        <v>53</v>
      </c>
      <c r="C1704" s="6">
        <v>3</v>
      </c>
      <c r="D1704" s="6">
        <v>3</v>
      </c>
      <c r="E1704" s="6">
        <v>2</v>
      </c>
      <c r="F1704" s="10">
        <v>46195</v>
      </c>
      <c r="G1704" s="6" t="str">
        <f>_xlfn.TEXTJOIN("|",TRUE,GameLog[[#This Row],[Pod]],TEXT(INT(GameLog[[#This Row],[Round]]),"yyyymmdd"),GameLog[[#This Row],[Date]])</f>
        <v>3|19000102|46195</v>
      </c>
      <c r="H1704" s="6">
        <f>COUNTIF(GameLog[Pod ID],GameLog[[#This Row],[Pod ID]])</f>
        <v>4</v>
      </c>
      <c r="I1704" s="6">
        <f>YEAR(GameLog[[#This Row],[Date]])</f>
        <v>2026</v>
      </c>
      <c r="J1704" s="6">
        <f>MONTH(GameLog[[#This Row],[Date]])</f>
        <v>6</v>
      </c>
      <c r="K1704" s="6" t="str">
        <f>IF(GameLog[[#This Row],[Date]]=MAX(GameLog[Date]),"Current","Previous")</f>
        <v>Previous</v>
      </c>
      <c r="L1704" s="6"/>
      <c r="M17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4" s="6" t="str">
        <f ca="1">IF(GameLog[[#This Row],[Check]]="","",COUNTIF(GameLog[[#Headers],[Check]]:GameLog[[#This Row],[Check]],"?*")-1)</f>
        <v/>
      </c>
      <c r="O1704" s="6" t="str">
        <f>IFERROR(INDEX(Players[New name],MATCH(GameLog[[#This Row],[Player]],Players[Name],0)),GameLog[[#This Row],[Player]])</f>
        <v>Unknown</v>
      </c>
    </row>
    <row r="1705" spans="1:15" x14ac:dyDescent="0.45">
      <c r="A1705" s="6" t="s">
        <v>112</v>
      </c>
      <c r="B1705" s="6" t="s">
        <v>53</v>
      </c>
      <c r="C1705" s="6">
        <v>4</v>
      </c>
      <c r="D1705" s="6">
        <v>3</v>
      </c>
      <c r="E1705" s="6">
        <v>2</v>
      </c>
      <c r="F1705" s="10">
        <v>46195</v>
      </c>
      <c r="G1705" s="6" t="str">
        <f>_xlfn.TEXTJOIN("|",TRUE,GameLog[[#This Row],[Pod]],TEXT(INT(GameLog[[#This Row],[Round]]),"yyyymmdd"),GameLog[[#This Row],[Date]])</f>
        <v>3|19000102|46195</v>
      </c>
      <c r="H1705" s="6">
        <f>COUNTIF(GameLog[Pod ID],GameLog[[#This Row],[Pod ID]])</f>
        <v>4</v>
      </c>
      <c r="I1705" s="6">
        <f>YEAR(GameLog[[#This Row],[Date]])</f>
        <v>2026</v>
      </c>
      <c r="J1705" s="6">
        <f>MONTH(GameLog[[#This Row],[Date]])</f>
        <v>6</v>
      </c>
      <c r="K1705" s="6" t="str">
        <f>IF(GameLog[[#This Row],[Date]]=MAX(GameLog[Date]),"Current","Previous")</f>
        <v>Previous</v>
      </c>
      <c r="L1705" s="6"/>
      <c r="M17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5" s="6" t="str">
        <f ca="1">IF(GameLog[[#This Row],[Check]]="","",COUNTIF(GameLog[[#Headers],[Check]]:GameLog[[#This Row],[Check]],"?*")-1)</f>
        <v/>
      </c>
      <c r="O1705" s="6" t="str">
        <f>IFERROR(INDEX(Players[New name],MATCH(GameLog[[#This Row],[Player]],Players[Name],0)),GameLog[[#This Row],[Player]])</f>
        <v>Savi</v>
      </c>
    </row>
    <row r="1706" spans="1:15" x14ac:dyDescent="0.45">
      <c r="A1706" s="6" t="s">
        <v>59</v>
      </c>
      <c r="B1706" s="6" t="s">
        <v>50</v>
      </c>
      <c r="C1706" s="6">
        <v>1</v>
      </c>
      <c r="D1706" s="6">
        <v>4</v>
      </c>
      <c r="E1706" s="6">
        <v>2</v>
      </c>
      <c r="F1706" s="10">
        <v>46195</v>
      </c>
      <c r="G1706" s="6" t="str">
        <f>_xlfn.TEXTJOIN("|",TRUE,GameLog[[#This Row],[Pod]],TEXT(INT(GameLog[[#This Row],[Round]]),"yyyymmdd"),GameLog[[#This Row],[Date]])</f>
        <v>4|19000102|46195</v>
      </c>
      <c r="H1706" s="6">
        <f>COUNTIF(GameLog[Pod ID],GameLog[[#This Row],[Pod ID]])</f>
        <v>4</v>
      </c>
      <c r="I1706" s="6">
        <f>YEAR(GameLog[[#This Row],[Date]])</f>
        <v>2026</v>
      </c>
      <c r="J1706" s="6">
        <f>MONTH(GameLog[[#This Row],[Date]])</f>
        <v>6</v>
      </c>
      <c r="K1706" s="6" t="str">
        <f>IF(GameLog[[#This Row],[Date]]=MAX(GameLog[Date]),"Current","Previous")</f>
        <v>Previous</v>
      </c>
      <c r="L1706" s="6"/>
      <c r="M17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6" s="6" t="str">
        <f ca="1">IF(GameLog[[#This Row],[Check]]="","",COUNTIF(GameLog[[#Headers],[Check]]:GameLog[[#This Row],[Check]],"?*")-1)</f>
        <v/>
      </c>
      <c r="O1706" s="6" t="str">
        <f>IFERROR(INDEX(Players[New name],MATCH(GameLog[[#This Row],[Player]],Players[Name],0)),GameLog[[#This Row],[Player]])</f>
        <v>Zack B</v>
      </c>
    </row>
    <row r="1707" spans="1:15" x14ac:dyDescent="0.45">
      <c r="A1707" s="6" t="s">
        <v>57</v>
      </c>
      <c r="B1707" s="6" t="s">
        <v>53</v>
      </c>
      <c r="C1707" s="6">
        <v>2</v>
      </c>
      <c r="D1707" s="6">
        <v>4</v>
      </c>
      <c r="E1707" s="6">
        <v>2</v>
      </c>
      <c r="F1707" s="10">
        <v>46195</v>
      </c>
      <c r="G1707" s="6" t="str">
        <f>_xlfn.TEXTJOIN("|",TRUE,GameLog[[#This Row],[Pod]],TEXT(INT(GameLog[[#This Row],[Round]]),"yyyymmdd"),GameLog[[#This Row],[Date]])</f>
        <v>4|19000102|46195</v>
      </c>
      <c r="H1707" s="6">
        <f>COUNTIF(GameLog[Pod ID],GameLog[[#This Row],[Pod ID]])</f>
        <v>4</v>
      </c>
      <c r="I1707" s="6">
        <f>YEAR(GameLog[[#This Row],[Date]])</f>
        <v>2026</v>
      </c>
      <c r="J1707" s="6">
        <f>MONTH(GameLog[[#This Row],[Date]])</f>
        <v>6</v>
      </c>
      <c r="K1707" s="6" t="str">
        <f>IF(GameLog[[#This Row],[Date]]=MAX(GameLog[Date]),"Current","Previous")</f>
        <v>Previous</v>
      </c>
      <c r="L1707" s="6"/>
      <c r="M17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7" s="6" t="str">
        <f ca="1">IF(GameLog[[#This Row],[Check]]="","",COUNTIF(GameLog[[#Headers],[Check]]:GameLog[[#This Row],[Check]],"?*")-1)</f>
        <v/>
      </c>
      <c r="O1707" s="6" t="str">
        <f>IFERROR(INDEX(Players[New name],MATCH(GameLog[[#This Row],[Player]],Players[Name],0)),GameLog[[#This Row],[Player]])</f>
        <v>AJ W</v>
      </c>
    </row>
    <row r="1708" spans="1:15" x14ac:dyDescent="0.45">
      <c r="A1708" s="6" t="s">
        <v>63</v>
      </c>
      <c r="B1708" s="6" t="s">
        <v>53</v>
      </c>
      <c r="C1708" s="6">
        <v>3</v>
      </c>
      <c r="D1708" s="6">
        <v>4</v>
      </c>
      <c r="E1708" s="6">
        <v>2</v>
      </c>
      <c r="F1708" s="10">
        <v>46195</v>
      </c>
      <c r="G1708" s="6" t="str">
        <f>_xlfn.TEXTJOIN("|",TRUE,GameLog[[#This Row],[Pod]],TEXT(INT(GameLog[[#This Row],[Round]]),"yyyymmdd"),GameLog[[#This Row],[Date]])</f>
        <v>4|19000102|46195</v>
      </c>
      <c r="H1708" s="6">
        <f>COUNTIF(GameLog[Pod ID],GameLog[[#This Row],[Pod ID]])</f>
        <v>4</v>
      </c>
      <c r="I1708" s="6">
        <f>YEAR(GameLog[[#This Row],[Date]])</f>
        <v>2026</v>
      </c>
      <c r="J1708" s="6">
        <f>MONTH(GameLog[[#This Row],[Date]])</f>
        <v>6</v>
      </c>
      <c r="K1708" s="6" t="str">
        <f>IF(GameLog[[#This Row],[Date]]=MAX(GameLog[Date]),"Current","Previous")</f>
        <v>Previous</v>
      </c>
      <c r="L1708" s="6"/>
      <c r="M17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8" s="6" t="str">
        <f ca="1">IF(GameLog[[#This Row],[Check]]="","",COUNTIF(GameLog[[#Headers],[Check]]:GameLog[[#This Row],[Check]],"?*")-1)</f>
        <v/>
      </c>
      <c r="O1708" s="6" t="str">
        <f>IFERROR(INDEX(Players[New name],MATCH(GameLog[[#This Row],[Player]],Players[Name],0)),GameLog[[#This Row],[Player]])</f>
        <v>Jake D</v>
      </c>
    </row>
    <row r="1709" spans="1:15" x14ac:dyDescent="0.45">
      <c r="A1709" s="6" t="s">
        <v>78</v>
      </c>
      <c r="B1709" s="6" t="s">
        <v>53</v>
      </c>
      <c r="C1709" s="6">
        <v>4</v>
      </c>
      <c r="D1709" s="6">
        <v>4</v>
      </c>
      <c r="E1709" s="6">
        <v>2</v>
      </c>
      <c r="F1709" s="10">
        <v>46195</v>
      </c>
      <c r="G1709" s="6" t="str">
        <f>_xlfn.TEXTJOIN("|",TRUE,GameLog[[#This Row],[Pod]],TEXT(INT(GameLog[[#This Row],[Round]]),"yyyymmdd"),GameLog[[#This Row],[Date]])</f>
        <v>4|19000102|46195</v>
      </c>
      <c r="H1709" s="6">
        <f>COUNTIF(GameLog[Pod ID],GameLog[[#This Row],[Pod ID]])</f>
        <v>4</v>
      </c>
      <c r="I1709" s="6">
        <f>YEAR(GameLog[[#This Row],[Date]])</f>
        <v>2026</v>
      </c>
      <c r="J1709" s="6">
        <f>MONTH(GameLog[[#This Row],[Date]])</f>
        <v>6</v>
      </c>
      <c r="K1709" s="6" t="str">
        <f>IF(GameLog[[#This Row],[Date]]=MAX(GameLog[Date]),"Current","Previous")</f>
        <v>Previous</v>
      </c>
      <c r="L1709" s="6"/>
      <c r="M17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09" s="6" t="str">
        <f ca="1">IF(GameLog[[#This Row],[Check]]="","",COUNTIF(GameLog[[#Headers],[Check]]:GameLog[[#This Row],[Check]],"?*")-1)</f>
        <v/>
      </c>
      <c r="O1709" s="6" t="str">
        <f>IFERROR(INDEX(Players[New name],MATCH(GameLog[[#This Row],[Player]],Players[Name],0)),GameLog[[#This Row],[Player]])</f>
        <v>Justin M</v>
      </c>
    </row>
    <row r="1710" spans="1:15" x14ac:dyDescent="0.45">
      <c r="A1710" s="6" t="s">
        <v>109</v>
      </c>
      <c r="B1710" s="6" t="s">
        <v>53</v>
      </c>
      <c r="C1710" s="6">
        <v>1</v>
      </c>
      <c r="D1710" s="6">
        <v>5</v>
      </c>
      <c r="E1710" s="6">
        <v>2</v>
      </c>
      <c r="F1710" s="10">
        <v>46195</v>
      </c>
      <c r="G1710" s="6" t="str">
        <f>_xlfn.TEXTJOIN("|",TRUE,GameLog[[#This Row],[Pod]],TEXT(INT(GameLog[[#This Row],[Round]]),"yyyymmdd"),GameLog[[#This Row],[Date]])</f>
        <v>5|19000102|46195</v>
      </c>
      <c r="H1710" s="6">
        <f>COUNTIF(GameLog[Pod ID],GameLog[[#This Row],[Pod ID]])</f>
        <v>4</v>
      </c>
      <c r="I1710" s="6">
        <f>YEAR(GameLog[[#This Row],[Date]])</f>
        <v>2026</v>
      </c>
      <c r="J1710" s="6">
        <f>MONTH(GameLog[[#This Row],[Date]])</f>
        <v>6</v>
      </c>
      <c r="K1710" s="6" t="str">
        <f>IF(GameLog[[#This Row],[Date]]=MAX(GameLog[Date]),"Current","Previous")</f>
        <v>Previous</v>
      </c>
      <c r="L1710" s="6"/>
      <c r="M17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0" s="6" t="str">
        <f ca="1">IF(GameLog[[#This Row],[Check]]="","",COUNTIF(GameLog[[#Headers],[Check]]:GameLog[[#This Row],[Check]],"?*")-1)</f>
        <v/>
      </c>
      <c r="O1710" s="6" t="str">
        <f>IFERROR(INDEX(Players[New name],MATCH(GameLog[[#This Row],[Player]],Players[Name],0)),GameLog[[#This Row],[Player]])</f>
        <v>Taylor C</v>
      </c>
    </row>
    <row r="1711" spans="1:15" x14ac:dyDescent="0.45">
      <c r="A1711" s="6" t="s">
        <v>49</v>
      </c>
      <c r="B1711" s="6" t="s">
        <v>53</v>
      </c>
      <c r="C1711" s="6">
        <v>2</v>
      </c>
      <c r="D1711" s="6">
        <v>5</v>
      </c>
      <c r="E1711" s="6">
        <v>2</v>
      </c>
      <c r="F1711" s="10">
        <v>46195</v>
      </c>
      <c r="G1711" s="6" t="str">
        <f>_xlfn.TEXTJOIN("|",TRUE,GameLog[[#This Row],[Pod]],TEXT(INT(GameLog[[#This Row],[Round]]),"yyyymmdd"),GameLog[[#This Row],[Date]])</f>
        <v>5|19000102|46195</v>
      </c>
      <c r="H1711" s="6">
        <f>COUNTIF(GameLog[Pod ID],GameLog[[#This Row],[Pod ID]])</f>
        <v>4</v>
      </c>
      <c r="I1711" s="6">
        <f>YEAR(GameLog[[#This Row],[Date]])</f>
        <v>2026</v>
      </c>
      <c r="J1711" s="6">
        <f>MONTH(GameLog[[#This Row],[Date]])</f>
        <v>6</v>
      </c>
      <c r="K1711" s="6" t="str">
        <f>IF(GameLog[[#This Row],[Date]]=MAX(GameLog[Date]),"Current","Previous")</f>
        <v>Previous</v>
      </c>
      <c r="L1711" s="6"/>
      <c r="M17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1" s="6" t="str">
        <f ca="1">IF(GameLog[[#This Row],[Check]]="","",COUNTIF(GameLog[[#Headers],[Check]]:GameLog[[#This Row],[Check]],"?*")-1)</f>
        <v/>
      </c>
      <c r="O1711" s="6" t="str">
        <f>IFERROR(INDEX(Players[New name],MATCH(GameLog[[#This Row],[Player]],Players[Name],0)),GameLog[[#This Row],[Player]])</f>
        <v>Brett R</v>
      </c>
    </row>
    <row r="1712" spans="1:15" x14ac:dyDescent="0.45">
      <c r="A1712" s="6" t="s">
        <v>113</v>
      </c>
      <c r="B1712" s="6" t="s">
        <v>50</v>
      </c>
      <c r="C1712" s="6">
        <v>3</v>
      </c>
      <c r="D1712" s="6">
        <v>5</v>
      </c>
      <c r="E1712" s="6">
        <v>2</v>
      </c>
      <c r="F1712" s="10">
        <v>46195</v>
      </c>
      <c r="G1712" s="6" t="str">
        <f>_xlfn.TEXTJOIN("|",TRUE,GameLog[[#This Row],[Pod]],TEXT(INT(GameLog[[#This Row],[Round]]),"yyyymmdd"),GameLog[[#This Row],[Date]])</f>
        <v>5|19000102|46195</v>
      </c>
      <c r="H1712" s="6">
        <f>COUNTIF(GameLog[Pod ID],GameLog[[#This Row],[Pod ID]])</f>
        <v>4</v>
      </c>
      <c r="I1712" s="6">
        <f>YEAR(GameLog[[#This Row],[Date]])</f>
        <v>2026</v>
      </c>
      <c r="J1712" s="6">
        <f>MONTH(GameLog[[#This Row],[Date]])</f>
        <v>6</v>
      </c>
      <c r="K1712" s="6" t="str">
        <f>IF(GameLog[[#This Row],[Date]]=MAX(GameLog[Date]),"Current","Previous")</f>
        <v>Previous</v>
      </c>
      <c r="L1712" s="6"/>
      <c r="M17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2" s="6" t="str">
        <f ca="1">IF(GameLog[[#This Row],[Check]]="","",COUNTIF(GameLog[[#Headers],[Check]]:GameLog[[#This Row],[Check]],"?*")-1)</f>
        <v/>
      </c>
      <c r="O1712" s="6" t="str">
        <f>IFERROR(INDEX(Players[New name],MATCH(GameLog[[#This Row],[Player]],Players[Name],0)),GameLog[[#This Row],[Player]])</f>
        <v>Gavin J</v>
      </c>
    </row>
    <row r="1713" spans="1:15" x14ac:dyDescent="0.45">
      <c r="A1713" s="6" t="s">
        <v>55</v>
      </c>
      <c r="B1713" s="6" t="s">
        <v>53</v>
      </c>
      <c r="C1713" s="6">
        <v>4</v>
      </c>
      <c r="D1713" s="6">
        <v>5</v>
      </c>
      <c r="E1713" s="6">
        <v>2</v>
      </c>
      <c r="F1713" s="10">
        <v>46195</v>
      </c>
      <c r="G1713" s="6" t="str">
        <f>_xlfn.TEXTJOIN("|",TRUE,GameLog[[#This Row],[Pod]],TEXT(INT(GameLog[[#This Row],[Round]]),"yyyymmdd"),GameLog[[#This Row],[Date]])</f>
        <v>5|19000102|46195</v>
      </c>
      <c r="H1713" s="6">
        <f>COUNTIF(GameLog[Pod ID],GameLog[[#This Row],[Pod ID]])</f>
        <v>4</v>
      </c>
      <c r="I1713" s="6">
        <f>YEAR(GameLog[[#This Row],[Date]])</f>
        <v>2026</v>
      </c>
      <c r="J1713" s="6">
        <f>MONTH(GameLog[[#This Row],[Date]])</f>
        <v>6</v>
      </c>
      <c r="K1713" s="6" t="str">
        <f>IF(GameLog[[#This Row],[Date]]=MAX(GameLog[Date]),"Current","Previous")</f>
        <v>Previous</v>
      </c>
      <c r="L1713" s="6"/>
      <c r="M17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3" s="6" t="str">
        <f ca="1">IF(GameLog[[#This Row],[Check]]="","",COUNTIF(GameLog[[#Headers],[Check]]:GameLog[[#This Row],[Check]],"?*")-1)</f>
        <v/>
      </c>
      <c r="O1713" s="6" t="str">
        <f>IFERROR(INDEX(Players[New name],MATCH(GameLog[[#This Row],[Player]],Players[Name],0)),GameLog[[#This Row],[Player]])</f>
        <v>Bryce C</v>
      </c>
    </row>
    <row r="1714" spans="1:15" x14ac:dyDescent="0.45">
      <c r="A1714" s="6" t="s">
        <v>68</v>
      </c>
      <c r="B1714" s="6" t="s">
        <v>53</v>
      </c>
      <c r="C1714" s="6">
        <v>1</v>
      </c>
      <c r="D1714" s="6">
        <v>6</v>
      </c>
      <c r="E1714" s="6">
        <v>2</v>
      </c>
      <c r="F1714" s="10">
        <v>46195</v>
      </c>
      <c r="G1714" s="6" t="str">
        <f>_xlfn.TEXTJOIN("|",TRUE,GameLog[[#This Row],[Pod]],TEXT(INT(GameLog[[#This Row],[Round]]),"yyyymmdd"),GameLog[[#This Row],[Date]])</f>
        <v>6|19000102|46195</v>
      </c>
      <c r="H1714" s="6">
        <f>COUNTIF(GameLog[Pod ID],GameLog[[#This Row],[Pod ID]])</f>
        <v>4</v>
      </c>
      <c r="I1714" s="6">
        <f>YEAR(GameLog[[#This Row],[Date]])</f>
        <v>2026</v>
      </c>
      <c r="J1714" s="6">
        <f>MONTH(GameLog[[#This Row],[Date]])</f>
        <v>6</v>
      </c>
      <c r="K1714" s="6" t="str">
        <f>IF(GameLog[[#This Row],[Date]]=MAX(GameLog[Date]),"Current","Previous")</f>
        <v>Previous</v>
      </c>
      <c r="L1714" s="6"/>
      <c r="M17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4" s="6" t="str">
        <f ca="1">IF(GameLog[[#This Row],[Check]]="","",COUNTIF(GameLog[[#Headers],[Check]]:GameLog[[#This Row],[Check]],"?*")-1)</f>
        <v/>
      </c>
      <c r="O1714" s="6" t="str">
        <f>IFERROR(INDEX(Players[New name],MATCH(GameLog[[#This Row],[Player]],Players[Name],0)),GameLog[[#This Row],[Player]])</f>
        <v>Edwin M</v>
      </c>
    </row>
    <row r="1715" spans="1:15" x14ac:dyDescent="0.45">
      <c r="A1715" s="6" t="s">
        <v>64</v>
      </c>
      <c r="B1715" s="6" t="s">
        <v>53</v>
      </c>
      <c r="C1715" s="6">
        <v>2</v>
      </c>
      <c r="D1715" s="6">
        <v>6</v>
      </c>
      <c r="E1715" s="6">
        <v>2</v>
      </c>
      <c r="F1715" s="10">
        <v>46195</v>
      </c>
      <c r="G1715" s="6" t="str">
        <f>_xlfn.TEXTJOIN("|",TRUE,GameLog[[#This Row],[Pod]],TEXT(INT(GameLog[[#This Row],[Round]]),"yyyymmdd"),GameLog[[#This Row],[Date]])</f>
        <v>6|19000102|46195</v>
      </c>
      <c r="H1715" s="6">
        <f>COUNTIF(GameLog[Pod ID],GameLog[[#This Row],[Pod ID]])</f>
        <v>4</v>
      </c>
      <c r="I1715" s="6">
        <f>YEAR(GameLog[[#This Row],[Date]])</f>
        <v>2026</v>
      </c>
      <c r="J1715" s="6">
        <f>MONTH(GameLog[[#This Row],[Date]])</f>
        <v>6</v>
      </c>
      <c r="K1715" s="6" t="str">
        <f>IF(GameLog[[#This Row],[Date]]=MAX(GameLog[Date]),"Current","Previous")</f>
        <v>Previous</v>
      </c>
      <c r="L1715" s="6"/>
      <c r="M17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5" s="6" t="str">
        <f ca="1">IF(GameLog[[#This Row],[Check]]="","",COUNTIF(GameLog[[#Headers],[Check]]:GameLog[[#This Row],[Check]],"?*")-1)</f>
        <v/>
      </c>
      <c r="O1715" s="6" t="str">
        <f>IFERROR(INDEX(Players[New name],MATCH(GameLog[[#This Row],[Player]],Players[Name],0)),GameLog[[#This Row],[Player]])</f>
        <v>Tyler B</v>
      </c>
    </row>
    <row r="1716" spans="1:15" x14ac:dyDescent="0.45">
      <c r="A1716" s="6" t="s">
        <v>56</v>
      </c>
      <c r="B1716" s="6" t="s">
        <v>50</v>
      </c>
      <c r="C1716" s="6">
        <v>3</v>
      </c>
      <c r="D1716" s="6">
        <v>6</v>
      </c>
      <c r="E1716" s="6">
        <v>2</v>
      </c>
      <c r="F1716" s="10">
        <v>46195</v>
      </c>
      <c r="G1716" s="6" t="str">
        <f>_xlfn.TEXTJOIN("|",TRUE,GameLog[[#This Row],[Pod]],TEXT(INT(GameLog[[#This Row],[Round]]),"yyyymmdd"),GameLog[[#This Row],[Date]])</f>
        <v>6|19000102|46195</v>
      </c>
      <c r="H1716" s="6">
        <f>COUNTIF(GameLog[Pod ID],GameLog[[#This Row],[Pod ID]])</f>
        <v>4</v>
      </c>
      <c r="I1716" s="6">
        <f>YEAR(GameLog[[#This Row],[Date]])</f>
        <v>2026</v>
      </c>
      <c r="J1716" s="6">
        <f>MONTH(GameLog[[#This Row],[Date]])</f>
        <v>6</v>
      </c>
      <c r="K1716" s="6" t="str">
        <f>IF(GameLog[[#This Row],[Date]]=MAX(GameLog[Date]),"Current","Previous")</f>
        <v>Previous</v>
      </c>
      <c r="L1716" s="6"/>
      <c r="M17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6" s="6" t="str">
        <f ca="1">IF(GameLog[[#This Row],[Check]]="","",COUNTIF(GameLog[[#Headers],[Check]]:GameLog[[#This Row],[Check]],"?*")-1)</f>
        <v/>
      </c>
      <c r="O1716" s="6" t="str">
        <f>IFERROR(INDEX(Players[New name],MATCH(GameLog[[#This Row],[Player]],Players[Name],0)),GameLog[[#This Row],[Player]])</f>
        <v>Mark D</v>
      </c>
    </row>
    <row r="1717" spans="1:15" x14ac:dyDescent="0.45">
      <c r="A1717" s="6" t="s">
        <v>58</v>
      </c>
      <c r="B1717" s="6" t="s">
        <v>53</v>
      </c>
      <c r="C1717" s="6">
        <v>4</v>
      </c>
      <c r="D1717" s="6">
        <v>6</v>
      </c>
      <c r="E1717" s="6">
        <v>2</v>
      </c>
      <c r="F1717" s="10">
        <v>46195</v>
      </c>
      <c r="G1717" s="6" t="str">
        <f>_xlfn.TEXTJOIN("|",TRUE,GameLog[[#This Row],[Pod]],TEXT(INT(GameLog[[#This Row],[Round]]),"yyyymmdd"),GameLog[[#This Row],[Date]])</f>
        <v>6|19000102|46195</v>
      </c>
      <c r="H1717" s="6">
        <f>COUNTIF(GameLog[Pod ID],GameLog[[#This Row],[Pod ID]])</f>
        <v>4</v>
      </c>
      <c r="I1717" s="6">
        <f>YEAR(GameLog[[#This Row],[Date]])</f>
        <v>2026</v>
      </c>
      <c r="J1717" s="6">
        <f>MONTH(GameLog[[#This Row],[Date]])</f>
        <v>6</v>
      </c>
      <c r="K1717" s="6" t="str">
        <f>IF(GameLog[[#This Row],[Date]]=MAX(GameLog[Date]),"Current","Previous")</f>
        <v>Previous</v>
      </c>
      <c r="L1717" s="6"/>
      <c r="M17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7" s="6" t="str">
        <f ca="1">IF(GameLog[[#This Row],[Check]]="","",COUNTIF(GameLog[[#Headers],[Check]]:GameLog[[#This Row],[Check]],"?*")-1)</f>
        <v/>
      </c>
      <c r="O1717" s="6" t="str">
        <f>IFERROR(INDEX(Players[New name],MATCH(GameLog[[#This Row],[Player]],Players[Name],0)),GameLog[[#This Row],[Player]])</f>
        <v>Dakota P</v>
      </c>
    </row>
    <row r="1718" spans="1:15" x14ac:dyDescent="0.45">
      <c r="A1718" s="6" t="s">
        <v>58</v>
      </c>
      <c r="B1718" s="6" t="s">
        <v>50</v>
      </c>
      <c r="C1718" s="6">
        <v>1</v>
      </c>
      <c r="D1718" s="6">
        <v>1</v>
      </c>
      <c r="E1718" s="6">
        <v>1</v>
      </c>
      <c r="F1718" s="10">
        <v>46202</v>
      </c>
      <c r="G1718" s="6" t="str">
        <f>_xlfn.TEXTJOIN("|",TRUE,GameLog[[#This Row],[Pod]],TEXT(INT(GameLog[[#This Row],[Round]]),"yyyymmdd"),GameLog[[#This Row],[Date]])</f>
        <v>1|19000101|46202</v>
      </c>
      <c r="H1718" s="6">
        <f>COUNTIF(GameLog[Pod ID],GameLog[[#This Row],[Pod ID]])</f>
        <v>4</v>
      </c>
      <c r="I1718" s="6">
        <f>YEAR(GameLog[[#This Row],[Date]])</f>
        <v>2026</v>
      </c>
      <c r="J1718" s="6">
        <f>MONTH(GameLog[[#This Row],[Date]])</f>
        <v>6</v>
      </c>
      <c r="K1718" s="6" t="str">
        <f>IF(GameLog[[#This Row],[Date]]=MAX(GameLog[Date]),"Current","Previous")</f>
        <v>Previous</v>
      </c>
      <c r="L1718" s="6"/>
      <c r="M17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8" s="6" t="str">
        <f ca="1">IF(GameLog[[#This Row],[Check]]="","",COUNTIF(GameLog[[#Headers],[Check]]:GameLog[[#This Row],[Check]],"?*")-1)</f>
        <v/>
      </c>
      <c r="O1718" s="6" t="str">
        <f>IFERROR(INDEX(Players[New name],MATCH(GameLog[[#This Row],[Player]],Players[Name],0)),GameLog[[#This Row],[Player]])</f>
        <v>Dakota P</v>
      </c>
    </row>
    <row r="1719" spans="1:15" x14ac:dyDescent="0.45">
      <c r="A1719" s="6" t="s">
        <v>113</v>
      </c>
      <c r="B1719" s="6" t="s">
        <v>53</v>
      </c>
      <c r="C1719" s="6">
        <v>2</v>
      </c>
      <c r="D1719" s="6">
        <v>1</v>
      </c>
      <c r="E1719" s="6">
        <v>1</v>
      </c>
      <c r="F1719" s="10">
        <v>46202</v>
      </c>
      <c r="G1719" s="6" t="str">
        <f>_xlfn.TEXTJOIN("|",TRUE,GameLog[[#This Row],[Pod]],TEXT(INT(GameLog[[#This Row],[Round]]),"yyyymmdd"),GameLog[[#This Row],[Date]])</f>
        <v>1|19000101|46202</v>
      </c>
      <c r="H1719" s="6">
        <f>COUNTIF(GameLog[Pod ID],GameLog[[#This Row],[Pod ID]])</f>
        <v>4</v>
      </c>
      <c r="I1719" s="6">
        <f>YEAR(GameLog[[#This Row],[Date]])</f>
        <v>2026</v>
      </c>
      <c r="J1719" s="6">
        <f>MONTH(GameLog[[#This Row],[Date]])</f>
        <v>6</v>
      </c>
      <c r="K1719" s="6" t="str">
        <f>IF(GameLog[[#This Row],[Date]]=MAX(GameLog[Date]),"Current","Previous")</f>
        <v>Previous</v>
      </c>
      <c r="L1719" s="6"/>
      <c r="M17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19" s="6" t="str">
        <f ca="1">IF(GameLog[[#This Row],[Check]]="","",COUNTIF(GameLog[[#Headers],[Check]]:GameLog[[#This Row],[Check]],"?*")-1)</f>
        <v/>
      </c>
      <c r="O1719" s="6" t="str">
        <f>IFERROR(INDEX(Players[New name],MATCH(GameLog[[#This Row],[Player]],Players[Name],0)),GameLog[[#This Row],[Player]])</f>
        <v>Gavin J</v>
      </c>
    </row>
    <row r="1720" spans="1:15" x14ac:dyDescent="0.45">
      <c r="A1720" s="6" t="s">
        <v>116</v>
      </c>
      <c r="B1720" s="6" t="s">
        <v>53</v>
      </c>
      <c r="C1720" s="6">
        <v>3</v>
      </c>
      <c r="D1720" s="6">
        <v>1</v>
      </c>
      <c r="E1720" s="6">
        <v>1</v>
      </c>
      <c r="F1720" s="10">
        <v>46202</v>
      </c>
      <c r="G1720" s="6" t="str">
        <f>_xlfn.TEXTJOIN("|",TRUE,GameLog[[#This Row],[Pod]],TEXT(INT(GameLog[[#This Row],[Round]]),"yyyymmdd"),GameLog[[#This Row],[Date]])</f>
        <v>1|19000101|46202</v>
      </c>
      <c r="H1720" s="6">
        <f>COUNTIF(GameLog[Pod ID],GameLog[[#This Row],[Pod ID]])</f>
        <v>4</v>
      </c>
      <c r="I1720" s="6">
        <f>YEAR(GameLog[[#This Row],[Date]])</f>
        <v>2026</v>
      </c>
      <c r="J1720" s="6">
        <f>MONTH(GameLog[[#This Row],[Date]])</f>
        <v>6</v>
      </c>
      <c r="K1720" s="6" t="str">
        <f>IF(GameLog[[#This Row],[Date]]=MAX(GameLog[Date]),"Current","Previous")</f>
        <v>Previous</v>
      </c>
      <c r="L1720" s="6"/>
      <c r="M17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0" s="6" t="str">
        <f ca="1">IF(GameLog[[#This Row],[Check]]="","",COUNTIF(GameLog[[#Headers],[Check]]:GameLog[[#This Row],[Check]],"?*")-1)</f>
        <v/>
      </c>
      <c r="O1720" s="6" t="str">
        <f>IFERROR(INDEX(Players[New name],MATCH(GameLog[[#This Row],[Player]],Players[Name],0)),GameLog[[#This Row],[Player]])</f>
        <v>Matthew W</v>
      </c>
    </row>
    <row r="1721" spans="1:15" x14ac:dyDescent="0.45">
      <c r="A1721" s="6" t="s">
        <v>75</v>
      </c>
      <c r="B1721" s="6" t="s">
        <v>53</v>
      </c>
      <c r="C1721" s="6">
        <v>4</v>
      </c>
      <c r="D1721" s="6">
        <v>1</v>
      </c>
      <c r="E1721" s="6">
        <v>1</v>
      </c>
      <c r="F1721" s="10">
        <v>46202</v>
      </c>
      <c r="G1721" s="6" t="str">
        <f>_xlfn.TEXTJOIN("|",TRUE,GameLog[[#This Row],[Pod]],TEXT(INT(GameLog[[#This Row],[Round]]),"yyyymmdd"),GameLog[[#This Row],[Date]])</f>
        <v>1|19000101|46202</v>
      </c>
      <c r="H1721" s="6">
        <f>COUNTIF(GameLog[Pod ID],GameLog[[#This Row],[Pod ID]])</f>
        <v>4</v>
      </c>
      <c r="I1721" s="6">
        <f>YEAR(GameLog[[#This Row],[Date]])</f>
        <v>2026</v>
      </c>
      <c r="J1721" s="6">
        <f>MONTH(GameLog[[#This Row],[Date]])</f>
        <v>6</v>
      </c>
      <c r="K1721" s="6" t="str">
        <f>IF(GameLog[[#This Row],[Date]]=MAX(GameLog[Date]),"Current","Previous")</f>
        <v>Previous</v>
      </c>
      <c r="L1721" s="6"/>
      <c r="M17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1" s="6" t="str">
        <f ca="1">IF(GameLog[[#This Row],[Check]]="","",COUNTIF(GameLog[[#Headers],[Check]]:GameLog[[#This Row],[Check]],"?*")-1)</f>
        <v/>
      </c>
      <c r="O1721" s="6" t="str">
        <f>IFERROR(INDEX(Players[New name],MATCH(GameLog[[#This Row],[Player]],Players[Name],0)),GameLog[[#This Row],[Player]])</f>
        <v>Eli T</v>
      </c>
    </row>
    <row r="1722" spans="1:15" x14ac:dyDescent="0.45">
      <c r="A1722" s="6" t="s">
        <v>49</v>
      </c>
      <c r="B1722" s="6" t="s">
        <v>53</v>
      </c>
      <c r="C1722" s="6">
        <v>1</v>
      </c>
      <c r="D1722" s="6">
        <v>2</v>
      </c>
      <c r="E1722" s="6">
        <v>1</v>
      </c>
      <c r="F1722" s="10">
        <v>46202</v>
      </c>
      <c r="G1722" s="6" t="str">
        <f>_xlfn.TEXTJOIN("|",TRUE,GameLog[[#This Row],[Pod]],TEXT(INT(GameLog[[#This Row],[Round]]),"yyyymmdd"),GameLog[[#This Row],[Date]])</f>
        <v>2|19000101|46202</v>
      </c>
      <c r="H1722" s="6">
        <f>COUNTIF(GameLog[Pod ID],GameLog[[#This Row],[Pod ID]])</f>
        <v>4</v>
      </c>
      <c r="I1722" s="6">
        <f>YEAR(GameLog[[#This Row],[Date]])</f>
        <v>2026</v>
      </c>
      <c r="J1722" s="6">
        <f>MONTH(GameLog[[#This Row],[Date]])</f>
        <v>6</v>
      </c>
      <c r="K1722" s="6" t="str">
        <f>IF(GameLog[[#This Row],[Date]]=MAX(GameLog[Date]),"Current","Previous")</f>
        <v>Previous</v>
      </c>
      <c r="L1722" s="6"/>
      <c r="M17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2" s="6" t="str">
        <f ca="1">IF(GameLog[[#This Row],[Check]]="","",COUNTIF(GameLog[[#Headers],[Check]]:GameLog[[#This Row],[Check]],"?*")-1)</f>
        <v/>
      </c>
      <c r="O1722" s="6" t="str">
        <f>IFERROR(INDEX(Players[New name],MATCH(GameLog[[#This Row],[Player]],Players[Name],0)),GameLog[[#This Row],[Player]])</f>
        <v>Brett R</v>
      </c>
    </row>
    <row r="1723" spans="1:15" x14ac:dyDescent="0.45">
      <c r="A1723" s="6" t="s">
        <v>52</v>
      </c>
      <c r="B1723" s="6" t="s">
        <v>50</v>
      </c>
      <c r="C1723" s="6">
        <v>2</v>
      </c>
      <c r="D1723" s="6">
        <v>2</v>
      </c>
      <c r="E1723" s="6">
        <v>1</v>
      </c>
      <c r="F1723" s="10">
        <v>46202</v>
      </c>
      <c r="G1723" s="6" t="str">
        <f>_xlfn.TEXTJOIN("|",TRUE,GameLog[[#This Row],[Pod]],TEXT(INT(GameLog[[#This Row],[Round]]),"yyyymmdd"),GameLog[[#This Row],[Date]])</f>
        <v>2|19000101|46202</v>
      </c>
      <c r="H1723" s="6">
        <f>COUNTIF(GameLog[Pod ID],GameLog[[#This Row],[Pod ID]])</f>
        <v>4</v>
      </c>
      <c r="I1723" s="6">
        <f>YEAR(GameLog[[#This Row],[Date]])</f>
        <v>2026</v>
      </c>
      <c r="J1723" s="6">
        <f>MONTH(GameLog[[#This Row],[Date]])</f>
        <v>6</v>
      </c>
      <c r="K1723" s="6" t="str">
        <f>IF(GameLog[[#This Row],[Date]]=MAX(GameLog[Date]),"Current","Previous")</f>
        <v>Previous</v>
      </c>
      <c r="L1723" s="6"/>
      <c r="M17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3" s="6" t="str">
        <f ca="1">IF(GameLog[[#This Row],[Check]]="","",COUNTIF(GameLog[[#Headers],[Check]]:GameLog[[#This Row],[Check]],"?*")-1)</f>
        <v/>
      </c>
      <c r="O1723" s="6" t="str">
        <f>IFERROR(INDEX(Players[New name],MATCH(GameLog[[#This Row],[Player]],Players[Name],0)),GameLog[[#This Row],[Player]])</f>
        <v>Unknown</v>
      </c>
    </row>
    <row r="1724" spans="1:15" x14ac:dyDescent="0.45">
      <c r="A1724" s="6" t="s">
        <v>109</v>
      </c>
      <c r="B1724" s="6" t="s">
        <v>53</v>
      </c>
      <c r="C1724" s="6">
        <v>3</v>
      </c>
      <c r="D1724" s="6">
        <v>2</v>
      </c>
      <c r="E1724" s="6">
        <v>1</v>
      </c>
      <c r="F1724" s="10">
        <v>46202</v>
      </c>
      <c r="G1724" s="6" t="str">
        <f>_xlfn.TEXTJOIN("|",TRUE,GameLog[[#This Row],[Pod]],TEXT(INT(GameLog[[#This Row],[Round]]),"yyyymmdd"),GameLog[[#This Row],[Date]])</f>
        <v>2|19000101|46202</v>
      </c>
      <c r="H1724" s="6">
        <f>COUNTIF(GameLog[Pod ID],GameLog[[#This Row],[Pod ID]])</f>
        <v>4</v>
      </c>
      <c r="I1724" s="6">
        <f>YEAR(GameLog[[#This Row],[Date]])</f>
        <v>2026</v>
      </c>
      <c r="J1724" s="6">
        <f>MONTH(GameLog[[#This Row],[Date]])</f>
        <v>6</v>
      </c>
      <c r="K1724" s="6" t="str">
        <f>IF(GameLog[[#This Row],[Date]]=MAX(GameLog[Date]),"Current","Previous")</f>
        <v>Previous</v>
      </c>
      <c r="L1724" s="6"/>
      <c r="M17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4" s="6" t="str">
        <f ca="1">IF(GameLog[[#This Row],[Check]]="","",COUNTIF(GameLog[[#Headers],[Check]]:GameLog[[#This Row],[Check]],"?*")-1)</f>
        <v/>
      </c>
      <c r="O1724" s="6" t="str">
        <f>IFERROR(INDEX(Players[New name],MATCH(GameLog[[#This Row],[Player]],Players[Name],0)),GameLog[[#This Row],[Player]])</f>
        <v>Taylor C</v>
      </c>
    </row>
    <row r="1725" spans="1:15" x14ac:dyDescent="0.45">
      <c r="A1725" s="6" t="s">
        <v>98</v>
      </c>
      <c r="B1725" s="6" t="s">
        <v>53</v>
      </c>
      <c r="C1725" s="6">
        <v>4</v>
      </c>
      <c r="D1725" s="6">
        <v>2</v>
      </c>
      <c r="E1725" s="6">
        <v>1</v>
      </c>
      <c r="F1725" s="10">
        <v>46202</v>
      </c>
      <c r="G1725" s="6" t="str">
        <f>_xlfn.TEXTJOIN("|",TRUE,GameLog[[#This Row],[Pod]],TEXT(INT(GameLog[[#This Row],[Round]]),"yyyymmdd"),GameLog[[#This Row],[Date]])</f>
        <v>2|19000101|46202</v>
      </c>
      <c r="H1725" s="6">
        <f>COUNTIF(GameLog[Pod ID],GameLog[[#This Row],[Pod ID]])</f>
        <v>4</v>
      </c>
      <c r="I1725" s="6">
        <f>YEAR(GameLog[[#This Row],[Date]])</f>
        <v>2026</v>
      </c>
      <c r="J1725" s="6">
        <f>MONTH(GameLog[[#This Row],[Date]])</f>
        <v>6</v>
      </c>
      <c r="K1725" s="6" t="str">
        <f>IF(GameLog[[#This Row],[Date]]=MAX(GameLog[Date]),"Current","Previous")</f>
        <v>Previous</v>
      </c>
      <c r="L1725" s="6"/>
      <c r="M17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5" s="6" t="str">
        <f ca="1">IF(GameLog[[#This Row],[Check]]="","",COUNTIF(GameLog[[#Headers],[Check]]:GameLog[[#This Row],[Check]],"?*")-1)</f>
        <v/>
      </c>
      <c r="O1725" s="6" t="str">
        <f>IFERROR(INDEX(Players[New name],MATCH(GameLog[[#This Row],[Player]],Players[Name],0)),GameLog[[#This Row],[Player]])</f>
        <v>Charlie B</v>
      </c>
    </row>
    <row r="1726" spans="1:15" x14ac:dyDescent="0.45">
      <c r="A1726" s="6" t="s">
        <v>59</v>
      </c>
      <c r="B1726" s="6" t="s">
        <v>53</v>
      </c>
      <c r="C1726" s="6">
        <v>1</v>
      </c>
      <c r="D1726" s="6">
        <v>3</v>
      </c>
      <c r="E1726" s="6">
        <v>1</v>
      </c>
      <c r="F1726" s="10">
        <v>46202</v>
      </c>
      <c r="G1726" s="6" t="str">
        <f>_xlfn.TEXTJOIN("|",TRUE,GameLog[[#This Row],[Pod]],TEXT(INT(GameLog[[#This Row],[Round]]),"yyyymmdd"),GameLog[[#This Row],[Date]])</f>
        <v>3|19000101|46202</v>
      </c>
      <c r="H1726" s="6">
        <f>COUNTIF(GameLog[Pod ID],GameLog[[#This Row],[Pod ID]])</f>
        <v>4</v>
      </c>
      <c r="I1726" s="6">
        <f>YEAR(GameLog[[#This Row],[Date]])</f>
        <v>2026</v>
      </c>
      <c r="J1726" s="6">
        <f>MONTH(GameLog[[#This Row],[Date]])</f>
        <v>6</v>
      </c>
      <c r="K1726" s="6" t="str">
        <f>IF(GameLog[[#This Row],[Date]]=MAX(GameLog[Date]),"Current","Previous")</f>
        <v>Previous</v>
      </c>
      <c r="L1726" s="6"/>
      <c r="M17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6" s="6" t="str">
        <f ca="1">IF(GameLog[[#This Row],[Check]]="","",COUNTIF(GameLog[[#Headers],[Check]]:GameLog[[#This Row],[Check]],"?*")-1)</f>
        <v/>
      </c>
      <c r="O1726" s="6" t="str">
        <f>IFERROR(INDEX(Players[New name],MATCH(GameLog[[#This Row],[Player]],Players[Name],0)),GameLog[[#This Row],[Player]])</f>
        <v>Zack B</v>
      </c>
    </row>
    <row r="1727" spans="1:15" x14ac:dyDescent="0.45">
      <c r="A1727" s="6" t="s">
        <v>68</v>
      </c>
      <c r="B1727" s="6" t="s">
        <v>50</v>
      </c>
      <c r="C1727" s="6">
        <v>2</v>
      </c>
      <c r="D1727" s="6">
        <v>3</v>
      </c>
      <c r="E1727" s="6">
        <v>1</v>
      </c>
      <c r="F1727" s="10">
        <v>46202</v>
      </c>
      <c r="G1727" s="6" t="str">
        <f>_xlfn.TEXTJOIN("|",TRUE,GameLog[[#This Row],[Pod]],TEXT(INT(GameLog[[#This Row],[Round]]),"yyyymmdd"),GameLog[[#This Row],[Date]])</f>
        <v>3|19000101|46202</v>
      </c>
      <c r="H1727" s="6">
        <f>COUNTIF(GameLog[Pod ID],GameLog[[#This Row],[Pod ID]])</f>
        <v>4</v>
      </c>
      <c r="I1727" s="6">
        <f>YEAR(GameLog[[#This Row],[Date]])</f>
        <v>2026</v>
      </c>
      <c r="J1727" s="6">
        <f>MONTH(GameLog[[#This Row],[Date]])</f>
        <v>6</v>
      </c>
      <c r="K1727" s="6" t="str">
        <f>IF(GameLog[[#This Row],[Date]]=MAX(GameLog[Date]),"Current","Previous")</f>
        <v>Previous</v>
      </c>
      <c r="L1727" s="6"/>
      <c r="M17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7" s="6" t="str">
        <f ca="1">IF(GameLog[[#This Row],[Check]]="","",COUNTIF(GameLog[[#Headers],[Check]]:GameLog[[#This Row],[Check]],"?*")-1)</f>
        <v/>
      </c>
      <c r="O1727" s="6" t="str">
        <f>IFERROR(INDEX(Players[New name],MATCH(GameLog[[#This Row],[Player]],Players[Name],0)),GameLog[[#This Row],[Player]])</f>
        <v>Edwin M</v>
      </c>
    </row>
    <row r="1728" spans="1:15" x14ac:dyDescent="0.45">
      <c r="A1728" s="6" t="s">
        <v>76</v>
      </c>
      <c r="B1728" s="6" t="s">
        <v>53</v>
      </c>
      <c r="C1728" s="6">
        <v>3</v>
      </c>
      <c r="D1728" s="6">
        <v>3</v>
      </c>
      <c r="E1728" s="6">
        <v>1</v>
      </c>
      <c r="F1728" s="10">
        <v>46202</v>
      </c>
      <c r="G1728" s="6" t="str">
        <f>_xlfn.TEXTJOIN("|",TRUE,GameLog[[#This Row],[Pod]],TEXT(INT(GameLog[[#This Row],[Round]]),"yyyymmdd"),GameLog[[#This Row],[Date]])</f>
        <v>3|19000101|46202</v>
      </c>
      <c r="H1728" s="6">
        <f>COUNTIF(GameLog[Pod ID],GameLog[[#This Row],[Pod ID]])</f>
        <v>4</v>
      </c>
      <c r="I1728" s="6">
        <f>YEAR(GameLog[[#This Row],[Date]])</f>
        <v>2026</v>
      </c>
      <c r="J1728" s="6">
        <f>MONTH(GameLog[[#This Row],[Date]])</f>
        <v>6</v>
      </c>
      <c r="K1728" s="6" t="str">
        <f>IF(GameLog[[#This Row],[Date]]=MAX(GameLog[Date]),"Current","Previous")</f>
        <v>Previous</v>
      </c>
      <c r="L1728" s="6"/>
      <c r="M17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8" s="6" t="str">
        <f ca="1">IF(GameLog[[#This Row],[Check]]="","",COUNTIF(GameLog[[#Headers],[Check]]:GameLog[[#This Row],[Check]],"?*")-1)</f>
        <v/>
      </c>
      <c r="O1728" s="6" t="str">
        <f>IFERROR(INDEX(Players[New name],MATCH(GameLog[[#This Row],[Player]],Players[Name],0)),GameLog[[#This Row],[Player]])</f>
        <v>Jon M</v>
      </c>
    </row>
    <row r="1729" spans="1:15" x14ac:dyDescent="0.45">
      <c r="A1729" s="6" t="s">
        <v>70</v>
      </c>
      <c r="B1729" s="6" t="s">
        <v>53</v>
      </c>
      <c r="C1729" s="6">
        <v>4</v>
      </c>
      <c r="D1729" s="6">
        <v>3</v>
      </c>
      <c r="E1729" s="6">
        <v>1</v>
      </c>
      <c r="F1729" s="10">
        <v>46202</v>
      </c>
      <c r="G1729" s="6" t="str">
        <f>_xlfn.TEXTJOIN("|",TRUE,GameLog[[#This Row],[Pod]],TEXT(INT(GameLog[[#This Row],[Round]]),"yyyymmdd"),GameLog[[#This Row],[Date]])</f>
        <v>3|19000101|46202</v>
      </c>
      <c r="H1729" s="6">
        <f>COUNTIF(GameLog[Pod ID],GameLog[[#This Row],[Pod ID]])</f>
        <v>4</v>
      </c>
      <c r="I1729" s="6">
        <f>YEAR(GameLog[[#This Row],[Date]])</f>
        <v>2026</v>
      </c>
      <c r="J1729" s="6">
        <f>MONTH(GameLog[[#This Row],[Date]])</f>
        <v>6</v>
      </c>
      <c r="K1729" s="6" t="str">
        <f>IF(GameLog[[#This Row],[Date]]=MAX(GameLog[Date]),"Current","Previous")</f>
        <v>Previous</v>
      </c>
      <c r="L1729" s="6"/>
      <c r="M17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29" s="6" t="str">
        <f ca="1">IF(GameLog[[#This Row],[Check]]="","",COUNTIF(GameLog[[#Headers],[Check]]:GameLog[[#This Row],[Check]],"?*")-1)</f>
        <v/>
      </c>
      <c r="O1729" s="6" t="str">
        <f>IFERROR(INDEX(Players[New name],MATCH(GameLog[[#This Row],[Player]],Players[Name],0)),GameLog[[#This Row],[Player]])</f>
        <v>Brad F</v>
      </c>
    </row>
    <row r="1730" spans="1:15" x14ac:dyDescent="0.45">
      <c r="A1730" s="6" t="s">
        <v>104</v>
      </c>
      <c r="B1730" s="6" t="s">
        <v>53</v>
      </c>
      <c r="C1730" s="6">
        <v>1</v>
      </c>
      <c r="D1730" s="6">
        <v>4</v>
      </c>
      <c r="E1730" s="6">
        <v>1</v>
      </c>
      <c r="F1730" s="10">
        <v>46202</v>
      </c>
      <c r="G1730" s="6" t="str">
        <f>_xlfn.TEXTJOIN("|",TRUE,GameLog[[#This Row],[Pod]],TEXT(INT(GameLog[[#This Row],[Round]]),"yyyymmdd"),GameLog[[#This Row],[Date]])</f>
        <v>4|19000101|46202</v>
      </c>
      <c r="H1730" s="6">
        <f>COUNTIF(GameLog[Pod ID],GameLog[[#This Row],[Pod ID]])</f>
        <v>4</v>
      </c>
      <c r="I1730" s="6">
        <f>YEAR(GameLog[[#This Row],[Date]])</f>
        <v>2026</v>
      </c>
      <c r="J1730" s="6">
        <f>MONTH(GameLog[[#This Row],[Date]])</f>
        <v>6</v>
      </c>
      <c r="K1730" s="6" t="str">
        <f>IF(GameLog[[#This Row],[Date]]=MAX(GameLog[Date]),"Current","Previous")</f>
        <v>Previous</v>
      </c>
      <c r="L1730" s="6"/>
      <c r="M17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0" s="6" t="str">
        <f ca="1">IF(GameLog[[#This Row],[Check]]="","",COUNTIF(GameLog[[#Headers],[Check]]:GameLog[[#This Row],[Check]],"?*")-1)</f>
        <v/>
      </c>
      <c r="O1730" s="6" t="str">
        <f>IFERROR(INDEX(Players[New name],MATCH(GameLog[[#This Row],[Player]],Players[Name],0)),GameLog[[#This Row],[Player]])</f>
        <v>Eric E</v>
      </c>
    </row>
    <row r="1731" spans="1:15" x14ac:dyDescent="0.45">
      <c r="A1731" s="6" t="s">
        <v>56</v>
      </c>
      <c r="B1731" s="6" t="s">
        <v>50</v>
      </c>
      <c r="C1731" s="6">
        <v>2</v>
      </c>
      <c r="D1731" s="6">
        <v>4</v>
      </c>
      <c r="E1731" s="6">
        <v>1</v>
      </c>
      <c r="F1731" s="10">
        <v>46202</v>
      </c>
      <c r="G1731" s="6" t="str">
        <f>_xlfn.TEXTJOIN("|",TRUE,GameLog[[#This Row],[Pod]],TEXT(INT(GameLog[[#This Row],[Round]]),"yyyymmdd"),GameLog[[#This Row],[Date]])</f>
        <v>4|19000101|46202</v>
      </c>
      <c r="H1731" s="6">
        <f>COUNTIF(GameLog[Pod ID],GameLog[[#This Row],[Pod ID]])</f>
        <v>4</v>
      </c>
      <c r="I1731" s="6">
        <f>YEAR(GameLog[[#This Row],[Date]])</f>
        <v>2026</v>
      </c>
      <c r="J1731" s="6">
        <f>MONTH(GameLog[[#This Row],[Date]])</f>
        <v>6</v>
      </c>
      <c r="K1731" s="6" t="str">
        <f>IF(GameLog[[#This Row],[Date]]=MAX(GameLog[Date]),"Current","Previous")</f>
        <v>Previous</v>
      </c>
      <c r="L1731" s="6"/>
      <c r="M17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1" s="6" t="str">
        <f ca="1">IF(GameLog[[#This Row],[Check]]="","",COUNTIF(GameLog[[#Headers],[Check]]:GameLog[[#This Row],[Check]],"?*")-1)</f>
        <v/>
      </c>
      <c r="O1731" s="6" t="str">
        <f>IFERROR(INDEX(Players[New name],MATCH(GameLog[[#This Row],[Player]],Players[Name],0)),GameLog[[#This Row],[Player]])</f>
        <v>Mark D</v>
      </c>
    </row>
    <row r="1732" spans="1:15" x14ac:dyDescent="0.45">
      <c r="A1732" s="6" t="s">
        <v>71</v>
      </c>
      <c r="B1732" s="6" t="s">
        <v>53</v>
      </c>
      <c r="C1732" s="6">
        <v>3</v>
      </c>
      <c r="D1732" s="6">
        <v>4</v>
      </c>
      <c r="E1732" s="6">
        <v>1</v>
      </c>
      <c r="F1732" s="10">
        <v>46202</v>
      </c>
      <c r="G1732" s="6" t="str">
        <f>_xlfn.TEXTJOIN("|",TRUE,GameLog[[#This Row],[Pod]],TEXT(INT(GameLog[[#This Row],[Round]]),"yyyymmdd"),GameLog[[#This Row],[Date]])</f>
        <v>4|19000101|46202</v>
      </c>
      <c r="H1732" s="6">
        <f>COUNTIF(GameLog[Pod ID],GameLog[[#This Row],[Pod ID]])</f>
        <v>4</v>
      </c>
      <c r="I1732" s="6">
        <f>YEAR(GameLog[[#This Row],[Date]])</f>
        <v>2026</v>
      </c>
      <c r="J1732" s="6">
        <f>MONTH(GameLog[[#This Row],[Date]])</f>
        <v>6</v>
      </c>
      <c r="K1732" s="6" t="str">
        <f>IF(GameLog[[#This Row],[Date]]=MAX(GameLog[Date]),"Current","Previous")</f>
        <v>Previous</v>
      </c>
      <c r="L1732" s="6"/>
      <c r="M17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2" s="6" t="str">
        <f ca="1">IF(GameLog[[#This Row],[Check]]="","",COUNTIF(GameLog[[#Headers],[Check]]:GameLog[[#This Row],[Check]],"?*")-1)</f>
        <v/>
      </c>
      <c r="O1732" s="6" t="str">
        <f>IFERROR(INDEX(Players[New name],MATCH(GameLog[[#This Row],[Player]],Players[Name],0)),GameLog[[#This Row],[Player]])</f>
        <v>Rodney Y</v>
      </c>
    </row>
    <row r="1733" spans="1:15" x14ac:dyDescent="0.45">
      <c r="A1733" s="6" t="s">
        <v>117</v>
      </c>
      <c r="B1733" s="6" t="s">
        <v>53</v>
      </c>
      <c r="C1733" s="6">
        <v>4</v>
      </c>
      <c r="D1733" s="6">
        <v>4</v>
      </c>
      <c r="E1733" s="6">
        <v>1</v>
      </c>
      <c r="F1733" s="10">
        <v>46202</v>
      </c>
      <c r="G1733" s="6" t="str">
        <f>_xlfn.TEXTJOIN("|",TRUE,GameLog[[#This Row],[Pod]],TEXT(INT(GameLog[[#This Row],[Round]]),"yyyymmdd"),GameLog[[#This Row],[Date]])</f>
        <v>4|19000101|46202</v>
      </c>
      <c r="H1733" s="6">
        <f>COUNTIF(GameLog[Pod ID],GameLog[[#This Row],[Pod ID]])</f>
        <v>4</v>
      </c>
      <c r="I1733" s="6">
        <f>YEAR(GameLog[[#This Row],[Date]])</f>
        <v>2026</v>
      </c>
      <c r="J1733" s="6">
        <f>MONTH(GameLog[[#This Row],[Date]])</f>
        <v>6</v>
      </c>
      <c r="K1733" s="6" t="str">
        <f>IF(GameLog[[#This Row],[Date]]=MAX(GameLog[Date]),"Current","Previous")</f>
        <v>Previous</v>
      </c>
      <c r="L1733" s="6"/>
      <c r="M17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3" s="6" t="str">
        <f ca="1">IF(GameLog[[#This Row],[Check]]="","",COUNTIF(GameLog[[#Headers],[Check]]:GameLog[[#This Row],[Check]],"?*")-1)</f>
        <v/>
      </c>
      <c r="O1733" s="6" t="str">
        <f>IFERROR(INDEX(Players[New name],MATCH(GameLog[[#This Row],[Player]],Players[Name],0)),GameLog[[#This Row],[Player]])</f>
        <v>Hollice M</v>
      </c>
    </row>
    <row r="1734" spans="1:15" x14ac:dyDescent="0.45">
      <c r="A1734" s="6" t="s">
        <v>78</v>
      </c>
      <c r="B1734" s="6" t="s">
        <v>50</v>
      </c>
      <c r="C1734" s="6">
        <v>1</v>
      </c>
      <c r="D1734" s="6">
        <v>5</v>
      </c>
      <c r="E1734" s="6">
        <v>1</v>
      </c>
      <c r="F1734" s="10">
        <v>46202</v>
      </c>
      <c r="G1734" s="6" t="str">
        <f>_xlfn.TEXTJOIN("|",TRUE,GameLog[[#This Row],[Pod]],TEXT(INT(GameLog[[#This Row],[Round]]),"yyyymmdd"),GameLog[[#This Row],[Date]])</f>
        <v>5|19000101|46202</v>
      </c>
      <c r="H1734" s="6">
        <f>COUNTIF(GameLog[Pod ID],GameLog[[#This Row],[Pod ID]])</f>
        <v>3</v>
      </c>
      <c r="I1734" s="6">
        <f>YEAR(GameLog[[#This Row],[Date]])</f>
        <v>2026</v>
      </c>
      <c r="J1734" s="6">
        <f>MONTH(GameLog[[#This Row],[Date]])</f>
        <v>6</v>
      </c>
      <c r="K1734" s="6" t="str">
        <f>IF(GameLog[[#This Row],[Date]]=MAX(GameLog[Date]),"Current","Previous")</f>
        <v>Previous</v>
      </c>
      <c r="L1734" s="6"/>
      <c r="M17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4" s="6" t="str">
        <f ca="1">IF(GameLog[[#This Row],[Check]]="","",COUNTIF(GameLog[[#Headers],[Check]]:GameLog[[#This Row],[Check]],"?*")-1)</f>
        <v/>
      </c>
      <c r="O1734" s="6" t="str">
        <f>IFERROR(INDEX(Players[New name],MATCH(GameLog[[#This Row],[Player]],Players[Name],0)),GameLog[[#This Row],[Player]])</f>
        <v>Justin M</v>
      </c>
    </row>
    <row r="1735" spans="1:15" x14ac:dyDescent="0.45">
      <c r="A1735" s="6" t="s">
        <v>118</v>
      </c>
      <c r="B1735" s="6" t="s">
        <v>53</v>
      </c>
      <c r="C1735" s="6">
        <v>2</v>
      </c>
      <c r="D1735" s="6">
        <v>5</v>
      </c>
      <c r="E1735" s="6">
        <v>1</v>
      </c>
      <c r="F1735" s="10">
        <v>46202</v>
      </c>
      <c r="G1735" s="6" t="str">
        <f>_xlfn.TEXTJOIN("|",TRUE,GameLog[[#This Row],[Pod]],TEXT(INT(GameLog[[#This Row],[Round]]),"yyyymmdd"),GameLog[[#This Row],[Date]])</f>
        <v>5|19000101|46202</v>
      </c>
      <c r="H1735" s="6">
        <f>COUNTIF(GameLog[Pod ID],GameLog[[#This Row],[Pod ID]])</f>
        <v>3</v>
      </c>
      <c r="I1735" s="6">
        <f>YEAR(GameLog[[#This Row],[Date]])</f>
        <v>2026</v>
      </c>
      <c r="J1735" s="6">
        <f>MONTH(GameLog[[#This Row],[Date]])</f>
        <v>6</v>
      </c>
      <c r="K1735" s="6" t="str">
        <f>IF(GameLog[[#This Row],[Date]]=MAX(GameLog[Date]),"Current","Previous")</f>
        <v>Previous</v>
      </c>
      <c r="L1735" s="6"/>
      <c r="M17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5" s="6" t="str">
        <f ca="1">IF(GameLog[[#This Row],[Check]]="","",COUNTIF(GameLog[[#Headers],[Check]]:GameLog[[#This Row],[Check]],"?*")-1)</f>
        <v/>
      </c>
      <c r="O1735" s="6" t="str">
        <f>IFERROR(INDEX(Players[New name],MATCH(GameLog[[#This Row],[Player]],Players[Name],0)),GameLog[[#This Row],[Player]])</f>
        <v>Eric T</v>
      </c>
    </row>
    <row r="1736" spans="1:15" x14ac:dyDescent="0.45">
      <c r="A1736" s="6" t="s">
        <v>55</v>
      </c>
      <c r="B1736" s="6" t="s">
        <v>53</v>
      </c>
      <c r="C1736" s="6">
        <v>3</v>
      </c>
      <c r="D1736" s="6">
        <v>5</v>
      </c>
      <c r="E1736" s="6">
        <v>1</v>
      </c>
      <c r="F1736" s="10">
        <v>46202</v>
      </c>
      <c r="G1736" s="6" t="str">
        <f>_xlfn.TEXTJOIN("|",TRUE,GameLog[[#This Row],[Pod]],TEXT(INT(GameLog[[#This Row],[Round]]),"yyyymmdd"),GameLog[[#This Row],[Date]])</f>
        <v>5|19000101|46202</v>
      </c>
      <c r="H1736" s="6">
        <f>COUNTIF(GameLog[Pod ID],GameLog[[#This Row],[Pod ID]])</f>
        <v>3</v>
      </c>
      <c r="I1736" s="6">
        <f>YEAR(GameLog[[#This Row],[Date]])</f>
        <v>2026</v>
      </c>
      <c r="J1736" s="6">
        <f>MONTH(GameLog[[#This Row],[Date]])</f>
        <v>6</v>
      </c>
      <c r="K1736" s="6" t="str">
        <f>IF(GameLog[[#This Row],[Date]]=MAX(GameLog[Date]),"Current","Previous")</f>
        <v>Previous</v>
      </c>
      <c r="L1736" s="6"/>
      <c r="M17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6" s="6" t="str">
        <f ca="1">IF(GameLog[[#This Row],[Check]]="","",COUNTIF(GameLog[[#Headers],[Check]]:GameLog[[#This Row],[Check]],"?*")-1)</f>
        <v/>
      </c>
      <c r="O1736" s="6" t="str">
        <f>IFERROR(INDEX(Players[New name],MATCH(GameLog[[#This Row],[Player]],Players[Name],0)),GameLog[[#This Row],[Player]])</f>
        <v>Bryce C</v>
      </c>
    </row>
    <row r="1737" spans="1:15" x14ac:dyDescent="0.45">
      <c r="A1737" s="6" t="s">
        <v>97</v>
      </c>
      <c r="B1737" s="6" t="s">
        <v>50</v>
      </c>
      <c r="C1737" s="6">
        <v>1</v>
      </c>
      <c r="D1737" s="6">
        <v>6</v>
      </c>
      <c r="E1737" s="6">
        <v>1</v>
      </c>
      <c r="F1737" s="10">
        <v>46202</v>
      </c>
      <c r="G1737" s="6" t="str">
        <f>_xlfn.TEXTJOIN("|",TRUE,GameLog[[#This Row],[Pod]],TEXT(INT(GameLog[[#This Row],[Round]]),"yyyymmdd"),GameLog[[#This Row],[Date]])</f>
        <v>6|19000101|46202</v>
      </c>
      <c r="H1737" s="6">
        <f>COUNTIF(GameLog[Pod ID],GameLog[[#This Row],[Pod ID]])</f>
        <v>3</v>
      </c>
      <c r="I1737" s="6">
        <f>YEAR(GameLog[[#This Row],[Date]])</f>
        <v>2026</v>
      </c>
      <c r="J1737" s="6">
        <f>MONTH(GameLog[[#This Row],[Date]])</f>
        <v>6</v>
      </c>
      <c r="K1737" s="6" t="str">
        <f>IF(GameLog[[#This Row],[Date]]=MAX(GameLog[Date]),"Current","Previous")</f>
        <v>Previous</v>
      </c>
      <c r="L1737" s="6"/>
      <c r="M17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7" s="6" t="str">
        <f ca="1">IF(GameLog[[#This Row],[Check]]="","",COUNTIF(GameLog[[#Headers],[Check]]:GameLog[[#This Row],[Check]],"?*")-1)</f>
        <v/>
      </c>
      <c r="O1737" s="6" t="str">
        <f>IFERROR(INDEX(Players[New name],MATCH(GameLog[[#This Row],[Player]],Players[Name],0)),GameLog[[#This Row],[Player]])</f>
        <v>Arman H</v>
      </c>
    </row>
    <row r="1738" spans="1:15" x14ac:dyDescent="0.45">
      <c r="A1738" s="6" t="s">
        <v>57</v>
      </c>
      <c r="B1738" s="6" t="s">
        <v>53</v>
      </c>
      <c r="C1738" s="6">
        <v>2</v>
      </c>
      <c r="D1738" s="6">
        <v>6</v>
      </c>
      <c r="E1738" s="6">
        <v>1</v>
      </c>
      <c r="F1738" s="10">
        <v>46202</v>
      </c>
      <c r="G1738" s="6" t="str">
        <f>_xlfn.TEXTJOIN("|",TRUE,GameLog[[#This Row],[Pod]],TEXT(INT(GameLog[[#This Row],[Round]]),"yyyymmdd"),GameLog[[#This Row],[Date]])</f>
        <v>6|19000101|46202</v>
      </c>
      <c r="H1738" s="6">
        <f>COUNTIF(GameLog[Pod ID],GameLog[[#This Row],[Pod ID]])</f>
        <v>3</v>
      </c>
      <c r="I1738" s="6">
        <f>YEAR(GameLog[[#This Row],[Date]])</f>
        <v>2026</v>
      </c>
      <c r="J1738" s="6">
        <f>MONTH(GameLog[[#This Row],[Date]])</f>
        <v>6</v>
      </c>
      <c r="K1738" s="6" t="str">
        <f>IF(GameLog[[#This Row],[Date]]=MAX(GameLog[Date]),"Current","Previous")</f>
        <v>Previous</v>
      </c>
      <c r="L1738" s="6"/>
      <c r="M17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8" s="6" t="str">
        <f ca="1">IF(GameLog[[#This Row],[Check]]="","",COUNTIF(GameLog[[#Headers],[Check]]:GameLog[[#This Row],[Check]],"?*")-1)</f>
        <v/>
      </c>
      <c r="O1738" s="6" t="str">
        <f>IFERROR(INDEX(Players[New name],MATCH(GameLog[[#This Row],[Player]],Players[Name],0)),GameLog[[#This Row],[Player]])</f>
        <v>AJ W</v>
      </c>
    </row>
    <row r="1739" spans="1:15" x14ac:dyDescent="0.45">
      <c r="A1739" s="6" t="s">
        <v>52</v>
      </c>
      <c r="B1739" s="6" t="s">
        <v>53</v>
      </c>
      <c r="C1739" s="6">
        <v>3</v>
      </c>
      <c r="D1739" s="6">
        <v>6</v>
      </c>
      <c r="E1739" s="6">
        <v>1</v>
      </c>
      <c r="F1739" s="10">
        <v>46202</v>
      </c>
      <c r="G1739" s="6" t="str">
        <f>_xlfn.TEXTJOIN("|",TRUE,GameLog[[#This Row],[Pod]],TEXT(INT(GameLog[[#This Row],[Round]]),"yyyymmdd"),GameLog[[#This Row],[Date]])</f>
        <v>6|19000101|46202</v>
      </c>
      <c r="H1739" s="6">
        <f>COUNTIF(GameLog[Pod ID],GameLog[[#This Row],[Pod ID]])</f>
        <v>3</v>
      </c>
      <c r="I1739" s="6">
        <f>YEAR(GameLog[[#This Row],[Date]])</f>
        <v>2026</v>
      </c>
      <c r="J1739" s="6">
        <f>MONTH(GameLog[[#This Row],[Date]])</f>
        <v>6</v>
      </c>
      <c r="K1739" s="6" t="str">
        <f>IF(GameLog[[#This Row],[Date]]=MAX(GameLog[Date]),"Current","Previous")</f>
        <v>Previous</v>
      </c>
      <c r="L1739" s="6"/>
      <c r="M17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39" s="6" t="str">
        <f ca="1">IF(GameLog[[#This Row],[Check]]="","",COUNTIF(GameLog[[#Headers],[Check]]:GameLog[[#This Row],[Check]],"?*")-1)</f>
        <v/>
      </c>
      <c r="O1739" s="6" t="str">
        <f>IFERROR(INDEX(Players[New name],MATCH(GameLog[[#This Row],[Player]],Players[Name],0)),GameLog[[#This Row],[Player]])</f>
        <v>Unknown</v>
      </c>
    </row>
    <row r="1740" spans="1:15" x14ac:dyDescent="0.45">
      <c r="A1740" s="6" t="s">
        <v>55</v>
      </c>
      <c r="B1740" s="6" t="s">
        <v>90</v>
      </c>
      <c r="C1740" s="6">
        <v>1</v>
      </c>
      <c r="D1740" s="6">
        <v>1</v>
      </c>
      <c r="E1740" s="6">
        <v>2</v>
      </c>
      <c r="F1740" s="10">
        <v>46202</v>
      </c>
      <c r="G1740" s="6" t="str">
        <f>_xlfn.TEXTJOIN("|",TRUE,GameLog[[#This Row],[Pod]],TEXT(INT(GameLog[[#This Row],[Round]]),"yyyymmdd"),GameLog[[#This Row],[Date]])</f>
        <v>1|19000102|46202</v>
      </c>
      <c r="H1740" s="6">
        <f>COUNTIF(GameLog[Pod ID],GameLog[[#This Row],[Pod ID]])</f>
        <v>4</v>
      </c>
      <c r="I1740" s="6">
        <f>YEAR(GameLog[[#This Row],[Date]])</f>
        <v>2026</v>
      </c>
      <c r="J1740" s="6">
        <f>MONTH(GameLog[[#This Row],[Date]])</f>
        <v>6</v>
      </c>
      <c r="K1740" s="6" t="str">
        <f>IF(GameLog[[#This Row],[Date]]=MAX(GameLog[Date]),"Current","Previous")</f>
        <v>Previous</v>
      </c>
      <c r="L1740" s="6"/>
      <c r="M17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0" s="6" t="str">
        <f ca="1">IF(GameLog[[#This Row],[Check]]="","",COUNTIF(GameLog[[#Headers],[Check]]:GameLog[[#This Row],[Check]],"?*")-1)</f>
        <v/>
      </c>
      <c r="O1740" s="6" t="str">
        <f>IFERROR(INDEX(Players[New name],MATCH(GameLog[[#This Row],[Player]],Players[Name],0)),GameLog[[#This Row],[Player]])</f>
        <v>Bryce C</v>
      </c>
    </row>
    <row r="1741" spans="1:15" x14ac:dyDescent="0.45">
      <c r="A1741" s="6" t="s">
        <v>97</v>
      </c>
      <c r="B1741" s="6" t="s">
        <v>90</v>
      </c>
      <c r="C1741" s="6">
        <v>2</v>
      </c>
      <c r="D1741" s="6">
        <v>1</v>
      </c>
      <c r="E1741" s="6">
        <v>2</v>
      </c>
      <c r="F1741" s="10">
        <v>46202</v>
      </c>
      <c r="G1741" s="6" t="str">
        <f>_xlfn.TEXTJOIN("|",TRUE,GameLog[[#This Row],[Pod]],TEXT(INT(GameLog[[#This Row],[Round]]),"yyyymmdd"),GameLog[[#This Row],[Date]])</f>
        <v>1|19000102|46202</v>
      </c>
      <c r="H1741" s="6">
        <f>COUNTIF(GameLog[Pod ID],GameLog[[#This Row],[Pod ID]])</f>
        <v>4</v>
      </c>
      <c r="I1741" s="6">
        <f>YEAR(GameLog[[#This Row],[Date]])</f>
        <v>2026</v>
      </c>
      <c r="J1741" s="6">
        <f>MONTH(GameLog[[#This Row],[Date]])</f>
        <v>6</v>
      </c>
      <c r="K1741" s="6" t="str">
        <f>IF(GameLog[[#This Row],[Date]]=MAX(GameLog[Date]),"Current","Previous")</f>
        <v>Previous</v>
      </c>
      <c r="L1741" s="6"/>
      <c r="M17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1" s="6" t="str">
        <f ca="1">IF(GameLog[[#This Row],[Check]]="","",COUNTIF(GameLog[[#Headers],[Check]]:GameLog[[#This Row],[Check]],"?*")-1)</f>
        <v/>
      </c>
      <c r="O1741" s="6" t="str">
        <f>IFERROR(INDEX(Players[New name],MATCH(GameLog[[#This Row],[Player]],Players[Name],0)),GameLog[[#This Row],[Player]])</f>
        <v>Arman H</v>
      </c>
    </row>
    <row r="1742" spans="1:15" x14ac:dyDescent="0.45">
      <c r="A1742" s="6" t="s">
        <v>59</v>
      </c>
      <c r="B1742" s="6" t="s">
        <v>90</v>
      </c>
      <c r="C1742" s="6">
        <v>3</v>
      </c>
      <c r="D1742" s="6">
        <v>1</v>
      </c>
      <c r="E1742" s="6">
        <v>2</v>
      </c>
      <c r="F1742" s="10">
        <v>46202</v>
      </c>
      <c r="G1742" s="6" t="str">
        <f>_xlfn.TEXTJOIN("|",TRUE,GameLog[[#This Row],[Pod]],TEXT(INT(GameLog[[#This Row],[Round]]),"yyyymmdd"),GameLog[[#This Row],[Date]])</f>
        <v>1|19000102|46202</v>
      </c>
      <c r="H1742" s="6">
        <f>COUNTIF(GameLog[Pod ID],GameLog[[#This Row],[Pod ID]])</f>
        <v>4</v>
      </c>
      <c r="I1742" s="6">
        <f>YEAR(GameLog[[#This Row],[Date]])</f>
        <v>2026</v>
      </c>
      <c r="J1742" s="6">
        <f>MONTH(GameLog[[#This Row],[Date]])</f>
        <v>6</v>
      </c>
      <c r="K1742" s="6" t="str">
        <f>IF(GameLog[[#This Row],[Date]]=MAX(GameLog[Date]),"Current","Previous")</f>
        <v>Previous</v>
      </c>
      <c r="L1742" s="6"/>
      <c r="M17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2" s="6" t="str">
        <f ca="1">IF(GameLog[[#This Row],[Check]]="","",COUNTIF(GameLog[[#Headers],[Check]]:GameLog[[#This Row],[Check]],"?*")-1)</f>
        <v/>
      </c>
      <c r="O1742" s="6" t="str">
        <f>IFERROR(INDEX(Players[New name],MATCH(GameLog[[#This Row],[Player]],Players[Name],0)),GameLog[[#This Row],[Player]])</f>
        <v>Zack B</v>
      </c>
    </row>
    <row r="1743" spans="1:15" x14ac:dyDescent="0.45">
      <c r="A1743" s="6" t="s">
        <v>104</v>
      </c>
      <c r="B1743" s="6" t="s">
        <v>90</v>
      </c>
      <c r="C1743" s="6">
        <v>4</v>
      </c>
      <c r="D1743" s="6">
        <v>1</v>
      </c>
      <c r="E1743" s="6">
        <v>2</v>
      </c>
      <c r="F1743" s="10">
        <v>46202</v>
      </c>
      <c r="G1743" s="6" t="str">
        <f>_xlfn.TEXTJOIN("|",TRUE,GameLog[[#This Row],[Pod]],TEXT(INT(GameLog[[#This Row],[Round]]),"yyyymmdd"),GameLog[[#This Row],[Date]])</f>
        <v>1|19000102|46202</v>
      </c>
      <c r="H1743" s="6">
        <f>COUNTIF(GameLog[Pod ID],GameLog[[#This Row],[Pod ID]])</f>
        <v>4</v>
      </c>
      <c r="I1743" s="6">
        <f>YEAR(GameLog[[#This Row],[Date]])</f>
        <v>2026</v>
      </c>
      <c r="J1743" s="6">
        <f>MONTH(GameLog[[#This Row],[Date]])</f>
        <v>6</v>
      </c>
      <c r="K1743" s="6" t="str">
        <f>IF(GameLog[[#This Row],[Date]]=MAX(GameLog[Date]),"Current","Previous")</f>
        <v>Previous</v>
      </c>
      <c r="L1743" s="6"/>
      <c r="M17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3" s="6" t="str">
        <f ca="1">IF(GameLog[[#This Row],[Check]]="","",COUNTIF(GameLog[[#Headers],[Check]]:GameLog[[#This Row],[Check]],"?*")-1)</f>
        <v/>
      </c>
      <c r="O1743" s="6" t="str">
        <f>IFERROR(INDEX(Players[New name],MATCH(GameLog[[#This Row],[Player]],Players[Name],0)),GameLog[[#This Row],[Player]])</f>
        <v>Eric E</v>
      </c>
    </row>
    <row r="1744" spans="1:15" x14ac:dyDescent="0.45">
      <c r="A1744" s="6" t="s">
        <v>70</v>
      </c>
      <c r="B1744" s="6" t="s">
        <v>90</v>
      </c>
      <c r="C1744" s="6">
        <v>1</v>
      </c>
      <c r="D1744" s="6">
        <v>2</v>
      </c>
      <c r="E1744" s="6">
        <v>2</v>
      </c>
      <c r="F1744" s="10">
        <v>46202</v>
      </c>
      <c r="G1744" s="6" t="str">
        <f>_xlfn.TEXTJOIN("|",TRUE,GameLog[[#This Row],[Pod]],TEXT(INT(GameLog[[#This Row],[Round]]),"yyyymmdd"),GameLog[[#This Row],[Date]])</f>
        <v>2|19000102|46202</v>
      </c>
      <c r="H1744" s="6">
        <f>COUNTIF(GameLog[Pod ID],GameLog[[#This Row],[Pod ID]])</f>
        <v>4</v>
      </c>
      <c r="I1744" s="6">
        <f>YEAR(GameLog[[#This Row],[Date]])</f>
        <v>2026</v>
      </c>
      <c r="J1744" s="6">
        <f>MONTH(GameLog[[#This Row],[Date]])</f>
        <v>6</v>
      </c>
      <c r="K1744" s="6" t="str">
        <f>IF(GameLog[[#This Row],[Date]]=MAX(GameLog[Date]),"Current","Previous")</f>
        <v>Previous</v>
      </c>
      <c r="L1744" s="6"/>
      <c r="M17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4" s="6" t="str">
        <f ca="1">IF(GameLog[[#This Row],[Check]]="","",COUNTIF(GameLog[[#Headers],[Check]]:GameLog[[#This Row],[Check]],"?*")-1)</f>
        <v/>
      </c>
      <c r="O1744" s="6" t="str">
        <f>IFERROR(INDEX(Players[New name],MATCH(GameLog[[#This Row],[Player]],Players[Name],0)),GameLog[[#This Row],[Player]])</f>
        <v>Brad F</v>
      </c>
    </row>
    <row r="1745" spans="1:15" x14ac:dyDescent="0.45">
      <c r="A1745" s="6" t="s">
        <v>116</v>
      </c>
      <c r="B1745" s="6" t="s">
        <v>90</v>
      </c>
      <c r="C1745" s="6">
        <v>2</v>
      </c>
      <c r="D1745" s="6">
        <v>2</v>
      </c>
      <c r="E1745" s="6">
        <v>2</v>
      </c>
      <c r="F1745" s="10">
        <v>46202</v>
      </c>
      <c r="G1745" s="6" t="str">
        <f>_xlfn.TEXTJOIN("|",TRUE,GameLog[[#This Row],[Pod]],TEXT(INT(GameLog[[#This Row],[Round]]),"yyyymmdd"),GameLog[[#This Row],[Date]])</f>
        <v>2|19000102|46202</v>
      </c>
      <c r="H1745" s="6">
        <f>COUNTIF(GameLog[Pod ID],GameLog[[#This Row],[Pod ID]])</f>
        <v>4</v>
      </c>
      <c r="I1745" s="6">
        <f>YEAR(GameLog[[#This Row],[Date]])</f>
        <v>2026</v>
      </c>
      <c r="J1745" s="6">
        <f>MONTH(GameLog[[#This Row],[Date]])</f>
        <v>6</v>
      </c>
      <c r="K1745" s="6" t="str">
        <f>IF(GameLog[[#This Row],[Date]]=MAX(GameLog[Date]),"Current","Previous")</f>
        <v>Previous</v>
      </c>
      <c r="L1745" s="6"/>
      <c r="M17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5" s="6" t="str">
        <f ca="1">IF(GameLog[[#This Row],[Check]]="","",COUNTIF(GameLog[[#Headers],[Check]]:GameLog[[#This Row],[Check]],"?*")-1)</f>
        <v/>
      </c>
      <c r="O1745" s="6" t="str">
        <f>IFERROR(INDEX(Players[New name],MATCH(GameLog[[#This Row],[Player]],Players[Name],0)),GameLog[[#This Row],[Player]])</f>
        <v>Matthew W</v>
      </c>
    </row>
    <row r="1746" spans="1:15" x14ac:dyDescent="0.45">
      <c r="A1746" s="6" t="s">
        <v>78</v>
      </c>
      <c r="B1746" s="6" t="s">
        <v>90</v>
      </c>
      <c r="C1746" s="6">
        <v>3</v>
      </c>
      <c r="D1746" s="6">
        <v>2</v>
      </c>
      <c r="E1746" s="6">
        <v>2</v>
      </c>
      <c r="F1746" s="10">
        <v>46202</v>
      </c>
      <c r="G1746" s="6" t="str">
        <f>_xlfn.TEXTJOIN("|",TRUE,GameLog[[#This Row],[Pod]],TEXT(INT(GameLog[[#This Row],[Round]]),"yyyymmdd"),GameLog[[#This Row],[Date]])</f>
        <v>2|19000102|46202</v>
      </c>
      <c r="H1746" s="6">
        <f>COUNTIF(GameLog[Pod ID],GameLog[[#This Row],[Pod ID]])</f>
        <v>4</v>
      </c>
      <c r="I1746" s="6">
        <f>YEAR(GameLog[[#This Row],[Date]])</f>
        <v>2026</v>
      </c>
      <c r="J1746" s="6">
        <f>MONTH(GameLog[[#This Row],[Date]])</f>
        <v>6</v>
      </c>
      <c r="K1746" s="6" t="str">
        <f>IF(GameLog[[#This Row],[Date]]=MAX(GameLog[Date]),"Current","Previous")</f>
        <v>Previous</v>
      </c>
      <c r="L1746" s="6"/>
      <c r="M17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6" s="6" t="str">
        <f ca="1">IF(GameLog[[#This Row],[Check]]="","",COUNTIF(GameLog[[#Headers],[Check]]:GameLog[[#This Row],[Check]],"?*")-1)</f>
        <v/>
      </c>
      <c r="O1746" s="6" t="str">
        <f>IFERROR(INDEX(Players[New name],MATCH(GameLog[[#This Row],[Player]],Players[Name],0)),GameLog[[#This Row],[Player]])</f>
        <v>Justin M</v>
      </c>
    </row>
    <row r="1747" spans="1:15" x14ac:dyDescent="0.45">
      <c r="A1747" s="6" t="s">
        <v>57</v>
      </c>
      <c r="B1747" s="6" t="s">
        <v>90</v>
      </c>
      <c r="C1747" s="6">
        <v>4</v>
      </c>
      <c r="D1747" s="6">
        <v>2</v>
      </c>
      <c r="E1747" s="6">
        <v>2</v>
      </c>
      <c r="F1747" s="10">
        <v>46202</v>
      </c>
      <c r="G1747" s="6" t="str">
        <f>_xlfn.TEXTJOIN("|",TRUE,GameLog[[#This Row],[Pod]],TEXT(INT(GameLog[[#This Row],[Round]]),"yyyymmdd"),GameLog[[#This Row],[Date]])</f>
        <v>2|19000102|46202</v>
      </c>
      <c r="H1747" s="6">
        <f>COUNTIF(GameLog[Pod ID],GameLog[[#This Row],[Pod ID]])</f>
        <v>4</v>
      </c>
      <c r="I1747" s="6">
        <f>YEAR(GameLog[[#This Row],[Date]])</f>
        <v>2026</v>
      </c>
      <c r="J1747" s="6">
        <f>MONTH(GameLog[[#This Row],[Date]])</f>
        <v>6</v>
      </c>
      <c r="K1747" s="6" t="str">
        <f>IF(GameLog[[#This Row],[Date]]=MAX(GameLog[Date]),"Current","Previous")</f>
        <v>Previous</v>
      </c>
      <c r="L1747" s="6"/>
      <c r="M17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7" s="6" t="str">
        <f ca="1">IF(GameLog[[#This Row],[Check]]="","",COUNTIF(GameLog[[#Headers],[Check]]:GameLog[[#This Row],[Check]],"?*")-1)</f>
        <v/>
      </c>
      <c r="O1747" s="6" t="str">
        <f>IFERROR(INDEX(Players[New name],MATCH(GameLog[[#This Row],[Player]],Players[Name],0)),GameLog[[#This Row],[Player]])</f>
        <v>AJ W</v>
      </c>
    </row>
    <row r="1748" spans="1:15" x14ac:dyDescent="0.45">
      <c r="A1748" s="6" t="s">
        <v>68</v>
      </c>
      <c r="B1748" s="6" t="s">
        <v>53</v>
      </c>
      <c r="C1748" s="6">
        <v>1</v>
      </c>
      <c r="D1748" s="6">
        <v>3</v>
      </c>
      <c r="E1748" s="6">
        <v>2</v>
      </c>
      <c r="F1748" s="10">
        <v>46202</v>
      </c>
      <c r="G1748" s="6" t="str">
        <f>_xlfn.TEXTJOIN("|",TRUE,GameLog[[#This Row],[Pod]],TEXT(INT(GameLog[[#This Row],[Round]]),"yyyymmdd"),GameLog[[#This Row],[Date]])</f>
        <v>3|19000102|46202</v>
      </c>
      <c r="H1748" s="6">
        <f>COUNTIF(GameLog[Pod ID],GameLog[[#This Row],[Pod ID]])</f>
        <v>4</v>
      </c>
      <c r="I1748" s="6">
        <f>YEAR(GameLog[[#This Row],[Date]])</f>
        <v>2026</v>
      </c>
      <c r="J1748" s="6">
        <f>MONTH(GameLog[[#This Row],[Date]])</f>
        <v>6</v>
      </c>
      <c r="K1748" s="6" t="str">
        <f>IF(GameLog[[#This Row],[Date]]=MAX(GameLog[Date]),"Current","Previous")</f>
        <v>Previous</v>
      </c>
      <c r="L1748" s="6"/>
      <c r="M17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8" s="6" t="str">
        <f ca="1">IF(GameLog[[#This Row],[Check]]="","",COUNTIF(GameLog[[#Headers],[Check]]:GameLog[[#This Row],[Check]],"?*")-1)</f>
        <v/>
      </c>
      <c r="O1748" s="6" t="str">
        <f>IFERROR(INDEX(Players[New name],MATCH(GameLog[[#This Row],[Player]],Players[Name],0)),GameLog[[#This Row],[Player]])</f>
        <v>Edwin M</v>
      </c>
    </row>
    <row r="1749" spans="1:15" x14ac:dyDescent="0.45">
      <c r="A1749" s="6" t="s">
        <v>118</v>
      </c>
      <c r="B1749" s="6" t="s">
        <v>53</v>
      </c>
      <c r="C1749" s="6">
        <v>2</v>
      </c>
      <c r="D1749" s="6">
        <v>3</v>
      </c>
      <c r="E1749" s="6">
        <v>2</v>
      </c>
      <c r="F1749" s="10">
        <v>46202</v>
      </c>
      <c r="G1749" s="6" t="str">
        <f>_xlfn.TEXTJOIN("|",TRUE,GameLog[[#This Row],[Pod]],TEXT(INT(GameLog[[#This Row],[Round]]),"yyyymmdd"),GameLog[[#This Row],[Date]])</f>
        <v>3|19000102|46202</v>
      </c>
      <c r="H1749" s="6">
        <f>COUNTIF(GameLog[Pod ID],GameLog[[#This Row],[Pod ID]])</f>
        <v>4</v>
      </c>
      <c r="I1749" s="6">
        <f>YEAR(GameLog[[#This Row],[Date]])</f>
        <v>2026</v>
      </c>
      <c r="J1749" s="6">
        <f>MONTH(GameLog[[#This Row],[Date]])</f>
        <v>6</v>
      </c>
      <c r="K1749" s="6" t="str">
        <f>IF(GameLog[[#This Row],[Date]]=MAX(GameLog[Date]),"Current","Previous")</f>
        <v>Previous</v>
      </c>
      <c r="L1749" s="6"/>
      <c r="M17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49" s="6" t="str">
        <f ca="1">IF(GameLog[[#This Row],[Check]]="","",COUNTIF(GameLog[[#Headers],[Check]]:GameLog[[#This Row],[Check]],"?*")-1)</f>
        <v/>
      </c>
      <c r="O1749" s="6" t="str">
        <f>IFERROR(INDEX(Players[New name],MATCH(GameLog[[#This Row],[Player]],Players[Name],0)),GameLog[[#This Row],[Player]])</f>
        <v>Eric T</v>
      </c>
    </row>
    <row r="1750" spans="1:15" x14ac:dyDescent="0.45">
      <c r="A1750" s="6" t="s">
        <v>52</v>
      </c>
      <c r="B1750" s="6" t="s">
        <v>50</v>
      </c>
      <c r="C1750" s="6">
        <v>3</v>
      </c>
      <c r="D1750" s="6">
        <v>3</v>
      </c>
      <c r="E1750" s="6">
        <v>2</v>
      </c>
      <c r="F1750" s="10">
        <v>46202</v>
      </c>
      <c r="G1750" s="6" t="str">
        <f>_xlfn.TEXTJOIN("|",TRUE,GameLog[[#This Row],[Pod]],TEXT(INT(GameLog[[#This Row],[Round]]),"yyyymmdd"),GameLog[[#This Row],[Date]])</f>
        <v>3|19000102|46202</v>
      </c>
      <c r="H1750" s="6">
        <f>COUNTIF(GameLog[Pod ID],GameLog[[#This Row],[Pod ID]])</f>
        <v>4</v>
      </c>
      <c r="I1750" s="6">
        <f>YEAR(GameLog[[#This Row],[Date]])</f>
        <v>2026</v>
      </c>
      <c r="J1750" s="6">
        <f>MONTH(GameLog[[#This Row],[Date]])</f>
        <v>6</v>
      </c>
      <c r="K1750" s="6" t="str">
        <f>IF(GameLog[[#This Row],[Date]]=MAX(GameLog[Date]),"Current","Previous")</f>
        <v>Previous</v>
      </c>
      <c r="L1750" s="6"/>
      <c r="M17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0" s="6" t="str">
        <f ca="1">IF(GameLog[[#This Row],[Check]]="","",COUNTIF(GameLog[[#Headers],[Check]]:GameLog[[#This Row],[Check]],"?*")-1)</f>
        <v/>
      </c>
      <c r="O1750" s="6" t="str">
        <f>IFERROR(INDEX(Players[New name],MATCH(GameLog[[#This Row],[Player]],Players[Name],0)),GameLog[[#This Row],[Player]])</f>
        <v>Unknown</v>
      </c>
    </row>
    <row r="1751" spans="1:15" x14ac:dyDescent="0.45">
      <c r="A1751" s="6" t="s">
        <v>109</v>
      </c>
      <c r="B1751" s="6" t="s">
        <v>53</v>
      </c>
      <c r="C1751" s="6">
        <v>4</v>
      </c>
      <c r="D1751" s="6">
        <v>3</v>
      </c>
      <c r="E1751" s="6">
        <v>2</v>
      </c>
      <c r="F1751" s="10">
        <v>46202</v>
      </c>
      <c r="G1751" s="6" t="str">
        <f>_xlfn.TEXTJOIN("|",TRUE,GameLog[[#This Row],[Pod]],TEXT(INT(GameLog[[#This Row],[Round]]),"yyyymmdd"),GameLog[[#This Row],[Date]])</f>
        <v>3|19000102|46202</v>
      </c>
      <c r="H1751" s="6">
        <f>COUNTIF(GameLog[Pod ID],GameLog[[#This Row],[Pod ID]])</f>
        <v>4</v>
      </c>
      <c r="I1751" s="6">
        <f>YEAR(GameLog[[#This Row],[Date]])</f>
        <v>2026</v>
      </c>
      <c r="J1751" s="6">
        <f>MONTH(GameLog[[#This Row],[Date]])</f>
        <v>6</v>
      </c>
      <c r="K1751" s="6" t="str">
        <f>IF(GameLog[[#This Row],[Date]]=MAX(GameLog[Date]),"Current","Previous")</f>
        <v>Previous</v>
      </c>
      <c r="L1751" s="6"/>
      <c r="M17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1" s="6" t="str">
        <f ca="1">IF(GameLog[[#This Row],[Check]]="","",COUNTIF(GameLog[[#Headers],[Check]]:GameLog[[#This Row],[Check]],"?*")-1)</f>
        <v/>
      </c>
      <c r="O1751" s="6" t="str">
        <f>IFERROR(INDEX(Players[New name],MATCH(GameLog[[#This Row],[Player]],Players[Name],0)),GameLog[[#This Row],[Player]])</f>
        <v>Taylor C</v>
      </c>
    </row>
    <row r="1752" spans="1:15" x14ac:dyDescent="0.45">
      <c r="A1752" s="6" t="s">
        <v>75</v>
      </c>
      <c r="B1752" s="6" t="s">
        <v>53</v>
      </c>
      <c r="C1752" s="6">
        <v>1</v>
      </c>
      <c r="D1752" s="6">
        <v>4</v>
      </c>
      <c r="E1752" s="6">
        <v>2</v>
      </c>
      <c r="F1752" s="10">
        <v>46202</v>
      </c>
      <c r="G1752" s="6" t="str">
        <f>_xlfn.TEXTJOIN("|",TRUE,GameLog[[#This Row],[Pod]],TEXT(INT(GameLog[[#This Row],[Round]]),"yyyymmdd"),GameLog[[#This Row],[Date]])</f>
        <v>4|19000102|46202</v>
      </c>
      <c r="H1752" s="6">
        <f>COUNTIF(GameLog[Pod ID],GameLog[[#This Row],[Pod ID]])</f>
        <v>3</v>
      </c>
      <c r="I1752" s="6">
        <f>YEAR(GameLog[[#This Row],[Date]])</f>
        <v>2026</v>
      </c>
      <c r="J1752" s="6">
        <f>MONTH(GameLog[[#This Row],[Date]])</f>
        <v>6</v>
      </c>
      <c r="K1752" s="6" t="str">
        <f>IF(GameLog[[#This Row],[Date]]=MAX(GameLog[Date]),"Current","Previous")</f>
        <v>Previous</v>
      </c>
      <c r="L1752" s="6"/>
      <c r="M17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2" s="6" t="str">
        <f ca="1">IF(GameLog[[#This Row],[Check]]="","",COUNTIF(GameLog[[#Headers],[Check]]:GameLog[[#This Row],[Check]],"?*")-1)</f>
        <v/>
      </c>
      <c r="O1752" s="6" t="str">
        <f>IFERROR(INDEX(Players[New name],MATCH(GameLog[[#This Row],[Player]],Players[Name],0)),GameLog[[#This Row],[Player]])</f>
        <v>Eli T</v>
      </c>
    </row>
    <row r="1753" spans="1:15" x14ac:dyDescent="0.45">
      <c r="A1753" s="6" t="s">
        <v>76</v>
      </c>
      <c r="B1753" s="6" t="s">
        <v>50</v>
      </c>
      <c r="C1753" s="6">
        <v>2</v>
      </c>
      <c r="D1753" s="6">
        <v>4</v>
      </c>
      <c r="E1753" s="6">
        <v>2</v>
      </c>
      <c r="F1753" s="10">
        <v>46202</v>
      </c>
      <c r="G1753" s="6" t="str">
        <f>_xlfn.TEXTJOIN("|",TRUE,GameLog[[#This Row],[Pod]],TEXT(INT(GameLog[[#This Row],[Round]]),"yyyymmdd"),GameLog[[#This Row],[Date]])</f>
        <v>4|19000102|46202</v>
      </c>
      <c r="H1753" s="6">
        <f>COUNTIF(GameLog[Pod ID],GameLog[[#This Row],[Pod ID]])</f>
        <v>3</v>
      </c>
      <c r="I1753" s="6">
        <f>YEAR(GameLog[[#This Row],[Date]])</f>
        <v>2026</v>
      </c>
      <c r="J1753" s="6">
        <f>MONTH(GameLog[[#This Row],[Date]])</f>
        <v>6</v>
      </c>
      <c r="K1753" s="6" t="str">
        <f>IF(GameLog[[#This Row],[Date]]=MAX(GameLog[Date]),"Current","Previous")</f>
        <v>Previous</v>
      </c>
      <c r="L1753" s="6"/>
      <c r="M17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3" s="6" t="str">
        <f ca="1">IF(GameLog[[#This Row],[Check]]="","",COUNTIF(GameLog[[#Headers],[Check]]:GameLog[[#This Row],[Check]],"?*")-1)</f>
        <v/>
      </c>
      <c r="O1753" s="6" t="str">
        <f>IFERROR(INDEX(Players[New name],MATCH(GameLog[[#This Row],[Player]],Players[Name],0)),GameLog[[#This Row],[Player]])</f>
        <v>Jon M</v>
      </c>
    </row>
    <row r="1754" spans="1:15" x14ac:dyDescent="0.45">
      <c r="A1754" s="6" t="s">
        <v>56</v>
      </c>
      <c r="B1754" s="6" t="s">
        <v>53</v>
      </c>
      <c r="C1754" s="6">
        <v>3</v>
      </c>
      <c r="D1754" s="6">
        <v>4</v>
      </c>
      <c r="E1754" s="6">
        <v>2</v>
      </c>
      <c r="F1754" s="10">
        <v>46202</v>
      </c>
      <c r="G1754" s="6" t="str">
        <f>_xlfn.TEXTJOIN("|",TRUE,GameLog[[#This Row],[Pod]],TEXT(INT(GameLog[[#This Row],[Round]]),"yyyymmdd"),GameLog[[#This Row],[Date]])</f>
        <v>4|19000102|46202</v>
      </c>
      <c r="H1754" s="6">
        <f>COUNTIF(GameLog[Pod ID],GameLog[[#This Row],[Pod ID]])</f>
        <v>3</v>
      </c>
      <c r="I1754" s="6">
        <f>YEAR(GameLog[[#This Row],[Date]])</f>
        <v>2026</v>
      </c>
      <c r="J1754" s="6">
        <f>MONTH(GameLog[[#This Row],[Date]])</f>
        <v>6</v>
      </c>
      <c r="K1754" s="6" t="str">
        <f>IF(GameLog[[#This Row],[Date]]=MAX(GameLog[Date]),"Current","Previous")</f>
        <v>Previous</v>
      </c>
      <c r="L1754" s="6"/>
      <c r="M17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4" s="6" t="str">
        <f ca="1">IF(GameLog[[#This Row],[Check]]="","",COUNTIF(GameLog[[#Headers],[Check]]:GameLog[[#This Row],[Check]],"?*")-1)</f>
        <v/>
      </c>
      <c r="O1754" s="6" t="str">
        <f>IFERROR(INDEX(Players[New name],MATCH(GameLog[[#This Row],[Player]],Players[Name],0)),GameLog[[#This Row],[Player]])</f>
        <v>Mark D</v>
      </c>
    </row>
    <row r="1755" spans="1:15" x14ac:dyDescent="0.45">
      <c r="A1755" s="6" t="s">
        <v>58</v>
      </c>
      <c r="B1755" s="6" t="s">
        <v>50</v>
      </c>
      <c r="C1755" s="6">
        <v>1</v>
      </c>
      <c r="D1755" s="6">
        <v>5</v>
      </c>
      <c r="E1755" s="6">
        <v>2</v>
      </c>
      <c r="F1755" s="10">
        <v>46202</v>
      </c>
      <c r="G1755" s="6" t="str">
        <f>_xlfn.TEXTJOIN("|",TRUE,GameLog[[#This Row],[Pod]],TEXT(INT(GameLog[[#This Row],[Round]]),"yyyymmdd"),GameLog[[#This Row],[Date]])</f>
        <v>5|19000102|46202</v>
      </c>
      <c r="H1755" s="6">
        <f>COUNTIF(GameLog[Pod ID],GameLog[[#This Row],[Pod ID]])</f>
        <v>3</v>
      </c>
      <c r="I1755" s="6">
        <f>YEAR(GameLog[[#This Row],[Date]])</f>
        <v>2026</v>
      </c>
      <c r="J1755" s="6">
        <f>MONTH(GameLog[[#This Row],[Date]])</f>
        <v>6</v>
      </c>
      <c r="K1755" s="6" t="str">
        <f>IF(GameLog[[#This Row],[Date]]=MAX(GameLog[Date]),"Current","Previous")</f>
        <v>Previous</v>
      </c>
      <c r="L1755" s="6"/>
      <c r="M17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5" s="6" t="str">
        <f ca="1">IF(GameLog[[#This Row],[Check]]="","",COUNTIF(GameLog[[#Headers],[Check]]:GameLog[[#This Row],[Check]],"?*")-1)</f>
        <v/>
      </c>
      <c r="O1755" s="6" t="str">
        <f>IFERROR(INDEX(Players[New name],MATCH(GameLog[[#This Row],[Player]],Players[Name],0)),GameLog[[#This Row],[Player]])</f>
        <v>Dakota P</v>
      </c>
    </row>
    <row r="1756" spans="1:15" x14ac:dyDescent="0.45">
      <c r="A1756" s="6" t="s">
        <v>71</v>
      </c>
      <c r="B1756" s="6" t="s">
        <v>53</v>
      </c>
      <c r="C1756" s="6">
        <v>2</v>
      </c>
      <c r="D1756" s="6">
        <v>5</v>
      </c>
      <c r="E1756" s="6">
        <v>2</v>
      </c>
      <c r="F1756" s="10">
        <v>46202</v>
      </c>
      <c r="G1756" s="6" t="str">
        <f>_xlfn.TEXTJOIN("|",TRUE,GameLog[[#This Row],[Pod]],TEXT(INT(GameLog[[#This Row],[Round]]),"yyyymmdd"),GameLog[[#This Row],[Date]])</f>
        <v>5|19000102|46202</v>
      </c>
      <c r="H1756" s="6">
        <f>COUNTIF(GameLog[Pod ID],GameLog[[#This Row],[Pod ID]])</f>
        <v>3</v>
      </c>
      <c r="I1756" s="6">
        <f>YEAR(GameLog[[#This Row],[Date]])</f>
        <v>2026</v>
      </c>
      <c r="J1756" s="6">
        <f>MONTH(GameLog[[#This Row],[Date]])</f>
        <v>6</v>
      </c>
      <c r="K1756" s="6" t="str">
        <f>IF(GameLog[[#This Row],[Date]]=MAX(GameLog[Date]),"Current","Previous")</f>
        <v>Previous</v>
      </c>
      <c r="L1756" s="6"/>
      <c r="M17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6" s="6" t="str">
        <f ca="1">IF(GameLog[[#This Row],[Check]]="","",COUNTIF(GameLog[[#Headers],[Check]]:GameLog[[#This Row],[Check]],"?*")-1)</f>
        <v/>
      </c>
      <c r="O1756" s="6" t="str">
        <f>IFERROR(INDEX(Players[New name],MATCH(GameLog[[#This Row],[Player]],Players[Name],0)),GameLog[[#This Row],[Player]])</f>
        <v>Rodney Y</v>
      </c>
    </row>
    <row r="1757" spans="1:15" x14ac:dyDescent="0.45">
      <c r="A1757" s="6" t="s">
        <v>49</v>
      </c>
      <c r="B1757" s="6" t="s">
        <v>53</v>
      </c>
      <c r="C1757" s="6">
        <v>3</v>
      </c>
      <c r="D1757" s="6">
        <v>5</v>
      </c>
      <c r="E1757" s="6">
        <v>2</v>
      </c>
      <c r="F1757" s="10">
        <v>46202</v>
      </c>
      <c r="G1757" s="6" t="str">
        <f>_xlfn.TEXTJOIN("|",TRUE,GameLog[[#This Row],[Pod]],TEXT(INT(GameLog[[#This Row],[Round]]),"yyyymmdd"),GameLog[[#This Row],[Date]])</f>
        <v>5|19000102|46202</v>
      </c>
      <c r="H1757" s="6">
        <f>COUNTIF(GameLog[Pod ID],GameLog[[#This Row],[Pod ID]])</f>
        <v>3</v>
      </c>
      <c r="I1757" s="6">
        <f>YEAR(GameLog[[#This Row],[Date]])</f>
        <v>2026</v>
      </c>
      <c r="J1757" s="6">
        <f>MONTH(GameLog[[#This Row],[Date]])</f>
        <v>6</v>
      </c>
      <c r="K1757" s="6" t="str">
        <f>IF(GameLog[[#This Row],[Date]]=MAX(GameLog[Date]),"Current","Previous")</f>
        <v>Previous</v>
      </c>
      <c r="L1757" s="6"/>
      <c r="M17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7" s="6" t="str">
        <f ca="1">IF(GameLog[[#This Row],[Check]]="","",COUNTIF(GameLog[[#Headers],[Check]]:GameLog[[#This Row],[Check]],"?*")-1)</f>
        <v/>
      </c>
      <c r="O1757" s="6" t="str">
        <f>IFERROR(INDEX(Players[New name],MATCH(GameLog[[#This Row],[Player]],Players[Name],0)),GameLog[[#This Row],[Player]])</f>
        <v>Brett R</v>
      </c>
    </row>
    <row r="1758" spans="1:15" x14ac:dyDescent="0.45">
      <c r="A1758" s="6" t="s">
        <v>98</v>
      </c>
      <c r="B1758" s="6" t="s">
        <v>50</v>
      </c>
      <c r="C1758" s="6">
        <v>1</v>
      </c>
      <c r="D1758" s="6">
        <v>6</v>
      </c>
      <c r="E1758" s="6">
        <v>2</v>
      </c>
      <c r="F1758" s="10">
        <v>46202</v>
      </c>
      <c r="G1758" s="6" t="str">
        <f>_xlfn.TEXTJOIN("|",TRUE,GameLog[[#This Row],[Pod]],TEXT(INT(GameLog[[#This Row],[Round]]),"yyyymmdd"),GameLog[[#This Row],[Date]])</f>
        <v>6|19000102|46202</v>
      </c>
      <c r="H1758" s="6">
        <f>COUNTIF(GameLog[Pod ID],GameLog[[#This Row],[Pod ID]])</f>
        <v>3</v>
      </c>
      <c r="I1758" s="6">
        <f>YEAR(GameLog[[#This Row],[Date]])</f>
        <v>2026</v>
      </c>
      <c r="J1758" s="6">
        <f>MONTH(GameLog[[#This Row],[Date]])</f>
        <v>6</v>
      </c>
      <c r="K1758" s="6" t="str">
        <f>IF(GameLog[[#This Row],[Date]]=MAX(GameLog[Date]),"Current","Previous")</f>
        <v>Previous</v>
      </c>
      <c r="L1758" s="6"/>
      <c r="M17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8" s="6" t="str">
        <f ca="1">IF(GameLog[[#This Row],[Check]]="","",COUNTIF(GameLog[[#Headers],[Check]]:GameLog[[#This Row],[Check]],"?*")-1)</f>
        <v/>
      </c>
      <c r="O1758" s="6" t="str">
        <f>IFERROR(INDEX(Players[New name],MATCH(GameLog[[#This Row],[Player]],Players[Name],0)),GameLog[[#This Row],[Player]])</f>
        <v>Charlie B</v>
      </c>
    </row>
    <row r="1759" spans="1:15" x14ac:dyDescent="0.45">
      <c r="A1759" s="6" t="s">
        <v>117</v>
      </c>
      <c r="B1759" s="6" t="s">
        <v>53</v>
      </c>
      <c r="C1759" s="6">
        <v>2</v>
      </c>
      <c r="D1759" s="6">
        <v>6</v>
      </c>
      <c r="E1759" s="6">
        <v>2</v>
      </c>
      <c r="F1759" s="10">
        <v>46202</v>
      </c>
      <c r="G1759" s="6" t="str">
        <f>_xlfn.TEXTJOIN("|",TRUE,GameLog[[#This Row],[Pod]],TEXT(INT(GameLog[[#This Row],[Round]]),"yyyymmdd"),GameLog[[#This Row],[Date]])</f>
        <v>6|19000102|46202</v>
      </c>
      <c r="H1759" s="6">
        <f>COUNTIF(GameLog[Pod ID],GameLog[[#This Row],[Pod ID]])</f>
        <v>3</v>
      </c>
      <c r="I1759" s="6">
        <f>YEAR(GameLog[[#This Row],[Date]])</f>
        <v>2026</v>
      </c>
      <c r="J1759" s="6">
        <f>MONTH(GameLog[[#This Row],[Date]])</f>
        <v>6</v>
      </c>
      <c r="K1759" s="6" t="str">
        <f>IF(GameLog[[#This Row],[Date]]=MAX(GameLog[Date]),"Current","Previous")</f>
        <v>Previous</v>
      </c>
      <c r="L1759" s="6"/>
      <c r="M17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59" s="6" t="str">
        <f ca="1">IF(GameLog[[#This Row],[Check]]="","",COUNTIF(GameLog[[#Headers],[Check]]:GameLog[[#This Row],[Check]],"?*")-1)</f>
        <v/>
      </c>
      <c r="O1759" s="6" t="str">
        <f>IFERROR(INDEX(Players[New name],MATCH(GameLog[[#This Row],[Player]],Players[Name],0)),GameLog[[#This Row],[Player]])</f>
        <v>Hollice M</v>
      </c>
    </row>
    <row r="1760" spans="1:15" x14ac:dyDescent="0.45">
      <c r="A1760" s="6" t="s">
        <v>113</v>
      </c>
      <c r="B1760" s="6" t="s">
        <v>53</v>
      </c>
      <c r="C1760" s="6">
        <v>3</v>
      </c>
      <c r="D1760" s="6">
        <v>6</v>
      </c>
      <c r="E1760" s="6">
        <v>2</v>
      </c>
      <c r="F1760" s="10">
        <v>46202</v>
      </c>
      <c r="G1760" s="6" t="str">
        <f>_xlfn.TEXTJOIN("|",TRUE,GameLog[[#This Row],[Pod]],TEXT(INT(GameLog[[#This Row],[Round]]),"yyyymmdd"),GameLog[[#This Row],[Date]])</f>
        <v>6|19000102|46202</v>
      </c>
      <c r="H1760" s="6">
        <f>COUNTIF(GameLog[Pod ID],GameLog[[#This Row],[Pod ID]])</f>
        <v>3</v>
      </c>
      <c r="I1760" s="6">
        <f>YEAR(GameLog[[#This Row],[Date]])</f>
        <v>2026</v>
      </c>
      <c r="J1760" s="6">
        <f>MONTH(GameLog[[#This Row],[Date]])</f>
        <v>6</v>
      </c>
      <c r="K1760" s="6" t="str">
        <f>IF(GameLog[[#This Row],[Date]]=MAX(GameLog[Date]),"Current","Previous")</f>
        <v>Previous</v>
      </c>
      <c r="L1760" s="6"/>
      <c r="M17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0" s="6" t="str">
        <f ca="1">IF(GameLog[[#This Row],[Check]]="","",COUNTIF(GameLog[[#Headers],[Check]]:GameLog[[#This Row],[Check]],"?*")-1)</f>
        <v/>
      </c>
      <c r="O1760" s="6" t="str">
        <f>IFERROR(INDEX(Players[New name],MATCH(GameLog[[#This Row],[Player]],Players[Name],0)),GameLog[[#This Row],[Player]])</f>
        <v>Gavin J</v>
      </c>
    </row>
    <row r="1761" spans="1:15" x14ac:dyDescent="0.45">
      <c r="A1761" s="6" t="s">
        <v>78</v>
      </c>
      <c r="B1761" s="6" t="s">
        <v>50</v>
      </c>
      <c r="C1761" s="6">
        <v>1</v>
      </c>
      <c r="D1761" s="6">
        <v>1</v>
      </c>
      <c r="E1761" s="6">
        <v>1</v>
      </c>
      <c r="F1761" s="10">
        <v>46209</v>
      </c>
      <c r="G1761" s="6" t="str">
        <f>_xlfn.TEXTJOIN("|",TRUE,GameLog[[#This Row],[Pod]],TEXT(INT(GameLog[[#This Row],[Round]]),"yyyymmdd"),GameLog[[#This Row],[Date]])</f>
        <v>1|19000101|46209</v>
      </c>
      <c r="H1761" s="6">
        <f>COUNTIF(GameLog[Pod ID],GameLog[[#This Row],[Pod ID]])</f>
        <v>4</v>
      </c>
      <c r="I1761" s="6">
        <f>YEAR(GameLog[[#This Row],[Date]])</f>
        <v>2026</v>
      </c>
      <c r="J1761" s="6">
        <f>MONTH(GameLog[[#This Row],[Date]])</f>
        <v>7</v>
      </c>
      <c r="K1761" s="6" t="str">
        <f>IF(GameLog[[#This Row],[Date]]=MAX(GameLog[Date]),"Current","Previous")</f>
        <v>Previous</v>
      </c>
      <c r="L1761" s="6"/>
      <c r="M17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1" s="6" t="str">
        <f ca="1">IF(GameLog[[#This Row],[Check]]="","",COUNTIF(GameLog[[#Headers],[Check]]:GameLog[[#This Row],[Check]],"?*")-1)</f>
        <v/>
      </c>
      <c r="O1761" s="6" t="str">
        <f>IFERROR(INDEX(Players[New name],MATCH(GameLog[[#This Row],[Player]],Players[Name],0)),GameLog[[#This Row],[Player]])</f>
        <v>Justin M</v>
      </c>
    </row>
    <row r="1762" spans="1:15" x14ac:dyDescent="0.45">
      <c r="A1762" s="6" t="s">
        <v>76</v>
      </c>
      <c r="B1762" s="6" t="s">
        <v>53</v>
      </c>
      <c r="C1762" s="6">
        <v>2</v>
      </c>
      <c r="D1762" s="6">
        <v>1</v>
      </c>
      <c r="E1762" s="6">
        <v>1</v>
      </c>
      <c r="F1762" s="10">
        <v>46209</v>
      </c>
      <c r="G1762" s="6" t="str">
        <f>_xlfn.TEXTJOIN("|",TRUE,GameLog[[#This Row],[Pod]],TEXT(INT(GameLog[[#This Row],[Round]]),"yyyymmdd"),GameLog[[#This Row],[Date]])</f>
        <v>1|19000101|46209</v>
      </c>
      <c r="H1762" s="6">
        <f>COUNTIF(GameLog[Pod ID],GameLog[[#This Row],[Pod ID]])</f>
        <v>4</v>
      </c>
      <c r="I1762" s="6">
        <f>YEAR(GameLog[[#This Row],[Date]])</f>
        <v>2026</v>
      </c>
      <c r="J1762" s="6">
        <f>MONTH(GameLog[[#This Row],[Date]])</f>
        <v>7</v>
      </c>
      <c r="K1762" s="6" t="str">
        <f>IF(GameLog[[#This Row],[Date]]=MAX(GameLog[Date]),"Current","Previous")</f>
        <v>Previous</v>
      </c>
      <c r="L1762" s="6"/>
      <c r="M17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2" s="6" t="str">
        <f ca="1">IF(GameLog[[#This Row],[Check]]="","",COUNTIF(GameLog[[#Headers],[Check]]:GameLog[[#This Row],[Check]],"?*")-1)</f>
        <v/>
      </c>
      <c r="O1762" s="6" t="str">
        <f>IFERROR(INDEX(Players[New name],MATCH(GameLog[[#This Row],[Player]],Players[Name],0)),GameLog[[#This Row],[Player]])</f>
        <v>Jon M</v>
      </c>
    </row>
    <row r="1763" spans="1:15" x14ac:dyDescent="0.45">
      <c r="A1763" s="6" t="s">
        <v>96</v>
      </c>
      <c r="B1763" s="6" t="s">
        <v>53</v>
      </c>
      <c r="C1763" s="6">
        <v>3</v>
      </c>
      <c r="D1763" s="6">
        <v>1</v>
      </c>
      <c r="E1763" s="6">
        <v>1</v>
      </c>
      <c r="F1763" s="10">
        <v>46209</v>
      </c>
      <c r="G1763" s="6" t="str">
        <f>_xlfn.TEXTJOIN("|",TRUE,GameLog[[#This Row],[Pod]],TEXT(INT(GameLog[[#This Row],[Round]]),"yyyymmdd"),GameLog[[#This Row],[Date]])</f>
        <v>1|19000101|46209</v>
      </c>
      <c r="H1763" s="6">
        <f>COUNTIF(GameLog[Pod ID],GameLog[[#This Row],[Pod ID]])</f>
        <v>4</v>
      </c>
      <c r="I1763" s="6">
        <f>YEAR(GameLog[[#This Row],[Date]])</f>
        <v>2026</v>
      </c>
      <c r="J1763" s="6">
        <f>MONTH(GameLog[[#This Row],[Date]])</f>
        <v>7</v>
      </c>
      <c r="K1763" s="6" t="str">
        <f>IF(GameLog[[#This Row],[Date]]=MAX(GameLog[Date]),"Current","Previous")</f>
        <v>Previous</v>
      </c>
      <c r="L1763" s="6"/>
      <c r="M17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3" s="6" t="str">
        <f ca="1">IF(GameLog[[#This Row],[Check]]="","",COUNTIF(GameLog[[#Headers],[Check]]:GameLog[[#This Row],[Check]],"?*")-1)</f>
        <v/>
      </c>
      <c r="O1763" s="6" t="str">
        <f>IFERROR(INDEX(Players[New name],MATCH(GameLog[[#This Row],[Player]],Players[Name],0)),GameLog[[#This Row],[Player]])</f>
        <v>Brandon A</v>
      </c>
    </row>
    <row r="1764" spans="1:15" x14ac:dyDescent="0.45">
      <c r="A1764" s="6" t="s">
        <v>104</v>
      </c>
      <c r="B1764" s="6" t="s">
        <v>53</v>
      </c>
      <c r="C1764" s="6">
        <v>4</v>
      </c>
      <c r="D1764" s="6">
        <v>1</v>
      </c>
      <c r="E1764" s="6">
        <v>1</v>
      </c>
      <c r="F1764" s="10">
        <v>46209</v>
      </c>
      <c r="G1764" s="6" t="str">
        <f>_xlfn.TEXTJOIN("|",TRUE,GameLog[[#This Row],[Pod]],TEXT(INT(GameLog[[#This Row],[Round]]),"yyyymmdd"),GameLog[[#This Row],[Date]])</f>
        <v>1|19000101|46209</v>
      </c>
      <c r="H1764" s="6">
        <f>COUNTIF(GameLog[Pod ID],GameLog[[#This Row],[Pod ID]])</f>
        <v>4</v>
      </c>
      <c r="I1764" s="6">
        <f>YEAR(GameLog[[#This Row],[Date]])</f>
        <v>2026</v>
      </c>
      <c r="J1764" s="6">
        <f>MONTH(GameLog[[#This Row],[Date]])</f>
        <v>7</v>
      </c>
      <c r="K1764" s="6" t="str">
        <f>IF(GameLog[[#This Row],[Date]]=MAX(GameLog[Date]),"Current","Previous")</f>
        <v>Previous</v>
      </c>
      <c r="L1764" s="6"/>
      <c r="M17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4" s="6" t="str">
        <f ca="1">IF(GameLog[[#This Row],[Check]]="","",COUNTIF(GameLog[[#Headers],[Check]]:GameLog[[#This Row],[Check]],"?*")-1)</f>
        <v/>
      </c>
      <c r="O1764" s="6" t="str">
        <f>IFERROR(INDEX(Players[New name],MATCH(GameLog[[#This Row],[Player]],Players[Name],0)),GameLog[[#This Row],[Player]])</f>
        <v>Eric E</v>
      </c>
    </row>
    <row r="1765" spans="1:15" x14ac:dyDescent="0.45">
      <c r="A1765" s="6" t="s">
        <v>70</v>
      </c>
      <c r="B1765" s="6" t="s">
        <v>53</v>
      </c>
      <c r="C1765" s="6">
        <v>1</v>
      </c>
      <c r="D1765" s="6">
        <v>2</v>
      </c>
      <c r="E1765" s="6">
        <v>1</v>
      </c>
      <c r="F1765" s="10">
        <v>46209</v>
      </c>
      <c r="G1765" s="6" t="str">
        <f>_xlfn.TEXTJOIN("|",TRUE,GameLog[[#This Row],[Pod]],TEXT(INT(GameLog[[#This Row],[Round]]),"yyyymmdd"),GameLog[[#This Row],[Date]])</f>
        <v>2|19000101|46209</v>
      </c>
      <c r="H1765" s="6">
        <f>COUNTIF(GameLog[Pod ID],GameLog[[#This Row],[Pod ID]])</f>
        <v>4</v>
      </c>
      <c r="I1765" s="6">
        <f>YEAR(GameLog[[#This Row],[Date]])</f>
        <v>2026</v>
      </c>
      <c r="J1765" s="6">
        <f>MONTH(GameLog[[#This Row],[Date]])</f>
        <v>7</v>
      </c>
      <c r="K1765" s="6" t="str">
        <f>IF(GameLog[[#This Row],[Date]]=MAX(GameLog[Date]),"Current","Previous")</f>
        <v>Previous</v>
      </c>
      <c r="L1765" s="6"/>
      <c r="M17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5" s="6" t="str">
        <f ca="1">IF(GameLog[[#This Row],[Check]]="","",COUNTIF(GameLog[[#Headers],[Check]]:GameLog[[#This Row],[Check]],"?*")-1)</f>
        <v/>
      </c>
      <c r="O1765" s="6" t="str">
        <f>IFERROR(INDEX(Players[New name],MATCH(GameLog[[#This Row],[Player]],Players[Name],0)),GameLog[[#This Row],[Player]])</f>
        <v>Brad F</v>
      </c>
    </row>
    <row r="1766" spans="1:15" x14ac:dyDescent="0.45">
      <c r="A1766" s="6" t="s">
        <v>64</v>
      </c>
      <c r="B1766" s="6" t="s">
        <v>53</v>
      </c>
      <c r="C1766" s="6">
        <v>2</v>
      </c>
      <c r="D1766" s="6">
        <v>2</v>
      </c>
      <c r="E1766" s="6">
        <v>1</v>
      </c>
      <c r="F1766" s="10">
        <v>46209</v>
      </c>
      <c r="G1766" s="6" t="str">
        <f>_xlfn.TEXTJOIN("|",TRUE,GameLog[[#This Row],[Pod]],TEXT(INT(GameLog[[#This Row],[Round]]),"yyyymmdd"),GameLog[[#This Row],[Date]])</f>
        <v>2|19000101|46209</v>
      </c>
      <c r="H1766" s="6">
        <f>COUNTIF(GameLog[Pod ID],GameLog[[#This Row],[Pod ID]])</f>
        <v>4</v>
      </c>
      <c r="I1766" s="6">
        <f>YEAR(GameLog[[#This Row],[Date]])</f>
        <v>2026</v>
      </c>
      <c r="J1766" s="6">
        <f>MONTH(GameLog[[#This Row],[Date]])</f>
        <v>7</v>
      </c>
      <c r="K1766" s="6" t="str">
        <f>IF(GameLog[[#This Row],[Date]]=MAX(GameLog[Date]),"Current","Previous")</f>
        <v>Previous</v>
      </c>
      <c r="L1766" s="6"/>
      <c r="M17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6" s="6" t="str">
        <f ca="1">IF(GameLog[[#This Row],[Check]]="","",COUNTIF(GameLog[[#Headers],[Check]]:GameLog[[#This Row],[Check]],"?*")-1)</f>
        <v/>
      </c>
      <c r="O1766" s="6" t="str">
        <f>IFERROR(INDEX(Players[New name],MATCH(GameLog[[#This Row],[Player]],Players[Name],0)),GameLog[[#This Row],[Player]])</f>
        <v>Tyler B</v>
      </c>
    </row>
    <row r="1767" spans="1:15" x14ac:dyDescent="0.45">
      <c r="A1767" s="6" t="s">
        <v>59</v>
      </c>
      <c r="B1767" s="6" t="s">
        <v>50</v>
      </c>
      <c r="C1767" s="6">
        <v>3</v>
      </c>
      <c r="D1767" s="6">
        <v>2</v>
      </c>
      <c r="E1767" s="6">
        <v>1</v>
      </c>
      <c r="F1767" s="10">
        <v>46209</v>
      </c>
      <c r="G1767" s="6" t="str">
        <f>_xlfn.TEXTJOIN("|",TRUE,GameLog[[#This Row],[Pod]],TEXT(INT(GameLog[[#This Row],[Round]]),"yyyymmdd"),GameLog[[#This Row],[Date]])</f>
        <v>2|19000101|46209</v>
      </c>
      <c r="H1767" s="6">
        <f>COUNTIF(GameLog[Pod ID],GameLog[[#This Row],[Pod ID]])</f>
        <v>4</v>
      </c>
      <c r="I1767" s="6">
        <f>YEAR(GameLog[[#This Row],[Date]])</f>
        <v>2026</v>
      </c>
      <c r="J1767" s="6">
        <f>MONTH(GameLog[[#This Row],[Date]])</f>
        <v>7</v>
      </c>
      <c r="K1767" s="6" t="str">
        <f>IF(GameLog[[#This Row],[Date]]=MAX(GameLog[Date]),"Current","Previous")</f>
        <v>Previous</v>
      </c>
      <c r="L1767" s="6"/>
      <c r="M17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7" s="6" t="str">
        <f ca="1">IF(GameLog[[#This Row],[Check]]="","",COUNTIF(GameLog[[#Headers],[Check]]:GameLog[[#This Row],[Check]],"?*")-1)</f>
        <v/>
      </c>
      <c r="O1767" s="6" t="str">
        <f>IFERROR(INDEX(Players[New name],MATCH(GameLog[[#This Row],[Player]],Players[Name],0)),GameLog[[#This Row],[Player]])</f>
        <v>Zack B</v>
      </c>
    </row>
    <row r="1768" spans="1:15" x14ac:dyDescent="0.45">
      <c r="A1768" s="6" t="s">
        <v>55</v>
      </c>
      <c r="B1768" s="6" t="s">
        <v>53</v>
      </c>
      <c r="C1768" s="6">
        <v>4</v>
      </c>
      <c r="D1768" s="6">
        <v>2</v>
      </c>
      <c r="E1768" s="6">
        <v>1</v>
      </c>
      <c r="F1768" s="10">
        <v>46209</v>
      </c>
      <c r="G1768" s="6" t="str">
        <f>_xlfn.TEXTJOIN("|",TRUE,GameLog[[#This Row],[Pod]],TEXT(INT(GameLog[[#This Row],[Round]]),"yyyymmdd"),GameLog[[#This Row],[Date]])</f>
        <v>2|19000101|46209</v>
      </c>
      <c r="H1768" s="6">
        <f>COUNTIF(GameLog[Pod ID],GameLog[[#This Row],[Pod ID]])</f>
        <v>4</v>
      </c>
      <c r="I1768" s="6">
        <f>YEAR(GameLog[[#This Row],[Date]])</f>
        <v>2026</v>
      </c>
      <c r="J1768" s="6">
        <f>MONTH(GameLog[[#This Row],[Date]])</f>
        <v>7</v>
      </c>
      <c r="K1768" s="6" t="str">
        <f>IF(GameLog[[#This Row],[Date]]=MAX(GameLog[Date]),"Current","Previous")</f>
        <v>Previous</v>
      </c>
      <c r="L1768" s="6"/>
      <c r="M17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8" s="6" t="str">
        <f ca="1">IF(GameLog[[#This Row],[Check]]="","",COUNTIF(GameLog[[#Headers],[Check]]:GameLog[[#This Row],[Check]],"?*")-1)</f>
        <v/>
      </c>
      <c r="O1768" s="6" t="str">
        <f>IFERROR(INDEX(Players[New name],MATCH(GameLog[[#This Row],[Player]],Players[Name],0)),GameLog[[#This Row],[Player]])</f>
        <v>Bryce C</v>
      </c>
    </row>
    <row r="1769" spans="1:15" x14ac:dyDescent="0.45">
      <c r="A1769" s="6" t="s">
        <v>119</v>
      </c>
      <c r="B1769" s="6" t="s">
        <v>53</v>
      </c>
      <c r="C1769" s="6">
        <v>1</v>
      </c>
      <c r="D1769" s="6">
        <v>3</v>
      </c>
      <c r="E1769" s="6">
        <v>1</v>
      </c>
      <c r="F1769" s="10">
        <v>46209</v>
      </c>
      <c r="G1769" s="6" t="str">
        <f>_xlfn.TEXTJOIN("|",TRUE,GameLog[[#This Row],[Pod]],TEXT(INT(GameLog[[#This Row],[Round]]),"yyyymmdd"),GameLog[[#This Row],[Date]])</f>
        <v>3|19000101|46209</v>
      </c>
      <c r="H1769" s="6">
        <f>COUNTIF(GameLog[Pod ID],GameLog[[#This Row],[Pod ID]])</f>
        <v>4</v>
      </c>
      <c r="I1769" s="6">
        <f>YEAR(GameLog[[#This Row],[Date]])</f>
        <v>2026</v>
      </c>
      <c r="J1769" s="6">
        <f>MONTH(GameLog[[#This Row],[Date]])</f>
        <v>7</v>
      </c>
      <c r="K1769" s="6" t="str">
        <f>IF(GameLog[[#This Row],[Date]]=MAX(GameLog[Date]),"Current","Previous")</f>
        <v>Previous</v>
      </c>
      <c r="L1769" s="6"/>
      <c r="M17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69" s="6" t="str">
        <f ca="1">IF(GameLog[[#This Row],[Check]]="","",COUNTIF(GameLog[[#Headers],[Check]]:GameLog[[#This Row],[Check]],"?*")-1)</f>
        <v/>
      </c>
      <c r="O1769" s="6" t="str">
        <f>IFERROR(INDEX(Players[New name],MATCH(GameLog[[#This Row],[Player]],Players[Name],0)),GameLog[[#This Row],[Player]])</f>
        <v>Cristian S</v>
      </c>
    </row>
    <row r="1770" spans="1:15" x14ac:dyDescent="0.45">
      <c r="A1770" s="6" t="s">
        <v>109</v>
      </c>
      <c r="B1770" s="6" t="s">
        <v>53</v>
      </c>
      <c r="C1770" s="6">
        <v>2</v>
      </c>
      <c r="D1770" s="6">
        <v>3</v>
      </c>
      <c r="E1770" s="6">
        <v>1</v>
      </c>
      <c r="F1770" s="10">
        <v>46209</v>
      </c>
      <c r="G1770" s="6" t="str">
        <f>_xlfn.TEXTJOIN("|",TRUE,GameLog[[#This Row],[Pod]],TEXT(INT(GameLog[[#This Row],[Round]]),"yyyymmdd"),GameLog[[#This Row],[Date]])</f>
        <v>3|19000101|46209</v>
      </c>
      <c r="H1770" s="6">
        <f>COUNTIF(GameLog[Pod ID],GameLog[[#This Row],[Pod ID]])</f>
        <v>4</v>
      </c>
      <c r="I1770" s="6">
        <f>YEAR(GameLog[[#This Row],[Date]])</f>
        <v>2026</v>
      </c>
      <c r="J1770" s="6">
        <f>MONTH(GameLog[[#This Row],[Date]])</f>
        <v>7</v>
      </c>
      <c r="K1770" s="6" t="str">
        <f>IF(GameLog[[#This Row],[Date]]=MAX(GameLog[Date]),"Current","Previous")</f>
        <v>Previous</v>
      </c>
      <c r="L1770" s="6"/>
      <c r="M17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0" s="6" t="str">
        <f ca="1">IF(GameLog[[#This Row],[Check]]="","",COUNTIF(GameLog[[#Headers],[Check]]:GameLog[[#This Row],[Check]],"?*")-1)</f>
        <v/>
      </c>
      <c r="O1770" s="6" t="str">
        <f>IFERROR(INDEX(Players[New name],MATCH(GameLog[[#This Row],[Player]],Players[Name],0)),GameLog[[#This Row],[Player]])</f>
        <v>Taylor C</v>
      </c>
    </row>
    <row r="1771" spans="1:15" x14ac:dyDescent="0.45">
      <c r="A1771" s="6" t="s">
        <v>73</v>
      </c>
      <c r="B1771" s="6" t="s">
        <v>50</v>
      </c>
      <c r="C1771" s="6">
        <v>3</v>
      </c>
      <c r="D1771" s="6">
        <v>3</v>
      </c>
      <c r="E1771" s="6">
        <v>1</v>
      </c>
      <c r="F1771" s="10">
        <v>46209</v>
      </c>
      <c r="G1771" s="6" t="str">
        <f>_xlfn.TEXTJOIN("|",TRUE,GameLog[[#This Row],[Pod]],TEXT(INT(GameLog[[#This Row],[Round]]),"yyyymmdd"),GameLog[[#This Row],[Date]])</f>
        <v>3|19000101|46209</v>
      </c>
      <c r="H1771" s="6">
        <f>COUNTIF(GameLog[Pod ID],GameLog[[#This Row],[Pod ID]])</f>
        <v>4</v>
      </c>
      <c r="I1771" s="6">
        <f>YEAR(GameLog[[#This Row],[Date]])</f>
        <v>2026</v>
      </c>
      <c r="J1771" s="6">
        <f>MONTH(GameLog[[#This Row],[Date]])</f>
        <v>7</v>
      </c>
      <c r="K1771" s="6" t="str">
        <f>IF(GameLog[[#This Row],[Date]]=MAX(GameLog[Date]),"Current","Previous")</f>
        <v>Previous</v>
      </c>
      <c r="L1771" s="6"/>
      <c r="M17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1" s="6" t="str">
        <f ca="1">IF(GameLog[[#This Row],[Check]]="","",COUNTIF(GameLog[[#Headers],[Check]]:GameLog[[#This Row],[Check]],"?*")-1)</f>
        <v/>
      </c>
      <c r="O1771" s="6" t="str">
        <f>IFERROR(INDEX(Players[New name],MATCH(GameLog[[#This Row],[Player]],Players[Name],0)),GameLog[[#This Row],[Player]])</f>
        <v>Brandon B</v>
      </c>
    </row>
    <row r="1772" spans="1:15" x14ac:dyDescent="0.45">
      <c r="A1772" s="6" t="s">
        <v>57</v>
      </c>
      <c r="B1772" s="6" t="s">
        <v>53</v>
      </c>
      <c r="C1772" s="6">
        <v>4</v>
      </c>
      <c r="D1772" s="6">
        <v>3</v>
      </c>
      <c r="E1772" s="6">
        <v>1</v>
      </c>
      <c r="F1772" s="10">
        <v>46209</v>
      </c>
      <c r="G1772" s="6" t="str">
        <f>_xlfn.TEXTJOIN("|",TRUE,GameLog[[#This Row],[Pod]],TEXT(INT(GameLog[[#This Row],[Round]]),"yyyymmdd"),GameLog[[#This Row],[Date]])</f>
        <v>3|19000101|46209</v>
      </c>
      <c r="H1772" s="6">
        <f>COUNTIF(GameLog[Pod ID],GameLog[[#This Row],[Pod ID]])</f>
        <v>4</v>
      </c>
      <c r="I1772" s="6">
        <f>YEAR(GameLog[[#This Row],[Date]])</f>
        <v>2026</v>
      </c>
      <c r="J1772" s="6">
        <f>MONTH(GameLog[[#This Row],[Date]])</f>
        <v>7</v>
      </c>
      <c r="K1772" s="6" t="str">
        <f>IF(GameLog[[#This Row],[Date]]=MAX(GameLog[Date]),"Current","Previous")</f>
        <v>Previous</v>
      </c>
      <c r="L1772" s="6"/>
      <c r="M17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2" s="6" t="str">
        <f ca="1">IF(GameLog[[#This Row],[Check]]="","",COUNTIF(GameLog[[#Headers],[Check]]:GameLog[[#This Row],[Check]],"?*")-1)</f>
        <v/>
      </c>
      <c r="O1772" s="6" t="str">
        <f>IFERROR(INDEX(Players[New name],MATCH(GameLog[[#This Row],[Player]],Players[Name],0)),GameLog[[#This Row],[Player]])</f>
        <v>AJ W</v>
      </c>
    </row>
    <row r="1773" spans="1:15" x14ac:dyDescent="0.45">
      <c r="A1773" s="6" t="s">
        <v>74</v>
      </c>
      <c r="B1773" s="6" t="s">
        <v>53</v>
      </c>
      <c r="C1773" s="6">
        <v>1</v>
      </c>
      <c r="D1773" s="6">
        <v>4</v>
      </c>
      <c r="E1773" s="6">
        <v>1</v>
      </c>
      <c r="F1773" s="10">
        <v>46209</v>
      </c>
      <c r="G1773" s="6" t="str">
        <f>_xlfn.TEXTJOIN("|",TRUE,GameLog[[#This Row],[Pod]],TEXT(INT(GameLog[[#This Row],[Round]]),"yyyymmdd"),GameLog[[#This Row],[Date]])</f>
        <v>4|19000101|46209</v>
      </c>
      <c r="H1773" s="6">
        <f>COUNTIF(GameLog[Pod ID],GameLog[[#This Row],[Pod ID]])</f>
        <v>4</v>
      </c>
      <c r="I1773" s="6">
        <f>YEAR(GameLog[[#This Row],[Date]])</f>
        <v>2026</v>
      </c>
      <c r="J1773" s="6">
        <f>MONTH(GameLog[[#This Row],[Date]])</f>
        <v>7</v>
      </c>
      <c r="K1773" s="6" t="str">
        <f>IF(GameLog[[#This Row],[Date]]=MAX(GameLog[Date]),"Current","Previous")</f>
        <v>Previous</v>
      </c>
      <c r="L1773" s="6"/>
      <c r="M17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3" s="6" t="str">
        <f ca="1">IF(GameLog[[#This Row],[Check]]="","",COUNTIF(GameLog[[#Headers],[Check]]:GameLog[[#This Row],[Check]],"?*")-1)</f>
        <v/>
      </c>
      <c r="O1773" s="6" t="str">
        <f>IFERROR(INDEX(Players[New name],MATCH(GameLog[[#This Row],[Player]],Players[Name],0)),GameLog[[#This Row],[Player]])</f>
        <v>Jarrod O</v>
      </c>
    </row>
    <row r="1774" spans="1:15" x14ac:dyDescent="0.45">
      <c r="A1774" s="6" t="s">
        <v>68</v>
      </c>
      <c r="B1774" s="6" t="s">
        <v>50</v>
      </c>
      <c r="C1774" s="6">
        <v>2</v>
      </c>
      <c r="D1774" s="6">
        <v>4</v>
      </c>
      <c r="E1774" s="6">
        <v>1</v>
      </c>
      <c r="F1774" s="10">
        <v>46209</v>
      </c>
      <c r="G1774" s="6" t="str">
        <f>_xlfn.TEXTJOIN("|",TRUE,GameLog[[#This Row],[Pod]],TEXT(INT(GameLog[[#This Row],[Round]]),"yyyymmdd"),GameLog[[#This Row],[Date]])</f>
        <v>4|19000101|46209</v>
      </c>
      <c r="H1774" s="6">
        <f>COUNTIF(GameLog[Pod ID],GameLog[[#This Row],[Pod ID]])</f>
        <v>4</v>
      </c>
      <c r="I1774" s="6">
        <f>YEAR(GameLog[[#This Row],[Date]])</f>
        <v>2026</v>
      </c>
      <c r="J1774" s="6">
        <f>MONTH(GameLog[[#This Row],[Date]])</f>
        <v>7</v>
      </c>
      <c r="K1774" s="6" t="str">
        <f>IF(GameLog[[#This Row],[Date]]=MAX(GameLog[Date]),"Current","Previous")</f>
        <v>Previous</v>
      </c>
      <c r="L1774" s="6"/>
      <c r="M17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4" s="6" t="str">
        <f ca="1">IF(GameLog[[#This Row],[Check]]="","",COUNTIF(GameLog[[#Headers],[Check]]:GameLog[[#This Row],[Check]],"?*")-1)</f>
        <v/>
      </c>
      <c r="O1774" s="6" t="str">
        <f>IFERROR(INDEX(Players[New name],MATCH(GameLog[[#This Row],[Player]],Players[Name],0)),GameLog[[#This Row],[Player]])</f>
        <v>Edwin M</v>
      </c>
    </row>
    <row r="1775" spans="1:15" x14ac:dyDescent="0.45">
      <c r="A1775" s="6" t="s">
        <v>112</v>
      </c>
      <c r="B1775" s="6" t="s">
        <v>53</v>
      </c>
      <c r="C1775" s="6">
        <v>3</v>
      </c>
      <c r="D1775" s="6">
        <v>4</v>
      </c>
      <c r="E1775" s="6">
        <v>1</v>
      </c>
      <c r="F1775" s="10">
        <v>46209</v>
      </c>
      <c r="G1775" s="6" t="str">
        <f>_xlfn.TEXTJOIN("|",TRUE,GameLog[[#This Row],[Pod]],TEXT(INT(GameLog[[#This Row],[Round]]),"yyyymmdd"),GameLog[[#This Row],[Date]])</f>
        <v>4|19000101|46209</v>
      </c>
      <c r="H1775" s="6">
        <f>COUNTIF(GameLog[Pod ID],GameLog[[#This Row],[Pod ID]])</f>
        <v>4</v>
      </c>
      <c r="I1775" s="6">
        <f>YEAR(GameLog[[#This Row],[Date]])</f>
        <v>2026</v>
      </c>
      <c r="J1775" s="6">
        <f>MONTH(GameLog[[#This Row],[Date]])</f>
        <v>7</v>
      </c>
      <c r="K1775" s="6" t="str">
        <f>IF(GameLog[[#This Row],[Date]]=MAX(GameLog[Date]),"Current","Previous")</f>
        <v>Previous</v>
      </c>
      <c r="L1775" s="6"/>
      <c r="M17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5" s="6" t="str">
        <f ca="1">IF(GameLog[[#This Row],[Check]]="","",COUNTIF(GameLog[[#Headers],[Check]]:GameLog[[#This Row],[Check]],"?*")-1)</f>
        <v/>
      </c>
      <c r="O1775" s="6" t="str">
        <f>IFERROR(INDEX(Players[New name],MATCH(GameLog[[#This Row],[Player]],Players[Name],0)),GameLog[[#This Row],[Player]])</f>
        <v>Savi</v>
      </c>
    </row>
    <row r="1776" spans="1:15" x14ac:dyDescent="0.45">
      <c r="A1776" s="6" t="s">
        <v>116</v>
      </c>
      <c r="B1776" s="6" t="s">
        <v>53</v>
      </c>
      <c r="C1776" s="6">
        <v>4</v>
      </c>
      <c r="D1776" s="6">
        <v>4</v>
      </c>
      <c r="E1776" s="6">
        <v>1</v>
      </c>
      <c r="F1776" s="10">
        <v>46209</v>
      </c>
      <c r="G1776" s="6" t="str">
        <f>_xlfn.TEXTJOIN("|",TRUE,GameLog[[#This Row],[Pod]],TEXT(INT(GameLog[[#This Row],[Round]]),"yyyymmdd"),GameLog[[#This Row],[Date]])</f>
        <v>4|19000101|46209</v>
      </c>
      <c r="H1776" s="6">
        <f>COUNTIF(GameLog[Pod ID],GameLog[[#This Row],[Pod ID]])</f>
        <v>4</v>
      </c>
      <c r="I1776" s="6">
        <f>YEAR(GameLog[[#This Row],[Date]])</f>
        <v>2026</v>
      </c>
      <c r="J1776" s="6">
        <f>MONTH(GameLog[[#This Row],[Date]])</f>
        <v>7</v>
      </c>
      <c r="K1776" s="6" t="str">
        <f>IF(GameLog[[#This Row],[Date]]=MAX(GameLog[Date]),"Current","Previous")</f>
        <v>Previous</v>
      </c>
      <c r="L1776" s="6"/>
      <c r="M17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6" s="6" t="str">
        <f ca="1">IF(GameLog[[#This Row],[Check]]="","",COUNTIF(GameLog[[#Headers],[Check]]:GameLog[[#This Row],[Check]],"?*")-1)</f>
        <v/>
      </c>
      <c r="O1776" s="6" t="str">
        <f>IFERROR(INDEX(Players[New name],MATCH(GameLog[[#This Row],[Player]],Players[Name],0)),GameLog[[#This Row],[Player]])</f>
        <v>Matthew W</v>
      </c>
    </row>
    <row r="1777" spans="1:15" x14ac:dyDescent="0.45">
      <c r="A1777" s="6" t="s">
        <v>72</v>
      </c>
      <c r="B1777" s="6" t="s">
        <v>53</v>
      </c>
      <c r="C1777" s="6">
        <v>1</v>
      </c>
      <c r="D1777" s="6">
        <v>5</v>
      </c>
      <c r="E1777" s="6">
        <v>1</v>
      </c>
      <c r="F1777" s="10">
        <v>46209</v>
      </c>
      <c r="G1777" s="6" t="str">
        <f>_xlfn.TEXTJOIN("|",TRUE,GameLog[[#This Row],[Pod]],TEXT(INT(GameLog[[#This Row],[Round]]),"yyyymmdd"),GameLog[[#This Row],[Date]])</f>
        <v>5|19000101|46209</v>
      </c>
      <c r="H1777" s="6">
        <f>COUNTIF(GameLog[Pod ID],GameLog[[#This Row],[Pod ID]])</f>
        <v>3</v>
      </c>
      <c r="I1777" s="6">
        <f>YEAR(GameLog[[#This Row],[Date]])</f>
        <v>2026</v>
      </c>
      <c r="J1777" s="6">
        <f>MONTH(GameLog[[#This Row],[Date]])</f>
        <v>7</v>
      </c>
      <c r="K1777" s="6" t="str">
        <f>IF(GameLog[[#This Row],[Date]]=MAX(GameLog[Date]),"Current","Previous")</f>
        <v>Previous</v>
      </c>
      <c r="L1777" s="6"/>
      <c r="M17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7" s="6" t="str">
        <f ca="1">IF(GameLog[[#This Row],[Check]]="","",COUNTIF(GameLog[[#Headers],[Check]]:GameLog[[#This Row],[Check]],"?*")-1)</f>
        <v/>
      </c>
      <c r="O1777" s="6" t="str">
        <f>IFERROR(INDEX(Players[New name],MATCH(GameLog[[#This Row],[Player]],Players[Name],0)),GameLog[[#This Row],[Player]])</f>
        <v>Ben H</v>
      </c>
    </row>
    <row r="1778" spans="1:15" x14ac:dyDescent="0.45">
      <c r="A1778" s="6" t="s">
        <v>58</v>
      </c>
      <c r="B1778" s="6" t="s">
        <v>50</v>
      </c>
      <c r="C1778" s="6">
        <v>2</v>
      </c>
      <c r="D1778" s="6">
        <v>5</v>
      </c>
      <c r="E1778" s="6">
        <v>1</v>
      </c>
      <c r="F1778" s="10">
        <v>46209</v>
      </c>
      <c r="G1778" s="6" t="str">
        <f>_xlfn.TEXTJOIN("|",TRUE,GameLog[[#This Row],[Pod]],TEXT(INT(GameLog[[#This Row],[Round]]),"yyyymmdd"),GameLog[[#This Row],[Date]])</f>
        <v>5|19000101|46209</v>
      </c>
      <c r="H1778" s="6">
        <f>COUNTIF(GameLog[Pod ID],GameLog[[#This Row],[Pod ID]])</f>
        <v>3</v>
      </c>
      <c r="I1778" s="6">
        <f>YEAR(GameLog[[#This Row],[Date]])</f>
        <v>2026</v>
      </c>
      <c r="J1778" s="6">
        <f>MONTH(GameLog[[#This Row],[Date]])</f>
        <v>7</v>
      </c>
      <c r="K1778" s="6" t="str">
        <f>IF(GameLog[[#This Row],[Date]]=MAX(GameLog[Date]),"Current","Previous")</f>
        <v>Previous</v>
      </c>
      <c r="L1778" s="6"/>
      <c r="M17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8" s="6" t="str">
        <f ca="1">IF(GameLog[[#This Row],[Check]]="","",COUNTIF(GameLog[[#Headers],[Check]]:GameLog[[#This Row],[Check]],"?*")-1)</f>
        <v/>
      </c>
      <c r="O1778" s="6" t="str">
        <f>IFERROR(INDEX(Players[New name],MATCH(GameLog[[#This Row],[Player]],Players[Name],0)),GameLog[[#This Row],[Player]])</f>
        <v>Dakota P</v>
      </c>
    </row>
    <row r="1779" spans="1:15" x14ac:dyDescent="0.45">
      <c r="A1779" s="6" t="s">
        <v>63</v>
      </c>
      <c r="B1779" s="6" t="s">
        <v>53</v>
      </c>
      <c r="C1779" s="6">
        <v>3</v>
      </c>
      <c r="D1779" s="6">
        <v>5</v>
      </c>
      <c r="E1779" s="6">
        <v>1</v>
      </c>
      <c r="F1779" s="10">
        <v>46209</v>
      </c>
      <c r="G1779" s="6" t="str">
        <f>_xlfn.TEXTJOIN("|",TRUE,GameLog[[#This Row],[Pod]],TEXT(INT(GameLog[[#This Row],[Round]]),"yyyymmdd"),GameLog[[#This Row],[Date]])</f>
        <v>5|19000101|46209</v>
      </c>
      <c r="H1779" s="6">
        <f>COUNTIF(GameLog[Pod ID],GameLog[[#This Row],[Pod ID]])</f>
        <v>3</v>
      </c>
      <c r="I1779" s="6">
        <f>YEAR(GameLog[[#This Row],[Date]])</f>
        <v>2026</v>
      </c>
      <c r="J1779" s="6">
        <f>MONTH(GameLog[[#This Row],[Date]])</f>
        <v>7</v>
      </c>
      <c r="K1779" s="6" t="str">
        <f>IF(GameLog[[#This Row],[Date]]=MAX(GameLog[Date]),"Current","Previous")</f>
        <v>Previous</v>
      </c>
      <c r="L1779" s="6"/>
      <c r="M17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79" s="6" t="str">
        <f ca="1">IF(GameLog[[#This Row],[Check]]="","",COUNTIF(GameLog[[#Headers],[Check]]:GameLog[[#This Row],[Check]],"?*")-1)</f>
        <v/>
      </c>
      <c r="O1779" s="6" t="str">
        <f>IFERROR(INDEX(Players[New name],MATCH(GameLog[[#This Row],[Player]],Players[Name],0)),GameLog[[#This Row],[Player]])</f>
        <v>Jake D</v>
      </c>
    </row>
    <row r="1780" spans="1:15" x14ac:dyDescent="0.45">
      <c r="A1780" s="6" t="s">
        <v>56</v>
      </c>
      <c r="B1780" s="6" t="s">
        <v>50</v>
      </c>
      <c r="C1780" s="6">
        <v>1</v>
      </c>
      <c r="D1780" s="6">
        <v>6</v>
      </c>
      <c r="E1780" s="6">
        <v>1</v>
      </c>
      <c r="F1780" s="10">
        <v>46209</v>
      </c>
      <c r="G1780" s="6" t="str">
        <f>_xlfn.TEXTJOIN("|",TRUE,GameLog[[#This Row],[Pod]],TEXT(INT(GameLog[[#This Row],[Round]]),"yyyymmdd"),GameLog[[#This Row],[Date]])</f>
        <v>6|19000101|46209</v>
      </c>
      <c r="H1780" s="6">
        <f>COUNTIF(GameLog[Pod ID],GameLog[[#This Row],[Pod ID]])</f>
        <v>4</v>
      </c>
      <c r="I1780" s="6">
        <f>YEAR(GameLog[[#This Row],[Date]])</f>
        <v>2026</v>
      </c>
      <c r="J1780" s="6">
        <f>MONTH(GameLog[[#This Row],[Date]])</f>
        <v>7</v>
      </c>
      <c r="K1780" s="6" t="str">
        <f>IF(GameLog[[#This Row],[Date]]=MAX(GameLog[Date]),"Current","Previous")</f>
        <v>Previous</v>
      </c>
      <c r="L1780" s="6"/>
      <c r="M17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0" s="6" t="str">
        <f ca="1">IF(GameLog[[#This Row],[Check]]="","",COUNTIF(GameLog[[#Headers],[Check]]:GameLog[[#This Row],[Check]],"?*")-1)</f>
        <v/>
      </c>
      <c r="O1780" s="6" t="str">
        <f>IFERROR(INDEX(Players[New name],MATCH(GameLog[[#This Row],[Player]],Players[Name],0)),GameLog[[#This Row],[Player]])</f>
        <v>Mark D</v>
      </c>
    </row>
    <row r="1781" spans="1:15" x14ac:dyDescent="0.45">
      <c r="A1781" s="6" t="s">
        <v>61</v>
      </c>
      <c r="B1781" s="6" t="s">
        <v>53</v>
      </c>
      <c r="C1781" s="6">
        <v>2</v>
      </c>
      <c r="D1781" s="6">
        <v>6</v>
      </c>
      <c r="E1781" s="6">
        <v>1</v>
      </c>
      <c r="F1781" s="10">
        <v>46209</v>
      </c>
      <c r="G1781" s="6" t="str">
        <f>_xlfn.TEXTJOIN("|",TRUE,GameLog[[#This Row],[Pod]],TEXT(INT(GameLog[[#This Row],[Round]]),"yyyymmdd"),GameLog[[#This Row],[Date]])</f>
        <v>6|19000101|46209</v>
      </c>
      <c r="H1781" s="6">
        <f>COUNTIF(GameLog[Pod ID],GameLog[[#This Row],[Pod ID]])</f>
        <v>4</v>
      </c>
      <c r="I1781" s="6">
        <f>YEAR(GameLog[[#This Row],[Date]])</f>
        <v>2026</v>
      </c>
      <c r="J1781" s="6">
        <f>MONTH(GameLog[[#This Row],[Date]])</f>
        <v>7</v>
      </c>
      <c r="K1781" s="6" t="str">
        <f>IF(GameLog[[#This Row],[Date]]=MAX(GameLog[Date]),"Current","Previous")</f>
        <v>Previous</v>
      </c>
      <c r="L1781" s="6"/>
      <c r="M17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1" s="6" t="str">
        <f ca="1">IF(GameLog[[#This Row],[Check]]="","",COUNTIF(GameLog[[#Headers],[Check]]:GameLog[[#This Row],[Check]],"?*")-1)</f>
        <v/>
      </c>
      <c r="O1781" s="6" t="str">
        <f>IFERROR(INDEX(Players[New name],MATCH(GameLog[[#This Row],[Player]],Players[Name],0)),GameLog[[#This Row],[Player]])</f>
        <v>Trevor</v>
      </c>
    </row>
    <row r="1782" spans="1:15" x14ac:dyDescent="0.45">
      <c r="A1782" s="6" t="s">
        <v>113</v>
      </c>
      <c r="B1782" s="6" t="s">
        <v>53</v>
      </c>
      <c r="C1782" s="6">
        <v>3</v>
      </c>
      <c r="D1782" s="6">
        <v>6</v>
      </c>
      <c r="E1782" s="6">
        <v>1</v>
      </c>
      <c r="F1782" s="10">
        <v>46209</v>
      </c>
      <c r="G1782" s="6" t="str">
        <f>_xlfn.TEXTJOIN("|",TRUE,GameLog[[#This Row],[Pod]],TEXT(INT(GameLog[[#This Row],[Round]]),"yyyymmdd"),GameLog[[#This Row],[Date]])</f>
        <v>6|19000101|46209</v>
      </c>
      <c r="H1782" s="6">
        <f>COUNTIF(GameLog[Pod ID],GameLog[[#This Row],[Pod ID]])</f>
        <v>4</v>
      </c>
      <c r="I1782" s="6">
        <f>YEAR(GameLog[[#This Row],[Date]])</f>
        <v>2026</v>
      </c>
      <c r="J1782" s="6">
        <f>MONTH(GameLog[[#This Row],[Date]])</f>
        <v>7</v>
      </c>
      <c r="K1782" s="6" t="str">
        <f>IF(GameLog[[#This Row],[Date]]=MAX(GameLog[Date]),"Current","Previous")</f>
        <v>Previous</v>
      </c>
      <c r="L1782" s="6"/>
      <c r="M17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2" s="6" t="str">
        <f ca="1">IF(GameLog[[#This Row],[Check]]="","",COUNTIF(GameLog[[#Headers],[Check]]:GameLog[[#This Row],[Check]],"?*")-1)</f>
        <v/>
      </c>
      <c r="O1782" s="6" t="str">
        <f>IFERROR(INDEX(Players[New name],MATCH(GameLog[[#This Row],[Player]],Players[Name],0)),GameLog[[#This Row],[Player]])</f>
        <v>Gavin J</v>
      </c>
    </row>
    <row r="1783" spans="1:15" x14ac:dyDescent="0.45">
      <c r="A1783" s="6" t="s">
        <v>110</v>
      </c>
      <c r="B1783" s="6" t="s">
        <v>53</v>
      </c>
      <c r="C1783" s="6">
        <v>4</v>
      </c>
      <c r="D1783" s="6">
        <v>6</v>
      </c>
      <c r="E1783" s="6">
        <v>1</v>
      </c>
      <c r="F1783" s="10">
        <v>46209</v>
      </c>
      <c r="G1783" s="6" t="str">
        <f>_xlfn.TEXTJOIN("|",TRUE,GameLog[[#This Row],[Pod]],TEXT(INT(GameLog[[#This Row],[Round]]),"yyyymmdd"),GameLog[[#This Row],[Date]])</f>
        <v>6|19000101|46209</v>
      </c>
      <c r="H1783" s="6">
        <f>COUNTIF(GameLog[Pod ID],GameLog[[#This Row],[Pod ID]])</f>
        <v>4</v>
      </c>
      <c r="I1783" s="6">
        <f>YEAR(GameLog[[#This Row],[Date]])</f>
        <v>2026</v>
      </c>
      <c r="J1783" s="6">
        <f>MONTH(GameLog[[#This Row],[Date]])</f>
        <v>7</v>
      </c>
      <c r="K1783" s="6" t="str">
        <f>IF(GameLog[[#This Row],[Date]]=MAX(GameLog[Date]),"Current","Previous")</f>
        <v>Previous</v>
      </c>
      <c r="L1783" s="6"/>
      <c r="M17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3" s="6" t="str">
        <f ca="1">IF(GameLog[[#This Row],[Check]]="","",COUNTIF(GameLog[[#Headers],[Check]]:GameLog[[#This Row],[Check]],"?*")-1)</f>
        <v/>
      </c>
      <c r="O1783" s="6" t="str">
        <f>IFERROR(INDEX(Players[New name],MATCH(GameLog[[#This Row],[Player]],Players[Name],0)),GameLog[[#This Row],[Player]])</f>
        <v>Paul B</v>
      </c>
    </row>
    <row r="1784" spans="1:15" x14ac:dyDescent="0.45">
      <c r="A1784" s="6" t="s">
        <v>113</v>
      </c>
      <c r="B1784" s="6" t="s">
        <v>53</v>
      </c>
      <c r="C1784" s="6">
        <v>1</v>
      </c>
      <c r="D1784" s="6">
        <v>1</v>
      </c>
      <c r="E1784" s="6">
        <v>2</v>
      </c>
      <c r="F1784" s="10">
        <v>46209</v>
      </c>
      <c r="G1784" s="6" t="str">
        <f>_xlfn.TEXTJOIN("|",TRUE,GameLog[[#This Row],[Pod]],TEXT(INT(GameLog[[#This Row],[Round]]),"yyyymmdd"),GameLog[[#This Row],[Date]])</f>
        <v>1|19000102|46209</v>
      </c>
      <c r="H1784" s="6">
        <f>COUNTIF(GameLog[Pod ID],GameLog[[#This Row],[Pod ID]])</f>
        <v>4</v>
      </c>
      <c r="I1784" s="6">
        <f>YEAR(GameLog[[#This Row],[Date]])</f>
        <v>2026</v>
      </c>
      <c r="J1784" s="6">
        <f>MONTH(GameLog[[#This Row],[Date]])</f>
        <v>7</v>
      </c>
      <c r="K1784" s="6" t="str">
        <f>IF(GameLog[[#This Row],[Date]]=MAX(GameLog[Date]),"Current","Previous")</f>
        <v>Previous</v>
      </c>
      <c r="L1784" s="6"/>
      <c r="M17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4" s="6" t="str">
        <f ca="1">IF(GameLog[[#This Row],[Check]]="","",COUNTIF(GameLog[[#Headers],[Check]]:GameLog[[#This Row],[Check]],"?*")-1)</f>
        <v/>
      </c>
      <c r="O1784" s="6" t="str">
        <f>IFERROR(INDEX(Players[New name],MATCH(GameLog[[#This Row],[Player]],Players[Name],0)),GameLog[[#This Row],[Player]])</f>
        <v>Gavin J</v>
      </c>
    </row>
    <row r="1785" spans="1:15" x14ac:dyDescent="0.45">
      <c r="A1785" s="6" t="s">
        <v>78</v>
      </c>
      <c r="B1785" s="6" t="s">
        <v>53</v>
      </c>
      <c r="C1785" s="6">
        <v>2</v>
      </c>
      <c r="D1785" s="6">
        <v>1</v>
      </c>
      <c r="E1785" s="6">
        <v>2</v>
      </c>
      <c r="F1785" s="10">
        <v>46209</v>
      </c>
      <c r="G1785" s="6" t="str">
        <f>_xlfn.TEXTJOIN("|",TRUE,GameLog[[#This Row],[Pod]],TEXT(INT(GameLog[[#This Row],[Round]]),"yyyymmdd"),GameLog[[#This Row],[Date]])</f>
        <v>1|19000102|46209</v>
      </c>
      <c r="H1785" s="6">
        <f>COUNTIF(GameLog[Pod ID],GameLog[[#This Row],[Pod ID]])</f>
        <v>4</v>
      </c>
      <c r="I1785" s="6">
        <f>YEAR(GameLog[[#This Row],[Date]])</f>
        <v>2026</v>
      </c>
      <c r="J1785" s="6">
        <f>MONTH(GameLog[[#This Row],[Date]])</f>
        <v>7</v>
      </c>
      <c r="K1785" s="6" t="str">
        <f>IF(GameLog[[#This Row],[Date]]=MAX(GameLog[Date]),"Current","Previous")</f>
        <v>Previous</v>
      </c>
      <c r="L1785" s="6"/>
      <c r="M17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5" s="6" t="str">
        <f ca="1">IF(GameLog[[#This Row],[Check]]="","",COUNTIF(GameLog[[#Headers],[Check]]:GameLog[[#This Row],[Check]],"?*")-1)</f>
        <v/>
      </c>
      <c r="O1785" s="6" t="str">
        <f>IFERROR(INDEX(Players[New name],MATCH(GameLog[[#This Row],[Player]],Players[Name],0)),GameLog[[#This Row],[Player]])</f>
        <v>Justin M</v>
      </c>
    </row>
    <row r="1786" spans="1:15" x14ac:dyDescent="0.45">
      <c r="A1786" s="6" t="s">
        <v>56</v>
      </c>
      <c r="B1786" s="6" t="s">
        <v>50</v>
      </c>
      <c r="C1786" s="6">
        <v>3</v>
      </c>
      <c r="D1786" s="6">
        <v>1</v>
      </c>
      <c r="E1786" s="6">
        <v>2</v>
      </c>
      <c r="F1786" s="10">
        <v>46209</v>
      </c>
      <c r="G1786" s="6" t="str">
        <f>_xlfn.TEXTJOIN("|",TRUE,GameLog[[#This Row],[Pod]],TEXT(INT(GameLog[[#This Row],[Round]]),"yyyymmdd"),GameLog[[#This Row],[Date]])</f>
        <v>1|19000102|46209</v>
      </c>
      <c r="H1786" s="6">
        <f>COUNTIF(GameLog[Pod ID],GameLog[[#This Row],[Pod ID]])</f>
        <v>4</v>
      </c>
      <c r="I1786" s="6">
        <f>YEAR(GameLog[[#This Row],[Date]])</f>
        <v>2026</v>
      </c>
      <c r="J1786" s="6">
        <f>MONTH(GameLog[[#This Row],[Date]])</f>
        <v>7</v>
      </c>
      <c r="K1786" s="6" t="str">
        <f>IF(GameLog[[#This Row],[Date]]=MAX(GameLog[Date]),"Current","Previous")</f>
        <v>Previous</v>
      </c>
      <c r="L1786" s="6"/>
      <c r="M17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6" s="6" t="str">
        <f ca="1">IF(GameLog[[#This Row],[Check]]="","",COUNTIF(GameLog[[#Headers],[Check]]:GameLog[[#This Row],[Check]],"?*")-1)</f>
        <v/>
      </c>
      <c r="O1786" s="6" t="str">
        <f>IFERROR(INDEX(Players[New name],MATCH(GameLog[[#This Row],[Player]],Players[Name],0)),GameLog[[#This Row],[Player]])</f>
        <v>Mark D</v>
      </c>
    </row>
    <row r="1787" spans="1:15" x14ac:dyDescent="0.45">
      <c r="A1787" s="6" t="s">
        <v>116</v>
      </c>
      <c r="B1787" s="6" t="s">
        <v>53</v>
      </c>
      <c r="C1787" s="6">
        <v>4</v>
      </c>
      <c r="D1787" s="6">
        <v>1</v>
      </c>
      <c r="E1787" s="6">
        <v>2</v>
      </c>
      <c r="F1787" s="10">
        <v>46209</v>
      </c>
      <c r="G1787" s="6" t="str">
        <f>_xlfn.TEXTJOIN("|",TRUE,GameLog[[#This Row],[Pod]],TEXT(INT(GameLog[[#This Row],[Round]]),"yyyymmdd"),GameLog[[#This Row],[Date]])</f>
        <v>1|19000102|46209</v>
      </c>
      <c r="H1787" s="6">
        <f>COUNTIF(GameLog[Pod ID],GameLog[[#This Row],[Pod ID]])</f>
        <v>4</v>
      </c>
      <c r="I1787" s="6">
        <f>YEAR(GameLog[[#This Row],[Date]])</f>
        <v>2026</v>
      </c>
      <c r="J1787" s="6">
        <f>MONTH(GameLog[[#This Row],[Date]])</f>
        <v>7</v>
      </c>
      <c r="K1787" s="6" t="str">
        <f>IF(GameLog[[#This Row],[Date]]=MAX(GameLog[Date]),"Current","Previous")</f>
        <v>Previous</v>
      </c>
      <c r="L1787" s="6"/>
      <c r="M17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7" s="6" t="str">
        <f ca="1">IF(GameLog[[#This Row],[Check]]="","",COUNTIF(GameLog[[#Headers],[Check]]:GameLog[[#This Row],[Check]],"?*")-1)</f>
        <v/>
      </c>
      <c r="O1787" s="6" t="str">
        <f>IFERROR(INDEX(Players[New name],MATCH(GameLog[[#This Row],[Player]],Players[Name],0)),GameLog[[#This Row],[Player]])</f>
        <v>Matthew W</v>
      </c>
    </row>
    <row r="1788" spans="1:15" x14ac:dyDescent="0.45">
      <c r="A1788" s="6" t="s">
        <v>70</v>
      </c>
      <c r="B1788" s="6" t="s">
        <v>53</v>
      </c>
      <c r="C1788" s="6">
        <v>1</v>
      </c>
      <c r="D1788" s="6">
        <v>2</v>
      </c>
      <c r="E1788" s="6">
        <v>2</v>
      </c>
      <c r="F1788" s="10">
        <v>46209</v>
      </c>
      <c r="G1788" s="6" t="str">
        <f>_xlfn.TEXTJOIN("|",TRUE,GameLog[[#This Row],[Pod]],TEXT(INT(GameLog[[#This Row],[Round]]),"yyyymmdd"),GameLog[[#This Row],[Date]])</f>
        <v>2|19000102|46209</v>
      </c>
      <c r="H1788" s="6">
        <f>COUNTIF(GameLog[Pod ID],GameLog[[#This Row],[Pod ID]])</f>
        <v>4</v>
      </c>
      <c r="I1788" s="6">
        <f>YEAR(GameLog[[#This Row],[Date]])</f>
        <v>2026</v>
      </c>
      <c r="J1788" s="6">
        <f>MONTH(GameLog[[#This Row],[Date]])</f>
        <v>7</v>
      </c>
      <c r="K1788" s="6" t="str">
        <f>IF(GameLog[[#This Row],[Date]]=MAX(GameLog[Date]),"Current","Previous")</f>
        <v>Previous</v>
      </c>
      <c r="L1788" s="6"/>
      <c r="M17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8" s="6" t="str">
        <f ca="1">IF(GameLog[[#This Row],[Check]]="","",COUNTIF(GameLog[[#Headers],[Check]]:GameLog[[#This Row],[Check]],"?*")-1)</f>
        <v/>
      </c>
      <c r="O1788" s="6" t="str">
        <f>IFERROR(INDEX(Players[New name],MATCH(GameLog[[#This Row],[Player]],Players[Name],0)),GameLog[[#This Row],[Player]])</f>
        <v>Brad F</v>
      </c>
    </row>
    <row r="1789" spans="1:15" x14ac:dyDescent="0.45">
      <c r="A1789" s="6" t="s">
        <v>72</v>
      </c>
      <c r="B1789" s="6" t="s">
        <v>53</v>
      </c>
      <c r="C1789" s="6">
        <v>2</v>
      </c>
      <c r="D1789" s="6">
        <v>2</v>
      </c>
      <c r="E1789" s="6">
        <v>2</v>
      </c>
      <c r="F1789" s="10">
        <v>46209</v>
      </c>
      <c r="G1789" s="6" t="str">
        <f>_xlfn.TEXTJOIN("|",TRUE,GameLog[[#This Row],[Pod]],TEXT(INT(GameLog[[#This Row],[Round]]),"yyyymmdd"),GameLog[[#This Row],[Date]])</f>
        <v>2|19000102|46209</v>
      </c>
      <c r="H1789" s="6">
        <f>COUNTIF(GameLog[Pod ID],GameLog[[#This Row],[Pod ID]])</f>
        <v>4</v>
      </c>
      <c r="I1789" s="6">
        <f>YEAR(GameLog[[#This Row],[Date]])</f>
        <v>2026</v>
      </c>
      <c r="J1789" s="6">
        <f>MONTH(GameLog[[#This Row],[Date]])</f>
        <v>7</v>
      </c>
      <c r="K1789" s="6" t="str">
        <f>IF(GameLog[[#This Row],[Date]]=MAX(GameLog[Date]),"Current","Previous")</f>
        <v>Previous</v>
      </c>
      <c r="L1789" s="6"/>
      <c r="M17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89" s="6" t="str">
        <f ca="1">IF(GameLog[[#This Row],[Check]]="","",COUNTIF(GameLog[[#Headers],[Check]]:GameLog[[#This Row],[Check]],"?*")-1)</f>
        <v/>
      </c>
      <c r="O1789" s="6" t="str">
        <f>IFERROR(INDEX(Players[New name],MATCH(GameLog[[#This Row],[Player]],Players[Name],0)),GameLog[[#This Row],[Player]])</f>
        <v>Ben H</v>
      </c>
    </row>
    <row r="1790" spans="1:15" x14ac:dyDescent="0.45">
      <c r="A1790" s="6" t="s">
        <v>109</v>
      </c>
      <c r="B1790" s="6" t="s">
        <v>53</v>
      </c>
      <c r="C1790" s="6">
        <v>3</v>
      </c>
      <c r="D1790" s="6">
        <v>2</v>
      </c>
      <c r="E1790" s="6">
        <v>2</v>
      </c>
      <c r="F1790" s="10">
        <v>46209</v>
      </c>
      <c r="G1790" s="6" t="str">
        <f>_xlfn.TEXTJOIN("|",TRUE,GameLog[[#This Row],[Pod]],TEXT(INT(GameLog[[#This Row],[Round]]),"yyyymmdd"),GameLog[[#This Row],[Date]])</f>
        <v>2|19000102|46209</v>
      </c>
      <c r="H1790" s="6">
        <f>COUNTIF(GameLog[Pod ID],GameLog[[#This Row],[Pod ID]])</f>
        <v>4</v>
      </c>
      <c r="I1790" s="6">
        <f>YEAR(GameLog[[#This Row],[Date]])</f>
        <v>2026</v>
      </c>
      <c r="J1790" s="6">
        <f>MONTH(GameLog[[#This Row],[Date]])</f>
        <v>7</v>
      </c>
      <c r="K1790" s="6" t="str">
        <f>IF(GameLog[[#This Row],[Date]]=MAX(GameLog[Date]),"Current","Previous")</f>
        <v>Previous</v>
      </c>
      <c r="L1790" s="6"/>
      <c r="M17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0" s="6" t="str">
        <f ca="1">IF(GameLog[[#This Row],[Check]]="","",COUNTIF(GameLog[[#Headers],[Check]]:GameLog[[#This Row],[Check]],"?*")-1)</f>
        <v/>
      </c>
      <c r="O1790" s="6" t="str">
        <f>IFERROR(INDEX(Players[New name],MATCH(GameLog[[#This Row],[Player]],Players[Name],0)),GameLog[[#This Row],[Player]])</f>
        <v>Taylor C</v>
      </c>
    </row>
    <row r="1791" spans="1:15" x14ac:dyDescent="0.45">
      <c r="A1791" s="6" t="s">
        <v>59</v>
      </c>
      <c r="B1791" s="6" t="s">
        <v>50</v>
      </c>
      <c r="C1791" s="6">
        <v>4</v>
      </c>
      <c r="D1791" s="6">
        <v>2</v>
      </c>
      <c r="E1791" s="6">
        <v>2</v>
      </c>
      <c r="F1791" s="10">
        <v>46209</v>
      </c>
      <c r="G1791" s="6" t="str">
        <f>_xlfn.TEXTJOIN("|",TRUE,GameLog[[#This Row],[Pod]],TEXT(INT(GameLog[[#This Row],[Round]]),"yyyymmdd"),GameLog[[#This Row],[Date]])</f>
        <v>2|19000102|46209</v>
      </c>
      <c r="H1791" s="6">
        <f>COUNTIF(GameLog[Pod ID],GameLog[[#This Row],[Pod ID]])</f>
        <v>4</v>
      </c>
      <c r="I1791" s="6">
        <f>YEAR(GameLog[[#This Row],[Date]])</f>
        <v>2026</v>
      </c>
      <c r="J1791" s="6">
        <f>MONTH(GameLog[[#This Row],[Date]])</f>
        <v>7</v>
      </c>
      <c r="K1791" s="6" t="str">
        <f>IF(GameLog[[#This Row],[Date]]=MAX(GameLog[Date]),"Current","Previous")</f>
        <v>Previous</v>
      </c>
      <c r="L1791" s="6"/>
      <c r="M17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1" s="6" t="str">
        <f ca="1">IF(GameLog[[#This Row],[Check]]="","",COUNTIF(GameLog[[#Headers],[Check]]:GameLog[[#This Row],[Check]],"?*")-1)</f>
        <v/>
      </c>
      <c r="O1791" s="6" t="str">
        <f>IFERROR(INDEX(Players[New name],MATCH(GameLog[[#This Row],[Player]],Players[Name],0)),GameLog[[#This Row],[Player]])</f>
        <v>Zack B</v>
      </c>
    </row>
    <row r="1792" spans="1:15" x14ac:dyDescent="0.45">
      <c r="A1792" s="6" t="s">
        <v>61</v>
      </c>
      <c r="B1792" s="6" t="s">
        <v>90</v>
      </c>
      <c r="C1792" s="6">
        <v>1</v>
      </c>
      <c r="D1792" s="6">
        <v>3</v>
      </c>
      <c r="E1792" s="6">
        <v>2</v>
      </c>
      <c r="F1792" s="10">
        <v>46209</v>
      </c>
      <c r="G1792" s="6" t="str">
        <f>_xlfn.TEXTJOIN("|",TRUE,GameLog[[#This Row],[Pod]],TEXT(INT(GameLog[[#This Row],[Round]]),"yyyymmdd"),GameLog[[#This Row],[Date]])</f>
        <v>3|19000102|46209</v>
      </c>
      <c r="H1792" s="6">
        <f>COUNTIF(GameLog[Pod ID],GameLog[[#This Row],[Pod ID]])</f>
        <v>4</v>
      </c>
      <c r="I1792" s="6">
        <f>YEAR(GameLog[[#This Row],[Date]])</f>
        <v>2026</v>
      </c>
      <c r="J1792" s="6">
        <f>MONTH(GameLog[[#This Row],[Date]])</f>
        <v>7</v>
      </c>
      <c r="K1792" s="6" t="str">
        <f>IF(GameLog[[#This Row],[Date]]=MAX(GameLog[Date]),"Current","Previous")</f>
        <v>Previous</v>
      </c>
      <c r="L1792" s="6"/>
      <c r="M17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2" s="6" t="str">
        <f ca="1">IF(GameLog[[#This Row],[Check]]="","",COUNTIF(GameLog[[#Headers],[Check]]:GameLog[[#This Row],[Check]],"?*")-1)</f>
        <v/>
      </c>
      <c r="O1792" s="6" t="str">
        <f>IFERROR(INDEX(Players[New name],MATCH(GameLog[[#This Row],[Player]],Players[Name],0)),GameLog[[#This Row],[Player]])</f>
        <v>Trevor</v>
      </c>
    </row>
    <row r="1793" spans="1:15" x14ac:dyDescent="0.45">
      <c r="A1793" s="6" t="s">
        <v>73</v>
      </c>
      <c r="B1793" s="6" t="s">
        <v>90</v>
      </c>
      <c r="C1793" s="6">
        <v>2</v>
      </c>
      <c r="D1793" s="6">
        <v>3</v>
      </c>
      <c r="E1793" s="6">
        <v>2</v>
      </c>
      <c r="F1793" s="10">
        <v>46209</v>
      </c>
      <c r="G1793" s="6" t="str">
        <f>_xlfn.TEXTJOIN("|",TRUE,GameLog[[#This Row],[Pod]],TEXT(INT(GameLog[[#This Row],[Round]]),"yyyymmdd"),GameLog[[#This Row],[Date]])</f>
        <v>3|19000102|46209</v>
      </c>
      <c r="H1793" s="6">
        <f>COUNTIF(GameLog[Pod ID],GameLog[[#This Row],[Pod ID]])</f>
        <v>4</v>
      </c>
      <c r="I1793" s="6">
        <f>YEAR(GameLog[[#This Row],[Date]])</f>
        <v>2026</v>
      </c>
      <c r="J1793" s="6">
        <f>MONTH(GameLog[[#This Row],[Date]])</f>
        <v>7</v>
      </c>
      <c r="K1793" s="6" t="str">
        <f>IF(GameLog[[#This Row],[Date]]=MAX(GameLog[Date]),"Current","Previous")</f>
        <v>Previous</v>
      </c>
      <c r="L1793" s="6"/>
      <c r="M17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3" s="6" t="str">
        <f ca="1">IF(GameLog[[#This Row],[Check]]="","",COUNTIF(GameLog[[#Headers],[Check]]:GameLog[[#This Row],[Check]],"?*")-1)</f>
        <v/>
      </c>
      <c r="O1793" s="6" t="str">
        <f>IFERROR(INDEX(Players[New name],MATCH(GameLog[[#This Row],[Player]],Players[Name],0)),GameLog[[#This Row],[Player]])</f>
        <v>Brandon B</v>
      </c>
    </row>
    <row r="1794" spans="1:15" x14ac:dyDescent="0.45">
      <c r="A1794" s="6" t="s">
        <v>110</v>
      </c>
      <c r="B1794" s="6" t="s">
        <v>90</v>
      </c>
      <c r="C1794" s="6">
        <v>3</v>
      </c>
      <c r="D1794" s="6">
        <v>3</v>
      </c>
      <c r="E1794" s="6">
        <v>2</v>
      </c>
      <c r="F1794" s="10">
        <v>46209</v>
      </c>
      <c r="G1794" s="6" t="str">
        <f>_xlfn.TEXTJOIN("|",TRUE,GameLog[[#This Row],[Pod]],TEXT(INT(GameLog[[#This Row],[Round]]),"yyyymmdd"),GameLog[[#This Row],[Date]])</f>
        <v>3|19000102|46209</v>
      </c>
      <c r="H1794" s="6">
        <f>COUNTIF(GameLog[Pod ID],GameLog[[#This Row],[Pod ID]])</f>
        <v>4</v>
      </c>
      <c r="I1794" s="6">
        <f>YEAR(GameLog[[#This Row],[Date]])</f>
        <v>2026</v>
      </c>
      <c r="J1794" s="6">
        <f>MONTH(GameLog[[#This Row],[Date]])</f>
        <v>7</v>
      </c>
      <c r="K1794" s="6" t="str">
        <f>IF(GameLog[[#This Row],[Date]]=MAX(GameLog[Date]),"Current","Previous")</f>
        <v>Previous</v>
      </c>
      <c r="L1794" s="6"/>
      <c r="M17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4" s="6" t="str">
        <f ca="1">IF(GameLog[[#This Row],[Check]]="","",COUNTIF(GameLog[[#Headers],[Check]]:GameLog[[#This Row],[Check]],"?*")-1)</f>
        <v/>
      </c>
      <c r="O1794" s="6" t="str">
        <f>IFERROR(INDEX(Players[New name],MATCH(GameLog[[#This Row],[Player]],Players[Name],0)),GameLog[[#This Row],[Player]])</f>
        <v>Paul B</v>
      </c>
    </row>
    <row r="1795" spans="1:15" x14ac:dyDescent="0.45">
      <c r="A1795" s="6" t="s">
        <v>104</v>
      </c>
      <c r="B1795" s="6" t="s">
        <v>90</v>
      </c>
      <c r="C1795" s="6">
        <v>4</v>
      </c>
      <c r="D1795" s="6">
        <v>3</v>
      </c>
      <c r="E1795" s="6">
        <v>2</v>
      </c>
      <c r="F1795" s="10">
        <v>46209</v>
      </c>
      <c r="G1795" s="6" t="str">
        <f>_xlfn.TEXTJOIN("|",TRUE,GameLog[[#This Row],[Pod]],TEXT(INT(GameLog[[#This Row],[Round]]),"yyyymmdd"),GameLog[[#This Row],[Date]])</f>
        <v>3|19000102|46209</v>
      </c>
      <c r="H1795" s="6">
        <f>COUNTIF(GameLog[Pod ID],GameLog[[#This Row],[Pod ID]])</f>
        <v>4</v>
      </c>
      <c r="I1795" s="6">
        <f>YEAR(GameLog[[#This Row],[Date]])</f>
        <v>2026</v>
      </c>
      <c r="J1795" s="6">
        <f>MONTH(GameLog[[#This Row],[Date]])</f>
        <v>7</v>
      </c>
      <c r="K1795" s="6" t="str">
        <f>IF(GameLog[[#This Row],[Date]]=MAX(GameLog[Date]),"Current","Previous")</f>
        <v>Previous</v>
      </c>
      <c r="L1795" s="6"/>
      <c r="M17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5" s="6" t="str">
        <f ca="1">IF(GameLog[[#This Row],[Check]]="","",COUNTIF(GameLog[[#Headers],[Check]]:GameLog[[#This Row],[Check]],"?*")-1)</f>
        <v/>
      </c>
      <c r="O1795" s="6" t="str">
        <f>IFERROR(INDEX(Players[New name],MATCH(GameLog[[#This Row],[Player]],Players[Name],0)),GameLog[[#This Row],[Player]])</f>
        <v>Eric E</v>
      </c>
    </row>
    <row r="1796" spans="1:15" x14ac:dyDescent="0.45">
      <c r="A1796" s="6" t="s">
        <v>63</v>
      </c>
      <c r="B1796" s="6" t="s">
        <v>53</v>
      </c>
      <c r="C1796" s="6">
        <v>1</v>
      </c>
      <c r="D1796" s="6">
        <v>4</v>
      </c>
      <c r="E1796" s="6">
        <v>2</v>
      </c>
      <c r="F1796" s="10">
        <v>46209</v>
      </c>
      <c r="G1796" s="6" t="str">
        <f>_xlfn.TEXTJOIN("|",TRUE,GameLog[[#This Row],[Pod]],TEXT(INT(GameLog[[#This Row],[Round]]),"yyyymmdd"),GameLog[[#This Row],[Date]])</f>
        <v>4|19000102|46209</v>
      </c>
      <c r="H1796" s="6">
        <f>COUNTIF(GameLog[Pod ID],GameLog[[#This Row],[Pod ID]])</f>
        <v>4</v>
      </c>
      <c r="I1796" s="6">
        <f>YEAR(GameLog[[#This Row],[Date]])</f>
        <v>2026</v>
      </c>
      <c r="J1796" s="6">
        <f>MONTH(GameLog[[#This Row],[Date]])</f>
        <v>7</v>
      </c>
      <c r="K1796" s="6" t="str">
        <f>IF(GameLog[[#This Row],[Date]]=MAX(GameLog[Date]),"Current","Previous")</f>
        <v>Previous</v>
      </c>
      <c r="L1796" s="6"/>
      <c r="M17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6" s="6" t="str">
        <f ca="1">IF(GameLog[[#This Row],[Check]]="","",COUNTIF(GameLog[[#Headers],[Check]]:GameLog[[#This Row],[Check]],"?*")-1)</f>
        <v/>
      </c>
      <c r="O1796" s="6" t="str">
        <f>IFERROR(INDEX(Players[New name],MATCH(GameLog[[#This Row],[Player]],Players[Name],0)),GameLog[[#This Row],[Player]])</f>
        <v>Jake D</v>
      </c>
    </row>
    <row r="1797" spans="1:15" x14ac:dyDescent="0.45">
      <c r="A1797" s="6" t="s">
        <v>112</v>
      </c>
      <c r="B1797" s="6" t="s">
        <v>53</v>
      </c>
      <c r="C1797" s="6">
        <v>2</v>
      </c>
      <c r="D1797" s="6">
        <v>4</v>
      </c>
      <c r="E1797" s="6">
        <v>2</v>
      </c>
      <c r="F1797" s="10">
        <v>46209</v>
      </c>
      <c r="G1797" s="6" t="str">
        <f>_xlfn.TEXTJOIN("|",TRUE,GameLog[[#This Row],[Pod]],TEXT(INT(GameLog[[#This Row],[Round]]),"yyyymmdd"),GameLog[[#This Row],[Date]])</f>
        <v>4|19000102|46209</v>
      </c>
      <c r="H1797" s="6">
        <f>COUNTIF(GameLog[Pod ID],GameLog[[#This Row],[Pod ID]])</f>
        <v>4</v>
      </c>
      <c r="I1797" s="6">
        <f>YEAR(GameLog[[#This Row],[Date]])</f>
        <v>2026</v>
      </c>
      <c r="J1797" s="6">
        <f>MONTH(GameLog[[#This Row],[Date]])</f>
        <v>7</v>
      </c>
      <c r="K1797" s="6" t="str">
        <f>IF(GameLog[[#This Row],[Date]]=MAX(GameLog[Date]),"Current","Previous")</f>
        <v>Previous</v>
      </c>
      <c r="L1797" s="6"/>
      <c r="M17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7" s="6" t="str">
        <f ca="1">IF(GameLog[[#This Row],[Check]]="","",COUNTIF(GameLog[[#Headers],[Check]]:GameLog[[#This Row],[Check]],"?*")-1)</f>
        <v/>
      </c>
      <c r="O1797" s="6" t="str">
        <f>IFERROR(INDEX(Players[New name],MATCH(GameLog[[#This Row],[Player]],Players[Name],0)),GameLog[[#This Row],[Player]])</f>
        <v>Savi</v>
      </c>
    </row>
    <row r="1798" spans="1:15" x14ac:dyDescent="0.45">
      <c r="A1798" s="6" t="s">
        <v>96</v>
      </c>
      <c r="B1798" s="6" t="s">
        <v>53</v>
      </c>
      <c r="C1798" s="6">
        <v>3</v>
      </c>
      <c r="D1798" s="6">
        <v>4</v>
      </c>
      <c r="E1798" s="6">
        <v>2</v>
      </c>
      <c r="F1798" s="10">
        <v>46209</v>
      </c>
      <c r="G1798" s="6" t="str">
        <f>_xlfn.TEXTJOIN("|",TRUE,GameLog[[#This Row],[Pod]],TEXT(INT(GameLog[[#This Row],[Round]]),"yyyymmdd"),GameLog[[#This Row],[Date]])</f>
        <v>4|19000102|46209</v>
      </c>
      <c r="H1798" s="6">
        <f>COUNTIF(GameLog[Pod ID],GameLog[[#This Row],[Pod ID]])</f>
        <v>4</v>
      </c>
      <c r="I1798" s="6">
        <f>YEAR(GameLog[[#This Row],[Date]])</f>
        <v>2026</v>
      </c>
      <c r="J1798" s="6">
        <f>MONTH(GameLog[[#This Row],[Date]])</f>
        <v>7</v>
      </c>
      <c r="K1798" s="6" t="str">
        <f>IF(GameLog[[#This Row],[Date]]=MAX(GameLog[Date]),"Current","Previous")</f>
        <v>Previous</v>
      </c>
      <c r="L1798" s="6"/>
      <c r="M17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8" s="6" t="str">
        <f ca="1">IF(GameLog[[#This Row],[Check]]="","",COUNTIF(GameLog[[#Headers],[Check]]:GameLog[[#This Row],[Check]],"?*")-1)</f>
        <v/>
      </c>
      <c r="O1798" s="6" t="str">
        <f>IFERROR(INDEX(Players[New name],MATCH(GameLog[[#This Row],[Player]],Players[Name],0)),GameLog[[#This Row],[Player]])</f>
        <v>Brandon A</v>
      </c>
    </row>
    <row r="1799" spans="1:15" x14ac:dyDescent="0.45">
      <c r="A1799" s="6" t="s">
        <v>64</v>
      </c>
      <c r="B1799" s="6" t="s">
        <v>50</v>
      </c>
      <c r="C1799" s="6">
        <v>4</v>
      </c>
      <c r="D1799" s="6">
        <v>4</v>
      </c>
      <c r="E1799" s="6">
        <v>2</v>
      </c>
      <c r="F1799" s="10">
        <v>46209</v>
      </c>
      <c r="G1799" s="6" t="str">
        <f>_xlfn.TEXTJOIN("|",TRUE,GameLog[[#This Row],[Pod]],TEXT(INT(GameLog[[#This Row],[Round]]),"yyyymmdd"),GameLog[[#This Row],[Date]])</f>
        <v>4|19000102|46209</v>
      </c>
      <c r="H1799" s="6">
        <f>COUNTIF(GameLog[Pod ID],GameLog[[#This Row],[Pod ID]])</f>
        <v>4</v>
      </c>
      <c r="I1799" s="6">
        <f>YEAR(GameLog[[#This Row],[Date]])</f>
        <v>2026</v>
      </c>
      <c r="J1799" s="6">
        <f>MONTH(GameLog[[#This Row],[Date]])</f>
        <v>7</v>
      </c>
      <c r="K1799" s="6" t="str">
        <f>IF(GameLog[[#This Row],[Date]]=MAX(GameLog[Date]),"Current","Previous")</f>
        <v>Previous</v>
      </c>
      <c r="L1799" s="6"/>
      <c r="M17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799" s="6" t="str">
        <f ca="1">IF(GameLog[[#This Row],[Check]]="","",COUNTIF(GameLog[[#Headers],[Check]]:GameLog[[#This Row],[Check]],"?*")-1)</f>
        <v/>
      </c>
      <c r="O1799" s="6" t="str">
        <f>IFERROR(INDEX(Players[New name],MATCH(GameLog[[#This Row],[Player]],Players[Name],0)),GameLog[[#This Row],[Player]])</f>
        <v>Tyler B</v>
      </c>
    </row>
    <row r="1800" spans="1:15" x14ac:dyDescent="0.45">
      <c r="A1800" s="6" t="s">
        <v>58</v>
      </c>
      <c r="B1800" s="6" t="s">
        <v>53</v>
      </c>
      <c r="C1800" s="6">
        <v>1</v>
      </c>
      <c r="D1800" s="6">
        <v>5</v>
      </c>
      <c r="E1800" s="6">
        <v>2</v>
      </c>
      <c r="F1800" s="10">
        <v>46209</v>
      </c>
      <c r="G1800" s="6" t="str">
        <f>_xlfn.TEXTJOIN("|",TRUE,GameLog[[#This Row],[Pod]],TEXT(INT(GameLog[[#This Row],[Round]]),"yyyymmdd"),GameLog[[#This Row],[Date]])</f>
        <v>5|19000102|46209</v>
      </c>
      <c r="H1800" s="6">
        <f>COUNTIF(GameLog[Pod ID],GameLog[[#This Row],[Pod ID]])</f>
        <v>4</v>
      </c>
      <c r="I1800" s="6">
        <f>YEAR(GameLog[[#This Row],[Date]])</f>
        <v>2026</v>
      </c>
      <c r="J1800" s="6">
        <f>MONTH(GameLog[[#This Row],[Date]])</f>
        <v>7</v>
      </c>
      <c r="K1800" s="6" t="str">
        <f>IF(GameLog[[#This Row],[Date]]=MAX(GameLog[Date]),"Current","Previous")</f>
        <v>Previous</v>
      </c>
      <c r="L1800" s="6"/>
      <c r="M18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0" s="6" t="str">
        <f ca="1">IF(GameLog[[#This Row],[Check]]="","",COUNTIF(GameLog[[#Headers],[Check]]:GameLog[[#This Row],[Check]],"?*")-1)</f>
        <v/>
      </c>
      <c r="O1800" s="6" t="str">
        <f>IFERROR(INDEX(Players[New name],MATCH(GameLog[[#This Row],[Player]],Players[Name],0)),GameLog[[#This Row],[Player]])</f>
        <v>Dakota P</v>
      </c>
    </row>
    <row r="1801" spans="1:15" x14ac:dyDescent="0.45">
      <c r="A1801" s="6" t="s">
        <v>74</v>
      </c>
      <c r="B1801" s="6" t="s">
        <v>53</v>
      </c>
      <c r="C1801" s="6">
        <v>2</v>
      </c>
      <c r="D1801" s="6">
        <v>5</v>
      </c>
      <c r="E1801" s="6">
        <v>2</v>
      </c>
      <c r="F1801" s="10">
        <v>46209</v>
      </c>
      <c r="G1801" s="6" t="str">
        <f>_xlfn.TEXTJOIN("|",TRUE,GameLog[[#This Row],[Pod]],TEXT(INT(GameLog[[#This Row],[Round]]),"yyyymmdd"),GameLog[[#This Row],[Date]])</f>
        <v>5|19000102|46209</v>
      </c>
      <c r="H1801" s="6">
        <f>COUNTIF(GameLog[Pod ID],GameLog[[#This Row],[Pod ID]])</f>
        <v>4</v>
      </c>
      <c r="I1801" s="6">
        <f>YEAR(GameLog[[#This Row],[Date]])</f>
        <v>2026</v>
      </c>
      <c r="J1801" s="6">
        <f>MONTH(GameLog[[#This Row],[Date]])</f>
        <v>7</v>
      </c>
      <c r="K1801" s="6" t="str">
        <f>IF(GameLog[[#This Row],[Date]]=MAX(GameLog[Date]),"Current","Previous")</f>
        <v>Previous</v>
      </c>
      <c r="L1801" s="6"/>
      <c r="M18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1" s="6" t="str">
        <f ca="1">IF(GameLog[[#This Row],[Check]]="","",COUNTIF(GameLog[[#Headers],[Check]]:GameLog[[#This Row],[Check]],"?*")-1)</f>
        <v/>
      </c>
      <c r="O1801" s="6" t="str">
        <f>IFERROR(INDEX(Players[New name],MATCH(GameLog[[#This Row],[Player]],Players[Name],0)),GameLog[[#This Row],[Player]])</f>
        <v>Jarrod O</v>
      </c>
    </row>
    <row r="1802" spans="1:15" x14ac:dyDescent="0.45">
      <c r="A1802" s="6" t="s">
        <v>68</v>
      </c>
      <c r="B1802" s="6" t="s">
        <v>50</v>
      </c>
      <c r="C1802" s="6">
        <v>3</v>
      </c>
      <c r="D1802" s="6">
        <v>5</v>
      </c>
      <c r="E1802" s="6">
        <v>2</v>
      </c>
      <c r="F1802" s="10">
        <v>46209</v>
      </c>
      <c r="G1802" s="6" t="str">
        <f>_xlfn.TEXTJOIN("|",TRUE,GameLog[[#This Row],[Pod]],TEXT(INT(GameLog[[#This Row],[Round]]),"yyyymmdd"),GameLog[[#This Row],[Date]])</f>
        <v>5|19000102|46209</v>
      </c>
      <c r="H1802" s="6">
        <f>COUNTIF(GameLog[Pod ID],GameLog[[#This Row],[Pod ID]])</f>
        <v>4</v>
      </c>
      <c r="I1802" s="6">
        <f>YEAR(GameLog[[#This Row],[Date]])</f>
        <v>2026</v>
      </c>
      <c r="J1802" s="6">
        <f>MONTH(GameLog[[#This Row],[Date]])</f>
        <v>7</v>
      </c>
      <c r="K1802" s="6" t="str">
        <f>IF(GameLog[[#This Row],[Date]]=MAX(GameLog[Date]),"Current","Previous")</f>
        <v>Previous</v>
      </c>
      <c r="L1802" s="6"/>
      <c r="M18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2" s="6" t="str">
        <f ca="1">IF(GameLog[[#This Row],[Check]]="","",COUNTIF(GameLog[[#Headers],[Check]]:GameLog[[#This Row],[Check]],"?*")-1)</f>
        <v/>
      </c>
      <c r="O1802" s="6" t="str">
        <f>IFERROR(INDEX(Players[New name],MATCH(GameLog[[#This Row],[Player]],Players[Name],0)),GameLog[[#This Row],[Player]])</f>
        <v>Edwin M</v>
      </c>
    </row>
    <row r="1803" spans="1:15" x14ac:dyDescent="0.45">
      <c r="A1803" s="6" t="s">
        <v>57</v>
      </c>
      <c r="B1803" s="6" t="s">
        <v>53</v>
      </c>
      <c r="C1803" s="6">
        <v>4</v>
      </c>
      <c r="D1803" s="6">
        <v>5</v>
      </c>
      <c r="E1803" s="6">
        <v>2</v>
      </c>
      <c r="F1803" s="10">
        <v>46209</v>
      </c>
      <c r="G1803" s="6" t="str">
        <f>_xlfn.TEXTJOIN("|",TRUE,GameLog[[#This Row],[Pod]],TEXT(INT(GameLog[[#This Row],[Round]]),"yyyymmdd"),GameLog[[#This Row],[Date]])</f>
        <v>5|19000102|46209</v>
      </c>
      <c r="H1803" s="6">
        <f>COUNTIF(GameLog[Pod ID],GameLog[[#This Row],[Pod ID]])</f>
        <v>4</v>
      </c>
      <c r="I1803" s="6">
        <f>YEAR(GameLog[[#This Row],[Date]])</f>
        <v>2026</v>
      </c>
      <c r="J1803" s="6">
        <f>MONTH(GameLog[[#This Row],[Date]])</f>
        <v>7</v>
      </c>
      <c r="K1803" s="6" t="str">
        <f>IF(GameLog[[#This Row],[Date]]=MAX(GameLog[Date]),"Current","Previous")</f>
        <v>Previous</v>
      </c>
      <c r="L1803" s="6"/>
      <c r="M18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3" s="6" t="str">
        <f ca="1">IF(GameLog[[#This Row],[Check]]="","",COUNTIF(GameLog[[#Headers],[Check]]:GameLog[[#This Row],[Check]],"?*")-1)</f>
        <v/>
      </c>
      <c r="O1803" s="6" t="str">
        <f>IFERROR(INDEX(Players[New name],MATCH(GameLog[[#This Row],[Player]],Players[Name],0)),GameLog[[#This Row],[Player]])</f>
        <v>AJ W</v>
      </c>
    </row>
    <row r="1804" spans="1:15" x14ac:dyDescent="0.45">
      <c r="A1804" s="6" t="s">
        <v>55</v>
      </c>
      <c r="B1804" s="6" t="s">
        <v>50</v>
      </c>
      <c r="C1804" s="6">
        <v>1</v>
      </c>
      <c r="D1804" s="6">
        <v>6</v>
      </c>
      <c r="E1804" s="6">
        <v>2</v>
      </c>
      <c r="F1804" s="10">
        <v>46209</v>
      </c>
      <c r="G1804" s="6" t="str">
        <f>_xlfn.TEXTJOIN("|",TRUE,GameLog[[#This Row],[Pod]],TEXT(INT(GameLog[[#This Row],[Round]]),"yyyymmdd"),GameLog[[#This Row],[Date]])</f>
        <v>6|19000102|46209</v>
      </c>
      <c r="H1804" s="6">
        <f>COUNTIF(GameLog[Pod ID],GameLog[[#This Row],[Pod ID]])</f>
        <v>3</v>
      </c>
      <c r="I1804" s="6">
        <f>YEAR(GameLog[[#This Row],[Date]])</f>
        <v>2026</v>
      </c>
      <c r="J1804" s="6">
        <f>MONTH(GameLog[[#This Row],[Date]])</f>
        <v>7</v>
      </c>
      <c r="K1804" s="6" t="str">
        <f>IF(GameLog[[#This Row],[Date]]=MAX(GameLog[Date]),"Current","Previous")</f>
        <v>Previous</v>
      </c>
      <c r="L1804" s="6"/>
      <c r="M18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4" s="6" t="str">
        <f ca="1">IF(GameLog[[#This Row],[Check]]="","",COUNTIF(GameLog[[#Headers],[Check]]:GameLog[[#This Row],[Check]],"?*")-1)</f>
        <v/>
      </c>
      <c r="O1804" s="6" t="str">
        <f>IFERROR(INDEX(Players[New name],MATCH(GameLog[[#This Row],[Player]],Players[Name],0)),GameLog[[#This Row],[Player]])</f>
        <v>Bryce C</v>
      </c>
    </row>
    <row r="1805" spans="1:15" x14ac:dyDescent="0.45">
      <c r="A1805" s="6" t="s">
        <v>76</v>
      </c>
      <c r="B1805" s="6" t="s">
        <v>53</v>
      </c>
      <c r="C1805" s="6">
        <v>2</v>
      </c>
      <c r="D1805" s="6">
        <v>6</v>
      </c>
      <c r="E1805" s="6">
        <v>2</v>
      </c>
      <c r="F1805" s="10">
        <v>46209</v>
      </c>
      <c r="G1805" s="6" t="str">
        <f>_xlfn.TEXTJOIN("|",TRUE,GameLog[[#This Row],[Pod]],TEXT(INT(GameLog[[#This Row],[Round]]),"yyyymmdd"),GameLog[[#This Row],[Date]])</f>
        <v>6|19000102|46209</v>
      </c>
      <c r="H1805" s="6">
        <f>COUNTIF(GameLog[Pod ID],GameLog[[#This Row],[Pod ID]])</f>
        <v>3</v>
      </c>
      <c r="I1805" s="6">
        <f>YEAR(GameLog[[#This Row],[Date]])</f>
        <v>2026</v>
      </c>
      <c r="J1805" s="6">
        <f>MONTH(GameLog[[#This Row],[Date]])</f>
        <v>7</v>
      </c>
      <c r="K1805" s="6" t="str">
        <f>IF(GameLog[[#This Row],[Date]]=MAX(GameLog[Date]),"Current","Previous")</f>
        <v>Previous</v>
      </c>
      <c r="L1805" s="6"/>
      <c r="M18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5" s="6" t="str">
        <f ca="1">IF(GameLog[[#This Row],[Check]]="","",COUNTIF(GameLog[[#Headers],[Check]]:GameLog[[#This Row],[Check]],"?*")-1)</f>
        <v/>
      </c>
      <c r="O1805" s="6" t="str">
        <f>IFERROR(INDEX(Players[New name],MATCH(GameLog[[#This Row],[Player]],Players[Name],0)),GameLog[[#This Row],[Player]])</f>
        <v>Jon M</v>
      </c>
    </row>
    <row r="1806" spans="1:15" x14ac:dyDescent="0.45">
      <c r="A1806" s="6" t="s">
        <v>119</v>
      </c>
      <c r="B1806" s="6" t="s">
        <v>53</v>
      </c>
      <c r="C1806" s="6">
        <v>3</v>
      </c>
      <c r="D1806" s="6">
        <v>6</v>
      </c>
      <c r="E1806" s="6">
        <v>2</v>
      </c>
      <c r="F1806" s="10">
        <v>46209</v>
      </c>
      <c r="G1806" s="6" t="str">
        <f>_xlfn.TEXTJOIN("|",TRUE,GameLog[[#This Row],[Pod]],TEXT(INT(GameLog[[#This Row],[Round]]),"yyyymmdd"),GameLog[[#This Row],[Date]])</f>
        <v>6|19000102|46209</v>
      </c>
      <c r="H1806" s="6">
        <f>COUNTIF(GameLog[Pod ID],GameLog[[#This Row],[Pod ID]])</f>
        <v>3</v>
      </c>
      <c r="I1806" s="6">
        <f>YEAR(GameLog[[#This Row],[Date]])</f>
        <v>2026</v>
      </c>
      <c r="J1806" s="6">
        <f>MONTH(GameLog[[#This Row],[Date]])</f>
        <v>7</v>
      </c>
      <c r="K1806" s="6" t="str">
        <f>IF(GameLog[[#This Row],[Date]]=MAX(GameLog[Date]),"Current","Previous")</f>
        <v>Previous</v>
      </c>
      <c r="L1806" s="6"/>
      <c r="M18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6" s="6" t="str">
        <f ca="1">IF(GameLog[[#This Row],[Check]]="","",COUNTIF(GameLog[[#Headers],[Check]]:GameLog[[#This Row],[Check]],"?*")-1)</f>
        <v/>
      </c>
      <c r="O1806" s="6" t="str">
        <f>IFERROR(INDEX(Players[New name],MATCH(GameLog[[#This Row],[Player]],Players[Name],0)),GameLog[[#This Row],[Player]])</f>
        <v>Cristian S</v>
      </c>
    </row>
    <row r="1807" spans="1:15" x14ac:dyDescent="0.45">
      <c r="A1807" s="6" t="s">
        <v>73</v>
      </c>
      <c r="B1807" s="6" t="s">
        <v>90</v>
      </c>
      <c r="C1807" s="6">
        <v>1</v>
      </c>
      <c r="D1807" s="6">
        <v>1</v>
      </c>
      <c r="E1807" s="6">
        <v>1</v>
      </c>
      <c r="F1807" s="10">
        <v>46216</v>
      </c>
      <c r="G1807" s="6" t="str">
        <f>_xlfn.TEXTJOIN("|",TRUE,GameLog[[#This Row],[Pod]],TEXT(INT(GameLog[[#This Row],[Round]]),"yyyymmdd"),GameLog[[#This Row],[Date]])</f>
        <v>1|19000101|46216</v>
      </c>
      <c r="H1807" s="6">
        <f>COUNTIF(GameLog[Pod ID],GameLog[[#This Row],[Pod ID]])</f>
        <v>4</v>
      </c>
      <c r="I1807" s="6">
        <f>YEAR(GameLog[[#This Row],[Date]])</f>
        <v>2026</v>
      </c>
      <c r="J1807" s="6">
        <f>MONTH(GameLog[[#This Row],[Date]])</f>
        <v>7</v>
      </c>
      <c r="K1807" s="6" t="str">
        <f>IF(GameLog[[#This Row],[Date]]=MAX(GameLog[Date]),"Current","Previous")</f>
        <v>Previous</v>
      </c>
      <c r="L1807" s="6"/>
      <c r="M18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7" s="6" t="str">
        <f ca="1">IF(GameLog[[#This Row],[Check]]="","",COUNTIF(GameLog[[#Headers],[Check]]:GameLog[[#This Row],[Check]],"?*")-1)</f>
        <v/>
      </c>
      <c r="O1807" s="6" t="str">
        <f>IFERROR(INDEX(Players[New name],MATCH(GameLog[[#This Row],[Player]],Players[Name],0)),GameLog[[#This Row],[Player]])</f>
        <v>Brandon B</v>
      </c>
    </row>
    <row r="1808" spans="1:15" x14ac:dyDescent="0.45">
      <c r="A1808" s="6" t="s">
        <v>118</v>
      </c>
      <c r="B1808" s="6" t="s">
        <v>90</v>
      </c>
      <c r="C1808" s="6">
        <v>2</v>
      </c>
      <c r="D1808" s="6">
        <v>1</v>
      </c>
      <c r="E1808" s="6">
        <v>1</v>
      </c>
      <c r="F1808" s="10">
        <v>46216</v>
      </c>
      <c r="G1808" s="6" t="str">
        <f>_xlfn.TEXTJOIN("|",TRUE,GameLog[[#This Row],[Pod]],TEXT(INT(GameLog[[#This Row],[Round]]),"yyyymmdd"),GameLog[[#This Row],[Date]])</f>
        <v>1|19000101|46216</v>
      </c>
      <c r="H1808" s="6">
        <f>COUNTIF(GameLog[Pod ID],GameLog[[#This Row],[Pod ID]])</f>
        <v>4</v>
      </c>
      <c r="I1808" s="6">
        <f>YEAR(GameLog[[#This Row],[Date]])</f>
        <v>2026</v>
      </c>
      <c r="J1808" s="6">
        <f>MONTH(GameLog[[#This Row],[Date]])</f>
        <v>7</v>
      </c>
      <c r="K1808" s="6" t="str">
        <f>IF(GameLog[[#This Row],[Date]]=MAX(GameLog[Date]),"Current","Previous")</f>
        <v>Previous</v>
      </c>
      <c r="L1808" s="6"/>
      <c r="M18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8" s="6" t="str">
        <f ca="1">IF(GameLog[[#This Row],[Check]]="","",COUNTIF(GameLog[[#Headers],[Check]]:GameLog[[#This Row],[Check]],"?*")-1)</f>
        <v/>
      </c>
      <c r="O1808" s="6" t="str">
        <f>IFERROR(INDEX(Players[New name],MATCH(GameLog[[#This Row],[Player]],Players[Name],0)),GameLog[[#This Row],[Player]])</f>
        <v>Eric T</v>
      </c>
    </row>
    <row r="1809" spans="1:15" x14ac:dyDescent="0.45">
      <c r="A1809" s="6" t="s">
        <v>61</v>
      </c>
      <c r="B1809" s="6" t="s">
        <v>90</v>
      </c>
      <c r="C1809" s="6">
        <v>3</v>
      </c>
      <c r="D1809" s="6">
        <v>1</v>
      </c>
      <c r="E1809" s="6">
        <v>1</v>
      </c>
      <c r="F1809" s="10">
        <v>46216</v>
      </c>
      <c r="G1809" s="6" t="str">
        <f>_xlfn.TEXTJOIN("|",TRUE,GameLog[[#This Row],[Pod]],TEXT(INT(GameLog[[#This Row],[Round]]),"yyyymmdd"),GameLog[[#This Row],[Date]])</f>
        <v>1|19000101|46216</v>
      </c>
      <c r="H1809" s="6">
        <f>COUNTIF(GameLog[Pod ID],GameLog[[#This Row],[Pod ID]])</f>
        <v>4</v>
      </c>
      <c r="I1809" s="6">
        <f>YEAR(GameLog[[#This Row],[Date]])</f>
        <v>2026</v>
      </c>
      <c r="J1809" s="6">
        <f>MONTH(GameLog[[#This Row],[Date]])</f>
        <v>7</v>
      </c>
      <c r="K1809" s="6" t="str">
        <f>IF(GameLog[[#This Row],[Date]]=MAX(GameLog[Date]),"Current","Previous")</f>
        <v>Previous</v>
      </c>
      <c r="L1809" s="6"/>
      <c r="M18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09" s="6" t="str">
        <f ca="1">IF(GameLog[[#This Row],[Check]]="","",COUNTIF(GameLog[[#Headers],[Check]]:GameLog[[#This Row],[Check]],"?*")-1)</f>
        <v/>
      </c>
      <c r="O1809" s="6" t="str">
        <f>IFERROR(INDEX(Players[New name],MATCH(GameLog[[#This Row],[Player]],Players[Name],0)),GameLog[[#This Row],[Player]])</f>
        <v>Trevor</v>
      </c>
    </row>
    <row r="1810" spans="1:15" x14ac:dyDescent="0.45">
      <c r="A1810" s="6" t="s">
        <v>56</v>
      </c>
      <c r="B1810" s="6" t="s">
        <v>90</v>
      </c>
      <c r="C1810" s="6">
        <v>4</v>
      </c>
      <c r="D1810" s="6">
        <v>1</v>
      </c>
      <c r="E1810" s="6">
        <v>1</v>
      </c>
      <c r="F1810" s="10">
        <v>46216</v>
      </c>
      <c r="G1810" s="6" t="str">
        <f>_xlfn.TEXTJOIN("|",TRUE,GameLog[[#This Row],[Pod]],TEXT(INT(GameLog[[#This Row],[Round]]),"yyyymmdd"),GameLog[[#This Row],[Date]])</f>
        <v>1|19000101|46216</v>
      </c>
      <c r="H1810" s="6">
        <f>COUNTIF(GameLog[Pod ID],GameLog[[#This Row],[Pod ID]])</f>
        <v>4</v>
      </c>
      <c r="I1810" s="6">
        <f>YEAR(GameLog[[#This Row],[Date]])</f>
        <v>2026</v>
      </c>
      <c r="J1810" s="6">
        <f>MONTH(GameLog[[#This Row],[Date]])</f>
        <v>7</v>
      </c>
      <c r="K1810" s="6" t="str">
        <f>IF(GameLog[[#This Row],[Date]]=MAX(GameLog[Date]),"Current","Previous")</f>
        <v>Previous</v>
      </c>
      <c r="L1810" s="6"/>
      <c r="M18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0" s="6" t="str">
        <f ca="1">IF(GameLog[[#This Row],[Check]]="","",COUNTIF(GameLog[[#Headers],[Check]]:GameLog[[#This Row],[Check]],"?*")-1)</f>
        <v/>
      </c>
      <c r="O1810" s="6" t="str">
        <f>IFERROR(INDEX(Players[New name],MATCH(GameLog[[#This Row],[Player]],Players[Name],0)),GameLog[[#This Row],[Player]])</f>
        <v>Mark D</v>
      </c>
    </row>
    <row r="1811" spans="1:15" x14ac:dyDescent="0.45">
      <c r="A1811" s="6" t="s">
        <v>119</v>
      </c>
      <c r="B1811" s="6" t="s">
        <v>53</v>
      </c>
      <c r="C1811" s="6">
        <v>1</v>
      </c>
      <c r="D1811" s="6">
        <v>2</v>
      </c>
      <c r="E1811" s="6">
        <v>1</v>
      </c>
      <c r="F1811" s="10">
        <v>46216</v>
      </c>
      <c r="G1811" s="6" t="str">
        <f>_xlfn.TEXTJOIN("|",TRUE,GameLog[[#This Row],[Pod]],TEXT(INT(GameLog[[#This Row],[Round]]),"yyyymmdd"),GameLog[[#This Row],[Date]])</f>
        <v>2|19000101|46216</v>
      </c>
      <c r="H1811" s="6">
        <f>COUNTIF(GameLog[Pod ID],GameLog[[#This Row],[Pod ID]])</f>
        <v>4</v>
      </c>
      <c r="I1811" s="6">
        <f>YEAR(GameLog[[#This Row],[Date]])</f>
        <v>2026</v>
      </c>
      <c r="J1811" s="6">
        <f>MONTH(GameLog[[#This Row],[Date]])</f>
        <v>7</v>
      </c>
      <c r="K1811" s="6" t="str">
        <f>IF(GameLog[[#This Row],[Date]]=MAX(GameLog[Date]),"Current","Previous")</f>
        <v>Previous</v>
      </c>
      <c r="L1811" s="6"/>
      <c r="M18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1" s="6" t="str">
        <f ca="1">IF(GameLog[[#This Row],[Check]]="","",COUNTIF(GameLog[[#Headers],[Check]]:GameLog[[#This Row],[Check]],"?*")-1)</f>
        <v/>
      </c>
      <c r="O1811" s="6" t="str">
        <f>IFERROR(INDEX(Players[New name],MATCH(GameLog[[#This Row],[Player]],Players[Name],0)),GameLog[[#This Row],[Player]])</f>
        <v>Cristian S</v>
      </c>
    </row>
    <row r="1812" spans="1:15" x14ac:dyDescent="0.45">
      <c r="A1812" s="6" t="s">
        <v>76</v>
      </c>
      <c r="B1812" s="6" t="s">
        <v>50</v>
      </c>
      <c r="C1812" s="6">
        <v>2</v>
      </c>
      <c r="D1812" s="6">
        <v>2</v>
      </c>
      <c r="E1812" s="6">
        <v>1</v>
      </c>
      <c r="F1812" s="10">
        <v>46216</v>
      </c>
      <c r="G1812" s="6" t="str">
        <f>_xlfn.TEXTJOIN("|",TRUE,GameLog[[#This Row],[Pod]],TEXT(INT(GameLog[[#This Row],[Round]]),"yyyymmdd"),GameLog[[#This Row],[Date]])</f>
        <v>2|19000101|46216</v>
      </c>
      <c r="H1812" s="6">
        <f>COUNTIF(GameLog[Pod ID],GameLog[[#This Row],[Pod ID]])</f>
        <v>4</v>
      </c>
      <c r="I1812" s="6">
        <f>YEAR(GameLog[[#This Row],[Date]])</f>
        <v>2026</v>
      </c>
      <c r="J1812" s="6">
        <f>MONTH(GameLog[[#This Row],[Date]])</f>
        <v>7</v>
      </c>
      <c r="K1812" s="6" t="str">
        <f>IF(GameLog[[#This Row],[Date]]=MAX(GameLog[Date]),"Current","Previous")</f>
        <v>Previous</v>
      </c>
      <c r="L1812" s="6"/>
      <c r="M18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2" s="6" t="str">
        <f ca="1">IF(GameLog[[#This Row],[Check]]="","",COUNTIF(GameLog[[#Headers],[Check]]:GameLog[[#This Row],[Check]],"?*")-1)</f>
        <v/>
      </c>
      <c r="O1812" s="6" t="str">
        <f>IFERROR(INDEX(Players[New name],MATCH(GameLog[[#This Row],[Player]],Players[Name],0)),GameLog[[#This Row],[Player]])</f>
        <v>Jon M</v>
      </c>
    </row>
    <row r="1813" spans="1:15" x14ac:dyDescent="0.45">
      <c r="A1813" s="6" t="s">
        <v>75</v>
      </c>
      <c r="B1813" s="6" t="s">
        <v>53</v>
      </c>
      <c r="C1813" s="6">
        <v>3</v>
      </c>
      <c r="D1813" s="6">
        <v>2</v>
      </c>
      <c r="E1813" s="6">
        <v>1</v>
      </c>
      <c r="F1813" s="10">
        <v>46216</v>
      </c>
      <c r="G1813" s="6" t="str">
        <f>_xlfn.TEXTJOIN("|",TRUE,GameLog[[#This Row],[Pod]],TEXT(INT(GameLog[[#This Row],[Round]]),"yyyymmdd"),GameLog[[#This Row],[Date]])</f>
        <v>2|19000101|46216</v>
      </c>
      <c r="H1813" s="6">
        <f>COUNTIF(GameLog[Pod ID],GameLog[[#This Row],[Pod ID]])</f>
        <v>4</v>
      </c>
      <c r="I1813" s="6">
        <f>YEAR(GameLog[[#This Row],[Date]])</f>
        <v>2026</v>
      </c>
      <c r="J1813" s="6">
        <f>MONTH(GameLog[[#This Row],[Date]])</f>
        <v>7</v>
      </c>
      <c r="K1813" s="6" t="str">
        <f>IF(GameLog[[#This Row],[Date]]=MAX(GameLog[Date]),"Current","Previous")</f>
        <v>Previous</v>
      </c>
      <c r="L1813" s="6"/>
      <c r="M18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3" s="6" t="str">
        <f ca="1">IF(GameLog[[#This Row],[Check]]="","",COUNTIF(GameLog[[#Headers],[Check]]:GameLog[[#This Row],[Check]],"?*")-1)</f>
        <v/>
      </c>
      <c r="O1813" s="6" t="str">
        <f>IFERROR(INDEX(Players[New name],MATCH(GameLog[[#This Row],[Player]],Players[Name],0)),GameLog[[#This Row],[Player]])</f>
        <v>Eli T</v>
      </c>
    </row>
    <row r="1814" spans="1:15" x14ac:dyDescent="0.45">
      <c r="A1814" s="6" t="s">
        <v>109</v>
      </c>
      <c r="B1814" s="6" t="s">
        <v>53</v>
      </c>
      <c r="C1814" s="6">
        <v>4</v>
      </c>
      <c r="D1814" s="6">
        <v>2</v>
      </c>
      <c r="E1814" s="6">
        <v>1</v>
      </c>
      <c r="F1814" s="10">
        <v>46216</v>
      </c>
      <c r="G1814" s="6" t="str">
        <f>_xlfn.TEXTJOIN("|",TRUE,GameLog[[#This Row],[Pod]],TEXT(INT(GameLog[[#This Row],[Round]]),"yyyymmdd"),GameLog[[#This Row],[Date]])</f>
        <v>2|19000101|46216</v>
      </c>
      <c r="H1814" s="6">
        <f>COUNTIF(GameLog[Pod ID],GameLog[[#This Row],[Pod ID]])</f>
        <v>4</v>
      </c>
      <c r="I1814" s="6">
        <f>YEAR(GameLog[[#This Row],[Date]])</f>
        <v>2026</v>
      </c>
      <c r="J1814" s="6">
        <f>MONTH(GameLog[[#This Row],[Date]])</f>
        <v>7</v>
      </c>
      <c r="K1814" s="6" t="str">
        <f>IF(GameLog[[#This Row],[Date]]=MAX(GameLog[Date]),"Current","Previous")</f>
        <v>Previous</v>
      </c>
      <c r="L1814" s="6"/>
      <c r="M18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4" s="6" t="str">
        <f ca="1">IF(GameLog[[#This Row],[Check]]="","",COUNTIF(GameLog[[#Headers],[Check]]:GameLog[[#This Row],[Check]],"?*")-1)</f>
        <v/>
      </c>
      <c r="O1814" s="6" t="str">
        <f>IFERROR(INDEX(Players[New name],MATCH(GameLog[[#This Row],[Player]],Players[Name],0)),GameLog[[#This Row],[Player]])</f>
        <v>Taylor C</v>
      </c>
    </row>
    <row r="1815" spans="1:15" x14ac:dyDescent="0.45">
      <c r="A1815" s="6" t="s">
        <v>96</v>
      </c>
      <c r="B1815" s="6" t="s">
        <v>53</v>
      </c>
      <c r="C1815" s="6">
        <v>1</v>
      </c>
      <c r="D1815" s="6">
        <v>3</v>
      </c>
      <c r="E1815" s="6">
        <v>1</v>
      </c>
      <c r="F1815" s="10">
        <v>46216</v>
      </c>
      <c r="G1815" s="6" t="str">
        <f>_xlfn.TEXTJOIN("|",TRUE,GameLog[[#This Row],[Pod]],TEXT(INT(GameLog[[#This Row],[Round]]),"yyyymmdd"),GameLog[[#This Row],[Date]])</f>
        <v>3|19000101|46216</v>
      </c>
      <c r="H1815" s="6">
        <f>COUNTIF(GameLog[Pod ID],GameLog[[#This Row],[Pod ID]])</f>
        <v>4</v>
      </c>
      <c r="I1815" s="6">
        <f>YEAR(GameLog[[#This Row],[Date]])</f>
        <v>2026</v>
      </c>
      <c r="J1815" s="6">
        <f>MONTH(GameLog[[#This Row],[Date]])</f>
        <v>7</v>
      </c>
      <c r="K1815" s="6" t="str">
        <f>IF(GameLog[[#This Row],[Date]]=MAX(GameLog[Date]),"Current","Previous")</f>
        <v>Previous</v>
      </c>
      <c r="L1815" s="6"/>
      <c r="M18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5" s="6" t="str">
        <f ca="1">IF(GameLog[[#This Row],[Check]]="","",COUNTIF(GameLog[[#Headers],[Check]]:GameLog[[#This Row],[Check]],"?*")-1)</f>
        <v/>
      </c>
      <c r="O1815" s="6" t="str">
        <f>IFERROR(INDEX(Players[New name],MATCH(GameLog[[#This Row],[Player]],Players[Name],0)),GameLog[[#This Row],[Player]])</f>
        <v>Brandon A</v>
      </c>
    </row>
    <row r="1816" spans="1:15" x14ac:dyDescent="0.45">
      <c r="A1816" s="6" t="s">
        <v>59</v>
      </c>
      <c r="B1816" s="6" t="s">
        <v>50</v>
      </c>
      <c r="C1816" s="6">
        <v>2</v>
      </c>
      <c r="D1816" s="6">
        <v>3</v>
      </c>
      <c r="E1816" s="6">
        <v>1</v>
      </c>
      <c r="F1816" s="10">
        <v>46216</v>
      </c>
      <c r="G1816" s="6" t="str">
        <f>_xlfn.TEXTJOIN("|",TRUE,GameLog[[#This Row],[Pod]],TEXT(INT(GameLog[[#This Row],[Round]]),"yyyymmdd"),GameLog[[#This Row],[Date]])</f>
        <v>3|19000101|46216</v>
      </c>
      <c r="H1816" s="6">
        <f>COUNTIF(GameLog[Pod ID],GameLog[[#This Row],[Pod ID]])</f>
        <v>4</v>
      </c>
      <c r="I1816" s="6">
        <f>YEAR(GameLog[[#This Row],[Date]])</f>
        <v>2026</v>
      </c>
      <c r="J1816" s="6">
        <f>MONTH(GameLog[[#This Row],[Date]])</f>
        <v>7</v>
      </c>
      <c r="K1816" s="6" t="str">
        <f>IF(GameLog[[#This Row],[Date]]=MAX(GameLog[Date]),"Current","Previous")</f>
        <v>Previous</v>
      </c>
      <c r="L1816" s="6"/>
      <c r="M18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6" s="6" t="str">
        <f ca="1">IF(GameLog[[#This Row],[Check]]="","",COUNTIF(GameLog[[#Headers],[Check]]:GameLog[[#This Row],[Check]],"?*")-1)</f>
        <v/>
      </c>
      <c r="O1816" s="6" t="str">
        <f>IFERROR(INDEX(Players[New name],MATCH(GameLog[[#This Row],[Player]],Players[Name],0)),GameLog[[#This Row],[Player]])</f>
        <v>Zack B</v>
      </c>
    </row>
    <row r="1817" spans="1:15" x14ac:dyDescent="0.45">
      <c r="A1817" s="6" t="s">
        <v>113</v>
      </c>
      <c r="B1817" s="6" t="s">
        <v>53</v>
      </c>
      <c r="C1817" s="6">
        <v>3</v>
      </c>
      <c r="D1817" s="6">
        <v>3</v>
      </c>
      <c r="E1817" s="6">
        <v>1</v>
      </c>
      <c r="F1817" s="10">
        <v>46216</v>
      </c>
      <c r="G1817" s="6" t="str">
        <f>_xlfn.TEXTJOIN("|",TRUE,GameLog[[#This Row],[Pod]],TEXT(INT(GameLog[[#This Row],[Round]]),"yyyymmdd"),GameLog[[#This Row],[Date]])</f>
        <v>3|19000101|46216</v>
      </c>
      <c r="H1817" s="6">
        <f>COUNTIF(GameLog[Pod ID],GameLog[[#This Row],[Pod ID]])</f>
        <v>4</v>
      </c>
      <c r="I1817" s="6">
        <f>YEAR(GameLog[[#This Row],[Date]])</f>
        <v>2026</v>
      </c>
      <c r="J1817" s="6">
        <f>MONTH(GameLog[[#This Row],[Date]])</f>
        <v>7</v>
      </c>
      <c r="K1817" s="6" t="str">
        <f>IF(GameLog[[#This Row],[Date]]=MAX(GameLog[Date]),"Current","Previous")</f>
        <v>Previous</v>
      </c>
      <c r="L1817" s="6"/>
      <c r="M18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7" s="6" t="str">
        <f ca="1">IF(GameLog[[#This Row],[Check]]="","",COUNTIF(GameLog[[#Headers],[Check]]:GameLog[[#This Row],[Check]],"?*")-1)</f>
        <v/>
      </c>
      <c r="O1817" s="6" t="str">
        <f>IFERROR(INDEX(Players[New name],MATCH(GameLog[[#This Row],[Player]],Players[Name],0)),GameLog[[#This Row],[Player]])</f>
        <v>Gavin J</v>
      </c>
    </row>
    <row r="1818" spans="1:15" x14ac:dyDescent="0.45">
      <c r="A1818" s="6" t="s">
        <v>55</v>
      </c>
      <c r="B1818" s="6" t="s">
        <v>53</v>
      </c>
      <c r="C1818" s="6">
        <v>4</v>
      </c>
      <c r="D1818" s="6">
        <v>3</v>
      </c>
      <c r="E1818" s="6">
        <v>1</v>
      </c>
      <c r="F1818" s="10">
        <v>46216</v>
      </c>
      <c r="G1818" s="6" t="str">
        <f>_xlfn.TEXTJOIN("|",TRUE,GameLog[[#This Row],[Pod]],TEXT(INT(GameLog[[#This Row],[Round]]),"yyyymmdd"),GameLog[[#This Row],[Date]])</f>
        <v>3|19000101|46216</v>
      </c>
      <c r="H1818" s="6">
        <f>COUNTIF(GameLog[Pod ID],GameLog[[#This Row],[Pod ID]])</f>
        <v>4</v>
      </c>
      <c r="I1818" s="6">
        <f>YEAR(GameLog[[#This Row],[Date]])</f>
        <v>2026</v>
      </c>
      <c r="J1818" s="6">
        <f>MONTH(GameLog[[#This Row],[Date]])</f>
        <v>7</v>
      </c>
      <c r="K1818" s="6" t="str">
        <f>IF(GameLog[[#This Row],[Date]]=MAX(GameLog[Date]),"Current","Previous")</f>
        <v>Previous</v>
      </c>
      <c r="L1818" s="6"/>
      <c r="M18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8" s="6" t="str">
        <f ca="1">IF(GameLog[[#This Row],[Check]]="","",COUNTIF(GameLog[[#Headers],[Check]]:GameLog[[#This Row],[Check]],"?*")-1)</f>
        <v/>
      </c>
      <c r="O1818" s="6" t="str">
        <f>IFERROR(INDEX(Players[New name],MATCH(GameLog[[#This Row],[Player]],Players[Name],0)),GameLog[[#This Row],[Player]])</f>
        <v>Bryce C</v>
      </c>
    </row>
    <row r="1819" spans="1:15" x14ac:dyDescent="0.45">
      <c r="A1819" s="6" t="s">
        <v>97</v>
      </c>
      <c r="B1819" s="6" t="s">
        <v>53</v>
      </c>
      <c r="C1819" s="6">
        <v>1</v>
      </c>
      <c r="D1819" s="6">
        <v>4</v>
      </c>
      <c r="E1819" s="6">
        <v>1</v>
      </c>
      <c r="F1819" s="10">
        <v>46216</v>
      </c>
      <c r="G1819" s="6" t="str">
        <f>_xlfn.TEXTJOIN("|",TRUE,GameLog[[#This Row],[Pod]],TEXT(INT(GameLog[[#This Row],[Round]]),"yyyymmdd"),GameLog[[#This Row],[Date]])</f>
        <v>4|19000101|46216</v>
      </c>
      <c r="H1819" s="6">
        <f>COUNTIF(GameLog[Pod ID],GameLog[[#This Row],[Pod ID]])</f>
        <v>4</v>
      </c>
      <c r="I1819" s="6">
        <f>YEAR(GameLog[[#This Row],[Date]])</f>
        <v>2026</v>
      </c>
      <c r="J1819" s="6">
        <f>MONTH(GameLog[[#This Row],[Date]])</f>
        <v>7</v>
      </c>
      <c r="K1819" s="6" t="str">
        <f>IF(GameLog[[#This Row],[Date]]=MAX(GameLog[Date]),"Current","Previous")</f>
        <v>Previous</v>
      </c>
      <c r="L1819" s="6"/>
      <c r="M18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19" s="6" t="str">
        <f ca="1">IF(GameLog[[#This Row],[Check]]="","",COUNTIF(GameLog[[#Headers],[Check]]:GameLog[[#This Row],[Check]],"?*")-1)</f>
        <v/>
      </c>
      <c r="O1819" s="6" t="str">
        <f>IFERROR(INDEX(Players[New name],MATCH(GameLog[[#This Row],[Player]],Players[Name],0)),GameLog[[#This Row],[Player]])</f>
        <v>Arman H</v>
      </c>
    </row>
    <row r="1820" spans="1:15" x14ac:dyDescent="0.45">
      <c r="A1820" s="6" t="s">
        <v>64</v>
      </c>
      <c r="B1820" s="6" t="s">
        <v>53</v>
      </c>
      <c r="C1820" s="6">
        <v>2</v>
      </c>
      <c r="D1820" s="6">
        <v>4</v>
      </c>
      <c r="E1820" s="6">
        <v>1</v>
      </c>
      <c r="F1820" s="10">
        <v>46216</v>
      </c>
      <c r="G1820" s="6" t="str">
        <f>_xlfn.TEXTJOIN("|",TRUE,GameLog[[#This Row],[Pod]],TEXT(INT(GameLog[[#This Row],[Round]]),"yyyymmdd"),GameLog[[#This Row],[Date]])</f>
        <v>4|19000101|46216</v>
      </c>
      <c r="H1820" s="6">
        <f>COUNTIF(GameLog[Pod ID],GameLog[[#This Row],[Pod ID]])</f>
        <v>4</v>
      </c>
      <c r="I1820" s="6">
        <f>YEAR(GameLog[[#This Row],[Date]])</f>
        <v>2026</v>
      </c>
      <c r="J1820" s="6">
        <f>MONTH(GameLog[[#This Row],[Date]])</f>
        <v>7</v>
      </c>
      <c r="K1820" s="6" t="str">
        <f>IF(GameLog[[#This Row],[Date]]=MAX(GameLog[Date]),"Current","Previous")</f>
        <v>Previous</v>
      </c>
      <c r="L1820" s="6"/>
      <c r="M18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0" s="6" t="str">
        <f ca="1">IF(GameLog[[#This Row],[Check]]="","",COUNTIF(GameLog[[#Headers],[Check]]:GameLog[[#This Row],[Check]],"?*")-1)</f>
        <v/>
      </c>
      <c r="O1820" s="6" t="str">
        <f>IFERROR(INDEX(Players[New name],MATCH(GameLog[[#This Row],[Player]],Players[Name],0)),GameLog[[#This Row],[Player]])</f>
        <v>Tyler B</v>
      </c>
    </row>
    <row r="1821" spans="1:15" x14ac:dyDescent="0.45">
      <c r="A1821" s="6" t="s">
        <v>58</v>
      </c>
      <c r="B1821" s="6" t="s">
        <v>53</v>
      </c>
      <c r="C1821" s="6">
        <v>3</v>
      </c>
      <c r="D1821" s="6">
        <v>4</v>
      </c>
      <c r="E1821" s="6">
        <v>1</v>
      </c>
      <c r="F1821" s="10">
        <v>46216</v>
      </c>
      <c r="G1821" s="6" t="str">
        <f>_xlfn.TEXTJOIN("|",TRUE,GameLog[[#This Row],[Pod]],TEXT(INT(GameLog[[#This Row],[Round]]),"yyyymmdd"),GameLog[[#This Row],[Date]])</f>
        <v>4|19000101|46216</v>
      </c>
      <c r="H1821" s="6">
        <f>COUNTIF(GameLog[Pod ID],GameLog[[#This Row],[Pod ID]])</f>
        <v>4</v>
      </c>
      <c r="I1821" s="6">
        <f>YEAR(GameLog[[#This Row],[Date]])</f>
        <v>2026</v>
      </c>
      <c r="J1821" s="6">
        <f>MONTH(GameLog[[#This Row],[Date]])</f>
        <v>7</v>
      </c>
      <c r="K1821" s="6" t="str">
        <f>IF(GameLog[[#This Row],[Date]]=MAX(GameLog[Date]),"Current","Previous")</f>
        <v>Previous</v>
      </c>
      <c r="L1821" s="6"/>
      <c r="M18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1" s="6" t="str">
        <f ca="1">IF(GameLog[[#This Row],[Check]]="","",COUNTIF(GameLog[[#Headers],[Check]]:GameLog[[#This Row],[Check]],"?*")-1)</f>
        <v/>
      </c>
      <c r="O1821" s="6" t="str">
        <f>IFERROR(INDEX(Players[New name],MATCH(GameLog[[#This Row],[Player]],Players[Name],0)),GameLog[[#This Row],[Player]])</f>
        <v>Dakota P</v>
      </c>
    </row>
    <row r="1822" spans="1:15" x14ac:dyDescent="0.45">
      <c r="A1822" s="6" t="s">
        <v>57</v>
      </c>
      <c r="B1822" s="6" t="s">
        <v>50</v>
      </c>
      <c r="C1822" s="6">
        <v>4</v>
      </c>
      <c r="D1822" s="6">
        <v>4</v>
      </c>
      <c r="E1822" s="6">
        <v>1</v>
      </c>
      <c r="F1822" s="10">
        <v>46216</v>
      </c>
      <c r="G1822" s="6" t="str">
        <f>_xlfn.TEXTJOIN("|",TRUE,GameLog[[#This Row],[Pod]],TEXT(INT(GameLog[[#This Row],[Round]]),"yyyymmdd"),GameLog[[#This Row],[Date]])</f>
        <v>4|19000101|46216</v>
      </c>
      <c r="H1822" s="6">
        <f>COUNTIF(GameLog[Pod ID],GameLog[[#This Row],[Pod ID]])</f>
        <v>4</v>
      </c>
      <c r="I1822" s="6">
        <f>YEAR(GameLog[[#This Row],[Date]])</f>
        <v>2026</v>
      </c>
      <c r="J1822" s="6">
        <f>MONTH(GameLog[[#This Row],[Date]])</f>
        <v>7</v>
      </c>
      <c r="K1822" s="6" t="str">
        <f>IF(GameLog[[#This Row],[Date]]=MAX(GameLog[Date]),"Current","Previous")</f>
        <v>Previous</v>
      </c>
      <c r="L1822" s="6"/>
      <c r="M18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2" s="6" t="str">
        <f ca="1">IF(GameLog[[#This Row],[Check]]="","",COUNTIF(GameLog[[#Headers],[Check]]:GameLog[[#This Row],[Check]],"?*")-1)</f>
        <v/>
      </c>
      <c r="O1822" s="6" t="str">
        <f>IFERROR(INDEX(Players[New name],MATCH(GameLog[[#This Row],[Player]],Players[Name],0)),GameLog[[#This Row],[Player]])</f>
        <v>AJ W</v>
      </c>
    </row>
    <row r="1823" spans="1:15" x14ac:dyDescent="0.45">
      <c r="A1823" s="6" t="s">
        <v>70</v>
      </c>
      <c r="B1823" s="6" t="s">
        <v>50</v>
      </c>
      <c r="C1823" s="6">
        <v>1</v>
      </c>
      <c r="D1823" s="6">
        <v>5</v>
      </c>
      <c r="E1823" s="6">
        <v>1</v>
      </c>
      <c r="F1823" s="10">
        <v>46216</v>
      </c>
      <c r="G1823" s="6" t="str">
        <f>_xlfn.TEXTJOIN("|",TRUE,GameLog[[#This Row],[Pod]],TEXT(INT(GameLog[[#This Row],[Round]]),"yyyymmdd"),GameLog[[#This Row],[Date]])</f>
        <v>5|19000101|46216</v>
      </c>
      <c r="H1823" s="6">
        <f>COUNTIF(GameLog[Pod ID],GameLog[[#This Row],[Pod ID]])</f>
        <v>4</v>
      </c>
      <c r="I1823" s="6">
        <f>YEAR(GameLog[[#This Row],[Date]])</f>
        <v>2026</v>
      </c>
      <c r="J1823" s="6">
        <f>MONTH(GameLog[[#This Row],[Date]])</f>
        <v>7</v>
      </c>
      <c r="K1823" s="6" t="str">
        <f>IF(GameLog[[#This Row],[Date]]=MAX(GameLog[Date]),"Current","Previous")</f>
        <v>Previous</v>
      </c>
      <c r="L1823" s="6"/>
      <c r="M18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3" s="6" t="str">
        <f ca="1">IF(GameLog[[#This Row],[Check]]="","",COUNTIF(GameLog[[#Headers],[Check]]:GameLog[[#This Row],[Check]],"?*")-1)</f>
        <v/>
      </c>
      <c r="O1823" s="6" t="str">
        <f>IFERROR(INDEX(Players[New name],MATCH(GameLog[[#This Row],[Player]],Players[Name],0)),GameLog[[#This Row],[Player]])</f>
        <v>Brad F</v>
      </c>
    </row>
    <row r="1824" spans="1:15" x14ac:dyDescent="0.45">
      <c r="A1824" s="6" t="s">
        <v>71</v>
      </c>
      <c r="B1824" s="6" t="s">
        <v>53</v>
      </c>
      <c r="C1824" s="6">
        <v>2</v>
      </c>
      <c r="D1824" s="6">
        <v>5</v>
      </c>
      <c r="E1824" s="6">
        <v>1</v>
      </c>
      <c r="F1824" s="10">
        <v>46216</v>
      </c>
      <c r="G1824" s="6" t="str">
        <f>_xlfn.TEXTJOIN("|",TRUE,GameLog[[#This Row],[Pod]],TEXT(INT(GameLog[[#This Row],[Round]]),"yyyymmdd"),GameLog[[#This Row],[Date]])</f>
        <v>5|19000101|46216</v>
      </c>
      <c r="H1824" s="6">
        <f>COUNTIF(GameLog[Pod ID],GameLog[[#This Row],[Pod ID]])</f>
        <v>4</v>
      </c>
      <c r="I1824" s="6">
        <f>YEAR(GameLog[[#This Row],[Date]])</f>
        <v>2026</v>
      </c>
      <c r="J1824" s="6">
        <f>MONTH(GameLog[[#This Row],[Date]])</f>
        <v>7</v>
      </c>
      <c r="K1824" s="6" t="str">
        <f>IF(GameLog[[#This Row],[Date]]=MAX(GameLog[Date]),"Current","Previous")</f>
        <v>Previous</v>
      </c>
      <c r="L1824" s="6"/>
      <c r="M18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4" s="6" t="str">
        <f ca="1">IF(GameLog[[#This Row],[Check]]="","",COUNTIF(GameLog[[#Headers],[Check]]:GameLog[[#This Row],[Check]],"?*")-1)</f>
        <v/>
      </c>
      <c r="O1824" s="6" t="str">
        <f>IFERROR(INDEX(Players[New name],MATCH(GameLog[[#This Row],[Player]],Players[Name],0)),GameLog[[#This Row],[Player]])</f>
        <v>Rodney Y</v>
      </c>
    </row>
    <row r="1825" spans="1:15" x14ac:dyDescent="0.45">
      <c r="A1825" s="6" t="s">
        <v>104</v>
      </c>
      <c r="B1825" s="6" t="s">
        <v>53</v>
      </c>
      <c r="C1825" s="6">
        <v>3</v>
      </c>
      <c r="D1825" s="6">
        <v>5</v>
      </c>
      <c r="E1825" s="6">
        <v>1</v>
      </c>
      <c r="F1825" s="10">
        <v>46216</v>
      </c>
      <c r="G1825" s="6" t="str">
        <f>_xlfn.TEXTJOIN("|",TRUE,GameLog[[#This Row],[Pod]],TEXT(INT(GameLog[[#This Row],[Round]]),"yyyymmdd"),GameLog[[#This Row],[Date]])</f>
        <v>5|19000101|46216</v>
      </c>
      <c r="H1825" s="6">
        <f>COUNTIF(GameLog[Pod ID],GameLog[[#This Row],[Pod ID]])</f>
        <v>4</v>
      </c>
      <c r="I1825" s="6">
        <f>YEAR(GameLog[[#This Row],[Date]])</f>
        <v>2026</v>
      </c>
      <c r="J1825" s="6">
        <f>MONTH(GameLog[[#This Row],[Date]])</f>
        <v>7</v>
      </c>
      <c r="K1825" s="6" t="str">
        <f>IF(GameLog[[#This Row],[Date]]=MAX(GameLog[Date]),"Current","Previous")</f>
        <v>Previous</v>
      </c>
      <c r="L1825" s="6"/>
      <c r="M18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5" s="6" t="str">
        <f ca="1">IF(GameLog[[#This Row],[Check]]="","",COUNTIF(GameLog[[#Headers],[Check]]:GameLog[[#This Row],[Check]],"?*")-1)</f>
        <v/>
      </c>
      <c r="O1825" s="6" t="str">
        <f>IFERROR(INDEX(Players[New name],MATCH(GameLog[[#This Row],[Player]],Players[Name],0)),GameLog[[#This Row],[Player]])</f>
        <v>Eric E</v>
      </c>
    </row>
    <row r="1826" spans="1:15" x14ac:dyDescent="0.45">
      <c r="A1826" s="6" t="s">
        <v>49</v>
      </c>
      <c r="B1826" s="6" t="s">
        <v>53</v>
      </c>
      <c r="C1826" s="6">
        <v>4</v>
      </c>
      <c r="D1826" s="6">
        <v>5</v>
      </c>
      <c r="E1826" s="6">
        <v>1</v>
      </c>
      <c r="F1826" s="10">
        <v>46216</v>
      </c>
      <c r="G1826" s="6" t="str">
        <f>_xlfn.TEXTJOIN("|",TRUE,GameLog[[#This Row],[Pod]],TEXT(INT(GameLog[[#This Row],[Round]]),"yyyymmdd"),GameLog[[#This Row],[Date]])</f>
        <v>5|19000101|46216</v>
      </c>
      <c r="H1826" s="6">
        <f>COUNTIF(GameLog[Pod ID],GameLog[[#This Row],[Pod ID]])</f>
        <v>4</v>
      </c>
      <c r="I1826" s="6">
        <f>YEAR(GameLog[[#This Row],[Date]])</f>
        <v>2026</v>
      </c>
      <c r="J1826" s="6">
        <f>MONTH(GameLog[[#This Row],[Date]])</f>
        <v>7</v>
      </c>
      <c r="K1826" s="6" t="str">
        <f>IF(GameLog[[#This Row],[Date]]=MAX(GameLog[Date]),"Current","Previous")</f>
        <v>Previous</v>
      </c>
      <c r="L1826" s="6"/>
      <c r="M18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6" s="6" t="str">
        <f ca="1">IF(GameLog[[#This Row],[Check]]="","",COUNTIF(GameLog[[#Headers],[Check]]:GameLog[[#This Row],[Check]],"?*")-1)</f>
        <v/>
      </c>
      <c r="O1826" s="6" t="str">
        <f>IFERROR(INDEX(Players[New name],MATCH(GameLog[[#This Row],[Player]],Players[Name],0)),GameLog[[#This Row],[Player]])</f>
        <v>Brett R</v>
      </c>
    </row>
    <row r="1827" spans="1:15" x14ac:dyDescent="0.45">
      <c r="A1827" s="6" t="s">
        <v>59</v>
      </c>
      <c r="B1827" s="6" t="s">
        <v>53</v>
      </c>
      <c r="C1827" s="6">
        <v>1</v>
      </c>
      <c r="D1827" s="6">
        <v>1</v>
      </c>
      <c r="E1827" s="6">
        <v>2</v>
      </c>
      <c r="F1827" s="10">
        <v>46216</v>
      </c>
      <c r="G1827" s="6" t="str">
        <f>_xlfn.TEXTJOIN("|",TRUE,GameLog[[#This Row],[Pod]],TEXT(INT(GameLog[[#This Row],[Round]]),"yyyymmdd"),GameLog[[#This Row],[Date]])</f>
        <v>1|19000102|46216</v>
      </c>
      <c r="H1827" s="6">
        <f>COUNTIF(GameLog[Pod ID],GameLog[[#This Row],[Pod ID]])</f>
        <v>4</v>
      </c>
      <c r="I1827" s="6">
        <f>YEAR(GameLog[[#This Row],[Date]])</f>
        <v>2026</v>
      </c>
      <c r="J1827" s="6">
        <f>MONTH(GameLog[[#This Row],[Date]])</f>
        <v>7</v>
      </c>
      <c r="K1827" s="6" t="str">
        <f>IF(GameLog[[#This Row],[Date]]=MAX(GameLog[Date]),"Current","Previous")</f>
        <v>Previous</v>
      </c>
      <c r="L1827" s="6"/>
      <c r="M18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7" s="6" t="str">
        <f ca="1">IF(GameLog[[#This Row],[Check]]="","",COUNTIF(GameLog[[#Headers],[Check]]:GameLog[[#This Row],[Check]],"?*")-1)</f>
        <v/>
      </c>
      <c r="O1827" s="6" t="str">
        <f>IFERROR(INDEX(Players[New name],MATCH(GameLog[[#This Row],[Player]],Players[Name],0)),GameLog[[#This Row],[Player]])</f>
        <v>Zack B</v>
      </c>
    </row>
    <row r="1828" spans="1:15" x14ac:dyDescent="0.45">
      <c r="A1828" s="6" t="s">
        <v>57</v>
      </c>
      <c r="B1828" s="6" t="s">
        <v>53</v>
      </c>
      <c r="C1828" s="6">
        <v>2</v>
      </c>
      <c r="D1828" s="6">
        <v>1</v>
      </c>
      <c r="E1828" s="6">
        <v>2</v>
      </c>
      <c r="F1828" s="10">
        <v>46216</v>
      </c>
      <c r="G1828" s="6" t="str">
        <f>_xlfn.TEXTJOIN("|",TRUE,GameLog[[#This Row],[Pod]],TEXT(INT(GameLog[[#This Row],[Round]]),"yyyymmdd"),GameLog[[#This Row],[Date]])</f>
        <v>1|19000102|46216</v>
      </c>
      <c r="H1828" s="6">
        <f>COUNTIF(GameLog[Pod ID],GameLog[[#This Row],[Pod ID]])</f>
        <v>4</v>
      </c>
      <c r="I1828" s="6">
        <f>YEAR(GameLog[[#This Row],[Date]])</f>
        <v>2026</v>
      </c>
      <c r="J1828" s="6">
        <f>MONTH(GameLog[[#This Row],[Date]])</f>
        <v>7</v>
      </c>
      <c r="K1828" s="6" t="str">
        <f>IF(GameLog[[#This Row],[Date]]=MAX(GameLog[Date]),"Current","Previous")</f>
        <v>Previous</v>
      </c>
      <c r="L1828" s="6"/>
      <c r="M18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8" s="6" t="str">
        <f ca="1">IF(GameLog[[#This Row],[Check]]="","",COUNTIF(GameLog[[#Headers],[Check]]:GameLog[[#This Row],[Check]],"?*")-1)</f>
        <v/>
      </c>
      <c r="O1828" s="6" t="str">
        <f>IFERROR(INDEX(Players[New name],MATCH(GameLog[[#This Row],[Player]],Players[Name],0)),GameLog[[#This Row],[Player]])</f>
        <v>AJ W</v>
      </c>
    </row>
    <row r="1829" spans="1:15" x14ac:dyDescent="0.45">
      <c r="A1829" s="6" t="s">
        <v>76</v>
      </c>
      <c r="B1829" s="6" t="s">
        <v>53</v>
      </c>
      <c r="C1829" s="6">
        <v>3</v>
      </c>
      <c r="D1829" s="6">
        <v>1</v>
      </c>
      <c r="E1829" s="6">
        <v>2</v>
      </c>
      <c r="F1829" s="10">
        <v>46216</v>
      </c>
      <c r="G1829" s="6" t="str">
        <f>_xlfn.TEXTJOIN("|",TRUE,GameLog[[#This Row],[Pod]],TEXT(INT(GameLog[[#This Row],[Round]]),"yyyymmdd"),GameLog[[#This Row],[Date]])</f>
        <v>1|19000102|46216</v>
      </c>
      <c r="H1829" s="6">
        <f>COUNTIF(GameLog[Pod ID],GameLog[[#This Row],[Pod ID]])</f>
        <v>4</v>
      </c>
      <c r="I1829" s="6">
        <f>YEAR(GameLog[[#This Row],[Date]])</f>
        <v>2026</v>
      </c>
      <c r="J1829" s="6">
        <f>MONTH(GameLog[[#This Row],[Date]])</f>
        <v>7</v>
      </c>
      <c r="K1829" s="6" t="str">
        <f>IF(GameLog[[#This Row],[Date]]=MAX(GameLog[Date]),"Current","Previous")</f>
        <v>Previous</v>
      </c>
      <c r="L1829" s="6"/>
      <c r="M18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29" s="6" t="str">
        <f ca="1">IF(GameLog[[#This Row],[Check]]="","",COUNTIF(GameLog[[#Headers],[Check]]:GameLog[[#This Row],[Check]],"?*")-1)</f>
        <v/>
      </c>
      <c r="O1829" s="6" t="str">
        <f>IFERROR(INDEX(Players[New name],MATCH(GameLog[[#This Row],[Player]],Players[Name],0)),GameLog[[#This Row],[Player]])</f>
        <v>Jon M</v>
      </c>
    </row>
    <row r="1830" spans="1:15" x14ac:dyDescent="0.45">
      <c r="A1830" s="6" t="s">
        <v>70</v>
      </c>
      <c r="B1830" s="6" t="s">
        <v>50</v>
      </c>
      <c r="C1830" s="6">
        <v>4</v>
      </c>
      <c r="D1830" s="6">
        <v>1</v>
      </c>
      <c r="E1830" s="6">
        <v>2</v>
      </c>
      <c r="F1830" s="10">
        <v>46216</v>
      </c>
      <c r="G1830" s="6" t="str">
        <f>_xlfn.TEXTJOIN("|",TRUE,GameLog[[#This Row],[Pod]],TEXT(INT(GameLog[[#This Row],[Round]]),"yyyymmdd"),GameLog[[#This Row],[Date]])</f>
        <v>1|19000102|46216</v>
      </c>
      <c r="H1830" s="6">
        <f>COUNTIF(GameLog[Pod ID],GameLog[[#This Row],[Pod ID]])</f>
        <v>4</v>
      </c>
      <c r="I1830" s="6">
        <f>YEAR(GameLog[[#This Row],[Date]])</f>
        <v>2026</v>
      </c>
      <c r="J1830" s="6">
        <f>MONTH(GameLog[[#This Row],[Date]])</f>
        <v>7</v>
      </c>
      <c r="K1830" s="6" t="str">
        <f>IF(GameLog[[#This Row],[Date]]=MAX(GameLog[Date]),"Current","Previous")</f>
        <v>Previous</v>
      </c>
      <c r="L1830" s="6"/>
      <c r="M18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0" s="6" t="str">
        <f ca="1">IF(GameLog[[#This Row],[Check]]="","",COUNTIF(GameLog[[#Headers],[Check]]:GameLog[[#This Row],[Check]],"?*")-1)</f>
        <v/>
      </c>
      <c r="O1830" s="6" t="str">
        <f>IFERROR(INDEX(Players[New name],MATCH(GameLog[[#This Row],[Player]],Players[Name],0)),GameLog[[#This Row],[Player]])</f>
        <v>Brad F</v>
      </c>
    </row>
    <row r="1831" spans="1:15" x14ac:dyDescent="0.45">
      <c r="A1831" s="6" t="s">
        <v>56</v>
      </c>
      <c r="B1831" s="6" t="s">
        <v>50</v>
      </c>
      <c r="C1831" s="6">
        <v>1</v>
      </c>
      <c r="D1831" s="6">
        <v>2</v>
      </c>
      <c r="E1831" s="6">
        <v>2</v>
      </c>
      <c r="F1831" s="10">
        <v>46216</v>
      </c>
      <c r="G1831" s="6" t="str">
        <f>_xlfn.TEXTJOIN("|",TRUE,GameLog[[#This Row],[Pod]],TEXT(INT(GameLog[[#This Row],[Round]]),"yyyymmdd"),GameLog[[#This Row],[Date]])</f>
        <v>2|19000102|46216</v>
      </c>
      <c r="H1831" s="6">
        <f>COUNTIF(GameLog[Pod ID],GameLog[[#This Row],[Pod ID]])</f>
        <v>4</v>
      </c>
      <c r="I1831" s="6">
        <f>YEAR(GameLog[[#This Row],[Date]])</f>
        <v>2026</v>
      </c>
      <c r="J1831" s="6">
        <f>MONTH(GameLog[[#This Row],[Date]])</f>
        <v>7</v>
      </c>
      <c r="K1831" s="6" t="str">
        <f>IF(GameLog[[#This Row],[Date]]=MAX(GameLog[Date]),"Current","Previous")</f>
        <v>Previous</v>
      </c>
      <c r="L1831" s="6"/>
      <c r="M18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1" s="6" t="str">
        <f ca="1">IF(GameLog[[#This Row],[Check]]="","",COUNTIF(GameLog[[#Headers],[Check]]:GameLog[[#This Row],[Check]],"?*")-1)</f>
        <v/>
      </c>
      <c r="O1831" s="6" t="str">
        <f>IFERROR(INDEX(Players[New name],MATCH(GameLog[[#This Row],[Player]],Players[Name],0)),GameLog[[#This Row],[Player]])</f>
        <v>Mark D</v>
      </c>
    </row>
    <row r="1832" spans="1:15" x14ac:dyDescent="0.45">
      <c r="A1832" s="6" t="s">
        <v>109</v>
      </c>
      <c r="B1832" s="6" t="s">
        <v>53</v>
      </c>
      <c r="C1832" s="6">
        <v>2</v>
      </c>
      <c r="D1832" s="6">
        <v>2</v>
      </c>
      <c r="E1832" s="6">
        <v>2</v>
      </c>
      <c r="F1832" s="10">
        <v>46216</v>
      </c>
      <c r="G1832" s="6" t="str">
        <f>_xlfn.TEXTJOIN("|",TRUE,GameLog[[#This Row],[Pod]],TEXT(INT(GameLog[[#This Row],[Round]]),"yyyymmdd"),GameLog[[#This Row],[Date]])</f>
        <v>2|19000102|46216</v>
      </c>
      <c r="H1832" s="6">
        <f>COUNTIF(GameLog[Pod ID],GameLog[[#This Row],[Pod ID]])</f>
        <v>4</v>
      </c>
      <c r="I1832" s="6">
        <f>YEAR(GameLog[[#This Row],[Date]])</f>
        <v>2026</v>
      </c>
      <c r="J1832" s="6">
        <f>MONTH(GameLog[[#This Row],[Date]])</f>
        <v>7</v>
      </c>
      <c r="K1832" s="6" t="str">
        <f>IF(GameLog[[#This Row],[Date]]=MAX(GameLog[Date]),"Current","Previous")</f>
        <v>Previous</v>
      </c>
      <c r="L1832" s="6"/>
      <c r="M18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2" s="6" t="str">
        <f ca="1">IF(GameLog[[#This Row],[Check]]="","",COUNTIF(GameLog[[#Headers],[Check]]:GameLog[[#This Row],[Check]],"?*")-1)</f>
        <v/>
      </c>
      <c r="O1832" s="6" t="str">
        <f>IFERROR(INDEX(Players[New name],MATCH(GameLog[[#This Row],[Player]],Players[Name],0)),GameLog[[#This Row],[Player]])</f>
        <v>Taylor C</v>
      </c>
    </row>
    <row r="1833" spans="1:15" x14ac:dyDescent="0.45">
      <c r="A1833" s="6" t="s">
        <v>64</v>
      </c>
      <c r="B1833" s="6" t="s">
        <v>53</v>
      </c>
      <c r="C1833" s="6">
        <v>3</v>
      </c>
      <c r="D1833" s="6">
        <v>2</v>
      </c>
      <c r="E1833" s="6">
        <v>2</v>
      </c>
      <c r="F1833" s="10">
        <v>46216</v>
      </c>
      <c r="G1833" s="6" t="str">
        <f>_xlfn.TEXTJOIN("|",TRUE,GameLog[[#This Row],[Pod]],TEXT(INT(GameLog[[#This Row],[Round]]),"yyyymmdd"),GameLog[[#This Row],[Date]])</f>
        <v>2|19000102|46216</v>
      </c>
      <c r="H1833" s="6">
        <f>COUNTIF(GameLog[Pod ID],GameLog[[#This Row],[Pod ID]])</f>
        <v>4</v>
      </c>
      <c r="I1833" s="6">
        <f>YEAR(GameLog[[#This Row],[Date]])</f>
        <v>2026</v>
      </c>
      <c r="J1833" s="6">
        <f>MONTH(GameLog[[#This Row],[Date]])</f>
        <v>7</v>
      </c>
      <c r="K1833" s="6" t="str">
        <f>IF(GameLog[[#This Row],[Date]]=MAX(GameLog[Date]),"Current","Previous")</f>
        <v>Previous</v>
      </c>
      <c r="L1833" s="6"/>
      <c r="M18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3" s="6" t="str">
        <f ca="1">IF(GameLog[[#This Row],[Check]]="","",COUNTIF(GameLog[[#Headers],[Check]]:GameLog[[#This Row],[Check]],"?*")-1)</f>
        <v/>
      </c>
      <c r="O1833" s="6" t="str">
        <f>IFERROR(INDEX(Players[New name],MATCH(GameLog[[#This Row],[Player]],Players[Name],0)),GameLog[[#This Row],[Player]])</f>
        <v>Tyler B</v>
      </c>
    </row>
    <row r="1834" spans="1:15" x14ac:dyDescent="0.45">
      <c r="A1834" s="6" t="s">
        <v>96</v>
      </c>
      <c r="B1834" s="6" t="s">
        <v>53</v>
      </c>
      <c r="C1834" s="6">
        <v>4</v>
      </c>
      <c r="D1834" s="6">
        <v>2</v>
      </c>
      <c r="E1834" s="6">
        <v>2</v>
      </c>
      <c r="F1834" s="10">
        <v>46216</v>
      </c>
      <c r="G1834" s="6" t="str">
        <f>_xlfn.TEXTJOIN("|",TRUE,GameLog[[#This Row],[Pod]],TEXT(INT(GameLog[[#This Row],[Round]]),"yyyymmdd"),GameLog[[#This Row],[Date]])</f>
        <v>2|19000102|46216</v>
      </c>
      <c r="H1834" s="6">
        <f>COUNTIF(GameLog[Pod ID],GameLog[[#This Row],[Pod ID]])</f>
        <v>4</v>
      </c>
      <c r="I1834" s="6">
        <f>YEAR(GameLog[[#This Row],[Date]])</f>
        <v>2026</v>
      </c>
      <c r="J1834" s="6">
        <f>MONTH(GameLog[[#This Row],[Date]])</f>
        <v>7</v>
      </c>
      <c r="K1834" s="6" t="str">
        <f>IF(GameLog[[#This Row],[Date]]=MAX(GameLog[Date]),"Current","Previous")</f>
        <v>Previous</v>
      </c>
      <c r="L1834" s="6"/>
      <c r="M18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4" s="6" t="str">
        <f ca="1">IF(GameLog[[#This Row],[Check]]="","",COUNTIF(GameLog[[#Headers],[Check]]:GameLog[[#This Row],[Check]],"?*")-1)</f>
        <v/>
      </c>
      <c r="O1834" s="6" t="str">
        <f>IFERROR(INDEX(Players[New name],MATCH(GameLog[[#This Row],[Player]],Players[Name],0)),GameLog[[#This Row],[Player]])</f>
        <v>Brandon A</v>
      </c>
    </row>
    <row r="1835" spans="1:15" x14ac:dyDescent="0.45">
      <c r="A1835" s="6" t="s">
        <v>118</v>
      </c>
      <c r="B1835" s="6" t="s">
        <v>53</v>
      </c>
      <c r="C1835" s="6">
        <v>1</v>
      </c>
      <c r="D1835" s="6">
        <v>3</v>
      </c>
      <c r="E1835" s="6">
        <v>2</v>
      </c>
      <c r="F1835" s="10">
        <v>46216</v>
      </c>
      <c r="G1835" s="6" t="str">
        <f>_xlfn.TEXTJOIN("|",TRUE,GameLog[[#This Row],[Pod]],TEXT(INT(GameLog[[#This Row],[Round]]),"yyyymmdd"),GameLog[[#This Row],[Date]])</f>
        <v>3|19000102|46216</v>
      </c>
      <c r="H1835" s="6">
        <f>COUNTIF(GameLog[Pod ID],GameLog[[#This Row],[Pod ID]])</f>
        <v>4</v>
      </c>
      <c r="I1835" s="6">
        <f>YEAR(GameLog[[#This Row],[Date]])</f>
        <v>2026</v>
      </c>
      <c r="J1835" s="6">
        <f>MONTH(GameLog[[#This Row],[Date]])</f>
        <v>7</v>
      </c>
      <c r="K1835" s="6" t="str">
        <f>IF(GameLog[[#This Row],[Date]]=MAX(GameLog[Date]),"Current","Previous")</f>
        <v>Previous</v>
      </c>
      <c r="L1835" s="6"/>
      <c r="M18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5" s="6" t="str">
        <f ca="1">IF(GameLog[[#This Row],[Check]]="","",COUNTIF(GameLog[[#Headers],[Check]]:GameLog[[#This Row],[Check]],"?*")-1)</f>
        <v/>
      </c>
      <c r="O1835" s="6" t="str">
        <f>IFERROR(INDEX(Players[New name],MATCH(GameLog[[#This Row],[Player]],Players[Name],0)),GameLog[[#This Row],[Player]])</f>
        <v>Eric T</v>
      </c>
    </row>
    <row r="1836" spans="1:15" x14ac:dyDescent="0.45">
      <c r="A1836" s="6" t="s">
        <v>49</v>
      </c>
      <c r="B1836" s="6" t="s">
        <v>53</v>
      </c>
      <c r="C1836" s="6">
        <v>2</v>
      </c>
      <c r="D1836" s="6">
        <v>3</v>
      </c>
      <c r="E1836" s="6">
        <v>2</v>
      </c>
      <c r="F1836" s="10">
        <v>46216</v>
      </c>
      <c r="G1836" s="6" t="str">
        <f>_xlfn.TEXTJOIN("|",TRUE,GameLog[[#This Row],[Pod]],TEXT(INT(GameLog[[#This Row],[Round]]),"yyyymmdd"),GameLog[[#This Row],[Date]])</f>
        <v>3|19000102|46216</v>
      </c>
      <c r="H1836" s="6">
        <f>COUNTIF(GameLog[Pod ID],GameLog[[#This Row],[Pod ID]])</f>
        <v>4</v>
      </c>
      <c r="I1836" s="6">
        <f>YEAR(GameLog[[#This Row],[Date]])</f>
        <v>2026</v>
      </c>
      <c r="J1836" s="6">
        <f>MONTH(GameLog[[#This Row],[Date]])</f>
        <v>7</v>
      </c>
      <c r="K1836" s="6" t="str">
        <f>IF(GameLog[[#This Row],[Date]]=MAX(GameLog[Date]),"Current","Previous")</f>
        <v>Previous</v>
      </c>
      <c r="L1836" s="6"/>
      <c r="M18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6" s="6" t="str">
        <f ca="1">IF(GameLog[[#This Row],[Check]]="","",COUNTIF(GameLog[[#Headers],[Check]]:GameLog[[#This Row],[Check]],"?*")-1)</f>
        <v/>
      </c>
      <c r="O1836" s="6" t="str">
        <f>IFERROR(INDEX(Players[New name],MATCH(GameLog[[#This Row],[Player]],Players[Name],0)),GameLog[[#This Row],[Player]])</f>
        <v>Brett R</v>
      </c>
    </row>
    <row r="1837" spans="1:15" x14ac:dyDescent="0.45">
      <c r="A1837" s="6" t="s">
        <v>58</v>
      </c>
      <c r="B1837" s="6" t="s">
        <v>53</v>
      </c>
      <c r="C1837" s="6">
        <v>3</v>
      </c>
      <c r="D1837" s="6">
        <v>3</v>
      </c>
      <c r="E1837" s="6">
        <v>2</v>
      </c>
      <c r="F1837" s="10">
        <v>46216</v>
      </c>
      <c r="G1837" s="6" t="str">
        <f>_xlfn.TEXTJOIN("|",TRUE,GameLog[[#This Row],[Pod]],TEXT(INT(GameLog[[#This Row],[Round]]),"yyyymmdd"),GameLog[[#This Row],[Date]])</f>
        <v>3|19000102|46216</v>
      </c>
      <c r="H1837" s="6">
        <f>COUNTIF(GameLog[Pod ID],GameLog[[#This Row],[Pod ID]])</f>
        <v>4</v>
      </c>
      <c r="I1837" s="6">
        <f>YEAR(GameLog[[#This Row],[Date]])</f>
        <v>2026</v>
      </c>
      <c r="J1837" s="6">
        <f>MONTH(GameLog[[#This Row],[Date]])</f>
        <v>7</v>
      </c>
      <c r="K1837" s="6" t="str">
        <f>IF(GameLog[[#This Row],[Date]]=MAX(GameLog[Date]),"Current","Previous")</f>
        <v>Previous</v>
      </c>
      <c r="L1837" s="6"/>
      <c r="M18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7" s="6" t="str">
        <f ca="1">IF(GameLog[[#This Row],[Check]]="","",COUNTIF(GameLog[[#Headers],[Check]]:GameLog[[#This Row],[Check]],"?*")-1)</f>
        <v/>
      </c>
      <c r="O1837" s="6" t="str">
        <f>IFERROR(INDEX(Players[New name],MATCH(GameLog[[#This Row],[Player]],Players[Name],0)),GameLog[[#This Row],[Player]])</f>
        <v>Dakota P</v>
      </c>
    </row>
    <row r="1838" spans="1:15" x14ac:dyDescent="0.45">
      <c r="A1838" s="6" t="s">
        <v>119</v>
      </c>
      <c r="B1838" s="6" t="s">
        <v>50</v>
      </c>
      <c r="C1838" s="6">
        <v>4</v>
      </c>
      <c r="D1838" s="6">
        <v>3</v>
      </c>
      <c r="E1838" s="6">
        <v>2</v>
      </c>
      <c r="F1838" s="10">
        <v>46216</v>
      </c>
      <c r="G1838" s="6" t="str">
        <f>_xlfn.TEXTJOIN("|",TRUE,GameLog[[#This Row],[Pod]],TEXT(INT(GameLog[[#This Row],[Round]]),"yyyymmdd"),GameLog[[#This Row],[Date]])</f>
        <v>3|19000102|46216</v>
      </c>
      <c r="H1838" s="6">
        <f>COUNTIF(GameLog[Pod ID],GameLog[[#This Row],[Pod ID]])</f>
        <v>4</v>
      </c>
      <c r="I1838" s="6">
        <f>YEAR(GameLog[[#This Row],[Date]])</f>
        <v>2026</v>
      </c>
      <c r="J1838" s="6">
        <f>MONTH(GameLog[[#This Row],[Date]])</f>
        <v>7</v>
      </c>
      <c r="K1838" s="6" t="str">
        <f>IF(GameLog[[#This Row],[Date]]=MAX(GameLog[Date]),"Current","Previous")</f>
        <v>Previous</v>
      </c>
      <c r="L1838" s="6"/>
      <c r="M18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8" s="6" t="str">
        <f ca="1">IF(GameLog[[#This Row],[Check]]="","",COUNTIF(GameLog[[#Headers],[Check]]:GameLog[[#This Row],[Check]],"?*")-1)</f>
        <v/>
      </c>
      <c r="O1838" s="6" t="str">
        <f>IFERROR(INDEX(Players[New name],MATCH(GameLog[[#This Row],[Player]],Players[Name],0)),GameLog[[#This Row],[Player]])</f>
        <v>Cristian S</v>
      </c>
    </row>
    <row r="1839" spans="1:15" x14ac:dyDescent="0.45">
      <c r="A1839" s="6" t="s">
        <v>73</v>
      </c>
      <c r="B1839" s="6" t="s">
        <v>53</v>
      </c>
      <c r="C1839" s="6">
        <v>1</v>
      </c>
      <c r="D1839" s="6">
        <v>4</v>
      </c>
      <c r="E1839" s="6">
        <v>2</v>
      </c>
      <c r="F1839" s="10">
        <v>46216</v>
      </c>
      <c r="G1839" s="6" t="str">
        <f>_xlfn.TEXTJOIN("|",TRUE,GameLog[[#This Row],[Pod]],TEXT(INT(GameLog[[#This Row],[Round]]),"yyyymmdd"),GameLog[[#This Row],[Date]])</f>
        <v>4|19000102|46216</v>
      </c>
      <c r="H1839" s="6">
        <f>COUNTIF(GameLog[Pod ID],GameLog[[#This Row],[Pod ID]])</f>
        <v>4</v>
      </c>
      <c r="I1839" s="6">
        <f>YEAR(GameLog[[#This Row],[Date]])</f>
        <v>2026</v>
      </c>
      <c r="J1839" s="6">
        <f>MONTH(GameLog[[#This Row],[Date]])</f>
        <v>7</v>
      </c>
      <c r="K1839" s="6" t="str">
        <f>IF(GameLog[[#This Row],[Date]]=MAX(GameLog[Date]),"Current","Previous")</f>
        <v>Previous</v>
      </c>
      <c r="L1839" s="6"/>
      <c r="M18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39" s="6" t="str">
        <f ca="1">IF(GameLog[[#This Row],[Check]]="","",COUNTIF(GameLog[[#Headers],[Check]]:GameLog[[#This Row],[Check]],"?*")-1)</f>
        <v/>
      </c>
      <c r="O1839" s="6" t="str">
        <f>IFERROR(INDEX(Players[New name],MATCH(GameLog[[#This Row],[Player]],Players[Name],0)),GameLog[[#This Row],[Player]])</f>
        <v>Brandon B</v>
      </c>
    </row>
    <row r="1840" spans="1:15" x14ac:dyDescent="0.45">
      <c r="A1840" s="6" t="s">
        <v>55</v>
      </c>
      <c r="B1840" s="6" t="s">
        <v>53</v>
      </c>
      <c r="C1840" s="6">
        <v>2</v>
      </c>
      <c r="D1840" s="6">
        <v>4</v>
      </c>
      <c r="E1840" s="6">
        <v>2</v>
      </c>
      <c r="F1840" s="10">
        <v>46216</v>
      </c>
      <c r="G1840" s="6" t="str">
        <f>_xlfn.TEXTJOIN("|",TRUE,GameLog[[#This Row],[Pod]],TEXT(INT(GameLog[[#This Row],[Round]]),"yyyymmdd"),GameLog[[#This Row],[Date]])</f>
        <v>4|19000102|46216</v>
      </c>
      <c r="H1840" s="6">
        <f>COUNTIF(GameLog[Pod ID],GameLog[[#This Row],[Pod ID]])</f>
        <v>4</v>
      </c>
      <c r="I1840" s="6">
        <f>YEAR(GameLog[[#This Row],[Date]])</f>
        <v>2026</v>
      </c>
      <c r="J1840" s="6">
        <f>MONTH(GameLog[[#This Row],[Date]])</f>
        <v>7</v>
      </c>
      <c r="K1840" s="6" t="str">
        <f>IF(GameLog[[#This Row],[Date]]=MAX(GameLog[Date]),"Current","Previous")</f>
        <v>Previous</v>
      </c>
      <c r="L1840" s="6"/>
      <c r="M18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0" s="6" t="str">
        <f ca="1">IF(GameLog[[#This Row],[Check]]="","",COUNTIF(GameLog[[#Headers],[Check]]:GameLog[[#This Row],[Check]],"?*")-1)</f>
        <v/>
      </c>
      <c r="O1840" s="6" t="str">
        <f>IFERROR(INDEX(Players[New name],MATCH(GameLog[[#This Row],[Player]],Players[Name],0)),GameLog[[#This Row],[Player]])</f>
        <v>Bryce C</v>
      </c>
    </row>
    <row r="1841" spans="1:15" x14ac:dyDescent="0.45">
      <c r="A1841" s="6" t="s">
        <v>71</v>
      </c>
      <c r="B1841" s="6" t="s">
        <v>50</v>
      </c>
      <c r="C1841" s="6">
        <v>3</v>
      </c>
      <c r="D1841" s="6">
        <v>4</v>
      </c>
      <c r="E1841" s="6">
        <v>2</v>
      </c>
      <c r="F1841" s="10">
        <v>46216</v>
      </c>
      <c r="G1841" s="6" t="str">
        <f>_xlfn.TEXTJOIN("|",TRUE,GameLog[[#This Row],[Pod]],TEXT(INT(GameLog[[#This Row],[Round]]),"yyyymmdd"),GameLog[[#This Row],[Date]])</f>
        <v>4|19000102|46216</v>
      </c>
      <c r="H1841" s="6">
        <f>COUNTIF(GameLog[Pod ID],GameLog[[#This Row],[Pod ID]])</f>
        <v>4</v>
      </c>
      <c r="I1841" s="6">
        <f>YEAR(GameLog[[#This Row],[Date]])</f>
        <v>2026</v>
      </c>
      <c r="J1841" s="6">
        <f>MONTH(GameLog[[#This Row],[Date]])</f>
        <v>7</v>
      </c>
      <c r="K1841" s="6" t="str">
        <f>IF(GameLog[[#This Row],[Date]]=MAX(GameLog[Date]),"Current","Previous")</f>
        <v>Previous</v>
      </c>
      <c r="L1841" s="6"/>
      <c r="M18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1" s="6" t="str">
        <f ca="1">IF(GameLog[[#This Row],[Check]]="","",COUNTIF(GameLog[[#Headers],[Check]]:GameLog[[#This Row],[Check]],"?*")-1)</f>
        <v/>
      </c>
      <c r="O1841" s="6" t="str">
        <f>IFERROR(INDEX(Players[New name],MATCH(GameLog[[#This Row],[Player]],Players[Name],0)),GameLog[[#This Row],[Player]])</f>
        <v>Rodney Y</v>
      </c>
    </row>
    <row r="1842" spans="1:15" x14ac:dyDescent="0.45">
      <c r="A1842" s="6" t="s">
        <v>97</v>
      </c>
      <c r="B1842" s="6" t="s">
        <v>53</v>
      </c>
      <c r="C1842" s="6">
        <v>4</v>
      </c>
      <c r="D1842" s="6">
        <v>4</v>
      </c>
      <c r="E1842" s="6">
        <v>2</v>
      </c>
      <c r="F1842" s="10">
        <v>46216</v>
      </c>
      <c r="G1842" s="6" t="str">
        <f>_xlfn.TEXTJOIN("|",TRUE,GameLog[[#This Row],[Pod]],TEXT(INT(GameLog[[#This Row],[Round]]),"yyyymmdd"),GameLog[[#This Row],[Date]])</f>
        <v>4|19000102|46216</v>
      </c>
      <c r="H1842" s="6">
        <f>COUNTIF(GameLog[Pod ID],GameLog[[#This Row],[Pod ID]])</f>
        <v>4</v>
      </c>
      <c r="I1842" s="6">
        <f>YEAR(GameLog[[#This Row],[Date]])</f>
        <v>2026</v>
      </c>
      <c r="J1842" s="6">
        <f>MONTH(GameLog[[#This Row],[Date]])</f>
        <v>7</v>
      </c>
      <c r="K1842" s="6" t="str">
        <f>IF(GameLog[[#This Row],[Date]]=MAX(GameLog[Date]),"Current","Previous")</f>
        <v>Previous</v>
      </c>
      <c r="L1842" s="6"/>
      <c r="M18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2" s="6" t="str">
        <f ca="1">IF(GameLog[[#This Row],[Check]]="","",COUNTIF(GameLog[[#Headers],[Check]]:GameLog[[#This Row],[Check]],"?*")-1)</f>
        <v/>
      </c>
      <c r="O1842" s="6" t="str">
        <f>IFERROR(INDEX(Players[New name],MATCH(GameLog[[#This Row],[Player]],Players[Name],0)),GameLog[[#This Row],[Player]])</f>
        <v>Arman H</v>
      </c>
    </row>
    <row r="1843" spans="1:15" x14ac:dyDescent="0.45">
      <c r="A1843" s="6" t="s">
        <v>61</v>
      </c>
      <c r="B1843" s="6" t="s">
        <v>53</v>
      </c>
      <c r="C1843" s="6">
        <v>1</v>
      </c>
      <c r="D1843" s="6">
        <v>5</v>
      </c>
      <c r="E1843" s="6">
        <v>2</v>
      </c>
      <c r="F1843" s="10">
        <v>46216</v>
      </c>
      <c r="G1843" s="6" t="str">
        <f>_xlfn.TEXTJOIN("|",TRUE,GameLog[[#This Row],[Pod]],TEXT(INT(GameLog[[#This Row],[Round]]),"yyyymmdd"),GameLog[[#This Row],[Date]])</f>
        <v>5|19000102|46216</v>
      </c>
      <c r="H1843" s="6">
        <f>COUNTIF(GameLog[Pod ID],GameLog[[#This Row],[Pod ID]])</f>
        <v>4</v>
      </c>
      <c r="I1843" s="6">
        <f>YEAR(GameLog[[#This Row],[Date]])</f>
        <v>2026</v>
      </c>
      <c r="J1843" s="6">
        <f>MONTH(GameLog[[#This Row],[Date]])</f>
        <v>7</v>
      </c>
      <c r="K1843" s="6" t="str">
        <f>IF(GameLog[[#This Row],[Date]]=MAX(GameLog[Date]),"Current","Previous")</f>
        <v>Previous</v>
      </c>
      <c r="L1843" s="6"/>
      <c r="M18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3" s="6" t="str">
        <f ca="1">IF(GameLog[[#This Row],[Check]]="","",COUNTIF(GameLog[[#Headers],[Check]]:GameLog[[#This Row],[Check]],"?*")-1)</f>
        <v/>
      </c>
      <c r="O1843" s="6" t="str">
        <f>IFERROR(INDEX(Players[New name],MATCH(GameLog[[#This Row],[Player]],Players[Name],0)),GameLog[[#This Row],[Player]])</f>
        <v>Trevor</v>
      </c>
    </row>
    <row r="1844" spans="1:15" x14ac:dyDescent="0.45">
      <c r="A1844" s="6" t="s">
        <v>104</v>
      </c>
      <c r="B1844" s="6" t="s">
        <v>50</v>
      </c>
      <c r="C1844" s="6">
        <v>2</v>
      </c>
      <c r="D1844" s="6">
        <v>5</v>
      </c>
      <c r="E1844" s="6">
        <v>2</v>
      </c>
      <c r="F1844" s="10">
        <v>46216</v>
      </c>
      <c r="G1844" s="6" t="str">
        <f>_xlfn.TEXTJOIN("|",TRUE,GameLog[[#This Row],[Pod]],TEXT(INT(GameLog[[#This Row],[Round]]),"yyyymmdd"),GameLog[[#This Row],[Date]])</f>
        <v>5|19000102|46216</v>
      </c>
      <c r="H1844" s="6">
        <f>COUNTIF(GameLog[Pod ID],GameLog[[#This Row],[Pod ID]])</f>
        <v>4</v>
      </c>
      <c r="I1844" s="6">
        <f>YEAR(GameLog[[#This Row],[Date]])</f>
        <v>2026</v>
      </c>
      <c r="J1844" s="6">
        <f>MONTH(GameLog[[#This Row],[Date]])</f>
        <v>7</v>
      </c>
      <c r="K1844" s="6" t="str">
        <f>IF(GameLog[[#This Row],[Date]]=MAX(GameLog[Date]),"Current","Previous")</f>
        <v>Previous</v>
      </c>
      <c r="L1844" s="6"/>
      <c r="M18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4" s="6" t="str">
        <f ca="1">IF(GameLog[[#This Row],[Check]]="","",COUNTIF(GameLog[[#Headers],[Check]]:GameLog[[#This Row],[Check]],"?*")-1)</f>
        <v/>
      </c>
      <c r="O1844" s="6" t="str">
        <f>IFERROR(INDEX(Players[New name],MATCH(GameLog[[#This Row],[Player]],Players[Name],0)),GameLog[[#This Row],[Player]])</f>
        <v>Eric E</v>
      </c>
    </row>
    <row r="1845" spans="1:15" x14ac:dyDescent="0.45">
      <c r="A1845" s="6" t="s">
        <v>113</v>
      </c>
      <c r="B1845" s="6" t="s">
        <v>53</v>
      </c>
      <c r="C1845" s="6">
        <v>3</v>
      </c>
      <c r="D1845" s="6">
        <v>5</v>
      </c>
      <c r="E1845" s="6">
        <v>2</v>
      </c>
      <c r="F1845" s="10">
        <v>46216</v>
      </c>
      <c r="G1845" s="6" t="str">
        <f>_xlfn.TEXTJOIN("|",TRUE,GameLog[[#This Row],[Pod]],TEXT(INT(GameLog[[#This Row],[Round]]),"yyyymmdd"),GameLog[[#This Row],[Date]])</f>
        <v>5|19000102|46216</v>
      </c>
      <c r="H1845" s="6">
        <f>COUNTIF(GameLog[Pod ID],GameLog[[#This Row],[Pod ID]])</f>
        <v>4</v>
      </c>
      <c r="I1845" s="6">
        <f>YEAR(GameLog[[#This Row],[Date]])</f>
        <v>2026</v>
      </c>
      <c r="J1845" s="6">
        <f>MONTH(GameLog[[#This Row],[Date]])</f>
        <v>7</v>
      </c>
      <c r="K1845" s="6" t="str">
        <f>IF(GameLog[[#This Row],[Date]]=MAX(GameLog[Date]),"Current","Previous")</f>
        <v>Previous</v>
      </c>
      <c r="L1845" s="6"/>
      <c r="M18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5" s="6" t="str">
        <f ca="1">IF(GameLog[[#This Row],[Check]]="","",COUNTIF(GameLog[[#Headers],[Check]]:GameLog[[#This Row],[Check]],"?*")-1)</f>
        <v/>
      </c>
      <c r="O1845" s="6" t="str">
        <f>IFERROR(INDEX(Players[New name],MATCH(GameLog[[#This Row],[Player]],Players[Name],0)),GameLog[[#This Row],[Player]])</f>
        <v>Gavin J</v>
      </c>
    </row>
    <row r="1846" spans="1:15" x14ac:dyDescent="0.45">
      <c r="A1846" s="6" t="s">
        <v>75</v>
      </c>
      <c r="B1846" s="6" t="s">
        <v>53</v>
      </c>
      <c r="C1846" s="6">
        <v>4</v>
      </c>
      <c r="D1846" s="6">
        <v>5</v>
      </c>
      <c r="E1846" s="6">
        <v>2</v>
      </c>
      <c r="F1846" s="10">
        <v>46216</v>
      </c>
      <c r="G1846" s="6" t="str">
        <f>_xlfn.TEXTJOIN("|",TRUE,GameLog[[#This Row],[Pod]],TEXT(INT(GameLog[[#This Row],[Round]]),"yyyymmdd"),GameLog[[#This Row],[Date]])</f>
        <v>5|19000102|46216</v>
      </c>
      <c r="H1846" s="6">
        <f>COUNTIF(GameLog[Pod ID],GameLog[[#This Row],[Pod ID]])</f>
        <v>4</v>
      </c>
      <c r="I1846" s="6">
        <f>YEAR(GameLog[[#This Row],[Date]])</f>
        <v>2026</v>
      </c>
      <c r="J1846" s="6">
        <f>MONTH(GameLog[[#This Row],[Date]])</f>
        <v>7</v>
      </c>
      <c r="K1846" s="6" t="str">
        <f>IF(GameLog[[#This Row],[Date]]=MAX(GameLog[Date]),"Current","Previous")</f>
        <v>Previous</v>
      </c>
      <c r="L1846" s="6"/>
      <c r="M18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6" s="6" t="str">
        <f ca="1">IF(GameLog[[#This Row],[Check]]="","",COUNTIF(GameLog[[#Headers],[Check]]:GameLog[[#This Row],[Check]],"?*")-1)</f>
        <v/>
      </c>
      <c r="O1846" s="6" t="str">
        <f>IFERROR(INDEX(Players[New name],MATCH(GameLog[[#This Row],[Player]],Players[Name],0)),GameLog[[#This Row],[Player]])</f>
        <v>Eli T</v>
      </c>
    </row>
    <row r="1847" spans="1:15" x14ac:dyDescent="0.45">
      <c r="A1847" s="6" t="s">
        <v>68</v>
      </c>
      <c r="B1847" s="6" t="s">
        <v>50</v>
      </c>
      <c r="C1847" s="6">
        <v>1</v>
      </c>
      <c r="D1847" s="6">
        <v>1</v>
      </c>
      <c r="E1847" s="6">
        <v>1</v>
      </c>
      <c r="F1847" s="10">
        <v>46223</v>
      </c>
      <c r="G1847" s="6" t="str">
        <f>_xlfn.TEXTJOIN("|",TRUE,GameLog[[#This Row],[Pod]],TEXT(INT(GameLog[[#This Row],[Round]]),"yyyymmdd"),GameLog[[#This Row],[Date]])</f>
        <v>1|19000101|46223</v>
      </c>
      <c r="H1847" s="6">
        <f>COUNTIF(GameLog[Pod ID],GameLog[[#This Row],[Pod ID]])</f>
        <v>4</v>
      </c>
      <c r="I1847" s="6">
        <f>YEAR(GameLog[[#This Row],[Date]])</f>
        <v>2026</v>
      </c>
      <c r="J1847" s="6">
        <f>MONTH(GameLog[[#This Row],[Date]])</f>
        <v>7</v>
      </c>
      <c r="K1847" s="6" t="str">
        <f>IF(GameLog[[#This Row],[Date]]=MAX(GameLog[Date]),"Current","Previous")</f>
        <v>Previous</v>
      </c>
      <c r="L1847" s="6"/>
      <c r="M18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7" s="6" t="str">
        <f ca="1">IF(GameLog[[#This Row],[Check]]="","",COUNTIF(GameLog[[#Headers],[Check]]:GameLog[[#This Row],[Check]],"?*")-1)</f>
        <v/>
      </c>
      <c r="O1847" s="6" t="str">
        <f>IFERROR(INDEX(Players[New name],MATCH(GameLog[[#This Row],[Player]],Players[Name],0)),GameLog[[#This Row],[Player]])</f>
        <v>Edwin M</v>
      </c>
    </row>
    <row r="1848" spans="1:15" x14ac:dyDescent="0.45">
      <c r="A1848" s="6" t="s">
        <v>57</v>
      </c>
      <c r="B1848" s="6" t="s">
        <v>53</v>
      </c>
      <c r="C1848" s="6">
        <v>2</v>
      </c>
      <c r="D1848" s="6">
        <v>1</v>
      </c>
      <c r="E1848" s="6">
        <v>1</v>
      </c>
      <c r="F1848" s="10">
        <v>46223</v>
      </c>
      <c r="G1848" s="6" t="str">
        <f>_xlfn.TEXTJOIN("|",TRUE,GameLog[[#This Row],[Pod]],TEXT(INT(GameLog[[#This Row],[Round]]),"yyyymmdd"),GameLog[[#This Row],[Date]])</f>
        <v>1|19000101|46223</v>
      </c>
      <c r="H1848" s="6">
        <f>COUNTIF(GameLog[Pod ID],GameLog[[#This Row],[Pod ID]])</f>
        <v>4</v>
      </c>
      <c r="I1848" s="6">
        <f>YEAR(GameLog[[#This Row],[Date]])</f>
        <v>2026</v>
      </c>
      <c r="J1848" s="6">
        <f>MONTH(GameLog[[#This Row],[Date]])</f>
        <v>7</v>
      </c>
      <c r="K1848" s="6" t="str">
        <f>IF(GameLog[[#This Row],[Date]]=MAX(GameLog[Date]),"Current","Previous")</f>
        <v>Previous</v>
      </c>
      <c r="L1848" s="6"/>
      <c r="M18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8" s="6" t="str">
        <f ca="1">IF(GameLog[[#This Row],[Check]]="","",COUNTIF(GameLog[[#Headers],[Check]]:GameLog[[#This Row],[Check]],"?*")-1)</f>
        <v/>
      </c>
      <c r="O1848" s="6" t="str">
        <f>IFERROR(INDEX(Players[New name],MATCH(GameLog[[#This Row],[Player]],Players[Name],0)),GameLog[[#This Row],[Player]])</f>
        <v>AJ W</v>
      </c>
    </row>
    <row r="1849" spans="1:15" x14ac:dyDescent="0.45">
      <c r="A1849" s="6" t="s">
        <v>49</v>
      </c>
      <c r="B1849" s="6" t="s">
        <v>53</v>
      </c>
      <c r="C1849" s="6">
        <v>3</v>
      </c>
      <c r="D1849" s="6">
        <v>1</v>
      </c>
      <c r="E1849" s="6">
        <v>1</v>
      </c>
      <c r="F1849" s="10">
        <v>46223</v>
      </c>
      <c r="G1849" s="6" t="str">
        <f>_xlfn.TEXTJOIN("|",TRUE,GameLog[[#This Row],[Pod]],TEXT(INT(GameLog[[#This Row],[Round]]),"yyyymmdd"),GameLog[[#This Row],[Date]])</f>
        <v>1|19000101|46223</v>
      </c>
      <c r="H1849" s="6">
        <f>COUNTIF(GameLog[Pod ID],GameLog[[#This Row],[Pod ID]])</f>
        <v>4</v>
      </c>
      <c r="I1849" s="6">
        <f>YEAR(GameLog[[#This Row],[Date]])</f>
        <v>2026</v>
      </c>
      <c r="J1849" s="6">
        <f>MONTH(GameLog[[#This Row],[Date]])</f>
        <v>7</v>
      </c>
      <c r="K1849" s="6" t="str">
        <f>IF(GameLog[[#This Row],[Date]]=MAX(GameLog[Date]),"Current","Previous")</f>
        <v>Previous</v>
      </c>
      <c r="L1849" s="6"/>
      <c r="M18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49" s="6" t="str">
        <f ca="1">IF(GameLog[[#This Row],[Check]]="","",COUNTIF(GameLog[[#Headers],[Check]]:GameLog[[#This Row],[Check]],"?*")-1)</f>
        <v/>
      </c>
      <c r="O1849" s="6" t="str">
        <f>IFERROR(INDEX(Players[New name],MATCH(GameLog[[#This Row],[Player]],Players[Name],0)),GameLog[[#This Row],[Player]])</f>
        <v>Brett R</v>
      </c>
    </row>
    <row r="1850" spans="1:15" x14ac:dyDescent="0.45">
      <c r="A1850" s="6" t="s">
        <v>96</v>
      </c>
      <c r="B1850" s="6" t="s">
        <v>53</v>
      </c>
      <c r="C1850" s="6">
        <v>4</v>
      </c>
      <c r="D1850" s="6">
        <v>1</v>
      </c>
      <c r="E1850" s="6">
        <v>1</v>
      </c>
      <c r="F1850" s="10">
        <v>46223</v>
      </c>
      <c r="G1850" s="6" t="str">
        <f>_xlfn.TEXTJOIN("|",TRUE,GameLog[[#This Row],[Pod]],TEXT(INT(GameLog[[#This Row],[Round]]),"yyyymmdd"),GameLog[[#This Row],[Date]])</f>
        <v>1|19000101|46223</v>
      </c>
      <c r="H1850" s="6">
        <f>COUNTIF(GameLog[Pod ID],GameLog[[#This Row],[Pod ID]])</f>
        <v>4</v>
      </c>
      <c r="I1850" s="6">
        <f>YEAR(GameLog[[#This Row],[Date]])</f>
        <v>2026</v>
      </c>
      <c r="J1850" s="6">
        <f>MONTH(GameLog[[#This Row],[Date]])</f>
        <v>7</v>
      </c>
      <c r="K1850" s="6" t="str">
        <f>IF(GameLog[[#This Row],[Date]]=MAX(GameLog[Date]),"Current","Previous")</f>
        <v>Previous</v>
      </c>
      <c r="L1850" s="6"/>
      <c r="M18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0" s="6" t="str">
        <f ca="1">IF(GameLog[[#This Row],[Check]]="","",COUNTIF(GameLog[[#Headers],[Check]]:GameLog[[#This Row],[Check]],"?*")-1)</f>
        <v/>
      </c>
      <c r="O1850" s="6" t="str">
        <f>IFERROR(INDEX(Players[New name],MATCH(GameLog[[#This Row],[Player]],Players[Name],0)),GameLog[[#This Row],[Player]])</f>
        <v>Brandon A</v>
      </c>
    </row>
    <row r="1851" spans="1:15" x14ac:dyDescent="0.45">
      <c r="A1851" s="6" t="s">
        <v>75</v>
      </c>
      <c r="B1851" s="6" t="s">
        <v>53</v>
      </c>
      <c r="C1851" s="6">
        <v>1</v>
      </c>
      <c r="D1851" s="6">
        <v>2</v>
      </c>
      <c r="E1851" s="6">
        <v>1</v>
      </c>
      <c r="F1851" s="10">
        <v>46223</v>
      </c>
      <c r="G1851" s="6" t="str">
        <f>_xlfn.TEXTJOIN("|",TRUE,GameLog[[#This Row],[Pod]],TEXT(INT(GameLog[[#This Row],[Round]]),"yyyymmdd"),GameLog[[#This Row],[Date]])</f>
        <v>2|19000101|46223</v>
      </c>
      <c r="H1851" s="6">
        <f>COUNTIF(GameLog[Pod ID],GameLog[[#This Row],[Pod ID]])</f>
        <v>4</v>
      </c>
      <c r="I1851" s="6">
        <f>YEAR(GameLog[[#This Row],[Date]])</f>
        <v>2026</v>
      </c>
      <c r="J1851" s="6">
        <f>MONTH(GameLog[[#This Row],[Date]])</f>
        <v>7</v>
      </c>
      <c r="K1851" s="6" t="str">
        <f>IF(GameLog[[#This Row],[Date]]=MAX(GameLog[Date]),"Current","Previous")</f>
        <v>Previous</v>
      </c>
      <c r="L1851" s="6"/>
      <c r="M18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1" s="6" t="str">
        <f ca="1">IF(GameLog[[#This Row],[Check]]="","",COUNTIF(GameLog[[#Headers],[Check]]:GameLog[[#This Row],[Check]],"?*")-1)</f>
        <v/>
      </c>
      <c r="O1851" s="6" t="str">
        <f>IFERROR(INDEX(Players[New name],MATCH(GameLog[[#This Row],[Player]],Players[Name],0)),GameLog[[#This Row],[Player]])</f>
        <v>Eli T</v>
      </c>
    </row>
    <row r="1852" spans="1:15" x14ac:dyDescent="0.45">
      <c r="A1852" s="6" t="s">
        <v>76</v>
      </c>
      <c r="B1852" s="6" t="s">
        <v>53</v>
      </c>
      <c r="C1852" s="6">
        <v>2</v>
      </c>
      <c r="D1852" s="6">
        <v>2</v>
      </c>
      <c r="E1852" s="6">
        <v>1</v>
      </c>
      <c r="F1852" s="10">
        <v>46223</v>
      </c>
      <c r="G1852" s="6" t="str">
        <f>_xlfn.TEXTJOIN("|",TRUE,GameLog[[#This Row],[Pod]],TEXT(INT(GameLog[[#This Row],[Round]]),"yyyymmdd"),GameLog[[#This Row],[Date]])</f>
        <v>2|19000101|46223</v>
      </c>
      <c r="H1852" s="6">
        <f>COUNTIF(GameLog[Pod ID],GameLog[[#This Row],[Pod ID]])</f>
        <v>4</v>
      </c>
      <c r="I1852" s="6">
        <f>YEAR(GameLog[[#This Row],[Date]])</f>
        <v>2026</v>
      </c>
      <c r="J1852" s="6">
        <f>MONTH(GameLog[[#This Row],[Date]])</f>
        <v>7</v>
      </c>
      <c r="K1852" s="6" t="str">
        <f>IF(GameLog[[#This Row],[Date]]=MAX(GameLog[Date]),"Current","Previous")</f>
        <v>Previous</v>
      </c>
      <c r="L1852" s="6"/>
      <c r="M18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2" s="6" t="str">
        <f ca="1">IF(GameLog[[#This Row],[Check]]="","",COUNTIF(GameLog[[#Headers],[Check]]:GameLog[[#This Row],[Check]],"?*")-1)</f>
        <v/>
      </c>
      <c r="O1852" s="6" t="str">
        <f>IFERROR(INDEX(Players[New name],MATCH(GameLog[[#This Row],[Player]],Players[Name],0)),GameLog[[#This Row],[Player]])</f>
        <v>Jon M</v>
      </c>
    </row>
    <row r="1853" spans="1:15" x14ac:dyDescent="0.45">
      <c r="A1853" s="6" t="s">
        <v>63</v>
      </c>
      <c r="B1853" s="6" t="s">
        <v>53</v>
      </c>
      <c r="C1853" s="6">
        <v>3</v>
      </c>
      <c r="D1853" s="6">
        <v>2</v>
      </c>
      <c r="E1853" s="6">
        <v>1</v>
      </c>
      <c r="F1853" s="10">
        <v>46223</v>
      </c>
      <c r="G1853" s="6" t="str">
        <f>_xlfn.TEXTJOIN("|",TRUE,GameLog[[#This Row],[Pod]],TEXT(INT(GameLog[[#This Row],[Round]]),"yyyymmdd"),GameLog[[#This Row],[Date]])</f>
        <v>2|19000101|46223</v>
      </c>
      <c r="H1853" s="6">
        <f>COUNTIF(GameLog[Pod ID],GameLog[[#This Row],[Pod ID]])</f>
        <v>4</v>
      </c>
      <c r="I1853" s="6">
        <f>YEAR(GameLog[[#This Row],[Date]])</f>
        <v>2026</v>
      </c>
      <c r="J1853" s="6">
        <f>MONTH(GameLog[[#This Row],[Date]])</f>
        <v>7</v>
      </c>
      <c r="K1853" s="6" t="str">
        <f>IF(GameLog[[#This Row],[Date]]=MAX(GameLog[Date]),"Current","Previous")</f>
        <v>Previous</v>
      </c>
      <c r="L1853" s="6"/>
      <c r="M18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3" s="6" t="str">
        <f ca="1">IF(GameLog[[#This Row],[Check]]="","",COUNTIF(GameLog[[#Headers],[Check]]:GameLog[[#This Row],[Check]],"?*")-1)</f>
        <v/>
      </c>
      <c r="O1853" s="6" t="str">
        <f>IFERROR(INDEX(Players[New name],MATCH(GameLog[[#This Row],[Player]],Players[Name],0)),GameLog[[#This Row],[Player]])</f>
        <v>Jake D</v>
      </c>
    </row>
    <row r="1854" spans="1:15" x14ac:dyDescent="0.45">
      <c r="A1854" s="6" t="s">
        <v>70</v>
      </c>
      <c r="B1854" s="6" t="s">
        <v>50</v>
      </c>
      <c r="C1854" s="6">
        <v>4</v>
      </c>
      <c r="D1854" s="6">
        <v>2</v>
      </c>
      <c r="E1854" s="6">
        <v>1</v>
      </c>
      <c r="F1854" s="10">
        <v>46223</v>
      </c>
      <c r="G1854" s="6" t="str">
        <f>_xlfn.TEXTJOIN("|",TRUE,GameLog[[#This Row],[Pod]],TEXT(INT(GameLog[[#This Row],[Round]]),"yyyymmdd"),GameLog[[#This Row],[Date]])</f>
        <v>2|19000101|46223</v>
      </c>
      <c r="H1854" s="6">
        <f>COUNTIF(GameLog[Pod ID],GameLog[[#This Row],[Pod ID]])</f>
        <v>4</v>
      </c>
      <c r="I1854" s="6">
        <f>YEAR(GameLog[[#This Row],[Date]])</f>
        <v>2026</v>
      </c>
      <c r="J1854" s="6">
        <f>MONTH(GameLog[[#This Row],[Date]])</f>
        <v>7</v>
      </c>
      <c r="K1854" s="6" t="str">
        <f>IF(GameLog[[#This Row],[Date]]=MAX(GameLog[Date]),"Current","Previous")</f>
        <v>Previous</v>
      </c>
      <c r="L1854" s="6"/>
      <c r="M18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4" s="6" t="str">
        <f ca="1">IF(GameLog[[#This Row],[Check]]="","",COUNTIF(GameLog[[#Headers],[Check]]:GameLog[[#This Row],[Check]],"?*")-1)</f>
        <v/>
      </c>
      <c r="O1854" s="6" t="str">
        <f>IFERROR(INDEX(Players[New name],MATCH(GameLog[[#This Row],[Player]],Players[Name],0)),GameLog[[#This Row],[Player]])</f>
        <v>Brad F</v>
      </c>
    </row>
    <row r="1855" spans="1:15" x14ac:dyDescent="0.45">
      <c r="A1855" s="6" t="s">
        <v>64</v>
      </c>
      <c r="B1855" s="6" t="s">
        <v>50</v>
      </c>
      <c r="C1855" s="6">
        <v>1</v>
      </c>
      <c r="D1855" s="6">
        <v>3</v>
      </c>
      <c r="E1855" s="6">
        <v>1</v>
      </c>
      <c r="F1855" s="10">
        <v>46223</v>
      </c>
      <c r="G1855" s="6" t="str">
        <f>_xlfn.TEXTJOIN("|",TRUE,GameLog[[#This Row],[Pod]],TEXT(INT(GameLog[[#This Row],[Round]]),"yyyymmdd"),GameLog[[#This Row],[Date]])</f>
        <v>3|19000101|46223</v>
      </c>
      <c r="H1855" s="6">
        <f>COUNTIF(GameLog[Pod ID],GameLog[[#This Row],[Pod ID]])</f>
        <v>4</v>
      </c>
      <c r="I1855" s="6">
        <f>YEAR(GameLog[[#This Row],[Date]])</f>
        <v>2026</v>
      </c>
      <c r="J1855" s="6">
        <f>MONTH(GameLog[[#This Row],[Date]])</f>
        <v>7</v>
      </c>
      <c r="K1855" s="6" t="str">
        <f>IF(GameLog[[#This Row],[Date]]=MAX(GameLog[Date]),"Current","Previous")</f>
        <v>Previous</v>
      </c>
      <c r="L1855" s="6"/>
      <c r="M18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5" s="6" t="str">
        <f ca="1">IF(GameLog[[#This Row],[Check]]="","",COUNTIF(GameLog[[#Headers],[Check]]:GameLog[[#This Row],[Check]],"?*")-1)</f>
        <v/>
      </c>
      <c r="O1855" s="6" t="str">
        <f>IFERROR(INDEX(Players[New name],MATCH(GameLog[[#This Row],[Player]],Players[Name],0)),GameLog[[#This Row],[Player]])</f>
        <v>Tyler B</v>
      </c>
    </row>
    <row r="1856" spans="1:15" x14ac:dyDescent="0.45">
      <c r="A1856" s="6" t="s">
        <v>56</v>
      </c>
      <c r="B1856" s="6" t="s">
        <v>53</v>
      </c>
      <c r="C1856" s="6">
        <v>2</v>
      </c>
      <c r="D1856" s="6">
        <v>3</v>
      </c>
      <c r="E1856" s="6">
        <v>1</v>
      </c>
      <c r="F1856" s="10">
        <v>46223</v>
      </c>
      <c r="G1856" s="6" t="str">
        <f>_xlfn.TEXTJOIN("|",TRUE,GameLog[[#This Row],[Pod]],TEXT(INT(GameLog[[#This Row],[Round]]),"yyyymmdd"),GameLog[[#This Row],[Date]])</f>
        <v>3|19000101|46223</v>
      </c>
      <c r="H1856" s="6">
        <f>COUNTIF(GameLog[Pod ID],GameLog[[#This Row],[Pod ID]])</f>
        <v>4</v>
      </c>
      <c r="I1856" s="6">
        <f>YEAR(GameLog[[#This Row],[Date]])</f>
        <v>2026</v>
      </c>
      <c r="J1856" s="6">
        <f>MONTH(GameLog[[#This Row],[Date]])</f>
        <v>7</v>
      </c>
      <c r="K1856" s="6" t="str">
        <f>IF(GameLog[[#This Row],[Date]]=MAX(GameLog[Date]),"Current","Previous")</f>
        <v>Previous</v>
      </c>
      <c r="L1856" s="6"/>
      <c r="M18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6" s="6" t="str">
        <f ca="1">IF(GameLog[[#This Row],[Check]]="","",COUNTIF(GameLog[[#Headers],[Check]]:GameLog[[#This Row],[Check]],"?*")-1)</f>
        <v/>
      </c>
      <c r="O1856" s="6" t="str">
        <f>IFERROR(INDEX(Players[New name],MATCH(GameLog[[#This Row],[Player]],Players[Name],0)),GameLog[[#This Row],[Player]])</f>
        <v>Mark D</v>
      </c>
    </row>
    <row r="1857" spans="1:15" x14ac:dyDescent="0.45">
      <c r="A1857" s="6" t="s">
        <v>113</v>
      </c>
      <c r="B1857" s="6" t="s">
        <v>53</v>
      </c>
      <c r="C1857" s="6">
        <v>3</v>
      </c>
      <c r="D1857" s="6">
        <v>3</v>
      </c>
      <c r="E1857" s="6">
        <v>1</v>
      </c>
      <c r="F1857" s="10">
        <v>46223</v>
      </c>
      <c r="G1857" s="6" t="str">
        <f>_xlfn.TEXTJOIN("|",TRUE,GameLog[[#This Row],[Pod]],TEXT(INT(GameLog[[#This Row],[Round]]),"yyyymmdd"),GameLog[[#This Row],[Date]])</f>
        <v>3|19000101|46223</v>
      </c>
      <c r="H1857" s="6">
        <f>COUNTIF(GameLog[Pod ID],GameLog[[#This Row],[Pod ID]])</f>
        <v>4</v>
      </c>
      <c r="I1857" s="6">
        <f>YEAR(GameLog[[#This Row],[Date]])</f>
        <v>2026</v>
      </c>
      <c r="J1857" s="6">
        <f>MONTH(GameLog[[#This Row],[Date]])</f>
        <v>7</v>
      </c>
      <c r="K1857" s="6" t="str">
        <f>IF(GameLog[[#This Row],[Date]]=MAX(GameLog[Date]),"Current","Previous")</f>
        <v>Previous</v>
      </c>
      <c r="L1857" s="6"/>
      <c r="M18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7" s="6" t="str">
        <f ca="1">IF(GameLog[[#This Row],[Check]]="","",COUNTIF(GameLog[[#Headers],[Check]]:GameLog[[#This Row],[Check]],"?*")-1)</f>
        <v/>
      </c>
      <c r="O1857" s="6" t="str">
        <f>IFERROR(INDEX(Players[New name],MATCH(GameLog[[#This Row],[Player]],Players[Name],0)),GameLog[[#This Row],[Player]])</f>
        <v>Gavin J</v>
      </c>
    </row>
    <row r="1858" spans="1:15" x14ac:dyDescent="0.45">
      <c r="A1858" s="6" t="s">
        <v>73</v>
      </c>
      <c r="B1858" s="6" t="s">
        <v>53</v>
      </c>
      <c r="C1858" s="6">
        <v>4</v>
      </c>
      <c r="D1858" s="6">
        <v>3</v>
      </c>
      <c r="E1858" s="6">
        <v>1</v>
      </c>
      <c r="F1858" s="10">
        <v>46223</v>
      </c>
      <c r="G1858" s="6" t="str">
        <f>_xlfn.TEXTJOIN("|",TRUE,GameLog[[#This Row],[Pod]],TEXT(INT(GameLog[[#This Row],[Round]]),"yyyymmdd"),GameLog[[#This Row],[Date]])</f>
        <v>3|19000101|46223</v>
      </c>
      <c r="H1858" s="6">
        <f>COUNTIF(GameLog[Pod ID],GameLog[[#This Row],[Pod ID]])</f>
        <v>4</v>
      </c>
      <c r="I1858" s="6">
        <f>YEAR(GameLog[[#This Row],[Date]])</f>
        <v>2026</v>
      </c>
      <c r="J1858" s="6">
        <f>MONTH(GameLog[[#This Row],[Date]])</f>
        <v>7</v>
      </c>
      <c r="K1858" s="6" t="str">
        <f>IF(GameLog[[#This Row],[Date]]=MAX(GameLog[Date]),"Current","Previous")</f>
        <v>Previous</v>
      </c>
      <c r="L1858" s="6"/>
      <c r="M18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8" s="6" t="str">
        <f ca="1">IF(GameLog[[#This Row],[Check]]="","",COUNTIF(GameLog[[#Headers],[Check]]:GameLog[[#This Row],[Check]],"?*")-1)</f>
        <v/>
      </c>
      <c r="O1858" s="6" t="str">
        <f>IFERROR(INDEX(Players[New name],MATCH(GameLog[[#This Row],[Player]],Players[Name],0)),GameLog[[#This Row],[Player]])</f>
        <v>Brandon B</v>
      </c>
    </row>
    <row r="1859" spans="1:15" x14ac:dyDescent="0.45">
      <c r="A1859" s="6" t="s">
        <v>55</v>
      </c>
      <c r="B1859" s="6" t="s">
        <v>53</v>
      </c>
      <c r="C1859" s="6">
        <v>1</v>
      </c>
      <c r="D1859" s="6">
        <v>4</v>
      </c>
      <c r="E1859" s="6">
        <v>1</v>
      </c>
      <c r="F1859" s="10">
        <v>46223</v>
      </c>
      <c r="G1859" s="6" t="str">
        <f>_xlfn.TEXTJOIN("|",TRUE,GameLog[[#This Row],[Pod]],TEXT(INT(GameLog[[#This Row],[Round]]),"yyyymmdd"),GameLog[[#This Row],[Date]])</f>
        <v>4|19000101|46223</v>
      </c>
      <c r="H1859" s="6">
        <f>COUNTIF(GameLog[Pod ID],GameLog[[#This Row],[Pod ID]])</f>
        <v>3</v>
      </c>
      <c r="I1859" s="6">
        <f>YEAR(GameLog[[#This Row],[Date]])</f>
        <v>2026</v>
      </c>
      <c r="J1859" s="6">
        <f>MONTH(GameLog[[#This Row],[Date]])</f>
        <v>7</v>
      </c>
      <c r="K1859" s="6" t="str">
        <f>IF(GameLog[[#This Row],[Date]]=MAX(GameLog[Date]),"Current","Previous")</f>
        <v>Previous</v>
      </c>
      <c r="L1859" s="6"/>
      <c r="M18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59" s="6" t="str">
        <f ca="1">IF(GameLog[[#This Row],[Check]]="","",COUNTIF(GameLog[[#Headers],[Check]]:GameLog[[#This Row],[Check]],"?*")-1)</f>
        <v/>
      </c>
      <c r="O1859" s="6" t="str">
        <f>IFERROR(INDEX(Players[New name],MATCH(GameLog[[#This Row],[Player]],Players[Name],0)),GameLog[[#This Row],[Player]])</f>
        <v>Bryce C</v>
      </c>
    </row>
    <row r="1860" spans="1:15" x14ac:dyDescent="0.45">
      <c r="A1860" s="6" t="s">
        <v>59</v>
      </c>
      <c r="B1860" s="6" t="s">
        <v>53</v>
      </c>
      <c r="C1860" s="6">
        <v>2</v>
      </c>
      <c r="D1860" s="6">
        <v>4</v>
      </c>
      <c r="E1860" s="6">
        <v>1</v>
      </c>
      <c r="F1860" s="10">
        <v>46223</v>
      </c>
      <c r="G1860" s="6" t="str">
        <f>_xlfn.TEXTJOIN("|",TRUE,GameLog[[#This Row],[Pod]],TEXT(INT(GameLog[[#This Row],[Round]]),"yyyymmdd"),GameLog[[#This Row],[Date]])</f>
        <v>4|19000101|46223</v>
      </c>
      <c r="H1860" s="6">
        <f>COUNTIF(GameLog[Pod ID],GameLog[[#This Row],[Pod ID]])</f>
        <v>3</v>
      </c>
      <c r="I1860" s="6">
        <f>YEAR(GameLog[[#This Row],[Date]])</f>
        <v>2026</v>
      </c>
      <c r="J1860" s="6">
        <f>MONTH(GameLog[[#This Row],[Date]])</f>
        <v>7</v>
      </c>
      <c r="K1860" s="6" t="str">
        <f>IF(GameLog[[#This Row],[Date]]=MAX(GameLog[Date]),"Current","Previous")</f>
        <v>Previous</v>
      </c>
      <c r="L1860" s="6"/>
      <c r="M18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0" s="6" t="str">
        <f ca="1">IF(GameLog[[#This Row],[Check]]="","",COUNTIF(GameLog[[#Headers],[Check]]:GameLog[[#This Row],[Check]],"?*")-1)</f>
        <v/>
      </c>
      <c r="O1860" s="6" t="str">
        <f>IFERROR(INDEX(Players[New name],MATCH(GameLog[[#This Row],[Player]],Players[Name],0)),GameLog[[#This Row],[Player]])</f>
        <v>Zack B</v>
      </c>
    </row>
    <row r="1861" spans="1:15" x14ac:dyDescent="0.45">
      <c r="A1861" s="6" t="s">
        <v>61</v>
      </c>
      <c r="B1861" s="6" t="s">
        <v>50</v>
      </c>
      <c r="C1861" s="6">
        <v>3</v>
      </c>
      <c r="D1861" s="6">
        <v>4</v>
      </c>
      <c r="E1861" s="6">
        <v>1</v>
      </c>
      <c r="F1861" s="10">
        <v>46223</v>
      </c>
      <c r="G1861" s="6" t="str">
        <f>_xlfn.TEXTJOIN("|",TRUE,GameLog[[#This Row],[Pod]],TEXT(INT(GameLog[[#This Row],[Round]]),"yyyymmdd"),GameLog[[#This Row],[Date]])</f>
        <v>4|19000101|46223</v>
      </c>
      <c r="H1861" s="6">
        <f>COUNTIF(GameLog[Pod ID],GameLog[[#This Row],[Pod ID]])</f>
        <v>3</v>
      </c>
      <c r="I1861" s="6">
        <f>YEAR(GameLog[[#This Row],[Date]])</f>
        <v>2026</v>
      </c>
      <c r="J1861" s="6">
        <f>MONTH(GameLog[[#This Row],[Date]])</f>
        <v>7</v>
      </c>
      <c r="K1861" s="6" t="str">
        <f>IF(GameLog[[#This Row],[Date]]=MAX(GameLog[Date]),"Current","Previous")</f>
        <v>Previous</v>
      </c>
      <c r="L1861" s="6"/>
      <c r="M18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1" s="6" t="str">
        <f ca="1">IF(GameLog[[#This Row],[Check]]="","",COUNTIF(GameLog[[#Headers],[Check]]:GameLog[[#This Row],[Check]],"?*")-1)</f>
        <v/>
      </c>
      <c r="O1861" s="6" t="str">
        <f>IFERROR(INDEX(Players[New name],MATCH(GameLog[[#This Row],[Player]],Players[Name],0)),GameLog[[#This Row],[Player]])</f>
        <v>Trevor</v>
      </c>
    </row>
    <row r="1862" spans="1:15" x14ac:dyDescent="0.45">
      <c r="A1862" s="6" t="s">
        <v>70</v>
      </c>
      <c r="B1862" s="6" t="s">
        <v>90</v>
      </c>
      <c r="C1862" s="6">
        <v>1</v>
      </c>
      <c r="D1862" s="6">
        <v>1</v>
      </c>
      <c r="E1862" s="6">
        <v>2</v>
      </c>
      <c r="F1862" s="10">
        <v>46223</v>
      </c>
      <c r="G1862" s="6" t="str">
        <f>_xlfn.TEXTJOIN("|",TRUE,GameLog[[#This Row],[Pod]],TEXT(INT(GameLog[[#This Row],[Round]]),"yyyymmdd"),GameLog[[#This Row],[Date]])</f>
        <v>1|19000102|46223</v>
      </c>
      <c r="H1862" s="6">
        <f>COUNTIF(GameLog[Pod ID],GameLog[[#This Row],[Pod ID]])</f>
        <v>4</v>
      </c>
      <c r="I1862" s="6">
        <f>YEAR(GameLog[[#This Row],[Date]])</f>
        <v>2026</v>
      </c>
      <c r="J1862" s="6">
        <f>MONTH(GameLog[[#This Row],[Date]])</f>
        <v>7</v>
      </c>
      <c r="K1862" s="6" t="str">
        <f>IF(GameLog[[#This Row],[Date]]=MAX(GameLog[Date]),"Current","Previous")</f>
        <v>Previous</v>
      </c>
      <c r="L1862" s="6"/>
      <c r="M18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2" s="6" t="str">
        <f ca="1">IF(GameLog[[#This Row],[Check]]="","",COUNTIF(GameLog[[#Headers],[Check]]:GameLog[[#This Row],[Check]],"?*")-1)</f>
        <v/>
      </c>
      <c r="O1862" s="6" t="str">
        <f>IFERROR(INDEX(Players[New name],MATCH(GameLog[[#This Row],[Player]],Players[Name],0)),GameLog[[#This Row],[Player]])</f>
        <v>Brad F</v>
      </c>
    </row>
    <row r="1863" spans="1:15" x14ac:dyDescent="0.45">
      <c r="A1863" s="6" t="s">
        <v>61</v>
      </c>
      <c r="B1863" s="6" t="s">
        <v>90</v>
      </c>
      <c r="C1863" s="6">
        <v>2</v>
      </c>
      <c r="D1863" s="6">
        <v>1</v>
      </c>
      <c r="E1863" s="6">
        <v>2</v>
      </c>
      <c r="F1863" s="10">
        <v>46223</v>
      </c>
      <c r="G1863" s="6" t="str">
        <f>_xlfn.TEXTJOIN("|",TRUE,GameLog[[#This Row],[Pod]],TEXT(INT(GameLog[[#This Row],[Round]]),"yyyymmdd"),GameLog[[#This Row],[Date]])</f>
        <v>1|19000102|46223</v>
      </c>
      <c r="H1863" s="6">
        <f>COUNTIF(GameLog[Pod ID],GameLog[[#This Row],[Pod ID]])</f>
        <v>4</v>
      </c>
      <c r="I1863" s="6">
        <f>YEAR(GameLog[[#This Row],[Date]])</f>
        <v>2026</v>
      </c>
      <c r="J1863" s="6">
        <f>MONTH(GameLog[[#This Row],[Date]])</f>
        <v>7</v>
      </c>
      <c r="K1863" s="6" t="str">
        <f>IF(GameLog[[#This Row],[Date]]=MAX(GameLog[Date]),"Current","Previous")</f>
        <v>Previous</v>
      </c>
      <c r="L1863" s="6"/>
      <c r="M18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3" s="6" t="str">
        <f ca="1">IF(GameLog[[#This Row],[Check]]="","",COUNTIF(GameLog[[#Headers],[Check]]:GameLog[[#This Row],[Check]],"?*")-1)</f>
        <v/>
      </c>
      <c r="O1863" s="6" t="str">
        <f>IFERROR(INDEX(Players[New name],MATCH(GameLog[[#This Row],[Player]],Players[Name],0)),GameLog[[#This Row],[Player]])</f>
        <v>Trevor</v>
      </c>
    </row>
    <row r="1864" spans="1:15" x14ac:dyDescent="0.45">
      <c r="A1864" s="6" t="s">
        <v>68</v>
      </c>
      <c r="B1864" s="6" t="s">
        <v>90</v>
      </c>
      <c r="C1864" s="6">
        <v>3</v>
      </c>
      <c r="D1864" s="6">
        <v>1</v>
      </c>
      <c r="E1864" s="6">
        <v>2</v>
      </c>
      <c r="F1864" s="10">
        <v>46223</v>
      </c>
      <c r="G1864" s="6" t="str">
        <f>_xlfn.TEXTJOIN("|",TRUE,GameLog[[#This Row],[Pod]],TEXT(INT(GameLog[[#This Row],[Round]]),"yyyymmdd"),GameLog[[#This Row],[Date]])</f>
        <v>1|19000102|46223</v>
      </c>
      <c r="H1864" s="6">
        <f>COUNTIF(GameLog[Pod ID],GameLog[[#This Row],[Pod ID]])</f>
        <v>4</v>
      </c>
      <c r="I1864" s="6">
        <f>YEAR(GameLog[[#This Row],[Date]])</f>
        <v>2026</v>
      </c>
      <c r="J1864" s="6">
        <f>MONTH(GameLog[[#This Row],[Date]])</f>
        <v>7</v>
      </c>
      <c r="K1864" s="6" t="str">
        <f>IF(GameLog[[#This Row],[Date]]=MAX(GameLog[Date]),"Current","Previous")</f>
        <v>Previous</v>
      </c>
      <c r="L1864" s="6"/>
      <c r="M18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4" s="6" t="str">
        <f ca="1">IF(GameLog[[#This Row],[Check]]="","",COUNTIF(GameLog[[#Headers],[Check]]:GameLog[[#This Row],[Check]],"?*")-1)</f>
        <v/>
      </c>
      <c r="O1864" s="6" t="str">
        <f>IFERROR(INDEX(Players[New name],MATCH(GameLog[[#This Row],[Player]],Players[Name],0)),GameLog[[#This Row],[Player]])</f>
        <v>Edwin M</v>
      </c>
    </row>
    <row r="1865" spans="1:15" x14ac:dyDescent="0.45">
      <c r="A1865" s="6" t="s">
        <v>64</v>
      </c>
      <c r="B1865" s="6" t="s">
        <v>90</v>
      </c>
      <c r="C1865" s="6">
        <v>4</v>
      </c>
      <c r="D1865" s="6">
        <v>1</v>
      </c>
      <c r="E1865" s="6">
        <v>2</v>
      </c>
      <c r="F1865" s="10">
        <v>46223</v>
      </c>
      <c r="G1865" s="6" t="str">
        <f>_xlfn.TEXTJOIN("|",TRUE,GameLog[[#This Row],[Pod]],TEXT(INT(GameLog[[#This Row],[Round]]),"yyyymmdd"),GameLog[[#This Row],[Date]])</f>
        <v>1|19000102|46223</v>
      </c>
      <c r="H1865" s="6">
        <f>COUNTIF(GameLog[Pod ID],GameLog[[#This Row],[Pod ID]])</f>
        <v>4</v>
      </c>
      <c r="I1865" s="6">
        <f>YEAR(GameLog[[#This Row],[Date]])</f>
        <v>2026</v>
      </c>
      <c r="J1865" s="6">
        <f>MONTH(GameLog[[#This Row],[Date]])</f>
        <v>7</v>
      </c>
      <c r="K1865" s="6" t="str">
        <f>IF(GameLog[[#This Row],[Date]]=MAX(GameLog[Date]),"Current","Previous")</f>
        <v>Previous</v>
      </c>
      <c r="L1865" s="6"/>
      <c r="M18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5" s="6" t="str">
        <f ca="1">IF(GameLog[[#This Row],[Check]]="","",COUNTIF(GameLog[[#Headers],[Check]]:GameLog[[#This Row],[Check]],"?*")-1)</f>
        <v/>
      </c>
      <c r="O1865" s="6" t="str">
        <f>IFERROR(INDEX(Players[New name],MATCH(GameLog[[#This Row],[Player]],Players[Name],0)),GameLog[[#This Row],[Player]])</f>
        <v>Tyler B</v>
      </c>
    </row>
    <row r="1866" spans="1:15" x14ac:dyDescent="0.45">
      <c r="A1866" s="6" t="s">
        <v>75</v>
      </c>
      <c r="B1866" s="6" t="s">
        <v>53</v>
      </c>
      <c r="C1866" s="6">
        <v>1</v>
      </c>
      <c r="D1866" s="6">
        <v>2</v>
      </c>
      <c r="E1866" s="6">
        <v>2</v>
      </c>
      <c r="F1866" s="10">
        <v>46223</v>
      </c>
      <c r="G1866" s="6" t="str">
        <f>_xlfn.TEXTJOIN("|",TRUE,GameLog[[#This Row],[Pod]],TEXT(INT(GameLog[[#This Row],[Round]]),"yyyymmdd"),GameLog[[#This Row],[Date]])</f>
        <v>2|19000102|46223</v>
      </c>
      <c r="H1866" s="6">
        <f>COUNTIF(GameLog[Pod ID],GameLog[[#This Row],[Pod ID]])</f>
        <v>4</v>
      </c>
      <c r="I1866" s="6">
        <f>YEAR(GameLog[[#This Row],[Date]])</f>
        <v>2026</v>
      </c>
      <c r="J1866" s="6">
        <f>MONTH(GameLog[[#This Row],[Date]])</f>
        <v>7</v>
      </c>
      <c r="K1866" s="6" t="str">
        <f>IF(GameLog[[#This Row],[Date]]=MAX(GameLog[Date]),"Current","Previous")</f>
        <v>Previous</v>
      </c>
      <c r="L1866" s="6"/>
      <c r="M18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6" s="6" t="str">
        <f ca="1">IF(GameLog[[#This Row],[Check]]="","",COUNTIF(GameLog[[#Headers],[Check]]:GameLog[[#This Row],[Check]],"?*")-1)</f>
        <v/>
      </c>
      <c r="O1866" s="6" t="str">
        <f>IFERROR(INDEX(Players[New name],MATCH(GameLog[[#This Row],[Player]],Players[Name],0)),GameLog[[#This Row],[Player]])</f>
        <v>Eli T</v>
      </c>
    </row>
    <row r="1867" spans="1:15" x14ac:dyDescent="0.45">
      <c r="A1867" s="6" t="s">
        <v>55</v>
      </c>
      <c r="B1867" s="6" t="s">
        <v>50</v>
      </c>
      <c r="C1867" s="6">
        <v>2</v>
      </c>
      <c r="D1867" s="6">
        <v>2</v>
      </c>
      <c r="E1867" s="6">
        <v>2</v>
      </c>
      <c r="F1867" s="10">
        <v>46223</v>
      </c>
      <c r="G1867" s="6" t="str">
        <f>_xlfn.TEXTJOIN("|",TRUE,GameLog[[#This Row],[Pod]],TEXT(INT(GameLog[[#This Row],[Round]]),"yyyymmdd"),GameLog[[#This Row],[Date]])</f>
        <v>2|19000102|46223</v>
      </c>
      <c r="H1867" s="6">
        <f>COUNTIF(GameLog[Pod ID],GameLog[[#This Row],[Pod ID]])</f>
        <v>4</v>
      </c>
      <c r="I1867" s="6">
        <f>YEAR(GameLog[[#This Row],[Date]])</f>
        <v>2026</v>
      </c>
      <c r="J1867" s="6">
        <f>MONTH(GameLog[[#This Row],[Date]])</f>
        <v>7</v>
      </c>
      <c r="K1867" s="6" t="str">
        <f>IF(GameLog[[#This Row],[Date]]=MAX(GameLog[Date]),"Current","Previous")</f>
        <v>Previous</v>
      </c>
      <c r="L1867" s="6"/>
      <c r="M18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7" s="6" t="str">
        <f ca="1">IF(GameLog[[#This Row],[Check]]="","",COUNTIF(GameLog[[#Headers],[Check]]:GameLog[[#This Row],[Check]],"?*")-1)</f>
        <v/>
      </c>
      <c r="O1867" s="6" t="str">
        <f>IFERROR(INDEX(Players[New name],MATCH(GameLog[[#This Row],[Player]],Players[Name],0)),GameLog[[#This Row],[Player]])</f>
        <v>Bryce C</v>
      </c>
    </row>
    <row r="1868" spans="1:15" x14ac:dyDescent="0.45">
      <c r="A1868" s="6" t="s">
        <v>56</v>
      </c>
      <c r="B1868" s="6" t="s">
        <v>53</v>
      </c>
      <c r="C1868" s="6">
        <v>3</v>
      </c>
      <c r="D1868" s="6">
        <v>2</v>
      </c>
      <c r="E1868" s="6">
        <v>2</v>
      </c>
      <c r="F1868" s="10">
        <v>46223</v>
      </c>
      <c r="G1868" s="6" t="str">
        <f>_xlfn.TEXTJOIN("|",TRUE,GameLog[[#This Row],[Pod]],TEXT(INT(GameLog[[#This Row],[Round]]),"yyyymmdd"),GameLog[[#This Row],[Date]])</f>
        <v>2|19000102|46223</v>
      </c>
      <c r="H1868" s="6">
        <f>COUNTIF(GameLog[Pod ID],GameLog[[#This Row],[Pod ID]])</f>
        <v>4</v>
      </c>
      <c r="I1868" s="6">
        <f>YEAR(GameLog[[#This Row],[Date]])</f>
        <v>2026</v>
      </c>
      <c r="J1868" s="6">
        <f>MONTH(GameLog[[#This Row],[Date]])</f>
        <v>7</v>
      </c>
      <c r="K1868" s="6" t="str">
        <f>IF(GameLog[[#This Row],[Date]]=MAX(GameLog[Date]),"Current","Previous")</f>
        <v>Previous</v>
      </c>
      <c r="L1868" s="6"/>
      <c r="M18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8" s="6" t="str">
        <f ca="1">IF(GameLog[[#This Row],[Check]]="","",COUNTIF(GameLog[[#Headers],[Check]]:GameLog[[#This Row],[Check]],"?*")-1)</f>
        <v/>
      </c>
      <c r="O1868" s="6" t="str">
        <f>IFERROR(INDEX(Players[New name],MATCH(GameLog[[#This Row],[Player]],Players[Name],0)),GameLog[[#This Row],[Player]])</f>
        <v>Mark D</v>
      </c>
    </row>
    <row r="1869" spans="1:15" x14ac:dyDescent="0.45">
      <c r="A1869" s="6" t="s">
        <v>57</v>
      </c>
      <c r="B1869" s="6" t="s">
        <v>53</v>
      </c>
      <c r="C1869" s="6">
        <v>4</v>
      </c>
      <c r="D1869" s="6">
        <v>2</v>
      </c>
      <c r="E1869" s="6">
        <v>2</v>
      </c>
      <c r="F1869" s="10">
        <v>46223</v>
      </c>
      <c r="G1869" s="6" t="str">
        <f>_xlfn.TEXTJOIN("|",TRUE,GameLog[[#This Row],[Pod]],TEXT(INT(GameLog[[#This Row],[Round]]),"yyyymmdd"),GameLog[[#This Row],[Date]])</f>
        <v>2|19000102|46223</v>
      </c>
      <c r="H1869" s="6">
        <f>COUNTIF(GameLog[Pod ID],GameLog[[#This Row],[Pod ID]])</f>
        <v>4</v>
      </c>
      <c r="I1869" s="6">
        <f>YEAR(GameLog[[#This Row],[Date]])</f>
        <v>2026</v>
      </c>
      <c r="J1869" s="6">
        <f>MONTH(GameLog[[#This Row],[Date]])</f>
        <v>7</v>
      </c>
      <c r="K1869" s="6" t="str">
        <f>IF(GameLog[[#This Row],[Date]]=MAX(GameLog[Date]),"Current","Previous")</f>
        <v>Previous</v>
      </c>
      <c r="L1869" s="6"/>
      <c r="M18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69" s="6" t="str">
        <f ca="1">IF(GameLog[[#This Row],[Check]]="","",COUNTIF(GameLog[[#Headers],[Check]]:GameLog[[#This Row],[Check]],"?*")-1)</f>
        <v/>
      </c>
      <c r="O1869" s="6" t="str">
        <f>IFERROR(INDEX(Players[New name],MATCH(GameLog[[#This Row],[Player]],Players[Name],0)),GameLog[[#This Row],[Player]])</f>
        <v>AJ W</v>
      </c>
    </row>
    <row r="1870" spans="1:15" x14ac:dyDescent="0.45">
      <c r="A1870" s="6" t="s">
        <v>96</v>
      </c>
      <c r="B1870" s="6" t="s">
        <v>53</v>
      </c>
      <c r="C1870" s="6">
        <v>1</v>
      </c>
      <c r="D1870" s="6">
        <v>3</v>
      </c>
      <c r="E1870" s="6">
        <v>2</v>
      </c>
      <c r="F1870" s="10">
        <v>46223</v>
      </c>
      <c r="G1870" s="6" t="str">
        <f>_xlfn.TEXTJOIN("|",TRUE,GameLog[[#This Row],[Pod]],TEXT(INT(GameLog[[#This Row],[Round]]),"yyyymmdd"),GameLog[[#This Row],[Date]])</f>
        <v>3|19000102|46223</v>
      </c>
      <c r="H1870" s="6">
        <f>COUNTIF(GameLog[Pod ID],GameLog[[#This Row],[Pod ID]])</f>
        <v>4</v>
      </c>
      <c r="I1870" s="6">
        <f>YEAR(GameLog[[#This Row],[Date]])</f>
        <v>2026</v>
      </c>
      <c r="J1870" s="6">
        <f>MONTH(GameLog[[#This Row],[Date]])</f>
        <v>7</v>
      </c>
      <c r="K1870" s="6" t="str">
        <f>IF(GameLog[[#This Row],[Date]]=MAX(GameLog[Date]),"Current","Previous")</f>
        <v>Previous</v>
      </c>
      <c r="L1870" s="6"/>
      <c r="M18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0" s="6" t="str">
        <f ca="1">IF(GameLog[[#This Row],[Check]]="","",COUNTIF(GameLog[[#Headers],[Check]]:GameLog[[#This Row],[Check]],"?*")-1)</f>
        <v/>
      </c>
      <c r="O1870" s="6" t="str">
        <f>IFERROR(INDEX(Players[New name],MATCH(GameLog[[#This Row],[Player]],Players[Name],0)),GameLog[[#This Row],[Player]])</f>
        <v>Brandon A</v>
      </c>
    </row>
    <row r="1871" spans="1:15" x14ac:dyDescent="0.45">
      <c r="A1871" s="6" t="s">
        <v>113</v>
      </c>
      <c r="B1871" s="6" t="s">
        <v>50</v>
      </c>
      <c r="C1871" s="6">
        <v>2</v>
      </c>
      <c r="D1871" s="6">
        <v>3</v>
      </c>
      <c r="E1871" s="6">
        <v>2</v>
      </c>
      <c r="F1871" s="10">
        <v>46223</v>
      </c>
      <c r="G1871" s="6" t="str">
        <f>_xlfn.TEXTJOIN("|",TRUE,GameLog[[#This Row],[Pod]],TEXT(INT(GameLog[[#This Row],[Round]]),"yyyymmdd"),GameLog[[#This Row],[Date]])</f>
        <v>3|19000102|46223</v>
      </c>
      <c r="H1871" s="6">
        <f>COUNTIF(GameLog[Pod ID],GameLog[[#This Row],[Pod ID]])</f>
        <v>4</v>
      </c>
      <c r="I1871" s="6">
        <f>YEAR(GameLog[[#This Row],[Date]])</f>
        <v>2026</v>
      </c>
      <c r="J1871" s="6">
        <f>MONTH(GameLog[[#This Row],[Date]])</f>
        <v>7</v>
      </c>
      <c r="K1871" s="6" t="str">
        <f>IF(GameLog[[#This Row],[Date]]=MAX(GameLog[Date]),"Current","Previous")</f>
        <v>Previous</v>
      </c>
      <c r="L1871" s="6"/>
      <c r="M18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1" s="6" t="str">
        <f ca="1">IF(GameLog[[#This Row],[Check]]="","",COUNTIF(GameLog[[#Headers],[Check]]:GameLog[[#This Row],[Check]],"?*")-1)</f>
        <v/>
      </c>
      <c r="O1871" s="6" t="str">
        <f>IFERROR(INDEX(Players[New name],MATCH(GameLog[[#This Row],[Player]],Players[Name],0)),GameLog[[#This Row],[Player]])</f>
        <v>Gavin J</v>
      </c>
    </row>
    <row r="1872" spans="1:15" x14ac:dyDescent="0.45">
      <c r="A1872" s="6" t="s">
        <v>59</v>
      </c>
      <c r="B1872" s="6" t="s">
        <v>53</v>
      </c>
      <c r="C1872" s="6">
        <v>3</v>
      </c>
      <c r="D1872" s="6">
        <v>3</v>
      </c>
      <c r="E1872" s="6">
        <v>2</v>
      </c>
      <c r="F1872" s="10">
        <v>46223</v>
      </c>
      <c r="G1872" s="6" t="str">
        <f>_xlfn.TEXTJOIN("|",TRUE,GameLog[[#This Row],[Pod]],TEXT(INT(GameLog[[#This Row],[Round]]),"yyyymmdd"),GameLog[[#This Row],[Date]])</f>
        <v>3|19000102|46223</v>
      </c>
      <c r="H1872" s="6">
        <f>COUNTIF(GameLog[Pod ID],GameLog[[#This Row],[Pod ID]])</f>
        <v>4</v>
      </c>
      <c r="I1872" s="6">
        <f>YEAR(GameLog[[#This Row],[Date]])</f>
        <v>2026</v>
      </c>
      <c r="J1872" s="6">
        <f>MONTH(GameLog[[#This Row],[Date]])</f>
        <v>7</v>
      </c>
      <c r="K1872" s="6" t="str">
        <f>IF(GameLog[[#This Row],[Date]]=MAX(GameLog[Date]),"Current","Previous")</f>
        <v>Previous</v>
      </c>
      <c r="L1872" s="6"/>
      <c r="M18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2" s="6" t="str">
        <f ca="1">IF(GameLog[[#This Row],[Check]]="","",COUNTIF(GameLog[[#Headers],[Check]]:GameLog[[#This Row],[Check]],"?*")-1)</f>
        <v/>
      </c>
      <c r="O1872" s="6" t="str">
        <f>IFERROR(INDEX(Players[New name],MATCH(GameLog[[#This Row],[Player]],Players[Name],0)),GameLog[[#This Row],[Player]])</f>
        <v>Zack B</v>
      </c>
    </row>
    <row r="1873" spans="1:15" x14ac:dyDescent="0.45">
      <c r="A1873" s="6" t="s">
        <v>76</v>
      </c>
      <c r="B1873" s="6" t="s">
        <v>53</v>
      </c>
      <c r="C1873" s="6">
        <v>4</v>
      </c>
      <c r="D1873" s="6">
        <v>3</v>
      </c>
      <c r="E1873" s="6">
        <v>2</v>
      </c>
      <c r="F1873" s="10">
        <v>46223</v>
      </c>
      <c r="G1873" s="6" t="str">
        <f>_xlfn.TEXTJOIN("|",TRUE,GameLog[[#This Row],[Pod]],TEXT(INT(GameLog[[#This Row],[Round]]),"yyyymmdd"),GameLog[[#This Row],[Date]])</f>
        <v>3|19000102|46223</v>
      </c>
      <c r="H1873" s="6">
        <f>COUNTIF(GameLog[Pod ID],GameLog[[#This Row],[Pod ID]])</f>
        <v>4</v>
      </c>
      <c r="I1873" s="6">
        <f>YEAR(GameLog[[#This Row],[Date]])</f>
        <v>2026</v>
      </c>
      <c r="J1873" s="6">
        <f>MONTH(GameLog[[#This Row],[Date]])</f>
        <v>7</v>
      </c>
      <c r="K1873" s="6" t="str">
        <f>IF(GameLog[[#This Row],[Date]]=MAX(GameLog[Date]),"Current","Previous")</f>
        <v>Previous</v>
      </c>
      <c r="L1873" s="6"/>
      <c r="M18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3" s="6" t="str">
        <f ca="1">IF(GameLog[[#This Row],[Check]]="","",COUNTIF(GameLog[[#Headers],[Check]]:GameLog[[#This Row],[Check]],"?*")-1)</f>
        <v/>
      </c>
      <c r="O1873" s="6" t="str">
        <f>IFERROR(INDEX(Players[New name],MATCH(GameLog[[#This Row],[Player]],Players[Name],0)),GameLog[[#This Row],[Player]])</f>
        <v>Jon M</v>
      </c>
    </row>
    <row r="1874" spans="1:15" x14ac:dyDescent="0.45">
      <c r="A1874" s="6" t="s">
        <v>73</v>
      </c>
      <c r="B1874" s="6" t="s">
        <v>53</v>
      </c>
      <c r="C1874" s="6">
        <v>1</v>
      </c>
      <c r="D1874" s="6">
        <v>4</v>
      </c>
      <c r="E1874" s="6">
        <v>2</v>
      </c>
      <c r="F1874" s="10">
        <v>46223</v>
      </c>
      <c r="G1874" s="6" t="str">
        <f>_xlfn.TEXTJOIN("|",TRUE,GameLog[[#This Row],[Pod]],TEXT(INT(GameLog[[#This Row],[Round]]),"yyyymmdd"),GameLog[[#This Row],[Date]])</f>
        <v>4|19000102|46223</v>
      </c>
      <c r="H1874" s="6">
        <f>COUNTIF(GameLog[Pod ID],GameLog[[#This Row],[Pod ID]])</f>
        <v>3</v>
      </c>
      <c r="I1874" s="6">
        <f>YEAR(GameLog[[#This Row],[Date]])</f>
        <v>2026</v>
      </c>
      <c r="J1874" s="6">
        <f>MONTH(GameLog[[#This Row],[Date]])</f>
        <v>7</v>
      </c>
      <c r="K1874" s="6" t="str">
        <f>IF(GameLog[[#This Row],[Date]]=MAX(GameLog[Date]),"Current","Previous")</f>
        <v>Previous</v>
      </c>
      <c r="L1874" s="6"/>
      <c r="M18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4" s="6" t="str">
        <f ca="1">IF(GameLog[[#This Row],[Check]]="","",COUNTIF(GameLog[[#Headers],[Check]]:GameLog[[#This Row],[Check]],"?*")-1)</f>
        <v/>
      </c>
      <c r="O1874" s="6" t="str">
        <f>IFERROR(INDEX(Players[New name],MATCH(GameLog[[#This Row],[Player]],Players[Name],0)),GameLog[[#This Row],[Player]])</f>
        <v>Brandon B</v>
      </c>
    </row>
    <row r="1875" spans="1:15" x14ac:dyDescent="0.45">
      <c r="A1875" s="6" t="s">
        <v>63</v>
      </c>
      <c r="B1875" s="6" t="s">
        <v>50</v>
      </c>
      <c r="C1875" s="6">
        <v>2</v>
      </c>
      <c r="D1875" s="6">
        <v>4</v>
      </c>
      <c r="E1875" s="6">
        <v>2</v>
      </c>
      <c r="F1875" s="10">
        <v>46223</v>
      </c>
      <c r="G1875" s="6" t="str">
        <f>_xlfn.TEXTJOIN("|",TRUE,GameLog[[#This Row],[Pod]],TEXT(INT(GameLog[[#This Row],[Round]]),"yyyymmdd"),GameLog[[#This Row],[Date]])</f>
        <v>4|19000102|46223</v>
      </c>
      <c r="H1875" s="6">
        <f>COUNTIF(GameLog[Pod ID],GameLog[[#This Row],[Pod ID]])</f>
        <v>3</v>
      </c>
      <c r="I1875" s="6">
        <f>YEAR(GameLog[[#This Row],[Date]])</f>
        <v>2026</v>
      </c>
      <c r="J1875" s="6">
        <f>MONTH(GameLog[[#This Row],[Date]])</f>
        <v>7</v>
      </c>
      <c r="K1875" s="6" t="str">
        <f>IF(GameLog[[#This Row],[Date]]=MAX(GameLog[Date]),"Current","Previous")</f>
        <v>Previous</v>
      </c>
      <c r="L1875" s="6"/>
      <c r="M18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5" s="6" t="str">
        <f ca="1">IF(GameLog[[#This Row],[Check]]="","",COUNTIF(GameLog[[#Headers],[Check]]:GameLog[[#This Row],[Check]],"?*")-1)</f>
        <v/>
      </c>
      <c r="O1875" s="6" t="str">
        <f>IFERROR(INDEX(Players[New name],MATCH(GameLog[[#This Row],[Player]],Players[Name],0)),GameLog[[#This Row],[Player]])</f>
        <v>Jake D</v>
      </c>
    </row>
    <row r="1876" spans="1:15" x14ac:dyDescent="0.45">
      <c r="A1876" s="6" t="s">
        <v>49</v>
      </c>
      <c r="B1876" s="6" t="s">
        <v>53</v>
      </c>
      <c r="C1876" s="6">
        <v>3</v>
      </c>
      <c r="D1876" s="6">
        <v>4</v>
      </c>
      <c r="E1876" s="6">
        <v>2</v>
      </c>
      <c r="F1876" s="10">
        <v>46223</v>
      </c>
      <c r="G1876" s="6" t="str">
        <f>_xlfn.TEXTJOIN("|",TRUE,GameLog[[#This Row],[Pod]],TEXT(INT(GameLog[[#This Row],[Round]]),"yyyymmdd"),GameLog[[#This Row],[Date]])</f>
        <v>4|19000102|46223</v>
      </c>
      <c r="H1876" s="6">
        <f>COUNTIF(GameLog[Pod ID],GameLog[[#This Row],[Pod ID]])</f>
        <v>3</v>
      </c>
      <c r="I1876" s="6">
        <f>YEAR(GameLog[[#This Row],[Date]])</f>
        <v>2026</v>
      </c>
      <c r="J1876" s="6">
        <f>MONTH(GameLog[[#This Row],[Date]])</f>
        <v>7</v>
      </c>
      <c r="K1876" s="6" t="str">
        <f>IF(GameLog[[#This Row],[Date]]=MAX(GameLog[Date]),"Current","Previous")</f>
        <v>Previous</v>
      </c>
      <c r="L1876" s="6"/>
      <c r="M18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6" s="6" t="str">
        <f ca="1">IF(GameLog[[#This Row],[Check]]="","",COUNTIF(GameLog[[#Headers],[Check]]:GameLog[[#This Row],[Check]],"?*")-1)</f>
        <v/>
      </c>
      <c r="O1876" s="6" t="str">
        <f>IFERROR(INDEX(Players[New name],MATCH(GameLog[[#This Row],[Player]],Players[Name],0)),GameLog[[#This Row],[Player]])</f>
        <v>Brett R</v>
      </c>
    </row>
    <row r="1877" spans="1:15" x14ac:dyDescent="0.45">
      <c r="A1877" s="6" t="s">
        <v>76</v>
      </c>
      <c r="B1877" s="6" t="s">
        <v>90</v>
      </c>
      <c r="C1877" s="6">
        <v>1</v>
      </c>
      <c r="D1877" s="6">
        <v>1</v>
      </c>
      <c r="E1877" s="6">
        <v>1</v>
      </c>
      <c r="F1877" s="10">
        <v>46230</v>
      </c>
      <c r="G1877" s="6" t="str">
        <f>_xlfn.TEXTJOIN("|",TRUE,GameLog[[#This Row],[Pod]],TEXT(INT(GameLog[[#This Row],[Round]]),"yyyymmdd"),GameLog[[#This Row],[Date]])</f>
        <v>1|19000101|46230</v>
      </c>
      <c r="H1877" s="6">
        <f>COUNTIF(GameLog[Pod ID],GameLog[[#This Row],[Pod ID]])</f>
        <v>4</v>
      </c>
      <c r="I1877" s="6">
        <f>YEAR(GameLog[[#This Row],[Date]])</f>
        <v>2026</v>
      </c>
      <c r="J1877" s="6">
        <f>MONTH(GameLog[[#This Row],[Date]])</f>
        <v>7</v>
      </c>
      <c r="K1877" s="6" t="str">
        <f>IF(GameLog[[#This Row],[Date]]=MAX(GameLog[Date]),"Current","Previous")</f>
        <v>Previous</v>
      </c>
      <c r="L1877" s="6"/>
      <c r="M18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7" s="6" t="str">
        <f ca="1">IF(GameLog[[#This Row],[Check]]="","",COUNTIF(GameLog[[#Headers],[Check]]:GameLog[[#This Row],[Check]],"?*")-1)</f>
        <v/>
      </c>
      <c r="O1877" s="6" t="str">
        <f>IFERROR(INDEX(Players[New name],MATCH(GameLog[[#This Row],[Player]],Players[Name],0)),GameLog[[#This Row],[Player]])</f>
        <v>Jon M</v>
      </c>
    </row>
    <row r="1878" spans="1:15" x14ac:dyDescent="0.45">
      <c r="A1878" s="6" t="s">
        <v>118</v>
      </c>
      <c r="B1878" s="6" t="s">
        <v>90</v>
      </c>
      <c r="C1878" s="6">
        <v>2</v>
      </c>
      <c r="D1878" s="6">
        <v>1</v>
      </c>
      <c r="E1878" s="6">
        <v>1</v>
      </c>
      <c r="F1878" s="10">
        <v>46230</v>
      </c>
      <c r="G1878" s="6" t="str">
        <f>_xlfn.TEXTJOIN("|",TRUE,GameLog[[#This Row],[Pod]],TEXT(INT(GameLog[[#This Row],[Round]]),"yyyymmdd"),GameLog[[#This Row],[Date]])</f>
        <v>1|19000101|46230</v>
      </c>
      <c r="H1878" s="6">
        <f>COUNTIF(GameLog[Pod ID],GameLog[[#This Row],[Pod ID]])</f>
        <v>4</v>
      </c>
      <c r="I1878" s="6">
        <f>YEAR(GameLog[[#This Row],[Date]])</f>
        <v>2026</v>
      </c>
      <c r="J1878" s="6">
        <f>MONTH(GameLog[[#This Row],[Date]])</f>
        <v>7</v>
      </c>
      <c r="K1878" s="6" t="str">
        <f>IF(GameLog[[#This Row],[Date]]=MAX(GameLog[Date]),"Current","Previous")</f>
        <v>Previous</v>
      </c>
      <c r="L1878" s="6"/>
      <c r="M18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8" s="6" t="str">
        <f ca="1">IF(GameLog[[#This Row],[Check]]="","",COUNTIF(GameLog[[#Headers],[Check]]:GameLog[[#This Row],[Check]],"?*")-1)</f>
        <v/>
      </c>
      <c r="O1878" s="6" t="str">
        <f>IFERROR(INDEX(Players[New name],MATCH(GameLog[[#This Row],[Player]],Players[Name],0)),GameLog[[#This Row],[Player]])</f>
        <v>Eric T</v>
      </c>
    </row>
    <row r="1879" spans="1:15" x14ac:dyDescent="0.45">
      <c r="A1879" s="6" t="s">
        <v>70</v>
      </c>
      <c r="B1879" s="6" t="s">
        <v>90</v>
      </c>
      <c r="C1879" s="6">
        <v>3</v>
      </c>
      <c r="D1879" s="6">
        <v>1</v>
      </c>
      <c r="E1879" s="6">
        <v>1</v>
      </c>
      <c r="F1879" s="10">
        <v>46230</v>
      </c>
      <c r="G1879" s="6" t="str">
        <f>_xlfn.TEXTJOIN("|",TRUE,GameLog[[#This Row],[Pod]],TEXT(INT(GameLog[[#This Row],[Round]]),"yyyymmdd"),GameLog[[#This Row],[Date]])</f>
        <v>1|19000101|46230</v>
      </c>
      <c r="H1879" s="6">
        <f>COUNTIF(GameLog[Pod ID],GameLog[[#This Row],[Pod ID]])</f>
        <v>4</v>
      </c>
      <c r="I1879" s="6">
        <f>YEAR(GameLog[[#This Row],[Date]])</f>
        <v>2026</v>
      </c>
      <c r="J1879" s="6">
        <f>MONTH(GameLog[[#This Row],[Date]])</f>
        <v>7</v>
      </c>
      <c r="K1879" s="6" t="str">
        <f>IF(GameLog[[#This Row],[Date]]=MAX(GameLog[Date]),"Current","Previous")</f>
        <v>Previous</v>
      </c>
      <c r="L1879" s="6"/>
      <c r="M18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79" s="6" t="str">
        <f ca="1">IF(GameLog[[#This Row],[Check]]="","",COUNTIF(GameLog[[#Headers],[Check]]:GameLog[[#This Row],[Check]],"?*")-1)</f>
        <v/>
      </c>
      <c r="O1879" s="6" t="str">
        <f>IFERROR(INDEX(Players[New name],MATCH(GameLog[[#This Row],[Player]],Players[Name],0)),GameLog[[#This Row],[Player]])</f>
        <v>Brad F</v>
      </c>
    </row>
    <row r="1880" spans="1:15" x14ac:dyDescent="0.45">
      <c r="A1880" s="6" t="s">
        <v>59</v>
      </c>
      <c r="B1880" s="6" t="s">
        <v>90</v>
      </c>
      <c r="C1880" s="6">
        <v>4</v>
      </c>
      <c r="D1880" s="6">
        <v>1</v>
      </c>
      <c r="E1880" s="6">
        <v>1</v>
      </c>
      <c r="F1880" s="10">
        <v>46230</v>
      </c>
      <c r="G1880" s="6" t="str">
        <f>_xlfn.TEXTJOIN("|",TRUE,GameLog[[#This Row],[Pod]],TEXT(INT(GameLog[[#This Row],[Round]]),"yyyymmdd"),GameLog[[#This Row],[Date]])</f>
        <v>1|19000101|46230</v>
      </c>
      <c r="H1880" s="6">
        <f>COUNTIF(GameLog[Pod ID],GameLog[[#This Row],[Pod ID]])</f>
        <v>4</v>
      </c>
      <c r="I1880" s="6">
        <f>YEAR(GameLog[[#This Row],[Date]])</f>
        <v>2026</v>
      </c>
      <c r="J1880" s="6">
        <f>MONTH(GameLog[[#This Row],[Date]])</f>
        <v>7</v>
      </c>
      <c r="K1880" s="6" t="str">
        <f>IF(GameLog[[#This Row],[Date]]=MAX(GameLog[Date]),"Current","Previous")</f>
        <v>Previous</v>
      </c>
      <c r="L1880" s="6"/>
      <c r="M18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0" s="6" t="str">
        <f ca="1">IF(GameLog[[#This Row],[Check]]="","",COUNTIF(GameLog[[#Headers],[Check]]:GameLog[[#This Row],[Check]],"?*")-1)</f>
        <v/>
      </c>
      <c r="O1880" s="6" t="str">
        <f>IFERROR(INDEX(Players[New name],MATCH(GameLog[[#This Row],[Player]],Players[Name],0)),GameLog[[#This Row],[Player]])</f>
        <v>Zack B</v>
      </c>
    </row>
    <row r="1881" spans="1:15" x14ac:dyDescent="0.45">
      <c r="A1881" s="6" t="s">
        <v>75</v>
      </c>
      <c r="B1881" s="6" t="s">
        <v>90</v>
      </c>
      <c r="C1881" s="6">
        <v>1</v>
      </c>
      <c r="D1881" s="6">
        <v>2</v>
      </c>
      <c r="E1881" s="6">
        <v>1</v>
      </c>
      <c r="F1881" s="10">
        <v>46230</v>
      </c>
      <c r="G1881" s="6" t="str">
        <f>_xlfn.TEXTJOIN("|",TRUE,GameLog[[#This Row],[Pod]],TEXT(INT(GameLog[[#This Row],[Round]]),"yyyymmdd"),GameLog[[#This Row],[Date]])</f>
        <v>2|19000101|46230</v>
      </c>
      <c r="H1881" s="6">
        <f>COUNTIF(GameLog[Pod ID],GameLog[[#This Row],[Pod ID]])</f>
        <v>4</v>
      </c>
      <c r="I1881" s="6">
        <f>YEAR(GameLog[[#This Row],[Date]])</f>
        <v>2026</v>
      </c>
      <c r="J1881" s="6">
        <f>MONTH(GameLog[[#This Row],[Date]])</f>
        <v>7</v>
      </c>
      <c r="K1881" s="6" t="str">
        <f>IF(GameLog[[#This Row],[Date]]=MAX(GameLog[Date]),"Current","Previous")</f>
        <v>Previous</v>
      </c>
      <c r="L1881" s="6"/>
      <c r="M18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1" s="6" t="str">
        <f ca="1">IF(GameLog[[#This Row],[Check]]="","",COUNTIF(GameLog[[#Headers],[Check]]:GameLog[[#This Row],[Check]],"?*")-1)</f>
        <v/>
      </c>
      <c r="O1881" s="6" t="str">
        <f>IFERROR(INDEX(Players[New name],MATCH(GameLog[[#This Row],[Player]],Players[Name],0)),GameLog[[#This Row],[Player]])</f>
        <v>Eli T</v>
      </c>
    </row>
    <row r="1882" spans="1:15" x14ac:dyDescent="0.45">
      <c r="A1882" s="6" t="s">
        <v>97</v>
      </c>
      <c r="B1882" s="6" t="s">
        <v>90</v>
      </c>
      <c r="C1882" s="6">
        <v>2</v>
      </c>
      <c r="D1882" s="6">
        <v>2</v>
      </c>
      <c r="E1882" s="6">
        <v>1</v>
      </c>
      <c r="F1882" s="10">
        <v>46230</v>
      </c>
      <c r="G1882" s="6" t="str">
        <f>_xlfn.TEXTJOIN("|",TRUE,GameLog[[#This Row],[Pod]],TEXT(INT(GameLog[[#This Row],[Round]]),"yyyymmdd"),GameLog[[#This Row],[Date]])</f>
        <v>2|19000101|46230</v>
      </c>
      <c r="H1882" s="6">
        <f>COUNTIF(GameLog[Pod ID],GameLog[[#This Row],[Pod ID]])</f>
        <v>4</v>
      </c>
      <c r="I1882" s="6">
        <f>YEAR(GameLog[[#This Row],[Date]])</f>
        <v>2026</v>
      </c>
      <c r="J1882" s="6">
        <f>MONTH(GameLog[[#This Row],[Date]])</f>
        <v>7</v>
      </c>
      <c r="K1882" s="6" t="str">
        <f>IF(GameLog[[#This Row],[Date]]=MAX(GameLog[Date]),"Current","Previous")</f>
        <v>Previous</v>
      </c>
      <c r="L1882" s="6"/>
      <c r="M18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2" s="6" t="str">
        <f ca="1">IF(GameLog[[#This Row],[Check]]="","",COUNTIF(GameLog[[#Headers],[Check]]:GameLog[[#This Row],[Check]],"?*")-1)</f>
        <v/>
      </c>
      <c r="O1882" s="6" t="str">
        <f>IFERROR(INDEX(Players[New name],MATCH(GameLog[[#This Row],[Player]],Players[Name],0)),GameLog[[#This Row],[Player]])</f>
        <v>Arman H</v>
      </c>
    </row>
    <row r="1883" spans="1:15" x14ac:dyDescent="0.45">
      <c r="A1883" s="6" t="s">
        <v>104</v>
      </c>
      <c r="B1883" s="6" t="s">
        <v>90</v>
      </c>
      <c r="C1883" s="6">
        <v>3</v>
      </c>
      <c r="D1883" s="6">
        <v>2</v>
      </c>
      <c r="E1883" s="6">
        <v>1</v>
      </c>
      <c r="F1883" s="10">
        <v>46230</v>
      </c>
      <c r="G1883" s="6" t="str">
        <f>_xlfn.TEXTJOIN("|",TRUE,GameLog[[#This Row],[Pod]],TEXT(INT(GameLog[[#This Row],[Round]]),"yyyymmdd"),GameLog[[#This Row],[Date]])</f>
        <v>2|19000101|46230</v>
      </c>
      <c r="H1883" s="6">
        <f>COUNTIF(GameLog[Pod ID],GameLog[[#This Row],[Pod ID]])</f>
        <v>4</v>
      </c>
      <c r="I1883" s="6">
        <f>YEAR(GameLog[[#This Row],[Date]])</f>
        <v>2026</v>
      </c>
      <c r="J1883" s="6">
        <f>MONTH(GameLog[[#This Row],[Date]])</f>
        <v>7</v>
      </c>
      <c r="K1883" s="6" t="str">
        <f>IF(GameLog[[#This Row],[Date]]=MAX(GameLog[Date]),"Current","Previous")</f>
        <v>Previous</v>
      </c>
      <c r="L1883" s="6"/>
      <c r="M18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3" s="6" t="str">
        <f ca="1">IF(GameLog[[#This Row],[Check]]="","",COUNTIF(GameLog[[#Headers],[Check]]:GameLog[[#This Row],[Check]],"?*")-1)</f>
        <v/>
      </c>
      <c r="O1883" s="6" t="str">
        <f>IFERROR(INDEX(Players[New name],MATCH(GameLog[[#This Row],[Player]],Players[Name],0)),GameLog[[#This Row],[Player]])</f>
        <v>Eric E</v>
      </c>
    </row>
    <row r="1884" spans="1:15" x14ac:dyDescent="0.45">
      <c r="A1884" s="6" t="s">
        <v>73</v>
      </c>
      <c r="B1884" s="6" t="s">
        <v>90</v>
      </c>
      <c r="C1884" s="6">
        <v>4</v>
      </c>
      <c r="D1884" s="6">
        <v>2</v>
      </c>
      <c r="E1884" s="6">
        <v>1</v>
      </c>
      <c r="F1884" s="10">
        <v>46230</v>
      </c>
      <c r="G1884" s="6" t="str">
        <f>_xlfn.TEXTJOIN("|",TRUE,GameLog[[#This Row],[Pod]],TEXT(INT(GameLog[[#This Row],[Round]]),"yyyymmdd"),GameLog[[#This Row],[Date]])</f>
        <v>2|19000101|46230</v>
      </c>
      <c r="H1884" s="6">
        <f>COUNTIF(GameLog[Pod ID],GameLog[[#This Row],[Pod ID]])</f>
        <v>4</v>
      </c>
      <c r="I1884" s="6">
        <f>YEAR(GameLog[[#This Row],[Date]])</f>
        <v>2026</v>
      </c>
      <c r="J1884" s="6">
        <f>MONTH(GameLog[[#This Row],[Date]])</f>
        <v>7</v>
      </c>
      <c r="K1884" s="6" t="str">
        <f>IF(GameLog[[#This Row],[Date]]=MAX(GameLog[Date]),"Current","Previous")</f>
        <v>Previous</v>
      </c>
      <c r="L1884" s="6"/>
      <c r="M18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4" s="6" t="str">
        <f ca="1">IF(GameLog[[#This Row],[Check]]="","",COUNTIF(GameLog[[#Headers],[Check]]:GameLog[[#This Row],[Check]],"?*")-1)</f>
        <v/>
      </c>
      <c r="O1884" s="6" t="str">
        <f>IFERROR(INDEX(Players[New name],MATCH(GameLog[[#This Row],[Player]],Players[Name],0)),GameLog[[#This Row],[Player]])</f>
        <v>Brandon B</v>
      </c>
    </row>
    <row r="1885" spans="1:15" x14ac:dyDescent="0.45">
      <c r="A1885" s="6" t="s">
        <v>57</v>
      </c>
      <c r="B1885" s="6" t="s">
        <v>90</v>
      </c>
      <c r="C1885" s="6">
        <v>1</v>
      </c>
      <c r="D1885" s="6">
        <v>3</v>
      </c>
      <c r="E1885" s="6">
        <v>1</v>
      </c>
      <c r="F1885" s="10">
        <v>46230</v>
      </c>
      <c r="G1885" s="6" t="str">
        <f>_xlfn.TEXTJOIN("|",TRUE,GameLog[[#This Row],[Pod]],TEXT(INT(GameLog[[#This Row],[Round]]),"yyyymmdd"),GameLog[[#This Row],[Date]])</f>
        <v>3|19000101|46230</v>
      </c>
      <c r="H1885" s="6">
        <f>COUNTIF(GameLog[Pod ID],GameLog[[#This Row],[Pod ID]])</f>
        <v>4</v>
      </c>
      <c r="I1885" s="6">
        <f>YEAR(GameLog[[#This Row],[Date]])</f>
        <v>2026</v>
      </c>
      <c r="J1885" s="6">
        <f>MONTH(GameLog[[#This Row],[Date]])</f>
        <v>7</v>
      </c>
      <c r="K1885" s="6" t="str">
        <f>IF(GameLog[[#This Row],[Date]]=MAX(GameLog[Date]),"Current","Previous")</f>
        <v>Previous</v>
      </c>
      <c r="L1885" s="6"/>
      <c r="M18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5" s="6" t="str">
        <f ca="1">IF(GameLog[[#This Row],[Check]]="","",COUNTIF(GameLog[[#Headers],[Check]]:GameLog[[#This Row],[Check]],"?*")-1)</f>
        <v/>
      </c>
      <c r="O1885" s="6" t="str">
        <f>IFERROR(INDEX(Players[New name],MATCH(GameLog[[#This Row],[Player]],Players[Name],0)),GameLog[[#This Row],[Player]])</f>
        <v>AJ W</v>
      </c>
    </row>
    <row r="1886" spans="1:15" x14ac:dyDescent="0.45">
      <c r="A1886" s="6" t="s">
        <v>64</v>
      </c>
      <c r="B1886" s="6" t="s">
        <v>90</v>
      </c>
      <c r="C1886" s="6">
        <v>2</v>
      </c>
      <c r="D1886" s="6">
        <v>3</v>
      </c>
      <c r="E1886" s="6">
        <v>1</v>
      </c>
      <c r="F1886" s="10">
        <v>46230</v>
      </c>
      <c r="G1886" s="6" t="str">
        <f>_xlfn.TEXTJOIN("|",TRUE,GameLog[[#This Row],[Pod]],TEXT(INT(GameLog[[#This Row],[Round]]),"yyyymmdd"),GameLog[[#This Row],[Date]])</f>
        <v>3|19000101|46230</v>
      </c>
      <c r="H1886" s="6">
        <f>COUNTIF(GameLog[Pod ID],GameLog[[#This Row],[Pod ID]])</f>
        <v>4</v>
      </c>
      <c r="I1886" s="6">
        <f>YEAR(GameLog[[#This Row],[Date]])</f>
        <v>2026</v>
      </c>
      <c r="J1886" s="6">
        <f>MONTH(GameLog[[#This Row],[Date]])</f>
        <v>7</v>
      </c>
      <c r="K1886" s="6" t="str">
        <f>IF(GameLog[[#This Row],[Date]]=MAX(GameLog[Date]),"Current","Previous")</f>
        <v>Previous</v>
      </c>
      <c r="L1886" s="6"/>
      <c r="M18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6" s="6" t="str">
        <f ca="1">IF(GameLog[[#This Row],[Check]]="","",COUNTIF(GameLog[[#Headers],[Check]]:GameLog[[#This Row],[Check]],"?*")-1)</f>
        <v/>
      </c>
      <c r="O1886" s="6" t="str">
        <f>IFERROR(INDEX(Players[New name],MATCH(GameLog[[#This Row],[Player]],Players[Name],0)),GameLog[[#This Row],[Player]])</f>
        <v>Tyler B</v>
      </c>
    </row>
    <row r="1887" spans="1:15" x14ac:dyDescent="0.45">
      <c r="A1887" s="6" t="s">
        <v>113</v>
      </c>
      <c r="B1887" s="6" t="s">
        <v>90</v>
      </c>
      <c r="C1887" s="6">
        <v>3</v>
      </c>
      <c r="D1887" s="6">
        <v>3</v>
      </c>
      <c r="E1887" s="6">
        <v>1</v>
      </c>
      <c r="F1887" s="10">
        <v>46230</v>
      </c>
      <c r="G1887" s="6" t="str">
        <f>_xlfn.TEXTJOIN("|",TRUE,GameLog[[#This Row],[Pod]],TEXT(INT(GameLog[[#This Row],[Round]]),"yyyymmdd"),GameLog[[#This Row],[Date]])</f>
        <v>3|19000101|46230</v>
      </c>
      <c r="H1887" s="6">
        <f>COUNTIF(GameLog[Pod ID],GameLog[[#This Row],[Pod ID]])</f>
        <v>4</v>
      </c>
      <c r="I1887" s="6">
        <f>YEAR(GameLog[[#This Row],[Date]])</f>
        <v>2026</v>
      </c>
      <c r="J1887" s="6">
        <f>MONTH(GameLog[[#This Row],[Date]])</f>
        <v>7</v>
      </c>
      <c r="K1887" s="6" t="str">
        <f>IF(GameLog[[#This Row],[Date]]=MAX(GameLog[Date]),"Current","Previous")</f>
        <v>Previous</v>
      </c>
      <c r="L1887" s="6"/>
      <c r="M18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7" s="6" t="str">
        <f ca="1">IF(GameLog[[#This Row],[Check]]="","",COUNTIF(GameLog[[#Headers],[Check]]:GameLog[[#This Row],[Check]],"?*")-1)</f>
        <v/>
      </c>
      <c r="O1887" s="6" t="str">
        <f>IFERROR(INDEX(Players[New name],MATCH(GameLog[[#This Row],[Player]],Players[Name],0)),GameLog[[#This Row],[Player]])</f>
        <v>Gavin J</v>
      </c>
    </row>
    <row r="1888" spans="1:15" x14ac:dyDescent="0.45">
      <c r="A1888" s="6" t="s">
        <v>109</v>
      </c>
      <c r="B1888" s="6" t="s">
        <v>90</v>
      </c>
      <c r="C1888" s="6">
        <v>4</v>
      </c>
      <c r="D1888" s="6">
        <v>3</v>
      </c>
      <c r="E1888" s="6">
        <v>1</v>
      </c>
      <c r="F1888" s="10">
        <v>46230</v>
      </c>
      <c r="G1888" s="6" t="str">
        <f>_xlfn.TEXTJOIN("|",TRUE,GameLog[[#This Row],[Pod]],TEXT(INT(GameLog[[#This Row],[Round]]),"yyyymmdd"),GameLog[[#This Row],[Date]])</f>
        <v>3|19000101|46230</v>
      </c>
      <c r="H1888" s="6">
        <f>COUNTIF(GameLog[Pod ID],GameLog[[#This Row],[Pod ID]])</f>
        <v>4</v>
      </c>
      <c r="I1888" s="6">
        <f>YEAR(GameLog[[#This Row],[Date]])</f>
        <v>2026</v>
      </c>
      <c r="J1888" s="6">
        <f>MONTH(GameLog[[#This Row],[Date]])</f>
        <v>7</v>
      </c>
      <c r="K1888" s="6" t="str">
        <f>IF(GameLog[[#This Row],[Date]]=MAX(GameLog[Date]),"Current","Previous")</f>
        <v>Previous</v>
      </c>
      <c r="L1888" s="6"/>
      <c r="M18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8" s="6" t="str">
        <f ca="1">IF(GameLog[[#This Row],[Check]]="","",COUNTIF(GameLog[[#Headers],[Check]]:GameLog[[#This Row],[Check]],"?*")-1)</f>
        <v/>
      </c>
      <c r="O1888" s="6" t="str">
        <f>IFERROR(INDEX(Players[New name],MATCH(GameLog[[#This Row],[Player]],Players[Name],0)),GameLog[[#This Row],[Player]])</f>
        <v>Taylor C</v>
      </c>
    </row>
    <row r="1889" spans="1:15" x14ac:dyDescent="0.45">
      <c r="A1889" s="6" t="s">
        <v>78</v>
      </c>
      <c r="B1889" s="6" t="s">
        <v>53</v>
      </c>
      <c r="C1889" s="6">
        <v>1</v>
      </c>
      <c r="D1889" s="6">
        <v>4</v>
      </c>
      <c r="E1889" s="6">
        <v>1</v>
      </c>
      <c r="F1889" s="10">
        <v>46230</v>
      </c>
      <c r="G1889" s="6" t="str">
        <f>_xlfn.TEXTJOIN("|",TRUE,GameLog[[#This Row],[Pod]],TEXT(INT(GameLog[[#This Row],[Round]]),"yyyymmdd"),GameLog[[#This Row],[Date]])</f>
        <v>4|19000101|46230</v>
      </c>
      <c r="H1889" s="6">
        <f>COUNTIF(GameLog[Pod ID],GameLog[[#This Row],[Pod ID]])</f>
        <v>3</v>
      </c>
      <c r="I1889" s="6">
        <f>YEAR(GameLog[[#This Row],[Date]])</f>
        <v>2026</v>
      </c>
      <c r="J1889" s="6">
        <f>MONTH(GameLog[[#This Row],[Date]])</f>
        <v>7</v>
      </c>
      <c r="K1889" s="6" t="str">
        <f>IF(GameLog[[#This Row],[Date]]=MAX(GameLog[Date]),"Current","Previous")</f>
        <v>Previous</v>
      </c>
      <c r="L1889" s="6"/>
      <c r="M18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89" s="6" t="str">
        <f ca="1">IF(GameLog[[#This Row],[Check]]="","",COUNTIF(GameLog[[#Headers],[Check]]:GameLog[[#This Row],[Check]],"?*")-1)</f>
        <v/>
      </c>
      <c r="O1889" s="6" t="str">
        <f>IFERROR(INDEX(Players[New name],MATCH(GameLog[[#This Row],[Player]],Players[Name],0)),GameLog[[#This Row],[Player]])</f>
        <v>Justin M</v>
      </c>
    </row>
    <row r="1890" spans="1:15" x14ac:dyDescent="0.45">
      <c r="A1890" s="6" t="s">
        <v>68</v>
      </c>
      <c r="B1890" s="6" t="s">
        <v>50</v>
      </c>
      <c r="C1890" s="6">
        <v>2</v>
      </c>
      <c r="D1890" s="6">
        <v>4</v>
      </c>
      <c r="E1890" s="6">
        <v>1</v>
      </c>
      <c r="F1890" s="10">
        <v>46230</v>
      </c>
      <c r="G1890" s="6" t="str">
        <f>_xlfn.TEXTJOIN("|",TRUE,GameLog[[#This Row],[Pod]],TEXT(INT(GameLog[[#This Row],[Round]]),"yyyymmdd"),GameLog[[#This Row],[Date]])</f>
        <v>4|19000101|46230</v>
      </c>
      <c r="H1890" s="6">
        <f>COUNTIF(GameLog[Pod ID],GameLog[[#This Row],[Pod ID]])</f>
        <v>3</v>
      </c>
      <c r="I1890" s="6">
        <f>YEAR(GameLog[[#This Row],[Date]])</f>
        <v>2026</v>
      </c>
      <c r="J1890" s="6">
        <f>MONTH(GameLog[[#This Row],[Date]])</f>
        <v>7</v>
      </c>
      <c r="K1890" s="6" t="str">
        <f>IF(GameLog[[#This Row],[Date]]=MAX(GameLog[Date]),"Current","Previous")</f>
        <v>Previous</v>
      </c>
      <c r="L1890" s="6"/>
      <c r="M18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0" s="6" t="str">
        <f ca="1">IF(GameLog[[#This Row],[Check]]="","",COUNTIF(GameLog[[#Headers],[Check]]:GameLog[[#This Row],[Check]],"?*")-1)</f>
        <v/>
      </c>
      <c r="O1890" s="6" t="str">
        <f>IFERROR(INDEX(Players[New name],MATCH(GameLog[[#This Row],[Player]],Players[Name],0)),GameLog[[#This Row],[Player]])</f>
        <v>Edwin M</v>
      </c>
    </row>
    <row r="1891" spans="1:15" x14ac:dyDescent="0.45">
      <c r="A1891" s="6" t="s">
        <v>55</v>
      </c>
      <c r="B1891" s="6" t="s">
        <v>53</v>
      </c>
      <c r="C1891" s="6">
        <v>3</v>
      </c>
      <c r="D1891" s="6">
        <v>4</v>
      </c>
      <c r="E1891" s="6">
        <v>1</v>
      </c>
      <c r="F1891" s="10">
        <v>46230</v>
      </c>
      <c r="G1891" s="6" t="str">
        <f>_xlfn.TEXTJOIN("|",TRUE,GameLog[[#This Row],[Pod]],TEXT(INT(GameLog[[#This Row],[Round]]),"yyyymmdd"),GameLog[[#This Row],[Date]])</f>
        <v>4|19000101|46230</v>
      </c>
      <c r="H1891" s="6">
        <f>COUNTIF(GameLog[Pod ID],GameLog[[#This Row],[Pod ID]])</f>
        <v>3</v>
      </c>
      <c r="I1891" s="6">
        <f>YEAR(GameLog[[#This Row],[Date]])</f>
        <v>2026</v>
      </c>
      <c r="J1891" s="6">
        <f>MONTH(GameLog[[#This Row],[Date]])</f>
        <v>7</v>
      </c>
      <c r="K1891" s="6" t="str">
        <f>IF(GameLog[[#This Row],[Date]]=MAX(GameLog[Date]),"Current","Previous")</f>
        <v>Previous</v>
      </c>
      <c r="L1891" s="6"/>
      <c r="M18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1" s="6" t="str">
        <f ca="1">IF(GameLog[[#This Row],[Check]]="","",COUNTIF(GameLog[[#Headers],[Check]]:GameLog[[#This Row],[Check]],"?*")-1)</f>
        <v/>
      </c>
      <c r="O1891" s="6" t="str">
        <f>IFERROR(INDEX(Players[New name],MATCH(GameLog[[#This Row],[Player]],Players[Name],0)),GameLog[[#This Row],[Player]])</f>
        <v>Bryce C</v>
      </c>
    </row>
    <row r="1892" spans="1:15" x14ac:dyDescent="0.45">
      <c r="A1892" s="6" t="s">
        <v>110</v>
      </c>
      <c r="B1892" s="6" t="s">
        <v>53</v>
      </c>
      <c r="C1892" s="6">
        <v>1</v>
      </c>
      <c r="D1892" s="6">
        <v>5</v>
      </c>
      <c r="E1892" s="6">
        <v>1</v>
      </c>
      <c r="F1892" s="10">
        <v>46230</v>
      </c>
      <c r="G1892" s="6" t="str">
        <f>_xlfn.TEXTJOIN("|",TRUE,GameLog[[#This Row],[Pod]],TEXT(INT(GameLog[[#This Row],[Round]]),"yyyymmdd"),GameLog[[#This Row],[Date]])</f>
        <v>5|19000101|46230</v>
      </c>
      <c r="H1892" s="6">
        <f>COUNTIF(GameLog[Pod ID],GameLog[[#This Row],[Pod ID]])</f>
        <v>3</v>
      </c>
      <c r="I1892" s="6">
        <f>YEAR(GameLog[[#This Row],[Date]])</f>
        <v>2026</v>
      </c>
      <c r="J1892" s="6">
        <f>MONTH(GameLog[[#This Row],[Date]])</f>
        <v>7</v>
      </c>
      <c r="K1892" s="6" t="str">
        <f>IF(GameLog[[#This Row],[Date]]=MAX(GameLog[Date]),"Current","Previous")</f>
        <v>Previous</v>
      </c>
      <c r="L1892" s="6"/>
      <c r="M18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2" s="6" t="str">
        <f ca="1">IF(GameLog[[#This Row],[Check]]="","",COUNTIF(GameLog[[#Headers],[Check]]:GameLog[[#This Row],[Check]],"?*")-1)</f>
        <v/>
      </c>
      <c r="O1892" s="6" t="str">
        <f>IFERROR(INDEX(Players[New name],MATCH(GameLog[[#This Row],[Player]],Players[Name],0)),GameLog[[#This Row],[Player]])</f>
        <v>Paul B</v>
      </c>
    </row>
    <row r="1893" spans="1:15" x14ac:dyDescent="0.45">
      <c r="A1893" s="6" t="s">
        <v>63</v>
      </c>
      <c r="B1893" s="6" t="s">
        <v>53</v>
      </c>
      <c r="C1893" s="6">
        <v>2</v>
      </c>
      <c r="D1893" s="6">
        <v>5</v>
      </c>
      <c r="E1893" s="6">
        <v>1</v>
      </c>
      <c r="F1893" s="10">
        <v>46230</v>
      </c>
      <c r="G1893" s="6" t="str">
        <f>_xlfn.TEXTJOIN("|",TRUE,GameLog[[#This Row],[Pod]],TEXT(INT(GameLog[[#This Row],[Round]]),"yyyymmdd"),GameLog[[#This Row],[Date]])</f>
        <v>5|19000101|46230</v>
      </c>
      <c r="H1893" s="6">
        <f>COUNTIF(GameLog[Pod ID],GameLog[[#This Row],[Pod ID]])</f>
        <v>3</v>
      </c>
      <c r="I1893" s="6">
        <f>YEAR(GameLog[[#This Row],[Date]])</f>
        <v>2026</v>
      </c>
      <c r="J1893" s="6">
        <f>MONTH(GameLog[[#This Row],[Date]])</f>
        <v>7</v>
      </c>
      <c r="K1893" s="6" t="str">
        <f>IF(GameLog[[#This Row],[Date]]=MAX(GameLog[Date]),"Current","Previous")</f>
        <v>Previous</v>
      </c>
      <c r="L1893" s="6"/>
      <c r="M18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3" s="6" t="str">
        <f ca="1">IF(GameLog[[#This Row],[Check]]="","",COUNTIF(GameLog[[#Headers],[Check]]:GameLog[[#This Row],[Check]],"?*")-1)</f>
        <v/>
      </c>
      <c r="O1893" s="6" t="str">
        <f>IFERROR(INDEX(Players[New name],MATCH(GameLog[[#This Row],[Player]],Players[Name],0)),GameLog[[#This Row],[Player]])</f>
        <v>Jake D</v>
      </c>
    </row>
    <row r="1894" spans="1:15" x14ac:dyDescent="0.45">
      <c r="A1894" s="6" t="s">
        <v>96</v>
      </c>
      <c r="B1894" s="6" t="s">
        <v>50</v>
      </c>
      <c r="C1894" s="6">
        <v>3</v>
      </c>
      <c r="D1894" s="6">
        <v>5</v>
      </c>
      <c r="E1894" s="6">
        <v>1</v>
      </c>
      <c r="F1894" s="10">
        <v>46230</v>
      </c>
      <c r="G1894" s="6" t="str">
        <f>_xlfn.TEXTJOIN("|",TRUE,GameLog[[#This Row],[Pod]],TEXT(INT(GameLog[[#This Row],[Round]]),"yyyymmdd"),GameLog[[#This Row],[Date]])</f>
        <v>5|19000101|46230</v>
      </c>
      <c r="H1894" s="6">
        <f>COUNTIF(GameLog[Pod ID],GameLog[[#This Row],[Pod ID]])</f>
        <v>3</v>
      </c>
      <c r="I1894" s="6">
        <f>YEAR(GameLog[[#This Row],[Date]])</f>
        <v>2026</v>
      </c>
      <c r="J1894" s="6">
        <f>MONTH(GameLog[[#This Row],[Date]])</f>
        <v>7</v>
      </c>
      <c r="K1894" s="6" t="str">
        <f>IF(GameLog[[#This Row],[Date]]=MAX(GameLog[Date]),"Current","Previous")</f>
        <v>Previous</v>
      </c>
      <c r="L1894" s="6"/>
      <c r="M18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4" s="6" t="str">
        <f ca="1">IF(GameLog[[#This Row],[Check]]="","",COUNTIF(GameLog[[#Headers],[Check]]:GameLog[[#This Row],[Check]],"?*")-1)</f>
        <v/>
      </c>
      <c r="O1894" s="6" t="str">
        <f>IFERROR(INDEX(Players[New name],MATCH(GameLog[[#This Row],[Player]],Players[Name],0)),GameLog[[#This Row],[Player]])</f>
        <v>Brandon A</v>
      </c>
    </row>
    <row r="1895" spans="1:15" x14ac:dyDescent="0.45">
      <c r="A1895" s="6" t="s">
        <v>96</v>
      </c>
      <c r="B1895" s="6" t="s">
        <v>53</v>
      </c>
      <c r="C1895" s="6">
        <v>1</v>
      </c>
      <c r="D1895" s="6">
        <v>1</v>
      </c>
      <c r="E1895" s="6">
        <v>2</v>
      </c>
      <c r="F1895" s="10">
        <v>46230</v>
      </c>
      <c r="G1895" s="6" t="str">
        <f>_xlfn.TEXTJOIN("|",TRUE,GameLog[[#This Row],[Pod]],TEXT(INT(GameLog[[#This Row],[Round]]),"yyyymmdd"),GameLog[[#This Row],[Date]])</f>
        <v>1|19000102|46230</v>
      </c>
      <c r="H1895" s="6">
        <f>COUNTIF(GameLog[Pod ID],GameLog[[#This Row],[Pod ID]])</f>
        <v>4</v>
      </c>
      <c r="I1895" s="6">
        <f>YEAR(GameLog[[#This Row],[Date]])</f>
        <v>2026</v>
      </c>
      <c r="J1895" s="6">
        <f>MONTH(GameLog[[#This Row],[Date]])</f>
        <v>7</v>
      </c>
      <c r="K1895" s="6" t="str">
        <f>IF(GameLog[[#This Row],[Date]]=MAX(GameLog[Date]),"Current","Previous")</f>
        <v>Previous</v>
      </c>
      <c r="L1895" s="6"/>
      <c r="M18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5" s="6" t="str">
        <f ca="1">IF(GameLog[[#This Row],[Check]]="","",COUNTIF(GameLog[[#Headers],[Check]]:GameLog[[#This Row],[Check]],"?*")-1)</f>
        <v/>
      </c>
      <c r="O1895" s="6" t="str">
        <f>IFERROR(INDEX(Players[New name],MATCH(GameLog[[#This Row],[Player]],Players[Name],0)),GameLog[[#This Row],[Player]])</f>
        <v>Brandon A</v>
      </c>
    </row>
    <row r="1896" spans="1:15" x14ac:dyDescent="0.45">
      <c r="A1896" s="6" t="s">
        <v>68</v>
      </c>
      <c r="B1896" s="6" t="s">
        <v>50</v>
      </c>
      <c r="C1896" s="6">
        <v>2</v>
      </c>
      <c r="D1896" s="6">
        <v>1</v>
      </c>
      <c r="E1896" s="6">
        <v>2</v>
      </c>
      <c r="F1896" s="10">
        <v>46230</v>
      </c>
      <c r="G1896" s="6" t="str">
        <f>_xlfn.TEXTJOIN("|",TRUE,GameLog[[#This Row],[Pod]],TEXT(INT(GameLog[[#This Row],[Round]]),"yyyymmdd"),GameLog[[#This Row],[Date]])</f>
        <v>1|19000102|46230</v>
      </c>
      <c r="H1896" s="6">
        <f>COUNTIF(GameLog[Pod ID],GameLog[[#This Row],[Pod ID]])</f>
        <v>4</v>
      </c>
      <c r="I1896" s="6">
        <f>YEAR(GameLog[[#This Row],[Date]])</f>
        <v>2026</v>
      </c>
      <c r="J1896" s="6">
        <f>MONTH(GameLog[[#This Row],[Date]])</f>
        <v>7</v>
      </c>
      <c r="K1896" s="6" t="str">
        <f>IF(GameLog[[#This Row],[Date]]=MAX(GameLog[Date]),"Current","Previous")</f>
        <v>Previous</v>
      </c>
      <c r="L1896" s="6"/>
      <c r="M18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6" s="6" t="str">
        <f ca="1">IF(GameLog[[#This Row],[Check]]="","",COUNTIF(GameLog[[#Headers],[Check]]:GameLog[[#This Row],[Check]],"?*")-1)</f>
        <v/>
      </c>
      <c r="O1896" s="6" t="str">
        <f>IFERROR(INDEX(Players[New name],MATCH(GameLog[[#This Row],[Player]],Players[Name],0)),GameLog[[#This Row],[Player]])</f>
        <v>Edwin M</v>
      </c>
    </row>
    <row r="1897" spans="1:15" x14ac:dyDescent="0.45">
      <c r="A1897" s="6" t="s">
        <v>113</v>
      </c>
      <c r="B1897" s="6" t="s">
        <v>53</v>
      </c>
      <c r="C1897" s="6">
        <v>3</v>
      </c>
      <c r="D1897" s="6">
        <v>1</v>
      </c>
      <c r="E1897" s="6">
        <v>2</v>
      </c>
      <c r="F1897" s="10">
        <v>46230</v>
      </c>
      <c r="G1897" s="6" t="str">
        <f>_xlfn.TEXTJOIN("|",TRUE,GameLog[[#This Row],[Pod]],TEXT(INT(GameLog[[#This Row],[Round]]),"yyyymmdd"),GameLog[[#This Row],[Date]])</f>
        <v>1|19000102|46230</v>
      </c>
      <c r="H1897" s="6">
        <f>COUNTIF(GameLog[Pod ID],GameLog[[#This Row],[Pod ID]])</f>
        <v>4</v>
      </c>
      <c r="I1897" s="6">
        <f>YEAR(GameLog[[#This Row],[Date]])</f>
        <v>2026</v>
      </c>
      <c r="J1897" s="6">
        <f>MONTH(GameLog[[#This Row],[Date]])</f>
        <v>7</v>
      </c>
      <c r="K1897" s="6" t="str">
        <f>IF(GameLog[[#This Row],[Date]]=MAX(GameLog[Date]),"Current","Previous")</f>
        <v>Previous</v>
      </c>
      <c r="L1897" s="6"/>
      <c r="M18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7" s="6" t="str">
        <f ca="1">IF(GameLog[[#This Row],[Check]]="","",COUNTIF(GameLog[[#Headers],[Check]]:GameLog[[#This Row],[Check]],"?*")-1)</f>
        <v/>
      </c>
      <c r="O1897" s="6" t="str">
        <f>IFERROR(INDEX(Players[New name],MATCH(GameLog[[#This Row],[Player]],Players[Name],0)),GameLog[[#This Row],[Player]])</f>
        <v>Gavin J</v>
      </c>
    </row>
    <row r="1898" spans="1:15" x14ac:dyDescent="0.45">
      <c r="A1898" s="6" t="s">
        <v>70</v>
      </c>
      <c r="B1898" s="6" t="s">
        <v>53</v>
      </c>
      <c r="C1898" s="6">
        <v>4</v>
      </c>
      <c r="D1898" s="6">
        <v>1</v>
      </c>
      <c r="E1898" s="6">
        <v>2</v>
      </c>
      <c r="F1898" s="10">
        <v>46230</v>
      </c>
      <c r="G1898" s="6" t="str">
        <f>_xlfn.TEXTJOIN("|",TRUE,GameLog[[#This Row],[Pod]],TEXT(INT(GameLog[[#This Row],[Round]]),"yyyymmdd"),GameLog[[#This Row],[Date]])</f>
        <v>1|19000102|46230</v>
      </c>
      <c r="H1898" s="6">
        <f>COUNTIF(GameLog[Pod ID],GameLog[[#This Row],[Pod ID]])</f>
        <v>4</v>
      </c>
      <c r="I1898" s="6">
        <f>YEAR(GameLog[[#This Row],[Date]])</f>
        <v>2026</v>
      </c>
      <c r="J1898" s="6">
        <f>MONTH(GameLog[[#This Row],[Date]])</f>
        <v>7</v>
      </c>
      <c r="K1898" s="6" t="str">
        <f>IF(GameLog[[#This Row],[Date]]=MAX(GameLog[Date]),"Current","Previous")</f>
        <v>Previous</v>
      </c>
      <c r="L1898" s="6"/>
      <c r="M18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8" s="6" t="str">
        <f ca="1">IF(GameLog[[#This Row],[Check]]="","",COUNTIF(GameLog[[#Headers],[Check]]:GameLog[[#This Row],[Check]],"?*")-1)</f>
        <v/>
      </c>
      <c r="O1898" s="6" t="str">
        <f>IFERROR(INDEX(Players[New name],MATCH(GameLog[[#This Row],[Player]],Players[Name],0)),GameLog[[#This Row],[Player]])</f>
        <v>Brad F</v>
      </c>
    </row>
    <row r="1899" spans="1:15" x14ac:dyDescent="0.45">
      <c r="A1899" s="6" t="s">
        <v>59</v>
      </c>
      <c r="B1899" s="6" t="s">
        <v>90</v>
      </c>
      <c r="C1899" s="6">
        <v>1</v>
      </c>
      <c r="D1899" s="6">
        <v>2</v>
      </c>
      <c r="E1899" s="6">
        <v>2</v>
      </c>
      <c r="F1899" s="10">
        <v>46230</v>
      </c>
      <c r="G1899" s="6" t="str">
        <f>_xlfn.TEXTJOIN("|",TRUE,GameLog[[#This Row],[Pod]],TEXT(INT(GameLog[[#This Row],[Round]]),"yyyymmdd"),GameLog[[#This Row],[Date]])</f>
        <v>2|19000102|46230</v>
      </c>
      <c r="H1899" s="6">
        <f>COUNTIF(GameLog[Pod ID],GameLog[[#This Row],[Pod ID]])</f>
        <v>4</v>
      </c>
      <c r="I1899" s="6">
        <f>YEAR(GameLog[[#This Row],[Date]])</f>
        <v>2026</v>
      </c>
      <c r="J1899" s="6">
        <f>MONTH(GameLog[[#This Row],[Date]])</f>
        <v>7</v>
      </c>
      <c r="K1899" s="6" t="str">
        <f>IF(GameLog[[#This Row],[Date]]=MAX(GameLog[Date]),"Current","Previous")</f>
        <v>Previous</v>
      </c>
      <c r="L1899" s="6"/>
      <c r="M18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899" s="6" t="str">
        <f ca="1">IF(GameLog[[#This Row],[Check]]="","",COUNTIF(GameLog[[#Headers],[Check]]:GameLog[[#This Row],[Check]],"?*")-1)</f>
        <v/>
      </c>
      <c r="O1899" s="6" t="str">
        <f>IFERROR(INDEX(Players[New name],MATCH(GameLog[[#This Row],[Player]],Players[Name],0)),GameLog[[#This Row],[Player]])</f>
        <v>Zack B</v>
      </c>
    </row>
    <row r="1900" spans="1:15" x14ac:dyDescent="0.45">
      <c r="A1900" s="6" t="s">
        <v>73</v>
      </c>
      <c r="B1900" s="6" t="s">
        <v>90</v>
      </c>
      <c r="C1900" s="6">
        <v>2</v>
      </c>
      <c r="D1900" s="6">
        <v>2</v>
      </c>
      <c r="E1900" s="6">
        <v>2</v>
      </c>
      <c r="F1900" s="10">
        <v>46230</v>
      </c>
      <c r="G1900" s="6" t="str">
        <f>_xlfn.TEXTJOIN("|",TRUE,GameLog[[#This Row],[Pod]],TEXT(INT(GameLog[[#This Row],[Round]]),"yyyymmdd"),GameLog[[#This Row],[Date]])</f>
        <v>2|19000102|46230</v>
      </c>
      <c r="H1900" s="6">
        <f>COUNTIF(GameLog[Pod ID],GameLog[[#This Row],[Pod ID]])</f>
        <v>4</v>
      </c>
      <c r="I1900" s="6">
        <f>YEAR(GameLog[[#This Row],[Date]])</f>
        <v>2026</v>
      </c>
      <c r="J1900" s="6">
        <f>MONTH(GameLog[[#This Row],[Date]])</f>
        <v>7</v>
      </c>
      <c r="K1900" s="6" t="str">
        <f>IF(GameLog[[#This Row],[Date]]=MAX(GameLog[Date]),"Current","Previous")</f>
        <v>Previous</v>
      </c>
      <c r="L1900" s="6"/>
      <c r="M19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0" s="6" t="str">
        <f ca="1">IF(GameLog[[#This Row],[Check]]="","",COUNTIF(GameLog[[#Headers],[Check]]:GameLog[[#This Row],[Check]],"?*")-1)</f>
        <v/>
      </c>
      <c r="O1900" s="6" t="str">
        <f>IFERROR(INDEX(Players[New name],MATCH(GameLog[[#This Row],[Player]],Players[Name],0)),GameLog[[#This Row],[Player]])</f>
        <v>Brandon B</v>
      </c>
    </row>
    <row r="1901" spans="1:15" x14ac:dyDescent="0.45">
      <c r="A1901" s="6" t="s">
        <v>64</v>
      </c>
      <c r="B1901" s="6" t="s">
        <v>90</v>
      </c>
      <c r="C1901" s="6">
        <v>3</v>
      </c>
      <c r="D1901" s="6">
        <v>2</v>
      </c>
      <c r="E1901" s="6">
        <v>2</v>
      </c>
      <c r="F1901" s="10">
        <v>46230</v>
      </c>
      <c r="G1901" s="6" t="str">
        <f>_xlfn.TEXTJOIN("|",TRUE,GameLog[[#This Row],[Pod]],TEXT(INT(GameLog[[#This Row],[Round]]),"yyyymmdd"),GameLog[[#This Row],[Date]])</f>
        <v>2|19000102|46230</v>
      </c>
      <c r="H1901" s="6">
        <f>COUNTIF(GameLog[Pod ID],GameLog[[#This Row],[Pod ID]])</f>
        <v>4</v>
      </c>
      <c r="I1901" s="6">
        <f>YEAR(GameLog[[#This Row],[Date]])</f>
        <v>2026</v>
      </c>
      <c r="J1901" s="6">
        <f>MONTH(GameLog[[#This Row],[Date]])</f>
        <v>7</v>
      </c>
      <c r="K1901" s="6" t="str">
        <f>IF(GameLog[[#This Row],[Date]]=MAX(GameLog[Date]),"Current","Previous")</f>
        <v>Previous</v>
      </c>
      <c r="L1901" s="6"/>
      <c r="M19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1" s="6" t="str">
        <f ca="1">IF(GameLog[[#This Row],[Check]]="","",COUNTIF(GameLog[[#Headers],[Check]]:GameLog[[#This Row],[Check]],"?*")-1)</f>
        <v/>
      </c>
      <c r="O1901" s="6" t="str">
        <f>IFERROR(INDEX(Players[New name],MATCH(GameLog[[#This Row],[Player]],Players[Name],0)),GameLog[[#This Row],[Player]])</f>
        <v>Tyler B</v>
      </c>
    </row>
    <row r="1902" spans="1:15" x14ac:dyDescent="0.45">
      <c r="A1902" s="6" t="s">
        <v>78</v>
      </c>
      <c r="B1902" s="6" t="s">
        <v>90</v>
      </c>
      <c r="C1902" s="6">
        <v>4</v>
      </c>
      <c r="D1902" s="6">
        <v>2</v>
      </c>
      <c r="E1902" s="6">
        <v>2</v>
      </c>
      <c r="F1902" s="10">
        <v>46230</v>
      </c>
      <c r="G1902" s="6" t="str">
        <f>_xlfn.TEXTJOIN("|",TRUE,GameLog[[#This Row],[Pod]],TEXT(INT(GameLog[[#This Row],[Round]]),"yyyymmdd"),GameLog[[#This Row],[Date]])</f>
        <v>2|19000102|46230</v>
      </c>
      <c r="H1902" s="6">
        <f>COUNTIF(GameLog[Pod ID],GameLog[[#This Row],[Pod ID]])</f>
        <v>4</v>
      </c>
      <c r="I1902" s="6">
        <f>YEAR(GameLog[[#This Row],[Date]])</f>
        <v>2026</v>
      </c>
      <c r="J1902" s="6">
        <f>MONTH(GameLog[[#This Row],[Date]])</f>
        <v>7</v>
      </c>
      <c r="K1902" s="6" t="str">
        <f>IF(GameLog[[#This Row],[Date]]=MAX(GameLog[Date]),"Current","Previous")</f>
        <v>Previous</v>
      </c>
      <c r="L1902" s="6"/>
      <c r="M19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2" s="6" t="str">
        <f ca="1">IF(GameLog[[#This Row],[Check]]="","",COUNTIF(GameLog[[#Headers],[Check]]:GameLog[[#This Row],[Check]],"?*")-1)</f>
        <v/>
      </c>
      <c r="O1902" s="6" t="str">
        <f>IFERROR(INDEX(Players[New name],MATCH(GameLog[[#This Row],[Player]],Players[Name],0)),GameLog[[#This Row],[Player]])</f>
        <v>Justin M</v>
      </c>
    </row>
    <row r="1903" spans="1:15" x14ac:dyDescent="0.45">
      <c r="A1903" s="6" t="s">
        <v>55</v>
      </c>
      <c r="B1903" s="6" t="s">
        <v>53</v>
      </c>
      <c r="C1903" s="6">
        <v>1</v>
      </c>
      <c r="D1903" s="6">
        <v>3</v>
      </c>
      <c r="E1903" s="6">
        <v>2</v>
      </c>
      <c r="F1903" s="10">
        <v>46230</v>
      </c>
      <c r="G1903" s="6" t="str">
        <f>_xlfn.TEXTJOIN("|",TRUE,GameLog[[#This Row],[Pod]],TEXT(INT(GameLog[[#This Row],[Round]]),"yyyymmdd"),GameLog[[#This Row],[Date]])</f>
        <v>3|19000102|46230</v>
      </c>
      <c r="H1903" s="6">
        <f>COUNTIF(GameLog[Pod ID],GameLog[[#This Row],[Pod ID]])</f>
        <v>4</v>
      </c>
      <c r="I1903" s="6">
        <f>YEAR(GameLog[[#This Row],[Date]])</f>
        <v>2026</v>
      </c>
      <c r="J1903" s="6">
        <f>MONTH(GameLog[[#This Row],[Date]])</f>
        <v>7</v>
      </c>
      <c r="K1903" s="6" t="str">
        <f>IF(GameLog[[#This Row],[Date]]=MAX(GameLog[Date]),"Current","Previous")</f>
        <v>Previous</v>
      </c>
      <c r="L1903" s="6"/>
      <c r="M19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3" s="6" t="str">
        <f ca="1">IF(GameLog[[#This Row],[Check]]="","",COUNTIF(GameLog[[#Headers],[Check]]:GameLog[[#This Row],[Check]],"?*")-1)</f>
        <v/>
      </c>
      <c r="O1903" s="6" t="str">
        <f>IFERROR(INDEX(Players[New name],MATCH(GameLog[[#This Row],[Player]],Players[Name],0)),GameLog[[#This Row],[Player]])</f>
        <v>Bryce C</v>
      </c>
    </row>
    <row r="1904" spans="1:15" x14ac:dyDescent="0.45">
      <c r="A1904" s="6" t="s">
        <v>104</v>
      </c>
      <c r="B1904" s="6" t="s">
        <v>50</v>
      </c>
      <c r="C1904" s="6">
        <v>2</v>
      </c>
      <c r="D1904" s="6">
        <v>3</v>
      </c>
      <c r="E1904" s="6">
        <v>2</v>
      </c>
      <c r="F1904" s="10">
        <v>46230</v>
      </c>
      <c r="G1904" s="6" t="str">
        <f>_xlfn.TEXTJOIN("|",TRUE,GameLog[[#This Row],[Pod]],TEXT(INT(GameLog[[#This Row],[Round]]),"yyyymmdd"),GameLog[[#This Row],[Date]])</f>
        <v>3|19000102|46230</v>
      </c>
      <c r="H1904" s="6">
        <f>COUNTIF(GameLog[Pod ID],GameLog[[#This Row],[Pod ID]])</f>
        <v>4</v>
      </c>
      <c r="I1904" s="6">
        <f>YEAR(GameLog[[#This Row],[Date]])</f>
        <v>2026</v>
      </c>
      <c r="J1904" s="6">
        <f>MONTH(GameLog[[#This Row],[Date]])</f>
        <v>7</v>
      </c>
      <c r="K1904" s="6" t="str">
        <f>IF(GameLog[[#This Row],[Date]]=MAX(GameLog[Date]),"Current","Previous")</f>
        <v>Previous</v>
      </c>
      <c r="L1904" s="6"/>
      <c r="M19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4" s="6" t="str">
        <f ca="1">IF(GameLog[[#This Row],[Check]]="","",COUNTIF(GameLog[[#Headers],[Check]]:GameLog[[#This Row],[Check]],"?*")-1)</f>
        <v/>
      </c>
      <c r="O1904" s="6" t="str">
        <f>IFERROR(INDEX(Players[New name],MATCH(GameLog[[#This Row],[Player]],Players[Name],0)),GameLog[[#This Row],[Player]])</f>
        <v>Eric E</v>
      </c>
    </row>
    <row r="1905" spans="1:15" x14ac:dyDescent="0.45">
      <c r="A1905" s="6" t="s">
        <v>57</v>
      </c>
      <c r="B1905" s="6" t="s">
        <v>53</v>
      </c>
      <c r="C1905" s="6">
        <v>3</v>
      </c>
      <c r="D1905" s="6">
        <v>3</v>
      </c>
      <c r="E1905" s="6">
        <v>2</v>
      </c>
      <c r="F1905" s="10">
        <v>46230</v>
      </c>
      <c r="G1905" s="6" t="str">
        <f>_xlfn.TEXTJOIN("|",TRUE,GameLog[[#This Row],[Pod]],TEXT(INT(GameLog[[#This Row],[Round]]),"yyyymmdd"),GameLog[[#This Row],[Date]])</f>
        <v>3|19000102|46230</v>
      </c>
      <c r="H1905" s="6">
        <f>COUNTIF(GameLog[Pod ID],GameLog[[#This Row],[Pod ID]])</f>
        <v>4</v>
      </c>
      <c r="I1905" s="6">
        <f>YEAR(GameLog[[#This Row],[Date]])</f>
        <v>2026</v>
      </c>
      <c r="J1905" s="6">
        <f>MONTH(GameLog[[#This Row],[Date]])</f>
        <v>7</v>
      </c>
      <c r="K1905" s="6" t="str">
        <f>IF(GameLog[[#This Row],[Date]]=MAX(GameLog[Date]),"Current","Previous")</f>
        <v>Previous</v>
      </c>
      <c r="L1905" s="6"/>
      <c r="M19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5" s="6" t="str">
        <f ca="1">IF(GameLog[[#This Row],[Check]]="","",COUNTIF(GameLog[[#Headers],[Check]]:GameLog[[#This Row],[Check]],"?*")-1)</f>
        <v/>
      </c>
      <c r="O1905" s="6" t="str">
        <f>IFERROR(INDEX(Players[New name],MATCH(GameLog[[#This Row],[Player]],Players[Name],0)),GameLog[[#This Row],[Player]])</f>
        <v>AJ W</v>
      </c>
    </row>
    <row r="1906" spans="1:15" x14ac:dyDescent="0.45">
      <c r="A1906" s="6" t="s">
        <v>76</v>
      </c>
      <c r="B1906" s="6" t="s">
        <v>53</v>
      </c>
      <c r="C1906" s="6">
        <v>4</v>
      </c>
      <c r="D1906" s="6">
        <v>3</v>
      </c>
      <c r="E1906" s="6">
        <v>2</v>
      </c>
      <c r="F1906" s="10">
        <v>46230</v>
      </c>
      <c r="G1906" s="6" t="str">
        <f>_xlfn.TEXTJOIN("|",TRUE,GameLog[[#This Row],[Pod]],TEXT(INT(GameLog[[#This Row],[Round]]),"yyyymmdd"),GameLog[[#This Row],[Date]])</f>
        <v>3|19000102|46230</v>
      </c>
      <c r="H1906" s="6">
        <f>COUNTIF(GameLog[Pod ID],GameLog[[#This Row],[Pod ID]])</f>
        <v>4</v>
      </c>
      <c r="I1906" s="6">
        <f>YEAR(GameLog[[#This Row],[Date]])</f>
        <v>2026</v>
      </c>
      <c r="J1906" s="6">
        <f>MONTH(GameLog[[#This Row],[Date]])</f>
        <v>7</v>
      </c>
      <c r="K1906" s="6" t="str">
        <f>IF(GameLog[[#This Row],[Date]]=MAX(GameLog[Date]),"Current","Previous")</f>
        <v>Previous</v>
      </c>
      <c r="L1906" s="6"/>
      <c r="M19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6" s="6" t="str">
        <f ca="1">IF(GameLog[[#This Row],[Check]]="","",COUNTIF(GameLog[[#Headers],[Check]]:GameLog[[#This Row],[Check]],"?*")-1)</f>
        <v/>
      </c>
      <c r="O1906" s="6" t="str">
        <f>IFERROR(INDEX(Players[New name],MATCH(GameLog[[#This Row],[Player]],Players[Name],0)),GameLog[[#This Row],[Player]])</f>
        <v>Jon M</v>
      </c>
    </row>
    <row r="1907" spans="1:15" x14ac:dyDescent="0.45">
      <c r="A1907" s="6" t="s">
        <v>109</v>
      </c>
      <c r="B1907" s="6" t="s">
        <v>50</v>
      </c>
      <c r="C1907" s="6">
        <v>1</v>
      </c>
      <c r="D1907" s="6">
        <v>4</v>
      </c>
      <c r="E1907" s="6">
        <v>2</v>
      </c>
      <c r="F1907" s="10">
        <v>46230</v>
      </c>
      <c r="G1907" s="6" t="str">
        <f>_xlfn.TEXTJOIN("|",TRUE,GameLog[[#This Row],[Pod]],TEXT(INT(GameLog[[#This Row],[Round]]),"yyyymmdd"),GameLog[[#This Row],[Date]])</f>
        <v>4|19000102|46230</v>
      </c>
      <c r="H1907" s="6">
        <f>COUNTIF(GameLog[Pod ID],GameLog[[#This Row],[Pod ID]])</f>
        <v>3</v>
      </c>
      <c r="I1907" s="6">
        <f>YEAR(GameLog[[#This Row],[Date]])</f>
        <v>2026</v>
      </c>
      <c r="J1907" s="6">
        <f>MONTH(GameLog[[#This Row],[Date]])</f>
        <v>7</v>
      </c>
      <c r="K1907" s="6" t="str">
        <f>IF(GameLog[[#This Row],[Date]]=MAX(GameLog[Date]),"Current","Previous")</f>
        <v>Previous</v>
      </c>
      <c r="L1907" s="6"/>
      <c r="M19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7" s="6" t="str">
        <f ca="1">IF(GameLog[[#This Row],[Check]]="","",COUNTIF(GameLog[[#Headers],[Check]]:GameLog[[#This Row],[Check]],"?*")-1)</f>
        <v/>
      </c>
      <c r="O1907" s="6" t="str">
        <f>IFERROR(INDEX(Players[New name],MATCH(GameLog[[#This Row],[Player]],Players[Name],0)),GameLog[[#This Row],[Player]])</f>
        <v>Taylor C</v>
      </c>
    </row>
    <row r="1908" spans="1:15" x14ac:dyDescent="0.45">
      <c r="A1908" s="6" t="s">
        <v>110</v>
      </c>
      <c r="B1908" s="6" t="s">
        <v>53</v>
      </c>
      <c r="C1908" s="6">
        <v>2</v>
      </c>
      <c r="D1908" s="6">
        <v>4</v>
      </c>
      <c r="E1908" s="6">
        <v>2</v>
      </c>
      <c r="F1908" s="10">
        <v>46230</v>
      </c>
      <c r="G1908" s="6" t="str">
        <f>_xlfn.TEXTJOIN("|",TRUE,GameLog[[#This Row],[Pod]],TEXT(INT(GameLog[[#This Row],[Round]]),"yyyymmdd"),GameLog[[#This Row],[Date]])</f>
        <v>4|19000102|46230</v>
      </c>
      <c r="H1908" s="6">
        <f>COUNTIF(GameLog[Pod ID],GameLog[[#This Row],[Pod ID]])</f>
        <v>3</v>
      </c>
      <c r="I1908" s="6">
        <f>YEAR(GameLog[[#This Row],[Date]])</f>
        <v>2026</v>
      </c>
      <c r="J1908" s="6">
        <f>MONTH(GameLog[[#This Row],[Date]])</f>
        <v>7</v>
      </c>
      <c r="K1908" s="6" t="str">
        <f>IF(GameLog[[#This Row],[Date]]=MAX(GameLog[Date]),"Current","Previous")</f>
        <v>Previous</v>
      </c>
      <c r="L1908" s="6"/>
      <c r="M19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8" s="6" t="str">
        <f ca="1">IF(GameLog[[#This Row],[Check]]="","",COUNTIF(GameLog[[#Headers],[Check]]:GameLog[[#This Row],[Check]],"?*")-1)</f>
        <v/>
      </c>
      <c r="O1908" s="6" t="str">
        <f>IFERROR(INDEX(Players[New name],MATCH(GameLog[[#This Row],[Player]],Players[Name],0)),GameLog[[#This Row],[Player]])</f>
        <v>Paul B</v>
      </c>
    </row>
    <row r="1909" spans="1:15" x14ac:dyDescent="0.45">
      <c r="A1909" s="6" t="s">
        <v>75</v>
      </c>
      <c r="B1909" s="6" t="s">
        <v>53</v>
      </c>
      <c r="C1909" s="6">
        <v>3</v>
      </c>
      <c r="D1909" s="6">
        <v>4</v>
      </c>
      <c r="E1909" s="6">
        <v>2</v>
      </c>
      <c r="F1909" s="10">
        <v>46230</v>
      </c>
      <c r="G1909" s="6" t="str">
        <f>_xlfn.TEXTJOIN("|",TRUE,GameLog[[#This Row],[Pod]],TEXT(INT(GameLog[[#This Row],[Round]]),"yyyymmdd"),GameLog[[#This Row],[Date]])</f>
        <v>4|19000102|46230</v>
      </c>
      <c r="H1909" s="6">
        <f>COUNTIF(GameLog[Pod ID],GameLog[[#This Row],[Pod ID]])</f>
        <v>3</v>
      </c>
      <c r="I1909" s="6">
        <f>YEAR(GameLog[[#This Row],[Date]])</f>
        <v>2026</v>
      </c>
      <c r="J1909" s="6">
        <f>MONTH(GameLog[[#This Row],[Date]])</f>
        <v>7</v>
      </c>
      <c r="K1909" s="6" t="str">
        <f>IF(GameLog[[#This Row],[Date]]=MAX(GameLog[Date]),"Current","Previous")</f>
        <v>Previous</v>
      </c>
      <c r="L1909" s="6"/>
      <c r="M19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09" s="6" t="str">
        <f ca="1">IF(GameLog[[#This Row],[Check]]="","",COUNTIF(GameLog[[#Headers],[Check]]:GameLog[[#This Row],[Check]],"?*")-1)</f>
        <v/>
      </c>
      <c r="O1909" s="6" t="str">
        <f>IFERROR(INDEX(Players[New name],MATCH(GameLog[[#This Row],[Player]],Players[Name],0)),GameLog[[#This Row],[Player]])</f>
        <v>Eli T</v>
      </c>
    </row>
    <row r="1910" spans="1:15" x14ac:dyDescent="0.45">
      <c r="A1910" s="6" t="s">
        <v>63</v>
      </c>
      <c r="B1910" s="6" t="s">
        <v>53</v>
      </c>
      <c r="C1910" s="6">
        <v>1</v>
      </c>
      <c r="D1910" s="6">
        <v>5</v>
      </c>
      <c r="E1910" s="6">
        <v>2</v>
      </c>
      <c r="F1910" s="10">
        <v>46230</v>
      </c>
      <c r="G1910" s="6" t="str">
        <f>_xlfn.TEXTJOIN("|",TRUE,GameLog[[#This Row],[Pod]],TEXT(INT(GameLog[[#This Row],[Round]]),"yyyymmdd"),GameLog[[#This Row],[Date]])</f>
        <v>5|19000102|46230</v>
      </c>
      <c r="H1910" s="6">
        <f>COUNTIF(GameLog[Pod ID],GameLog[[#This Row],[Pod ID]])</f>
        <v>3</v>
      </c>
      <c r="I1910" s="6">
        <f>YEAR(GameLog[[#This Row],[Date]])</f>
        <v>2026</v>
      </c>
      <c r="J1910" s="6">
        <f>MONTH(GameLog[[#This Row],[Date]])</f>
        <v>7</v>
      </c>
      <c r="K1910" s="6" t="str">
        <f>IF(GameLog[[#This Row],[Date]]=MAX(GameLog[Date]),"Current","Previous")</f>
        <v>Previous</v>
      </c>
      <c r="L1910" s="6"/>
      <c r="M19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0" s="6" t="str">
        <f ca="1">IF(GameLog[[#This Row],[Check]]="","",COUNTIF(GameLog[[#Headers],[Check]]:GameLog[[#This Row],[Check]],"?*")-1)</f>
        <v/>
      </c>
      <c r="O1910" s="6" t="str">
        <f>IFERROR(INDEX(Players[New name],MATCH(GameLog[[#This Row],[Player]],Players[Name],0)),GameLog[[#This Row],[Player]])</f>
        <v>Jake D</v>
      </c>
    </row>
    <row r="1911" spans="1:15" x14ac:dyDescent="0.45">
      <c r="A1911" s="6" t="s">
        <v>118</v>
      </c>
      <c r="B1911" s="6" t="s">
        <v>53</v>
      </c>
      <c r="C1911" s="6">
        <v>2</v>
      </c>
      <c r="D1911" s="6">
        <v>5</v>
      </c>
      <c r="E1911" s="6">
        <v>2</v>
      </c>
      <c r="F1911" s="10">
        <v>46230</v>
      </c>
      <c r="G1911" s="6" t="str">
        <f>_xlfn.TEXTJOIN("|",TRUE,GameLog[[#This Row],[Pod]],TEXT(INT(GameLog[[#This Row],[Round]]),"yyyymmdd"),GameLog[[#This Row],[Date]])</f>
        <v>5|19000102|46230</v>
      </c>
      <c r="H1911" s="6">
        <f>COUNTIF(GameLog[Pod ID],GameLog[[#This Row],[Pod ID]])</f>
        <v>3</v>
      </c>
      <c r="I1911" s="6">
        <f>YEAR(GameLog[[#This Row],[Date]])</f>
        <v>2026</v>
      </c>
      <c r="J1911" s="6">
        <f>MONTH(GameLog[[#This Row],[Date]])</f>
        <v>7</v>
      </c>
      <c r="K1911" s="6" t="str">
        <f>IF(GameLog[[#This Row],[Date]]=MAX(GameLog[Date]),"Current","Previous")</f>
        <v>Previous</v>
      </c>
      <c r="L1911" s="6"/>
      <c r="M19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1" s="6" t="str">
        <f ca="1">IF(GameLog[[#This Row],[Check]]="","",COUNTIF(GameLog[[#Headers],[Check]]:GameLog[[#This Row],[Check]],"?*")-1)</f>
        <v/>
      </c>
      <c r="O1911" s="6" t="str">
        <f>IFERROR(INDEX(Players[New name],MATCH(GameLog[[#This Row],[Player]],Players[Name],0)),GameLog[[#This Row],[Player]])</f>
        <v>Eric T</v>
      </c>
    </row>
    <row r="1912" spans="1:15" x14ac:dyDescent="0.45">
      <c r="A1912" s="6" t="s">
        <v>97</v>
      </c>
      <c r="B1912" s="6" t="s">
        <v>50</v>
      </c>
      <c r="C1912" s="6">
        <v>3</v>
      </c>
      <c r="D1912" s="6">
        <v>5</v>
      </c>
      <c r="E1912" s="6">
        <v>2</v>
      </c>
      <c r="F1912" s="10">
        <v>46230</v>
      </c>
      <c r="G1912" s="6" t="str">
        <f>_xlfn.TEXTJOIN("|",TRUE,GameLog[[#This Row],[Pod]],TEXT(INT(GameLog[[#This Row],[Round]]),"yyyymmdd"),GameLog[[#This Row],[Date]])</f>
        <v>5|19000102|46230</v>
      </c>
      <c r="H1912" s="6">
        <f>COUNTIF(GameLog[Pod ID],GameLog[[#This Row],[Pod ID]])</f>
        <v>3</v>
      </c>
      <c r="I1912" s="6">
        <f>YEAR(GameLog[[#This Row],[Date]])</f>
        <v>2026</v>
      </c>
      <c r="J1912" s="6">
        <f>MONTH(GameLog[[#This Row],[Date]])</f>
        <v>7</v>
      </c>
      <c r="K1912" s="6" t="str">
        <f>IF(GameLog[[#This Row],[Date]]=MAX(GameLog[Date]),"Current","Previous")</f>
        <v>Previous</v>
      </c>
      <c r="L1912" s="6"/>
      <c r="M19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2" s="6" t="str">
        <f ca="1">IF(GameLog[[#This Row],[Check]]="","",COUNTIF(GameLog[[#Headers],[Check]]:GameLog[[#This Row],[Check]],"?*")-1)</f>
        <v/>
      </c>
      <c r="O1912" s="6" t="str">
        <f>IFERROR(INDEX(Players[New name],MATCH(GameLog[[#This Row],[Player]],Players[Name],0)),GameLog[[#This Row],[Player]])</f>
        <v>Arman H</v>
      </c>
    </row>
    <row r="1913" spans="1:15" x14ac:dyDescent="0.45">
      <c r="A1913" s="6" t="s">
        <v>57</v>
      </c>
      <c r="B1913" s="6" t="s">
        <v>53</v>
      </c>
      <c r="C1913" s="6">
        <v>1</v>
      </c>
      <c r="D1913" s="6">
        <v>1</v>
      </c>
      <c r="E1913" s="6">
        <v>1</v>
      </c>
      <c r="F1913" s="10">
        <v>46237</v>
      </c>
      <c r="G1913" s="6" t="str">
        <f>_xlfn.TEXTJOIN("|",TRUE,GameLog[[#This Row],[Pod]],TEXT(INT(GameLog[[#This Row],[Round]]),"yyyymmdd"),GameLog[[#This Row],[Date]])</f>
        <v>1|19000101|46237</v>
      </c>
      <c r="H1913" s="6">
        <f>COUNTIF(GameLog[Pod ID],GameLog[[#This Row],[Pod ID]])</f>
        <v>4</v>
      </c>
      <c r="I1913" s="6">
        <f>YEAR(GameLog[[#This Row],[Date]])</f>
        <v>2026</v>
      </c>
      <c r="J1913" s="6">
        <f>MONTH(GameLog[[#This Row],[Date]])</f>
        <v>8</v>
      </c>
      <c r="K1913" s="6" t="str">
        <f>IF(GameLog[[#This Row],[Date]]=MAX(GameLog[Date]),"Current","Previous")</f>
        <v>Previous</v>
      </c>
      <c r="L1913" s="6"/>
      <c r="M19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3" s="6" t="str">
        <f ca="1">IF(GameLog[[#This Row],[Check]]="","",COUNTIF(GameLog[[#Headers],[Check]]:GameLog[[#This Row],[Check]],"?*")-1)</f>
        <v/>
      </c>
      <c r="O1913" s="6" t="str">
        <f>IFERROR(INDEX(Players[New name],MATCH(GameLog[[#This Row],[Player]],Players[Name],0)),GameLog[[#This Row],[Player]])</f>
        <v>AJ W</v>
      </c>
    </row>
    <row r="1914" spans="1:15" x14ac:dyDescent="0.45">
      <c r="A1914" s="6" t="s">
        <v>96</v>
      </c>
      <c r="B1914" s="6" t="s">
        <v>50</v>
      </c>
      <c r="C1914" s="6">
        <v>2</v>
      </c>
      <c r="D1914" s="6">
        <v>1</v>
      </c>
      <c r="E1914" s="6">
        <v>1</v>
      </c>
      <c r="F1914" s="10">
        <v>46237</v>
      </c>
      <c r="G1914" s="6" t="str">
        <f>_xlfn.TEXTJOIN("|",TRUE,GameLog[[#This Row],[Pod]],TEXT(INT(GameLog[[#This Row],[Round]]),"yyyymmdd"),GameLog[[#This Row],[Date]])</f>
        <v>1|19000101|46237</v>
      </c>
      <c r="H1914" s="6">
        <f>COUNTIF(GameLog[Pod ID],GameLog[[#This Row],[Pod ID]])</f>
        <v>4</v>
      </c>
      <c r="I1914" s="6">
        <f>YEAR(GameLog[[#This Row],[Date]])</f>
        <v>2026</v>
      </c>
      <c r="J1914" s="6">
        <f>MONTH(GameLog[[#This Row],[Date]])</f>
        <v>8</v>
      </c>
      <c r="K1914" s="6" t="str">
        <f>IF(GameLog[[#This Row],[Date]]=MAX(GameLog[Date]),"Current","Previous")</f>
        <v>Previous</v>
      </c>
      <c r="L1914" s="6"/>
      <c r="M19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4" s="6" t="str">
        <f ca="1">IF(GameLog[[#This Row],[Check]]="","",COUNTIF(GameLog[[#Headers],[Check]]:GameLog[[#This Row],[Check]],"?*")-1)</f>
        <v/>
      </c>
      <c r="O1914" s="6" t="str">
        <f>IFERROR(INDEX(Players[New name],MATCH(GameLog[[#This Row],[Player]],Players[Name],0)),GameLog[[#This Row],[Player]])</f>
        <v>Brandon A</v>
      </c>
    </row>
    <row r="1915" spans="1:15" x14ac:dyDescent="0.45">
      <c r="A1915" s="6" t="s">
        <v>56</v>
      </c>
      <c r="B1915" s="6" t="s">
        <v>53</v>
      </c>
      <c r="C1915" s="6">
        <v>3</v>
      </c>
      <c r="D1915" s="6">
        <v>1</v>
      </c>
      <c r="E1915" s="6">
        <v>1</v>
      </c>
      <c r="F1915" s="10">
        <v>46237</v>
      </c>
      <c r="G1915" s="6" t="str">
        <f>_xlfn.TEXTJOIN("|",TRUE,GameLog[[#This Row],[Pod]],TEXT(INT(GameLog[[#This Row],[Round]]),"yyyymmdd"),GameLog[[#This Row],[Date]])</f>
        <v>1|19000101|46237</v>
      </c>
      <c r="H1915" s="6">
        <f>COUNTIF(GameLog[Pod ID],GameLog[[#This Row],[Pod ID]])</f>
        <v>4</v>
      </c>
      <c r="I1915" s="6">
        <f>YEAR(GameLog[[#This Row],[Date]])</f>
        <v>2026</v>
      </c>
      <c r="J1915" s="6">
        <f>MONTH(GameLog[[#This Row],[Date]])</f>
        <v>8</v>
      </c>
      <c r="K1915" s="6" t="str">
        <f>IF(GameLog[[#This Row],[Date]]=MAX(GameLog[Date]),"Current","Previous")</f>
        <v>Previous</v>
      </c>
      <c r="L1915" s="6"/>
      <c r="M19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5" s="6" t="str">
        <f ca="1">IF(GameLog[[#This Row],[Check]]="","",COUNTIF(GameLog[[#Headers],[Check]]:GameLog[[#This Row],[Check]],"?*")-1)</f>
        <v/>
      </c>
      <c r="O1915" s="6" t="str">
        <f>IFERROR(INDEX(Players[New name],MATCH(GameLog[[#This Row],[Player]],Players[Name],0)),GameLog[[#This Row],[Player]])</f>
        <v>Mark D</v>
      </c>
    </row>
    <row r="1916" spans="1:15" x14ac:dyDescent="0.45">
      <c r="A1916" s="6" t="s">
        <v>119</v>
      </c>
      <c r="B1916" s="6" t="s">
        <v>53</v>
      </c>
      <c r="C1916" s="6">
        <v>4</v>
      </c>
      <c r="D1916" s="6">
        <v>1</v>
      </c>
      <c r="E1916" s="6">
        <v>1</v>
      </c>
      <c r="F1916" s="10">
        <v>46237</v>
      </c>
      <c r="G1916" s="6" t="str">
        <f>_xlfn.TEXTJOIN("|",TRUE,GameLog[[#This Row],[Pod]],TEXT(INT(GameLog[[#This Row],[Round]]),"yyyymmdd"),GameLog[[#This Row],[Date]])</f>
        <v>1|19000101|46237</v>
      </c>
      <c r="H1916" s="6">
        <f>COUNTIF(GameLog[Pod ID],GameLog[[#This Row],[Pod ID]])</f>
        <v>4</v>
      </c>
      <c r="I1916" s="6">
        <f>YEAR(GameLog[[#This Row],[Date]])</f>
        <v>2026</v>
      </c>
      <c r="J1916" s="6">
        <f>MONTH(GameLog[[#This Row],[Date]])</f>
        <v>8</v>
      </c>
      <c r="K1916" s="6" t="str">
        <f>IF(GameLog[[#This Row],[Date]]=MAX(GameLog[Date]),"Current","Previous")</f>
        <v>Previous</v>
      </c>
      <c r="L1916" s="6"/>
      <c r="M19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6" s="6" t="str">
        <f ca="1">IF(GameLog[[#This Row],[Check]]="","",COUNTIF(GameLog[[#Headers],[Check]]:GameLog[[#This Row],[Check]],"?*")-1)</f>
        <v/>
      </c>
      <c r="O1916" s="6" t="str">
        <f>IFERROR(INDEX(Players[New name],MATCH(GameLog[[#This Row],[Player]],Players[Name],0)),GameLog[[#This Row],[Player]])</f>
        <v>Cristian S</v>
      </c>
    </row>
    <row r="1917" spans="1:15" x14ac:dyDescent="0.45">
      <c r="A1917" s="6" t="s">
        <v>49</v>
      </c>
      <c r="B1917" s="6" t="s">
        <v>90</v>
      </c>
      <c r="C1917" s="6">
        <v>1</v>
      </c>
      <c r="D1917" s="6">
        <v>2</v>
      </c>
      <c r="E1917" s="6">
        <v>1</v>
      </c>
      <c r="F1917" s="10">
        <v>46237</v>
      </c>
      <c r="G1917" s="6" t="str">
        <f>_xlfn.TEXTJOIN("|",TRUE,GameLog[[#This Row],[Pod]],TEXT(INT(GameLog[[#This Row],[Round]]),"yyyymmdd"),GameLog[[#This Row],[Date]])</f>
        <v>2|19000101|46237</v>
      </c>
      <c r="H1917" s="6">
        <f>COUNTIF(GameLog[Pod ID],GameLog[[#This Row],[Pod ID]])</f>
        <v>4</v>
      </c>
      <c r="I1917" s="6">
        <f>YEAR(GameLog[[#This Row],[Date]])</f>
        <v>2026</v>
      </c>
      <c r="J1917" s="6">
        <f>MONTH(GameLog[[#This Row],[Date]])</f>
        <v>8</v>
      </c>
      <c r="K1917" s="6" t="str">
        <f>IF(GameLog[[#This Row],[Date]]=MAX(GameLog[Date]),"Current","Previous")</f>
        <v>Previous</v>
      </c>
      <c r="L1917" s="6"/>
      <c r="M19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7" s="6" t="str">
        <f ca="1">IF(GameLog[[#This Row],[Check]]="","",COUNTIF(GameLog[[#Headers],[Check]]:GameLog[[#This Row],[Check]],"?*")-1)</f>
        <v/>
      </c>
      <c r="O1917" s="6" t="str">
        <f>IFERROR(INDEX(Players[New name],MATCH(GameLog[[#This Row],[Player]],Players[Name],0)),GameLog[[#This Row],[Player]])</f>
        <v>Brett R</v>
      </c>
    </row>
    <row r="1918" spans="1:15" x14ac:dyDescent="0.45">
      <c r="A1918" s="6" t="s">
        <v>64</v>
      </c>
      <c r="B1918" s="6" t="s">
        <v>90</v>
      </c>
      <c r="C1918" s="6">
        <v>2</v>
      </c>
      <c r="D1918" s="6">
        <v>2</v>
      </c>
      <c r="E1918" s="6">
        <v>1</v>
      </c>
      <c r="F1918" s="10">
        <v>46237</v>
      </c>
      <c r="G1918" s="6" t="str">
        <f>_xlfn.TEXTJOIN("|",TRUE,GameLog[[#This Row],[Pod]],TEXT(INT(GameLog[[#This Row],[Round]]),"yyyymmdd"),GameLog[[#This Row],[Date]])</f>
        <v>2|19000101|46237</v>
      </c>
      <c r="H1918" s="6">
        <f>COUNTIF(GameLog[Pod ID],GameLog[[#This Row],[Pod ID]])</f>
        <v>4</v>
      </c>
      <c r="I1918" s="6">
        <f>YEAR(GameLog[[#This Row],[Date]])</f>
        <v>2026</v>
      </c>
      <c r="J1918" s="6">
        <f>MONTH(GameLog[[#This Row],[Date]])</f>
        <v>8</v>
      </c>
      <c r="K1918" s="6" t="str">
        <f>IF(GameLog[[#This Row],[Date]]=MAX(GameLog[Date]),"Current","Previous")</f>
        <v>Previous</v>
      </c>
      <c r="L1918" s="6"/>
      <c r="M19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8" s="6" t="str">
        <f ca="1">IF(GameLog[[#This Row],[Check]]="","",COUNTIF(GameLog[[#Headers],[Check]]:GameLog[[#This Row],[Check]],"?*")-1)</f>
        <v/>
      </c>
      <c r="O1918" s="6" t="str">
        <f>IFERROR(INDEX(Players[New name],MATCH(GameLog[[#This Row],[Player]],Players[Name],0)),GameLog[[#This Row],[Player]])</f>
        <v>Tyler B</v>
      </c>
    </row>
    <row r="1919" spans="1:15" x14ac:dyDescent="0.45">
      <c r="A1919" s="6" t="s">
        <v>68</v>
      </c>
      <c r="B1919" s="6" t="s">
        <v>90</v>
      </c>
      <c r="C1919" s="6">
        <v>3</v>
      </c>
      <c r="D1919" s="6">
        <v>2</v>
      </c>
      <c r="E1919" s="6">
        <v>1</v>
      </c>
      <c r="F1919" s="10">
        <v>46237</v>
      </c>
      <c r="G1919" s="6" t="str">
        <f>_xlfn.TEXTJOIN("|",TRUE,GameLog[[#This Row],[Pod]],TEXT(INT(GameLog[[#This Row],[Round]]),"yyyymmdd"),GameLog[[#This Row],[Date]])</f>
        <v>2|19000101|46237</v>
      </c>
      <c r="H1919" s="6">
        <f>COUNTIF(GameLog[Pod ID],GameLog[[#This Row],[Pod ID]])</f>
        <v>4</v>
      </c>
      <c r="I1919" s="6">
        <f>YEAR(GameLog[[#This Row],[Date]])</f>
        <v>2026</v>
      </c>
      <c r="J1919" s="6">
        <f>MONTH(GameLog[[#This Row],[Date]])</f>
        <v>8</v>
      </c>
      <c r="K1919" s="6" t="str">
        <f>IF(GameLog[[#This Row],[Date]]=MAX(GameLog[Date]),"Current","Previous")</f>
        <v>Previous</v>
      </c>
      <c r="L1919" s="6"/>
      <c r="M19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19" s="6" t="str">
        <f ca="1">IF(GameLog[[#This Row],[Check]]="","",COUNTIF(GameLog[[#Headers],[Check]]:GameLog[[#This Row],[Check]],"?*")-1)</f>
        <v/>
      </c>
      <c r="O1919" s="6" t="str">
        <f>IFERROR(INDEX(Players[New name],MATCH(GameLog[[#This Row],[Player]],Players[Name],0)),GameLog[[#This Row],[Player]])</f>
        <v>Edwin M</v>
      </c>
    </row>
    <row r="1920" spans="1:15" x14ac:dyDescent="0.45">
      <c r="A1920" s="6" t="s">
        <v>75</v>
      </c>
      <c r="B1920" s="6" t="s">
        <v>90</v>
      </c>
      <c r="C1920" s="6">
        <v>4</v>
      </c>
      <c r="D1920" s="6">
        <v>2</v>
      </c>
      <c r="E1920" s="6">
        <v>1</v>
      </c>
      <c r="F1920" s="10">
        <v>46237</v>
      </c>
      <c r="G1920" s="6" t="str">
        <f>_xlfn.TEXTJOIN("|",TRUE,GameLog[[#This Row],[Pod]],TEXT(INT(GameLog[[#This Row],[Round]]),"yyyymmdd"),GameLog[[#This Row],[Date]])</f>
        <v>2|19000101|46237</v>
      </c>
      <c r="H1920" s="6">
        <f>COUNTIF(GameLog[Pod ID],GameLog[[#This Row],[Pod ID]])</f>
        <v>4</v>
      </c>
      <c r="I1920" s="6">
        <f>YEAR(GameLog[[#This Row],[Date]])</f>
        <v>2026</v>
      </c>
      <c r="J1920" s="6">
        <f>MONTH(GameLog[[#This Row],[Date]])</f>
        <v>8</v>
      </c>
      <c r="K1920" s="6" t="str">
        <f>IF(GameLog[[#This Row],[Date]]=MAX(GameLog[Date]),"Current","Previous")</f>
        <v>Previous</v>
      </c>
      <c r="L1920" s="6"/>
      <c r="M19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0" s="6" t="str">
        <f ca="1">IF(GameLog[[#This Row],[Check]]="","",COUNTIF(GameLog[[#Headers],[Check]]:GameLog[[#This Row],[Check]],"?*")-1)</f>
        <v/>
      </c>
      <c r="O1920" s="6" t="str">
        <f>IFERROR(INDEX(Players[New name],MATCH(GameLog[[#This Row],[Player]],Players[Name],0)),GameLog[[#This Row],[Player]])</f>
        <v>Eli T</v>
      </c>
    </row>
    <row r="1921" spans="1:15" x14ac:dyDescent="0.45">
      <c r="A1921" s="6" t="s">
        <v>109</v>
      </c>
      <c r="B1921" s="6" t="s">
        <v>53</v>
      </c>
      <c r="C1921" s="6">
        <v>1</v>
      </c>
      <c r="D1921" s="6">
        <v>3</v>
      </c>
      <c r="E1921" s="6">
        <v>1</v>
      </c>
      <c r="F1921" s="10">
        <v>46237</v>
      </c>
      <c r="G1921" s="6" t="str">
        <f>_xlfn.TEXTJOIN("|",TRUE,GameLog[[#This Row],[Pod]],TEXT(INT(GameLog[[#This Row],[Round]]),"yyyymmdd"),GameLog[[#This Row],[Date]])</f>
        <v>3|19000101|46237</v>
      </c>
      <c r="H1921" s="6">
        <f>COUNTIF(GameLog[Pod ID],GameLog[[#This Row],[Pod ID]])</f>
        <v>3</v>
      </c>
      <c r="I1921" s="6">
        <f>YEAR(GameLog[[#This Row],[Date]])</f>
        <v>2026</v>
      </c>
      <c r="J1921" s="6">
        <f>MONTH(GameLog[[#This Row],[Date]])</f>
        <v>8</v>
      </c>
      <c r="K1921" s="6" t="str">
        <f>IF(GameLog[[#This Row],[Date]]=MAX(GameLog[Date]),"Current","Previous")</f>
        <v>Previous</v>
      </c>
      <c r="L1921" s="6"/>
      <c r="M19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1" s="6" t="str">
        <f ca="1">IF(GameLog[[#This Row],[Check]]="","",COUNTIF(GameLog[[#Headers],[Check]]:GameLog[[#This Row],[Check]],"?*")-1)</f>
        <v/>
      </c>
      <c r="O1921" s="6" t="str">
        <f>IFERROR(INDEX(Players[New name],MATCH(GameLog[[#This Row],[Player]],Players[Name],0)),GameLog[[#This Row],[Player]])</f>
        <v>Taylor C</v>
      </c>
    </row>
    <row r="1922" spans="1:15" x14ac:dyDescent="0.45">
      <c r="A1922" s="6" t="s">
        <v>73</v>
      </c>
      <c r="B1922" s="6" t="s">
        <v>50</v>
      </c>
      <c r="C1922" s="6">
        <v>2</v>
      </c>
      <c r="D1922" s="6">
        <v>3</v>
      </c>
      <c r="E1922" s="6">
        <v>1</v>
      </c>
      <c r="F1922" s="10">
        <v>46237</v>
      </c>
      <c r="G1922" s="6" t="str">
        <f>_xlfn.TEXTJOIN("|",TRUE,GameLog[[#This Row],[Pod]],TEXT(INT(GameLog[[#This Row],[Round]]),"yyyymmdd"),GameLog[[#This Row],[Date]])</f>
        <v>3|19000101|46237</v>
      </c>
      <c r="H1922" s="6">
        <f>COUNTIF(GameLog[Pod ID],GameLog[[#This Row],[Pod ID]])</f>
        <v>3</v>
      </c>
      <c r="I1922" s="6">
        <f>YEAR(GameLog[[#This Row],[Date]])</f>
        <v>2026</v>
      </c>
      <c r="J1922" s="6">
        <f>MONTH(GameLog[[#This Row],[Date]])</f>
        <v>8</v>
      </c>
      <c r="K1922" s="6" t="str">
        <f>IF(GameLog[[#This Row],[Date]]=MAX(GameLog[Date]),"Current","Previous")</f>
        <v>Previous</v>
      </c>
      <c r="L1922" s="6"/>
      <c r="M19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2" s="6" t="str">
        <f ca="1">IF(GameLog[[#This Row],[Check]]="","",COUNTIF(GameLog[[#Headers],[Check]]:GameLog[[#This Row],[Check]],"?*")-1)</f>
        <v/>
      </c>
      <c r="O1922" s="6" t="str">
        <f>IFERROR(INDEX(Players[New name],MATCH(GameLog[[#This Row],[Player]],Players[Name],0)),GameLog[[#This Row],[Player]])</f>
        <v>Brandon B</v>
      </c>
    </row>
    <row r="1923" spans="1:15" x14ac:dyDescent="0.45">
      <c r="A1923" s="6" t="s">
        <v>61</v>
      </c>
      <c r="B1923" s="6" t="s">
        <v>53</v>
      </c>
      <c r="C1923" s="6">
        <v>3</v>
      </c>
      <c r="D1923" s="6">
        <v>3</v>
      </c>
      <c r="E1923" s="6">
        <v>1</v>
      </c>
      <c r="F1923" s="10">
        <v>46237</v>
      </c>
      <c r="G1923" s="6" t="str">
        <f>_xlfn.TEXTJOIN("|",TRUE,GameLog[[#This Row],[Pod]],TEXT(INT(GameLog[[#This Row],[Round]]),"yyyymmdd"),GameLog[[#This Row],[Date]])</f>
        <v>3|19000101|46237</v>
      </c>
      <c r="H1923" s="6">
        <f>COUNTIF(GameLog[Pod ID],GameLog[[#This Row],[Pod ID]])</f>
        <v>3</v>
      </c>
      <c r="I1923" s="6">
        <f>YEAR(GameLog[[#This Row],[Date]])</f>
        <v>2026</v>
      </c>
      <c r="J1923" s="6">
        <f>MONTH(GameLog[[#This Row],[Date]])</f>
        <v>8</v>
      </c>
      <c r="K1923" s="6" t="str">
        <f>IF(GameLog[[#This Row],[Date]]=MAX(GameLog[Date]),"Current","Previous")</f>
        <v>Previous</v>
      </c>
      <c r="L1923" s="6"/>
      <c r="M19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3" s="6" t="str">
        <f ca="1">IF(GameLog[[#This Row],[Check]]="","",COUNTIF(GameLog[[#Headers],[Check]]:GameLog[[#This Row],[Check]],"?*")-1)</f>
        <v/>
      </c>
      <c r="O1923" s="6" t="str">
        <f>IFERROR(INDEX(Players[New name],MATCH(GameLog[[#This Row],[Player]],Players[Name],0)),GameLog[[#This Row],[Player]])</f>
        <v>Trevor</v>
      </c>
    </row>
    <row r="1924" spans="1:15" x14ac:dyDescent="0.45">
      <c r="A1924" s="6" t="s">
        <v>55</v>
      </c>
      <c r="B1924" s="6" t="s">
        <v>50</v>
      </c>
      <c r="C1924" s="6">
        <v>1</v>
      </c>
      <c r="D1924" s="6">
        <v>4</v>
      </c>
      <c r="E1924" s="6">
        <v>1</v>
      </c>
      <c r="F1924" s="10">
        <v>46237</v>
      </c>
      <c r="G1924" s="6" t="str">
        <f>_xlfn.TEXTJOIN("|",TRUE,GameLog[[#This Row],[Pod]],TEXT(INT(GameLog[[#This Row],[Round]]),"yyyymmdd"),GameLog[[#This Row],[Date]])</f>
        <v>4|19000101|46237</v>
      </c>
      <c r="H1924" s="6">
        <f>COUNTIF(GameLog[Pod ID],GameLog[[#This Row],[Pod ID]])</f>
        <v>3</v>
      </c>
      <c r="I1924" s="6">
        <f>YEAR(GameLog[[#This Row],[Date]])</f>
        <v>2026</v>
      </c>
      <c r="J1924" s="6">
        <f>MONTH(GameLog[[#This Row],[Date]])</f>
        <v>8</v>
      </c>
      <c r="K1924" s="6" t="str">
        <f>IF(GameLog[[#This Row],[Date]]=MAX(GameLog[Date]),"Current","Previous")</f>
        <v>Previous</v>
      </c>
      <c r="L1924" s="6"/>
      <c r="M19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4" s="6" t="str">
        <f ca="1">IF(GameLog[[#This Row],[Check]]="","",COUNTIF(GameLog[[#Headers],[Check]]:GameLog[[#This Row],[Check]],"?*")-1)</f>
        <v/>
      </c>
      <c r="O1924" s="6" t="str">
        <f>IFERROR(INDEX(Players[New name],MATCH(GameLog[[#This Row],[Player]],Players[Name],0)),GameLog[[#This Row],[Player]])</f>
        <v>Bryce C</v>
      </c>
    </row>
    <row r="1925" spans="1:15" x14ac:dyDescent="0.45">
      <c r="A1925" s="6" t="s">
        <v>97</v>
      </c>
      <c r="B1925" s="6" t="s">
        <v>53</v>
      </c>
      <c r="C1925" s="6">
        <v>2</v>
      </c>
      <c r="D1925" s="6">
        <v>4</v>
      </c>
      <c r="E1925" s="6">
        <v>1</v>
      </c>
      <c r="F1925" s="10">
        <v>46237</v>
      </c>
      <c r="G1925" s="6" t="str">
        <f>_xlfn.TEXTJOIN("|",TRUE,GameLog[[#This Row],[Pod]],TEXT(INT(GameLog[[#This Row],[Round]]),"yyyymmdd"),GameLog[[#This Row],[Date]])</f>
        <v>4|19000101|46237</v>
      </c>
      <c r="H1925" s="6">
        <f>COUNTIF(GameLog[Pod ID],GameLog[[#This Row],[Pod ID]])</f>
        <v>3</v>
      </c>
      <c r="I1925" s="6">
        <f>YEAR(GameLog[[#This Row],[Date]])</f>
        <v>2026</v>
      </c>
      <c r="J1925" s="6">
        <f>MONTH(GameLog[[#This Row],[Date]])</f>
        <v>8</v>
      </c>
      <c r="K1925" s="6" t="str">
        <f>IF(GameLog[[#This Row],[Date]]=MAX(GameLog[Date]),"Current","Previous")</f>
        <v>Previous</v>
      </c>
      <c r="L1925" s="6"/>
      <c r="M19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5" s="6" t="str">
        <f ca="1">IF(GameLog[[#This Row],[Check]]="","",COUNTIF(GameLog[[#Headers],[Check]]:GameLog[[#This Row],[Check]],"?*")-1)</f>
        <v/>
      </c>
      <c r="O1925" s="6" t="str">
        <f>IFERROR(INDEX(Players[New name],MATCH(GameLog[[#This Row],[Player]],Players[Name],0)),GameLog[[#This Row],[Player]])</f>
        <v>Arman H</v>
      </c>
    </row>
    <row r="1926" spans="1:15" x14ac:dyDescent="0.45">
      <c r="A1926" s="6" t="s">
        <v>74</v>
      </c>
      <c r="B1926" s="6" t="s">
        <v>53</v>
      </c>
      <c r="C1926" s="6">
        <v>3</v>
      </c>
      <c r="D1926" s="6">
        <v>4</v>
      </c>
      <c r="E1926" s="6">
        <v>1</v>
      </c>
      <c r="F1926" s="10">
        <v>46237</v>
      </c>
      <c r="G1926" s="6" t="str">
        <f>_xlfn.TEXTJOIN("|",TRUE,GameLog[[#This Row],[Pod]],TEXT(INT(GameLog[[#This Row],[Round]]),"yyyymmdd"),GameLog[[#This Row],[Date]])</f>
        <v>4|19000101|46237</v>
      </c>
      <c r="H1926" s="6">
        <f>COUNTIF(GameLog[Pod ID],GameLog[[#This Row],[Pod ID]])</f>
        <v>3</v>
      </c>
      <c r="I1926" s="6">
        <f>YEAR(GameLog[[#This Row],[Date]])</f>
        <v>2026</v>
      </c>
      <c r="J1926" s="6">
        <f>MONTH(GameLog[[#This Row],[Date]])</f>
        <v>8</v>
      </c>
      <c r="K1926" s="6" t="str">
        <f>IF(GameLog[[#This Row],[Date]]=MAX(GameLog[Date]),"Current","Previous")</f>
        <v>Previous</v>
      </c>
      <c r="L1926" s="6"/>
      <c r="M19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6" s="6" t="str">
        <f ca="1">IF(GameLog[[#This Row],[Check]]="","",COUNTIF(GameLog[[#Headers],[Check]]:GameLog[[#This Row],[Check]],"?*")-1)</f>
        <v/>
      </c>
      <c r="O1926" s="6" t="str">
        <f>IFERROR(INDEX(Players[New name],MATCH(GameLog[[#This Row],[Player]],Players[Name],0)),GameLog[[#This Row],[Player]])</f>
        <v>Jarrod O</v>
      </c>
    </row>
    <row r="1927" spans="1:15" x14ac:dyDescent="0.45">
      <c r="A1927" s="6" t="s">
        <v>68</v>
      </c>
      <c r="B1927" s="6" t="s">
        <v>50</v>
      </c>
      <c r="C1927" s="6">
        <v>1</v>
      </c>
      <c r="D1927" s="6">
        <v>1</v>
      </c>
      <c r="E1927" s="6">
        <v>2</v>
      </c>
      <c r="F1927" s="10">
        <v>46237</v>
      </c>
      <c r="G1927" s="6" t="str">
        <f>_xlfn.TEXTJOIN("|",TRUE,GameLog[[#This Row],[Pod]],TEXT(INT(GameLog[[#This Row],[Round]]),"yyyymmdd"),GameLog[[#This Row],[Date]])</f>
        <v>1|19000102|46237</v>
      </c>
      <c r="H1927" s="6">
        <f>COUNTIF(GameLog[Pod ID],GameLog[[#This Row],[Pod ID]])</f>
        <v>4</v>
      </c>
      <c r="I1927" s="6">
        <f>YEAR(GameLog[[#This Row],[Date]])</f>
        <v>2026</v>
      </c>
      <c r="J1927" s="6">
        <f>MONTH(GameLog[[#This Row],[Date]])</f>
        <v>8</v>
      </c>
      <c r="K1927" s="6" t="str">
        <f>IF(GameLog[[#This Row],[Date]]=MAX(GameLog[Date]),"Current","Previous")</f>
        <v>Previous</v>
      </c>
      <c r="L1927" s="6"/>
      <c r="M19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7" s="6" t="str">
        <f ca="1">IF(GameLog[[#This Row],[Check]]="","",COUNTIF(GameLog[[#Headers],[Check]]:GameLog[[#This Row],[Check]],"?*")-1)</f>
        <v/>
      </c>
      <c r="O1927" s="6" t="str">
        <f>IFERROR(INDEX(Players[New name],MATCH(GameLog[[#This Row],[Player]],Players[Name],0)),GameLog[[#This Row],[Player]])</f>
        <v>Edwin M</v>
      </c>
    </row>
    <row r="1928" spans="1:15" x14ac:dyDescent="0.45">
      <c r="A1928" s="6" t="s">
        <v>73</v>
      </c>
      <c r="B1928" s="6" t="s">
        <v>53</v>
      </c>
      <c r="C1928" s="6">
        <v>2</v>
      </c>
      <c r="D1928" s="6">
        <v>1</v>
      </c>
      <c r="E1928" s="6">
        <v>2</v>
      </c>
      <c r="F1928" s="10">
        <v>46237</v>
      </c>
      <c r="G1928" s="6" t="str">
        <f>_xlfn.TEXTJOIN("|",TRUE,GameLog[[#This Row],[Pod]],TEXT(INT(GameLog[[#This Row],[Round]]),"yyyymmdd"),GameLog[[#This Row],[Date]])</f>
        <v>1|19000102|46237</v>
      </c>
      <c r="H1928" s="6">
        <f>COUNTIF(GameLog[Pod ID],GameLog[[#This Row],[Pod ID]])</f>
        <v>4</v>
      </c>
      <c r="I1928" s="6">
        <f>YEAR(GameLog[[#This Row],[Date]])</f>
        <v>2026</v>
      </c>
      <c r="J1928" s="6">
        <f>MONTH(GameLog[[#This Row],[Date]])</f>
        <v>8</v>
      </c>
      <c r="K1928" s="6" t="str">
        <f>IF(GameLog[[#This Row],[Date]]=MAX(GameLog[Date]),"Current","Previous")</f>
        <v>Previous</v>
      </c>
      <c r="L1928" s="6"/>
      <c r="M19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8" s="6" t="str">
        <f ca="1">IF(GameLog[[#This Row],[Check]]="","",COUNTIF(GameLog[[#Headers],[Check]]:GameLog[[#This Row],[Check]],"?*")-1)</f>
        <v/>
      </c>
      <c r="O1928" s="6" t="str">
        <f>IFERROR(INDEX(Players[New name],MATCH(GameLog[[#This Row],[Player]],Players[Name],0)),GameLog[[#This Row],[Player]])</f>
        <v>Brandon B</v>
      </c>
    </row>
    <row r="1929" spans="1:15" x14ac:dyDescent="0.45">
      <c r="A1929" s="6" t="s">
        <v>55</v>
      </c>
      <c r="B1929" s="6" t="s">
        <v>53</v>
      </c>
      <c r="C1929" s="6">
        <v>3</v>
      </c>
      <c r="D1929" s="6">
        <v>1</v>
      </c>
      <c r="E1929" s="6">
        <v>2</v>
      </c>
      <c r="F1929" s="10">
        <v>46237</v>
      </c>
      <c r="G1929" s="6" t="str">
        <f>_xlfn.TEXTJOIN("|",TRUE,GameLog[[#This Row],[Pod]],TEXT(INT(GameLog[[#This Row],[Round]]),"yyyymmdd"),GameLog[[#This Row],[Date]])</f>
        <v>1|19000102|46237</v>
      </c>
      <c r="H1929" s="6">
        <f>COUNTIF(GameLog[Pod ID],GameLog[[#This Row],[Pod ID]])</f>
        <v>4</v>
      </c>
      <c r="I1929" s="6">
        <f>YEAR(GameLog[[#This Row],[Date]])</f>
        <v>2026</v>
      </c>
      <c r="J1929" s="6">
        <f>MONTH(GameLog[[#This Row],[Date]])</f>
        <v>8</v>
      </c>
      <c r="K1929" s="6" t="str">
        <f>IF(GameLog[[#This Row],[Date]]=MAX(GameLog[Date]),"Current","Previous")</f>
        <v>Previous</v>
      </c>
      <c r="L1929" s="6"/>
      <c r="M19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29" s="6" t="str">
        <f ca="1">IF(GameLog[[#This Row],[Check]]="","",COUNTIF(GameLog[[#Headers],[Check]]:GameLog[[#This Row],[Check]],"?*")-1)</f>
        <v/>
      </c>
      <c r="O1929" s="6" t="str">
        <f>IFERROR(INDEX(Players[New name],MATCH(GameLog[[#This Row],[Player]],Players[Name],0)),GameLog[[#This Row],[Player]])</f>
        <v>Bryce C</v>
      </c>
    </row>
    <row r="1930" spans="1:15" x14ac:dyDescent="0.45">
      <c r="A1930" s="6" t="s">
        <v>96</v>
      </c>
      <c r="B1930" s="6" t="s">
        <v>53</v>
      </c>
      <c r="C1930" s="6">
        <v>4</v>
      </c>
      <c r="D1930" s="6">
        <v>1</v>
      </c>
      <c r="E1930" s="6">
        <v>2</v>
      </c>
      <c r="F1930" s="10">
        <v>46237</v>
      </c>
      <c r="G1930" s="6" t="str">
        <f>_xlfn.TEXTJOIN("|",TRUE,GameLog[[#This Row],[Pod]],TEXT(INT(GameLog[[#This Row],[Round]]),"yyyymmdd"),GameLog[[#This Row],[Date]])</f>
        <v>1|19000102|46237</v>
      </c>
      <c r="H1930" s="6">
        <f>COUNTIF(GameLog[Pod ID],GameLog[[#This Row],[Pod ID]])</f>
        <v>4</v>
      </c>
      <c r="I1930" s="6">
        <f>YEAR(GameLog[[#This Row],[Date]])</f>
        <v>2026</v>
      </c>
      <c r="J1930" s="6">
        <f>MONTH(GameLog[[#This Row],[Date]])</f>
        <v>8</v>
      </c>
      <c r="K1930" s="6" t="str">
        <f>IF(GameLog[[#This Row],[Date]]=MAX(GameLog[Date]),"Current","Previous")</f>
        <v>Previous</v>
      </c>
      <c r="L1930" s="6"/>
      <c r="M19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0" s="6" t="str">
        <f ca="1">IF(GameLog[[#This Row],[Check]]="","",COUNTIF(GameLog[[#Headers],[Check]]:GameLog[[#This Row],[Check]],"?*")-1)</f>
        <v/>
      </c>
      <c r="O1930" s="6" t="str">
        <f>IFERROR(INDEX(Players[New name],MATCH(GameLog[[#This Row],[Player]],Players[Name],0)),GameLog[[#This Row],[Player]])</f>
        <v>Brandon A</v>
      </c>
    </row>
    <row r="1931" spans="1:15" x14ac:dyDescent="0.45">
      <c r="A1931" s="6" t="s">
        <v>74</v>
      </c>
      <c r="B1931" s="6" t="s">
        <v>53</v>
      </c>
      <c r="C1931" s="6">
        <v>1</v>
      </c>
      <c r="D1931" s="6">
        <v>2</v>
      </c>
      <c r="E1931" s="6">
        <v>2</v>
      </c>
      <c r="F1931" s="10">
        <v>46237</v>
      </c>
      <c r="G1931" s="6" t="str">
        <f>_xlfn.TEXTJOIN("|",TRUE,GameLog[[#This Row],[Pod]],TEXT(INT(GameLog[[#This Row],[Round]]),"yyyymmdd"),GameLog[[#This Row],[Date]])</f>
        <v>2|19000102|46237</v>
      </c>
      <c r="H1931" s="6">
        <f>COUNTIF(GameLog[Pod ID],GameLog[[#This Row],[Pod ID]])</f>
        <v>4</v>
      </c>
      <c r="I1931" s="6">
        <f>YEAR(GameLog[[#This Row],[Date]])</f>
        <v>2026</v>
      </c>
      <c r="J1931" s="6">
        <f>MONTH(GameLog[[#This Row],[Date]])</f>
        <v>8</v>
      </c>
      <c r="K1931" s="6" t="str">
        <f>IF(GameLog[[#This Row],[Date]]=MAX(GameLog[Date]),"Current","Previous")</f>
        <v>Previous</v>
      </c>
      <c r="L1931" s="6"/>
      <c r="M19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1" s="6" t="str">
        <f ca="1">IF(GameLog[[#This Row],[Check]]="","",COUNTIF(GameLog[[#Headers],[Check]]:GameLog[[#This Row],[Check]],"?*")-1)</f>
        <v/>
      </c>
      <c r="O1931" s="6" t="str">
        <f>IFERROR(INDEX(Players[New name],MATCH(GameLog[[#This Row],[Player]],Players[Name],0)),GameLog[[#This Row],[Player]])</f>
        <v>Jarrod O</v>
      </c>
    </row>
    <row r="1932" spans="1:15" x14ac:dyDescent="0.45">
      <c r="A1932" s="6" t="s">
        <v>56</v>
      </c>
      <c r="B1932" s="6" t="s">
        <v>50</v>
      </c>
      <c r="C1932" s="6">
        <v>2</v>
      </c>
      <c r="D1932" s="6">
        <v>2</v>
      </c>
      <c r="E1932" s="6">
        <v>2</v>
      </c>
      <c r="F1932" s="10">
        <v>46237</v>
      </c>
      <c r="G1932" s="6" t="str">
        <f>_xlfn.TEXTJOIN("|",TRUE,GameLog[[#This Row],[Pod]],TEXT(INT(GameLog[[#This Row],[Round]]),"yyyymmdd"),GameLog[[#This Row],[Date]])</f>
        <v>2|19000102|46237</v>
      </c>
      <c r="H1932" s="6">
        <f>COUNTIF(GameLog[Pod ID],GameLog[[#This Row],[Pod ID]])</f>
        <v>4</v>
      </c>
      <c r="I1932" s="6">
        <f>YEAR(GameLog[[#This Row],[Date]])</f>
        <v>2026</v>
      </c>
      <c r="J1932" s="6">
        <f>MONTH(GameLog[[#This Row],[Date]])</f>
        <v>8</v>
      </c>
      <c r="K1932" s="6" t="str">
        <f>IF(GameLog[[#This Row],[Date]]=MAX(GameLog[Date]),"Current","Previous")</f>
        <v>Previous</v>
      </c>
      <c r="L1932" s="6"/>
      <c r="M19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2" s="6" t="str">
        <f ca="1">IF(GameLog[[#This Row],[Check]]="","",COUNTIF(GameLog[[#Headers],[Check]]:GameLog[[#This Row],[Check]],"?*")-1)</f>
        <v/>
      </c>
      <c r="O1932" s="6" t="str">
        <f>IFERROR(INDEX(Players[New name],MATCH(GameLog[[#This Row],[Player]],Players[Name],0)),GameLog[[#This Row],[Player]])</f>
        <v>Mark D</v>
      </c>
    </row>
    <row r="1933" spans="1:15" x14ac:dyDescent="0.45">
      <c r="A1933" s="6" t="s">
        <v>109</v>
      </c>
      <c r="B1933" s="6" t="s">
        <v>53</v>
      </c>
      <c r="C1933" s="6">
        <v>3</v>
      </c>
      <c r="D1933" s="6">
        <v>2</v>
      </c>
      <c r="E1933" s="6">
        <v>2</v>
      </c>
      <c r="F1933" s="10">
        <v>46237</v>
      </c>
      <c r="G1933" s="6" t="str">
        <f>_xlfn.TEXTJOIN("|",TRUE,GameLog[[#This Row],[Pod]],TEXT(INT(GameLog[[#This Row],[Round]]),"yyyymmdd"),GameLog[[#This Row],[Date]])</f>
        <v>2|19000102|46237</v>
      </c>
      <c r="H1933" s="6">
        <f>COUNTIF(GameLog[Pod ID],GameLog[[#This Row],[Pod ID]])</f>
        <v>4</v>
      </c>
      <c r="I1933" s="6">
        <f>YEAR(GameLog[[#This Row],[Date]])</f>
        <v>2026</v>
      </c>
      <c r="J1933" s="6">
        <f>MONTH(GameLog[[#This Row],[Date]])</f>
        <v>8</v>
      </c>
      <c r="K1933" s="6" t="str">
        <f>IF(GameLog[[#This Row],[Date]]=MAX(GameLog[Date]),"Current","Previous")</f>
        <v>Previous</v>
      </c>
      <c r="L1933" s="6"/>
      <c r="M19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3" s="6" t="str">
        <f ca="1">IF(GameLog[[#This Row],[Check]]="","",COUNTIF(GameLog[[#Headers],[Check]]:GameLog[[#This Row],[Check]],"?*")-1)</f>
        <v/>
      </c>
      <c r="O1933" s="6" t="str">
        <f>IFERROR(INDEX(Players[New name],MATCH(GameLog[[#This Row],[Player]],Players[Name],0)),GameLog[[#This Row],[Player]])</f>
        <v>Taylor C</v>
      </c>
    </row>
    <row r="1934" spans="1:15" x14ac:dyDescent="0.45">
      <c r="A1934" s="6" t="s">
        <v>49</v>
      </c>
      <c r="B1934" s="6" t="s">
        <v>53</v>
      </c>
      <c r="C1934" s="6">
        <v>4</v>
      </c>
      <c r="D1934" s="6">
        <v>2</v>
      </c>
      <c r="E1934" s="6">
        <v>2</v>
      </c>
      <c r="F1934" s="10">
        <v>46237</v>
      </c>
      <c r="G1934" s="6" t="str">
        <f>_xlfn.TEXTJOIN("|",TRUE,GameLog[[#This Row],[Pod]],TEXT(INT(GameLog[[#This Row],[Round]]),"yyyymmdd"),GameLog[[#This Row],[Date]])</f>
        <v>2|19000102|46237</v>
      </c>
      <c r="H1934" s="6">
        <f>COUNTIF(GameLog[Pod ID],GameLog[[#This Row],[Pod ID]])</f>
        <v>4</v>
      </c>
      <c r="I1934" s="6">
        <f>YEAR(GameLog[[#This Row],[Date]])</f>
        <v>2026</v>
      </c>
      <c r="J1934" s="6">
        <f>MONTH(GameLog[[#This Row],[Date]])</f>
        <v>8</v>
      </c>
      <c r="K1934" s="6" t="str">
        <f>IF(GameLog[[#This Row],[Date]]=MAX(GameLog[Date]),"Current","Previous")</f>
        <v>Previous</v>
      </c>
      <c r="L1934" s="6"/>
      <c r="M19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4" s="6" t="str">
        <f ca="1">IF(GameLog[[#This Row],[Check]]="","",COUNTIF(GameLog[[#Headers],[Check]]:GameLog[[#This Row],[Check]],"?*")-1)</f>
        <v/>
      </c>
      <c r="O1934" s="6" t="str">
        <f>IFERROR(INDEX(Players[New name],MATCH(GameLog[[#This Row],[Player]],Players[Name],0)),GameLog[[#This Row],[Player]])</f>
        <v>Brett R</v>
      </c>
    </row>
    <row r="1935" spans="1:15" x14ac:dyDescent="0.45">
      <c r="A1935" s="6" t="s">
        <v>61</v>
      </c>
      <c r="B1935" s="6" t="s">
        <v>50</v>
      </c>
      <c r="C1935" s="6">
        <v>1</v>
      </c>
      <c r="D1935" s="6">
        <v>3</v>
      </c>
      <c r="E1935" s="6">
        <v>2</v>
      </c>
      <c r="F1935" s="10">
        <v>46237</v>
      </c>
      <c r="G1935" s="6" t="str">
        <f>_xlfn.TEXTJOIN("|",TRUE,GameLog[[#This Row],[Pod]],TEXT(INT(GameLog[[#This Row],[Round]]),"yyyymmdd"),GameLog[[#This Row],[Date]])</f>
        <v>3|19000102|46237</v>
      </c>
      <c r="H1935" s="6">
        <f>COUNTIF(GameLog[Pod ID],GameLog[[#This Row],[Pod ID]])</f>
        <v>3</v>
      </c>
      <c r="I1935" s="6">
        <f>YEAR(GameLog[[#This Row],[Date]])</f>
        <v>2026</v>
      </c>
      <c r="J1935" s="6">
        <f>MONTH(GameLog[[#This Row],[Date]])</f>
        <v>8</v>
      </c>
      <c r="K1935" s="6" t="str">
        <f>IF(GameLog[[#This Row],[Date]]=MAX(GameLog[Date]),"Current","Previous")</f>
        <v>Previous</v>
      </c>
      <c r="L1935" s="6"/>
      <c r="M19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5" s="6" t="str">
        <f ca="1">IF(GameLog[[#This Row],[Check]]="","",COUNTIF(GameLog[[#Headers],[Check]]:GameLog[[#This Row],[Check]],"?*")-1)</f>
        <v/>
      </c>
      <c r="O1935" s="6" t="str">
        <f>IFERROR(INDEX(Players[New name],MATCH(GameLog[[#This Row],[Player]],Players[Name],0)),GameLog[[#This Row],[Player]])</f>
        <v>Trevor</v>
      </c>
    </row>
    <row r="1936" spans="1:15" x14ac:dyDescent="0.45">
      <c r="A1936" s="6" t="s">
        <v>57</v>
      </c>
      <c r="B1936" s="6" t="s">
        <v>53</v>
      </c>
      <c r="C1936" s="6">
        <v>2</v>
      </c>
      <c r="D1936" s="6">
        <v>3</v>
      </c>
      <c r="E1936" s="6">
        <v>2</v>
      </c>
      <c r="F1936" s="10">
        <v>46237</v>
      </c>
      <c r="G1936" s="6" t="str">
        <f>_xlfn.TEXTJOIN("|",TRUE,GameLog[[#This Row],[Pod]],TEXT(INT(GameLog[[#This Row],[Round]]),"yyyymmdd"),GameLog[[#This Row],[Date]])</f>
        <v>3|19000102|46237</v>
      </c>
      <c r="H1936" s="6">
        <f>COUNTIF(GameLog[Pod ID],GameLog[[#This Row],[Pod ID]])</f>
        <v>3</v>
      </c>
      <c r="I1936" s="6">
        <f>YEAR(GameLog[[#This Row],[Date]])</f>
        <v>2026</v>
      </c>
      <c r="J1936" s="6">
        <f>MONTH(GameLog[[#This Row],[Date]])</f>
        <v>8</v>
      </c>
      <c r="K1936" s="6" t="str">
        <f>IF(GameLog[[#This Row],[Date]]=MAX(GameLog[Date]),"Current","Previous")</f>
        <v>Previous</v>
      </c>
      <c r="L1936" s="6"/>
      <c r="M19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6" s="6" t="str">
        <f ca="1">IF(GameLog[[#This Row],[Check]]="","",COUNTIF(GameLog[[#Headers],[Check]]:GameLog[[#This Row],[Check]],"?*")-1)</f>
        <v/>
      </c>
      <c r="O1936" s="6" t="str">
        <f>IFERROR(INDEX(Players[New name],MATCH(GameLog[[#This Row],[Player]],Players[Name],0)),GameLog[[#This Row],[Player]])</f>
        <v>AJ W</v>
      </c>
    </row>
    <row r="1937" spans="1:15" x14ac:dyDescent="0.45">
      <c r="A1937" s="6" t="s">
        <v>64</v>
      </c>
      <c r="B1937" s="6" t="s">
        <v>53</v>
      </c>
      <c r="C1937" s="6">
        <v>3</v>
      </c>
      <c r="D1937" s="6">
        <v>3</v>
      </c>
      <c r="E1937" s="6">
        <v>2</v>
      </c>
      <c r="F1937" s="10">
        <v>46237</v>
      </c>
      <c r="G1937" s="6" t="str">
        <f>_xlfn.TEXTJOIN("|",TRUE,GameLog[[#This Row],[Pod]],TEXT(INT(GameLog[[#This Row],[Round]]),"yyyymmdd"),GameLog[[#This Row],[Date]])</f>
        <v>3|19000102|46237</v>
      </c>
      <c r="H1937" s="6">
        <f>COUNTIF(GameLog[Pod ID],GameLog[[#This Row],[Pod ID]])</f>
        <v>3</v>
      </c>
      <c r="I1937" s="6">
        <f>YEAR(GameLog[[#This Row],[Date]])</f>
        <v>2026</v>
      </c>
      <c r="J1937" s="6">
        <f>MONTH(GameLog[[#This Row],[Date]])</f>
        <v>8</v>
      </c>
      <c r="K1937" s="6" t="str">
        <f>IF(GameLog[[#This Row],[Date]]=MAX(GameLog[Date]),"Current","Previous")</f>
        <v>Previous</v>
      </c>
      <c r="L1937" s="6"/>
      <c r="M19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7" s="6" t="str">
        <f ca="1">IF(GameLog[[#This Row],[Check]]="","",COUNTIF(GameLog[[#Headers],[Check]]:GameLog[[#This Row],[Check]],"?*")-1)</f>
        <v/>
      </c>
      <c r="O1937" s="6" t="str">
        <f>IFERROR(INDEX(Players[New name],MATCH(GameLog[[#This Row],[Player]],Players[Name],0)),GameLog[[#This Row],[Player]])</f>
        <v>Tyler B</v>
      </c>
    </row>
    <row r="1938" spans="1:15" x14ac:dyDescent="0.45">
      <c r="A1938" s="6" t="s">
        <v>119</v>
      </c>
      <c r="B1938" s="6" t="s">
        <v>50</v>
      </c>
      <c r="C1938" s="6">
        <v>1</v>
      </c>
      <c r="D1938" s="6">
        <v>4</v>
      </c>
      <c r="E1938" s="6">
        <v>2</v>
      </c>
      <c r="F1938" s="10">
        <v>46237</v>
      </c>
      <c r="G1938" s="6" t="str">
        <f>_xlfn.TEXTJOIN("|",TRUE,GameLog[[#This Row],[Pod]],TEXT(INT(GameLog[[#This Row],[Round]]),"yyyymmdd"),GameLog[[#This Row],[Date]])</f>
        <v>4|19000102|46237</v>
      </c>
      <c r="H1938" s="6">
        <f>COUNTIF(GameLog[Pod ID],GameLog[[#This Row],[Pod ID]])</f>
        <v>3</v>
      </c>
      <c r="I1938" s="6">
        <f>YEAR(GameLog[[#This Row],[Date]])</f>
        <v>2026</v>
      </c>
      <c r="J1938" s="6">
        <f>MONTH(GameLog[[#This Row],[Date]])</f>
        <v>8</v>
      </c>
      <c r="K1938" s="6" t="str">
        <f>IF(GameLog[[#This Row],[Date]]=MAX(GameLog[Date]),"Current","Previous")</f>
        <v>Previous</v>
      </c>
      <c r="L1938" s="6"/>
      <c r="M19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8" s="6" t="str">
        <f ca="1">IF(GameLog[[#This Row],[Check]]="","",COUNTIF(GameLog[[#Headers],[Check]]:GameLog[[#This Row],[Check]],"?*")-1)</f>
        <v/>
      </c>
      <c r="O1938" s="6" t="str">
        <f>IFERROR(INDEX(Players[New name],MATCH(GameLog[[#This Row],[Player]],Players[Name],0)),GameLog[[#This Row],[Player]])</f>
        <v>Cristian S</v>
      </c>
    </row>
    <row r="1939" spans="1:15" x14ac:dyDescent="0.45">
      <c r="A1939" s="6" t="s">
        <v>75</v>
      </c>
      <c r="B1939" s="6" t="s">
        <v>53</v>
      </c>
      <c r="C1939" s="6">
        <v>2</v>
      </c>
      <c r="D1939" s="6">
        <v>4</v>
      </c>
      <c r="E1939" s="6">
        <v>2</v>
      </c>
      <c r="F1939" s="10">
        <v>46237</v>
      </c>
      <c r="G1939" s="6" t="str">
        <f>_xlfn.TEXTJOIN("|",TRUE,GameLog[[#This Row],[Pod]],TEXT(INT(GameLog[[#This Row],[Round]]),"yyyymmdd"),GameLog[[#This Row],[Date]])</f>
        <v>4|19000102|46237</v>
      </c>
      <c r="H1939" s="6">
        <f>COUNTIF(GameLog[Pod ID],GameLog[[#This Row],[Pod ID]])</f>
        <v>3</v>
      </c>
      <c r="I1939" s="6">
        <f>YEAR(GameLog[[#This Row],[Date]])</f>
        <v>2026</v>
      </c>
      <c r="J1939" s="6">
        <f>MONTH(GameLog[[#This Row],[Date]])</f>
        <v>8</v>
      </c>
      <c r="K1939" s="6" t="str">
        <f>IF(GameLog[[#This Row],[Date]]=MAX(GameLog[Date]),"Current","Previous")</f>
        <v>Previous</v>
      </c>
      <c r="L1939" s="6"/>
      <c r="M19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39" s="6" t="str">
        <f ca="1">IF(GameLog[[#This Row],[Check]]="","",COUNTIF(GameLog[[#Headers],[Check]]:GameLog[[#This Row],[Check]],"?*")-1)</f>
        <v/>
      </c>
      <c r="O1939" s="6" t="str">
        <f>IFERROR(INDEX(Players[New name],MATCH(GameLog[[#This Row],[Player]],Players[Name],0)),GameLog[[#This Row],[Player]])</f>
        <v>Eli T</v>
      </c>
    </row>
    <row r="1940" spans="1:15" x14ac:dyDescent="0.45">
      <c r="A1940" s="6" t="s">
        <v>97</v>
      </c>
      <c r="B1940" s="6" t="s">
        <v>53</v>
      </c>
      <c r="C1940" s="6">
        <v>3</v>
      </c>
      <c r="D1940" s="6">
        <v>4</v>
      </c>
      <c r="E1940" s="6">
        <v>2</v>
      </c>
      <c r="F1940" s="10">
        <v>46237</v>
      </c>
      <c r="G1940" s="6" t="str">
        <f>_xlfn.TEXTJOIN("|",TRUE,GameLog[[#This Row],[Pod]],TEXT(INT(GameLog[[#This Row],[Round]]),"yyyymmdd"),GameLog[[#This Row],[Date]])</f>
        <v>4|19000102|46237</v>
      </c>
      <c r="H1940" s="6">
        <f>COUNTIF(GameLog[Pod ID],GameLog[[#This Row],[Pod ID]])</f>
        <v>3</v>
      </c>
      <c r="I1940" s="6">
        <f>YEAR(GameLog[[#This Row],[Date]])</f>
        <v>2026</v>
      </c>
      <c r="J1940" s="6">
        <f>MONTH(GameLog[[#This Row],[Date]])</f>
        <v>8</v>
      </c>
      <c r="K1940" s="6" t="str">
        <f>IF(GameLog[[#This Row],[Date]]=MAX(GameLog[Date]),"Current","Previous")</f>
        <v>Previous</v>
      </c>
      <c r="L1940" s="6"/>
      <c r="M19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0" s="6" t="str">
        <f ca="1">IF(GameLog[[#This Row],[Check]]="","",COUNTIF(GameLog[[#Headers],[Check]]:GameLog[[#This Row],[Check]],"?*")-1)</f>
        <v/>
      </c>
      <c r="O1940" s="6" t="str">
        <f>IFERROR(INDEX(Players[New name],MATCH(GameLog[[#This Row],[Player]],Players[Name],0)),GameLog[[#This Row],[Player]])</f>
        <v>Arman H</v>
      </c>
    </row>
    <row r="1941" spans="1:15" x14ac:dyDescent="0.45">
      <c r="A1941" s="6" t="s">
        <v>106</v>
      </c>
      <c r="B1941" s="6" t="s">
        <v>90</v>
      </c>
      <c r="C1941" s="6">
        <v>1</v>
      </c>
      <c r="D1941" s="6">
        <v>1</v>
      </c>
      <c r="E1941" s="6">
        <v>1</v>
      </c>
      <c r="F1941" s="10">
        <v>46244</v>
      </c>
      <c r="G1941" s="6" t="str">
        <f>_xlfn.TEXTJOIN("|",TRUE,GameLog[[#This Row],[Pod]],TEXT(INT(GameLog[[#This Row],[Round]]),"yyyymmdd"),GameLog[[#This Row],[Date]])</f>
        <v>1|19000101|46244</v>
      </c>
      <c r="H1941" s="6">
        <f>COUNTIF(GameLog[Pod ID],GameLog[[#This Row],[Pod ID]])</f>
        <v>4</v>
      </c>
      <c r="I1941" s="6">
        <f>YEAR(GameLog[[#This Row],[Date]])</f>
        <v>2026</v>
      </c>
      <c r="J1941" s="6">
        <f>MONTH(GameLog[[#This Row],[Date]])</f>
        <v>8</v>
      </c>
      <c r="K1941" s="6" t="str">
        <f>IF(GameLog[[#This Row],[Date]]=MAX(GameLog[Date]),"Current","Previous")</f>
        <v>Previous</v>
      </c>
      <c r="L1941" s="6"/>
      <c r="M19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1" s="6" t="str">
        <f ca="1">IF(GameLog[[#This Row],[Check]]="","",COUNTIF(GameLog[[#Headers],[Check]]:GameLog[[#This Row],[Check]],"?*")-1)</f>
        <v/>
      </c>
      <c r="O1941" s="6" t="str">
        <f>IFERROR(INDEX(Players[New name],MATCH(GameLog[[#This Row],[Player]],Players[Name],0)),GameLog[[#This Row],[Player]])</f>
        <v>Tony W</v>
      </c>
    </row>
    <row r="1942" spans="1:15" x14ac:dyDescent="0.45">
      <c r="A1942" s="6" t="s">
        <v>55</v>
      </c>
      <c r="B1942" s="6" t="s">
        <v>90</v>
      </c>
      <c r="C1942" s="6">
        <v>2</v>
      </c>
      <c r="D1942" s="6">
        <v>1</v>
      </c>
      <c r="E1942" s="6">
        <v>1</v>
      </c>
      <c r="F1942" s="10">
        <v>46244</v>
      </c>
      <c r="G1942" s="6" t="str">
        <f>_xlfn.TEXTJOIN("|",TRUE,GameLog[[#This Row],[Pod]],TEXT(INT(GameLog[[#This Row],[Round]]),"yyyymmdd"),GameLog[[#This Row],[Date]])</f>
        <v>1|19000101|46244</v>
      </c>
      <c r="H1942" s="6">
        <f>COUNTIF(GameLog[Pod ID],GameLog[[#This Row],[Pod ID]])</f>
        <v>4</v>
      </c>
      <c r="I1942" s="6">
        <f>YEAR(GameLog[[#This Row],[Date]])</f>
        <v>2026</v>
      </c>
      <c r="J1942" s="6">
        <f>MONTH(GameLog[[#This Row],[Date]])</f>
        <v>8</v>
      </c>
      <c r="K1942" s="6" t="str">
        <f>IF(GameLog[[#This Row],[Date]]=MAX(GameLog[Date]),"Current","Previous")</f>
        <v>Previous</v>
      </c>
      <c r="L1942" s="6"/>
      <c r="M19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2" s="6" t="str">
        <f ca="1">IF(GameLog[[#This Row],[Check]]="","",COUNTIF(GameLog[[#Headers],[Check]]:GameLog[[#This Row],[Check]],"?*")-1)</f>
        <v/>
      </c>
      <c r="O1942" s="6" t="str">
        <f>IFERROR(INDEX(Players[New name],MATCH(GameLog[[#This Row],[Player]],Players[Name],0)),GameLog[[#This Row],[Player]])</f>
        <v>Bryce C</v>
      </c>
    </row>
    <row r="1943" spans="1:15" x14ac:dyDescent="0.45">
      <c r="A1943" s="6" t="s">
        <v>61</v>
      </c>
      <c r="B1943" s="6" t="s">
        <v>90</v>
      </c>
      <c r="C1943" s="6">
        <v>3</v>
      </c>
      <c r="D1943" s="6">
        <v>1</v>
      </c>
      <c r="E1943" s="6">
        <v>1</v>
      </c>
      <c r="F1943" s="10">
        <v>46244</v>
      </c>
      <c r="G1943" s="6" t="str">
        <f>_xlfn.TEXTJOIN("|",TRUE,GameLog[[#This Row],[Pod]],TEXT(INT(GameLog[[#This Row],[Round]]),"yyyymmdd"),GameLog[[#This Row],[Date]])</f>
        <v>1|19000101|46244</v>
      </c>
      <c r="H1943" s="6">
        <f>COUNTIF(GameLog[Pod ID],GameLog[[#This Row],[Pod ID]])</f>
        <v>4</v>
      </c>
      <c r="I1943" s="6">
        <f>YEAR(GameLog[[#This Row],[Date]])</f>
        <v>2026</v>
      </c>
      <c r="J1943" s="6">
        <f>MONTH(GameLog[[#This Row],[Date]])</f>
        <v>8</v>
      </c>
      <c r="K1943" s="6" t="str">
        <f>IF(GameLog[[#This Row],[Date]]=MAX(GameLog[Date]),"Current","Previous")</f>
        <v>Previous</v>
      </c>
      <c r="L1943" s="6"/>
      <c r="M19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3" s="6" t="str">
        <f ca="1">IF(GameLog[[#This Row],[Check]]="","",COUNTIF(GameLog[[#Headers],[Check]]:GameLog[[#This Row],[Check]],"?*")-1)</f>
        <v/>
      </c>
      <c r="O1943" s="6" t="str">
        <f>IFERROR(INDEX(Players[New name],MATCH(GameLog[[#This Row],[Player]],Players[Name],0)),GameLog[[#This Row],[Player]])</f>
        <v>Trevor</v>
      </c>
    </row>
    <row r="1944" spans="1:15" x14ac:dyDescent="0.45">
      <c r="A1944" s="6" t="s">
        <v>97</v>
      </c>
      <c r="B1944" s="6" t="s">
        <v>90</v>
      </c>
      <c r="C1944" s="6">
        <v>4</v>
      </c>
      <c r="D1944" s="6">
        <v>1</v>
      </c>
      <c r="E1944" s="6">
        <v>1</v>
      </c>
      <c r="F1944" s="10">
        <v>46244</v>
      </c>
      <c r="G1944" s="6" t="str">
        <f>_xlfn.TEXTJOIN("|",TRUE,GameLog[[#This Row],[Pod]],TEXT(INT(GameLog[[#This Row],[Round]]),"yyyymmdd"),GameLog[[#This Row],[Date]])</f>
        <v>1|19000101|46244</v>
      </c>
      <c r="H1944" s="6">
        <f>COUNTIF(GameLog[Pod ID],GameLog[[#This Row],[Pod ID]])</f>
        <v>4</v>
      </c>
      <c r="I1944" s="6">
        <f>YEAR(GameLog[[#This Row],[Date]])</f>
        <v>2026</v>
      </c>
      <c r="J1944" s="6">
        <f>MONTH(GameLog[[#This Row],[Date]])</f>
        <v>8</v>
      </c>
      <c r="K1944" s="6" t="str">
        <f>IF(GameLog[[#This Row],[Date]]=MAX(GameLog[Date]),"Current","Previous")</f>
        <v>Previous</v>
      </c>
      <c r="L1944" s="6"/>
      <c r="M19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4" s="6" t="str">
        <f ca="1">IF(GameLog[[#This Row],[Check]]="","",COUNTIF(GameLog[[#Headers],[Check]]:GameLog[[#This Row],[Check]],"?*")-1)</f>
        <v/>
      </c>
      <c r="O1944" s="6" t="str">
        <f>IFERROR(INDEX(Players[New name],MATCH(GameLog[[#This Row],[Player]],Players[Name],0)),GameLog[[#This Row],[Player]])</f>
        <v>Arman H</v>
      </c>
    </row>
    <row r="1945" spans="1:15" x14ac:dyDescent="0.45">
      <c r="A1945" s="6" t="s">
        <v>91</v>
      </c>
      <c r="B1945" s="6" t="s">
        <v>90</v>
      </c>
      <c r="C1945" s="6">
        <v>1</v>
      </c>
      <c r="D1945" s="6">
        <v>2</v>
      </c>
      <c r="E1945" s="6">
        <v>1</v>
      </c>
      <c r="F1945" s="10">
        <v>46244</v>
      </c>
      <c r="G1945" s="6" t="str">
        <f>_xlfn.TEXTJOIN("|",TRUE,GameLog[[#This Row],[Pod]],TEXT(INT(GameLog[[#This Row],[Round]]),"yyyymmdd"),GameLog[[#This Row],[Date]])</f>
        <v>2|19000101|46244</v>
      </c>
      <c r="H1945" s="6">
        <f>COUNTIF(GameLog[Pod ID],GameLog[[#This Row],[Pod ID]])</f>
        <v>4</v>
      </c>
      <c r="I1945" s="6">
        <f>YEAR(GameLog[[#This Row],[Date]])</f>
        <v>2026</v>
      </c>
      <c r="J1945" s="6">
        <f>MONTH(GameLog[[#This Row],[Date]])</f>
        <v>8</v>
      </c>
      <c r="K1945" s="6" t="str">
        <f>IF(GameLog[[#This Row],[Date]]=MAX(GameLog[Date]),"Current","Previous")</f>
        <v>Previous</v>
      </c>
      <c r="L1945" s="6"/>
      <c r="M19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5" s="6" t="str">
        <f ca="1">IF(GameLog[[#This Row],[Check]]="","",COUNTIF(GameLog[[#Headers],[Check]]:GameLog[[#This Row],[Check]],"?*")-1)</f>
        <v/>
      </c>
      <c r="O1945" s="6" t="str">
        <f>IFERROR(INDEX(Players[New name],MATCH(GameLog[[#This Row],[Player]],Players[Name],0)),GameLog[[#This Row],[Player]])</f>
        <v>Isaac B</v>
      </c>
    </row>
    <row r="1946" spans="1:15" x14ac:dyDescent="0.45">
      <c r="A1946" s="6" t="s">
        <v>113</v>
      </c>
      <c r="B1946" s="6" t="s">
        <v>90</v>
      </c>
      <c r="C1946" s="6">
        <v>2</v>
      </c>
      <c r="D1946" s="6">
        <v>2</v>
      </c>
      <c r="E1946" s="6">
        <v>1</v>
      </c>
      <c r="F1946" s="10">
        <v>46244</v>
      </c>
      <c r="G1946" s="6" t="str">
        <f>_xlfn.TEXTJOIN("|",TRUE,GameLog[[#This Row],[Pod]],TEXT(INT(GameLog[[#This Row],[Round]]),"yyyymmdd"),GameLog[[#This Row],[Date]])</f>
        <v>2|19000101|46244</v>
      </c>
      <c r="H1946" s="6">
        <f>COUNTIF(GameLog[Pod ID],GameLog[[#This Row],[Pod ID]])</f>
        <v>4</v>
      </c>
      <c r="I1946" s="6">
        <f>YEAR(GameLog[[#This Row],[Date]])</f>
        <v>2026</v>
      </c>
      <c r="J1946" s="6">
        <f>MONTH(GameLog[[#This Row],[Date]])</f>
        <v>8</v>
      </c>
      <c r="K1946" s="6" t="str">
        <f>IF(GameLog[[#This Row],[Date]]=MAX(GameLog[Date]),"Current","Previous")</f>
        <v>Previous</v>
      </c>
      <c r="L1946" s="6"/>
      <c r="M19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6" s="6" t="str">
        <f ca="1">IF(GameLog[[#This Row],[Check]]="","",COUNTIF(GameLog[[#Headers],[Check]]:GameLog[[#This Row],[Check]],"?*")-1)</f>
        <v/>
      </c>
      <c r="O1946" s="6" t="str">
        <f>IFERROR(INDEX(Players[New name],MATCH(GameLog[[#This Row],[Player]],Players[Name],0)),GameLog[[#This Row],[Player]])</f>
        <v>Gavin J</v>
      </c>
    </row>
    <row r="1947" spans="1:15" x14ac:dyDescent="0.45">
      <c r="A1947" s="6" t="s">
        <v>71</v>
      </c>
      <c r="B1947" s="6" t="s">
        <v>90</v>
      </c>
      <c r="C1947" s="6">
        <v>3</v>
      </c>
      <c r="D1947" s="6">
        <v>2</v>
      </c>
      <c r="E1947" s="6">
        <v>1</v>
      </c>
      <c r="F1947" s="10">
        <v>46244</v>
      </c>
      <c r="G1947" s="6" t="str">
        <f>_xlfn.TEXTJOIN("|",TRUE,GameLog[[#This Row],[Pod]],TEXT(INT(GameLog[[#This Row],[Round]]),"yyyymmdd"),GameLog[[#This Row],[Date]])</f>
        <v>2|19000101|46244</v>
      </c>
      <c r="H1947" s="6">
        <f>COUNTIF(GameLog[Pod ID],GameLog[[#This Row],[Pod ID]])</f>
        <v>4</v>
      </c>
      <c r="I1947" s="6">
        <f>YEAR(GameLog[[#This Row],[Date]])</f>
        <v>2026</v>
      </c>
      <c r="J1947" s="6">
        <f>MONTH(GameLog[[#This Row],[Date]])</f>
        <v>8</v>
      </c>
      <c r="K1947" s="6" t="str">
        <f>IF(GameLog[[#This Row],[Date]]=MAX(GameLog[Date]),"Current","Previous")</f>
        <v>Previous</v>
      </c>
      <c r="L1947" s="6"/>
      <c r="M19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7" s="6" t="str">
        <f ca="1">IF(GameLog[[#This Row],[Check]]="","",COUNTIF(GameLog[[#Headers],[Check]]:GameLog[[#This Row],[Check]],"?*")-1)</f>
        <v/>
      </c>
      <c r="O1947" s="6" t="str">
        <f>IFERROR(INDEX(Players[New name],MATCH(GameLog[[#This Row],[Player]],Players[Name],0)),GameLog[[#This Row],[Player]])</f>
        <v>Rodney Y</v>
      </c>
    </row>
    <row r="1948" spans="1:15" x14ac:dyDescent="0.45">
      <c r="A1948" s="6" t="s">
        <v>57</v>
      </c>
      <c r="B1948" s="6" t="s">
        <v>90</v>
      </c>
      <c r="C1948" s="6">
        <v>4</v>
      </c>
      <c r="D1948" s="6">
        <v>2</v>
      </c>
      <c r="E1948" s="6">
        <v>1</v>
      </c>
      <c r="F1948" s="10">
        <v>46244</v>
      </c>
      <c r="G1948" s="6" t="str">
        <f>_xlfn.TEXTJOIN("|",TRUE,GameLog[[#This Row],[Pod]],TEXT(INT(GameLog[[#This Row],[Round]]),"yyyymmdd"),GameLog[[#This Row],[Date]])</f>
        <v>2|19000101|46244</v>
      </c>
      <c r="H1948" s="6">
        <f>COUNTIF(GameLog[Pod ID],GameLog[[#This Row],[Pod ID]])</f>
        <v>4</v>
      </c>
      <c r="I1948" s="6">
        <f>YEAR(GameLog[[#This Row],[Date]])</f>
        <v>2026</v>
      </c>
      <c r="J1948" s="6">
        <f>MONTH(GameLog[[#This Row],[Date]])</f>
        <v>8</v>
      </c>
      <c r="K1948" s="6" t="str">
        <f>IF(GameLog[[#This Row],[Date]]=MAX(GameLog[Date]),"Current","Previous")</f>
        <v>Previous</v>
      </c>
      <c r="L1948" s="6"/>
      <c r="M19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8" s="6" t="str">
        <f ca="1">IF(GameLog[[#This Row],[Check]]="","",COUNTIF(GameLog[[#Headers],[Check]]:GameLog[[#This Row],[Check]],"?*")-1)</f>
        <v/>
      </c>
      <c r="O1948" s="6" t="str">
        <f>IFERROR(INDEX(Players[New name],MATCH(GameLog[[#This Row],[Player]],Players[Name],0)),GameLog[[#This Row],[Player]])</f>
        <v>AJ W</v>
      </c>
    </row>
    <row r="1949" spans="1:15" x14ac:dyDescent="0.45">
      <c r="A1949" s="6" t="s">
        <v>73</v>
      </c>
      <c r="B1949" s="6" t="s">
        <v>53</v>
      </c>
      <c r="C1949" s="6">
        <v>1</v>
      </c>
      <c r="D1949" s="6">
        <v>3</v>
      </c>
      <c r="E1949" s="6">
        <v>1</v>
      </c>
      <c r="F1949" s="10">
        <v>46244</v>
      </c>
      <c r="G1949" s="6" t="str">
        <f>_xlfn.TEXTJOIN("|",TRUE,GameLog[[#This Row],[Pod]],TEXT(INT(GameLog[[#This Row],[Round]]),"yyyymmdd"),GameLog[[#This Row],[Date]])</f>
        <v>3|19000101|46244</v>
      </c>
      <c r="H1949" s="6">
        <f>COUNTIF(GameLog[Pod ID],GameLog[[#This Row],[Pod ID]])</f>
        <v>4</v>
      </c>
      <c r="I1949" s="6">
        <f>YEAR(GameLog[[#This Row],[Date]])</f>
        <v>2026</v>
      </c>
      <c r="J1949" s="6">
        <f>MONTH(GameLog[[#This Row],[Date]])</f>
        <v>8</v>
      </c>
      <c r="K1949" s="6" t="str">
        <f>IF(GameLog[[#This Row],[Date]]=MAX(GameLog[Date]),"Current","Previous")</f>
        <v>Previous</v>
      </c>
      <c r="L1949" s="6"/>
      <c r="M19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49" s="6" t="str">
        <f ca="1">IF(GameLog[[#This Row],[Check]]="","",COUNTIF(GameLog[[#Headers],[Check]]:GameLog[[#This Row],[Check]],"?*")-1)</f>
        <v/>
      </c>
      <c r="O1949" s="6" t="str">
        <f>IFERROR(INDEX(Players[New name],MATCH(GameLog[[#This Row],[Player]],Players[Name],0)),GameLog[[#This Row],[Player]])</f>
        <v>Brandon B</v>
      </c>
    </row>
    <row r="1950" spans="1:15" x14ac:dyDescent="0.45">
      <c r="A1950" s="6" t="s">
        <v>56</v>
      </c>
      <c r="B1950" s="6" t="s">
        <v>50</v>
      </c>
      <c r="C1950" s="6">
        <v>2</v>
      </c>
      <c r="D1950" s="6">
        <v>3</v>
      </c>
      <c r="E1950" s="6">
        <v>1</v>
      </c>
      <c r="F1950" s="10">
        <v>46244</v>
      </c>
      <c r="G1950" s="6" t="str">
        <f>_xlfn.TEXTJOIN("|",TRUE,GameLog[[#This Row],[Pod]],TEXT(INT(GameLog[[#This Row],[Round]]),"yyyymmdd"),GameLog[[#This Row],[Date]])</f>
        <v>3|19000101|46244</v>
      </c>
      <c r="H1950" s="6">
        <f>COUNTIF(GameLog[Pod ID],GameLog[[#This Row],[Pod ID]])</f>
        <v>4</v>
      </c>
      <c r="I1950" s="6">
        <f>YEAR(GameLog[[#This Row],[Date]])</f>
        <v>2026</v>
      </c>
      <c r="J1950" s="6">
        <f>MONTH(GameLog[[#This Row],[Date]])</f>
        <v>8</v>
      </c>
      <c r="K1950" s="6" t="str">
        <f>IF(GameLog[[#This Row],[Date]]=MAX(GameLog[Date]),"Current","Previous")</f>
        <v>Previous</v>
      </c>
      <c r="L1950" s="6"/>
      <c r="M19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0" s="6" t="str">
        <f ca="1">IF(GameLog[[#This Row],[Check]]="","",COUNTIF(GameLog[[#Headers],[Check]]:GameLog[[#This Row],[Check]],"?*")-1)</f>
        <v/>
      </c>
      <c r="O1950" s="6" t="str">
        <f>IFERROR(INDEX(Players[New name],MATCH(GameLog[[#This Row],[Player]],Players[Name],0)),GameLog[[#This Row],[Player]])</f>
        <v>Mark D</v>
      </c>
    </row>
    <row r="1951" spans="1:15" x14ac:dyDescent="0.45">
      <c r="A1951" s="6" t="s">
        <v>64</v>
      </c>
      <c r="B1951" s="6" t="s">
        <v>53</v>
      </c>
      <c r="C1951" s="6">
        <v>3</v>
      </c>
      <c r="D1951" s="6">
        <v>3</v>
      </c>
      <c r="E1951" s="6">
        <v>1</v>
      </c>
      <c r="F1951" s="10">
        <v>46244</v>
      </c>
      <c r="G1951" s="6" t="str">
        <f>_xlfn.TEXTJOIN("|",TRUE,GameLog[[#This Row],[Pod]],TEXT(INT(GameLog[[#This Row],[Round]]),"yyyymmdd"),GameLog[[#This Row],[Date]])</f>
        <v>3|19000101|46244</v>
      </c>
      <c r="H1951" s="6">
        <f>COUNTIF(GameLog[Pod ID],GameLog[[#This Row],[Pod ID]])</f>
        <v>4</v>
      </c>
      <c r="I1951" s="6">
        <f>YEAR(GameLog[[#This Row],[Date]])</f>
        <v>2026</v>
      </c>
      <c r="J1951" s="6">
        <f>MONTH(GameLog[[#This Row],[Date]])</f>
        <v>8</v>
      </c>
      <c r="K1951" s="6" t="str">
        <f>IF(GameLog[[#This Row],[Date]]=MAX(GameLog[Date]),"Current","Previous")</f>
        <v>Previous</v>
      </c>
      <c r="L1951" s="6"/>
      <c r="M19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1" s="6" t="str">
        <f ca="1">IF(GameLog[[#This Row],[Check]]="","",COUNTIF(GameLog[[#Headers],[Check]]:GameLog[[#This Row],[Check]],"?*")-1)</f>
        <v/>
      </c>
      <c r="O1951" s="6" t="str">
        <f>IFERROR(INDEX(Players[New name],MATCH(GameLog[[#This Row],[Player]],Players[Name],0)),GameLog[[#This Row],[Player]])</f>
        <v>Tyler B</v>
      </c>
    </row>
    <row r="1952" spans="1:15" x14ac:dyDescent="0.45">
      <c r="A1952" s="6" t="s">
        <v>63</v>
      </c>
      <c r="B1952" s="6" t="s">
        <v>53</v>
      </c>
      <c r="C1952" s="6">
        <v>4</v>
      </c>
      <c r="D1952" s="6">
        <v>3</v>
      </c>
      <c r="E1952" s="6">
        <v>1</v>
      </c>
      <c r="F1952" s="10">
        <v>46244</v>
      </c>
      <c r="G1952" s="6" t="str">
        <f>_xlfn.TEXTJOIN("|",TRUE,GameLog[[#This Row],[Pod]],TEXT(INT(GameLog[[#This Row],[Round]]),"yyyymmdd"),GameLog[[#This Row],[Date]])</f>
        <v>3|19000101|46244</v>
      </c>
      <c r="H1952" s="6">
        <f>COUNTIF(GameLog[Pod ID],GameLog[[#This Row],[Pod ID]])</f>
        <v>4</v>
      </c>
      <c r="I1952" s="6">
        <f>YEAR(GameLog[[#This Row],[Date]])</f>
        <v>2026</v>
      </c>
      <c r="J1952" s="6">
        <f>MONTH(GameLog[[#This Row],[Date]])</f>
        <v>8</v>
      </c>
      <c r="K1952" s="6" t="str">
        <f>IF(GameLog[[#This Row],[Date]]=MAX(GameLog[Date]),"Current","Previous")</f>
        <v>Previous</v>
      </c>
      <c r="L1952" s="6"/>
      <c r="M19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2" s="6" t="str">
        <f ca="1">IF(GameLog[[#This Row],[Check]]="","",COUNTIF(GameLog[[#Headers],[Check]]:GameLog[[#This Row],[Check]],"?*")-1)</f>
        <v/>
      </c>
      <c r="O1952" s="6" t="str">
        <f>IFERROR(INDEX(Players[New name],MATCH(GameLog[[#This Row],[Player]],Players[Name],0)),GameLog[[#This Row],[Player]])</f>
        <v>Jake D</v>
      </c>
    </row>
    <row r="1953" spans="1:15" x14ac:dyDescent="0.45">
      <c r="A1953" s="6" t="s">
        <v>112</v>
      </c>
      <c r="B1953" s="6" t="s">
        <v>90</v>
      </c>
      <c r="C1953" s="6">
        <v>1</v>
      </c>
      <c r="D1953" s="6">
        <v>4</v>
      </c>
      <c r="E1953" s="6">
        <v>1</v>
      </c>
      <c r="F1953" s="10">
        <v>46244</v>
      </c>
      <c r="G1953" s="6" t="str">
        <f>_xlfn.TEXTJOIN("|",TRUE,GameLog[[#This Row],[Pod]],TEXT(INT(GameLog[[#This Row],[Round]]),"yyyymmdd"),GameLog[[#This Row],[Date]])</f>
        <v>4|19000101|46244</v>
      </c>
      <c r="H1953" s="6">
        <f>COUNTIF(GameLog[Pod ID],GameLog[[#This Row],[Pod ID]])</f>
        <v>4</v>
      </c>
      <c r="I1953" s="6">
        <f>YEAR(GameLog[[#This Row],[Date]])</f>
        <v>2026</v>
      </c>
      <c r="J1953" s="6">
        <f>MONTH(GameLog[[#This Row],[Date]])</f>
        <v>8</v>
      </c>
      <c r="K1953" s="6" t="str">
        <f>IF(GameLog[[#This Row],[Date]]=MAX(GameLog[Date]),"Current","Previous")</f>
        <v>Previous</v>
      </c>
      <c r="L1953" s="6"/>
      <c r="M19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3" s="6" t="str">
        <f ca="1">IF(GameLog[[#This Row],[Check]]="","",COUNTIF(GameLog[[#Headers],[Check]]:GameLog[[#This Row],[Check]],"?*")-1)</f>
        <v/>
      </c>
      <c r="O1953" s="6" t="str">
        <f>IFERROR(INDEX(Players[New name],MATCH(GameLog[[#This Row],[Player]],Players[Name],0)),GameLog[[#This Row],[Player]])</f>
        <v>Savi</v>
      </c>
    </row>
    <row r="1954" spans="1:15" x14ac:dyDescent="0.45">
      <c r="A1954" s="6" t="s">
        <v>108</v>
      </c>
      <c r="B1954" s="6" t="s">
        <v>90</v>
      </c>
      <c r="C1954" s="6">
        <v>2</v>
      </c>
      <c r="D1954" s="6">
        <v>4</v>
      </c>
      <c r="E1954" s="6">
        <v>1</v>
      </c>
      <c r="F1954" s="10">
        <v>46244</v>
      </c>
      <c r="G1954" s="6" t="str">
        <f>_xlfn.TEXTJOIN("|",TRUE,GameLog[[#This Row],[Pod]],TEXT(INT(GameLog[[#This Row],[Round]]),"yyyymmdd"),GameLog[[#This Row],[Date]])</f>
        <v>4|19000101|46244</v>
      </c>
      <c r="H1954" s="6">
        <f>COUNTIF(GameLog[Pod ID],GameLog[[#This Row],[Pod ID]])</f>
        <v>4</v>
      </c>
      <c r="I1954" s="6">
        <f>YEAR(GameLog[[#This Row],[Date]])</f>
        <v>2026</v>
      </c>
      <c r="J1954" s="6">
        <f>MONTH(GameLog[[#This Row],[Date]])</f>
        <v>8</v>
      </c>
      <c r="K1954" s="6" t="str">
        <f>IF(GameLog[[#This Row],[Date]]=MAX(GameLog[Date]),"Current","Previous")</f>
        <v>Previous</v>
      </c>
      <c r="L1954" s="6"/>
      <c r="M19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4" s="6" t="str">
        <f ca="1">IF(GameLog[[#This Row],[Check]]="","",COUNTIF(GameLog[[#Headers],[Check]]:GameLog[[#This Row],[Check]],"?*")-1)</f>
        <v/>
      </c>
      <c r="O1954" s="6" t="str">
        <f>IFERROR(INDEX(Players[New name],MATCH(GameLog[[#This Row],[Player]],Players[Name],0)),GameLog[[#This Row],[Player]])</f>
        <v>Alexander D</v>
      </c>
    </row>
    <row r="1955" spans="1:15" x14ac:dyDescent="0.45">
      <c r="A1955" s="6" t="s">
        <v>58</v>
      </c>
      <c r="B1955" s="6" t="s">
        <v>90</v>
      </c>
      <c r="C1955" s="6">
        <v>3</v>
      </c>
      <c r="D1955" s="6">
        <v>4</v>
      </c>
      <c r="E1955" s="6">
        <v>1</v>
      </c>
      <c r="F1955" s="10">
        <v>46244</v>
      </c>
      <c r="G1955" s="6" t="str">
        <f>_xlfn.TEXTJOIN("|",TRUE,GameLog[[#This Row],[Pod]],TEXT(INT(GameLog[[#This Row],[Round]]),"yyyymmdd"),GameLog[[#This Row],[Date]])</f>
        <v>4|19000101|46244</v>
      </c>
      <c r="H1955" s="6">
        <f>COUNTIF(GameLog[Pod ID],GameLog[[#This Row],[Pod ID]])</f>
        <v>4</v>
      </c>
      <c r="I1955" s="6">
        <f>YEAR(GameLog[[#This Row],[Date]])</f>
        <v>2026</v>
      </c>
      <c r="J1955" s="6">
        <f>MONTH(GameLog[[#This Row],[Date]])</f>
        <v>8</v>
      </c>
      <c r="K1955" s="6" t="str">
        <f>IF(GameLog[[#This Row],[Date]]=MAX(GameLog[Date]),"Current","Previous")</f>
        <v>Previous</v>
      </c>
      <c r="L1955" s="6"/>
      <c r="M19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5" s="6" t="str">
        <f ca="1">IF(GameLog[[#This Row],[Check]]="","",COUNTIF(GameLog[[#Headers],[Check]]:GameLog[[#This Row],[Check]],"?*")-1)</f>
        <v/>
      </c>
      <c r="O1955" s="6" t="str">
        <f>IFERROR(INDEX(Players[New name],MATCH(GameLog[[#This Row],[Player]],Players[Name],0)),GameLog[[#This Row],[Player]])</f>
        <v>Dakota P</v>
      </c>
    </row>
    <row r="1956" spans="1:15" x14ac:dyDescent="0.45">
      <c r="A1956" s="6" t="s">
        <v>75</v>
      </c>
      <c r="B1956" s="6" t="s">
        <v>90</v>
      </c>
      <c r="C1956" s="6">
        <v>4</v>
      </c>
      <c r="D1956" s="6">
        <v>4</v>
      </c>
      <c r="E1956" s="6">
        <v>1</v>
      </c>
      <c r="F1956" s="10">
        <v>46244</v>
      </c>
      <c r="G1956" s="6" t="str">
        <f>_xlfn.TEXTJOIN("|",TRUE,GameLog[[#This Row],[Pod]],TEXT(INT(GameLog[[#This Row],[Round]]),"yyyymmdd"),GameLog[[#This Row],[Date]])</f>
        <v>4|19000101|46244</v>
      </c>
      <c r="H1956" s="6">
        <f>COUNTIF(GameLog[Pod ID],GameLog[[#This Row],[Pod ID]])</f>
        <v>4</v>
      </c>
      <c r="I1956" s="6">
        <f>YEAR(GameLog[[#This Row],[Date]])</f>
        <v>2026</v>
      </c>
      <c r="J1956" s="6">
        <f>MONTH(GameLog[[#This Row],[Date]])</f>
        <v>8</v>
      </c>
      <c r="K1956" s="6" t="str">
        <f>IF(GameLog[[#This Row],[Date]]=MAX(GameLog[Date]),"Current","Previous")</f>
        <v>Previous</v>
      </c>
      <c r="L1956" s="6"/>
      <c r="M19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6" s="6" t="str">
        <f ca="1">IF(GameLog[[#This Row],[Check]]="","",COUNTIF(GameLog[[#Headers],[Check]]:GameLog[[#This Row],[Check]],"?*")-1)</f>
        <v/>
      </c>
      <c r="O1956" s="6" t="str">
        <f>IFERROR(INDEX(Players[New name],MATCH(GameLog[[#This Row],[Player]],Players[Name],0)),GameLog[[#This Row],[Player]])</f>
        <v>Eli T</v>
      </c>
    </row>
    <row r="1957" spans="1:15" x14ac:dyDescent="0.45">
      <c r="A1957" s="6" t="s">
        <v>70</v>
      </c>
      <c r="B1957" s="6" t="s">
        <v>90</v>
      </c>
      <c r="C1957" s="6">
        <v>1</v>
      </c>
      <c r="D1957" s="6">
        <v>5</v>
      </c>
      <c r="E1957" s="6">
        <v>1</v>
      </c>
      <c r="F1957" s="10">
        <v>46244</v>
      </c>
      <c r="G1957" s="6" t="str">
        <f>_xlfn.TEXTJOIN("|",TRUE,GameLog[[#This Row],[Pod]],TEXT(INT(GameLog[[#This Row],[Round]]),"yyyymmdd"),GameLog[[#This Row],[Date]])</f>
        <v>5|19000101|46244</v>
      </c>
      <c r="H1957" s="6">
        <f>COUNTIF(GameLog[Pod ID],GameLog[[#This Row],[Pod ID]])</f>
        <v>3</v>
      </c>
      <c r="I1957" s="6">
        <f>YEAR(GameLog[[#This Row],[Date]])</f>
        <v>2026</v>
      </c>
      <c r="J1957" s="6">
        <f>MONTH(GameLog[[#This Row],[Date]])</f>
        <v>8</v>
      </c>
      <c r="K1957" s="6" t="str">
        <f>IF(GameLog[[#This Row],[Date]]=MAX(GameLog[Date]),"Current","Previous")</f>
        <v>Previous</v>
      </c>
      <c r="L1957" s="6"/>
      <c r="M19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7" s="6" t="str">
        <f ca="1">IF(GameLog[[#This Row],[Check]]="","",COUNTIF(GameLog[[#Headers],[Check]]:GameLog[[#This Row],[Check]],"?*")-1)</f>
        <v/>
      </c>
      <c r="O1957" s="6" t="str">
        <f>IFERROR(INDEX(Players[New name],MATCH(GameLog[[#This Row],[Player]],Players[Name],0)),GameLog[[#This Row],[Player]])</f>
        <v>Brad F</v>
      </c>
    </row>
    <row r="1958" spans="1:15" x14ac:dyDescent="0.45">
      <c r="A1958" s="6" t="s">
        <v>68</v>
      </c>
      <c r="B1958" s="6" t="s">
        <v>90</v>
      </c>
      <c r="C1958" s="6">
        <v>2</v>
      </c>
      <c r="D1958" s="6">
        <v>5</v>
      </c>
      <c r="E1958" s="6">
        <v>1</v>
      </c>
      <c r="F1958" s="10">
        <v>46244</v>
      </c>
      <c r="G1958" s="6" t="str">
        <f>_xlfn.TEXTJOIN("|",TRUE,GameLog[[#This Row],[Pod]],TEXT(INT(GameLog[[#This Row],[Round]]),"yyyymmdd"),GameLog[[#This Row],[Date]])</f>
        <v>5|19000101|46244</v>
      </c>
      <c r="H1958" s="6">
        <f>COUNTIF(GameLog[Pod ID],GameLog[[#This Row],[Pod ID]])</f>
        <v>3</v>
      </c>
      <c r="I1958" s="6">
        <f>YEAR(GameLog[[#This Row],[Date]])</f>
        <v>2026</v>
      </c>
      <c r="J1958" s="6">
        <f>MONTH(GameLog[[#This Row],[Date]])</f>
        <v>8</v>
      </c>
      <c r="K1958" s="6" t="str">
        <f>IF(GameLog[[#This Row],[Date]]=MAX(GameLog[Date]),"Current","Previous")</f>
        <v>Previous</v>
      </c>
      <c r="L1958" s="6"/>
      <c r="M19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8" s="6" t="str">
        <f ca="1">IF(GameLog[[#This Row],[Check]]="","",COUNTIF(GameLog[[#Headers],[Check]]:GameLog[[#This Row],[Check]],"?*")-1)</f>
        <v/>
      </c>
      <c r="O1958" s="6" t="str">
        <f>IFERROR(INDEX(Players[New name],MATCH(GameLog[[#This Row],[Player]],Players[Name],0)),GameLog[[#This Row],[Player]])</f>
        <v>Edwin M</v>
      </c>
    </row>
    <row r="1959" spans="1:15" x14ac:dyDescent="0.45">
      <c r="A1959" s="6" t="s">
        <v>104</v>
      </c>
      <c r="B1959" s="6" t="s">
        <v>90</v>
      </c>
      <c r="C1959" s="6">
        <v>3</v>
      </c>
      <c r="D1959" s="6">
        <v>5</v>
      </c>
      <c r="E1959" s="6">
        <v>1</v>
      </c>
      <c r="F1959" s="10">
        <v>46244</v>
      </c>
      <c r="G1959" s="6" t="str">
        <f>_xlfn.TEXTJOIN("|",TRUE,GameLog[[#This Row],[Pod]],TEXT(INT(GameLog[[#This Row],[Round]]),"yyyymmdd"),GameLog[[#This Row],[Date]])</f>
        <v>5|19000101|46244</v>
      </c>
      <c r="H1959" s="6">
        <f>COUNTIF(GameLog[Pod ID],GameLog[[#This Row],[Pod ID]])</f>
        <v>3</v>
      </c>
      <c r="I1959" s="6">
        <f>YEAR(GameLog[[#This Row],[Date]])</f>
        <v>2026</v>
      </c>
      <c r="J1959" s="6">
        <f>MONTH(GameLog[[#This Row],[Date]])</f>
        <v>8</v>
      </c>
      <c r="K1959" s="6" t="str">
        <f>IF(GameLog[[#This Row],[Date]]=MAX(GameLog[Date]),"Current","Previous")</f>
        <v>Previous</v>
      </c>
      <c r="L1959" s="6"/>
      <c r="M19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59" s="6" t="str">
        <f ca="1">IF(GameLog[[#This Row],[Check]]="","",COUNTIF(GameLog[[#Headers],[Check]]:GameLog[[#This Row],[Check]],"?*")-1)</f>
        <v/>
      </c>
      <c r="O1959" s="6" t="str">
        <f>IFERROR(INDEX(Players[New name],MATCH(GameLog[[#This Row],[Player]],Players[Name],0)),GameLog[[#This Row],[Player]])</f>
        <v>Eric E</v>
      </c>
    </row>
    <row r="1960" spans="1:15" x14ac:dyDescent="0.45">
      <c r="A1960" s="6" t="s">
        <v>96</v>
      </c>
      <c r="B1960" s="6" t="s">
        <v>50</v>
      </c>
      <c r="C1960" s="6">
        <v>1</v>
      </c>
      <c r="D1960" s="6">
        <v>6</v>
      </c>
      <c r="E1960" s="6">
        <v>1</v>
      </c>
      <c r="F1960" s="10">
        <v>46244</v>
      </c>
      <c r="G1960" s="6" t="str">
        <f>_xlfn.TEXTJOIN("|",TRUE,GameLog[[#This Row],[Pod]],TEXT(INT(GameLog[[#This Row],[Round]]),"yyyymmdd"),GameLog[[#This Row],[Date]])</f>
        <v>6|19000101|46244</v>
      </c>
      <c r="H1960" s="6">
        <f>COUNTIF(GameLog[Pod ID],GameLog[[#This Row],[Pod ID]])</f>
        <v>3</v>
      </c>
      <c r="I1960" s="6">
        <f>YEAR(GameLog[[#This Row],[Date]])</f>
        <v>2026</v>
      </c>
      <c r="J1960" s="6">
        <f>MONTH(GameLog[[#This Row],[Date]])</f>
        <v>8</v>
      </c>
      <c r="K1960" s="6" t="str">
        <f>IF(GameLog[[#This Row],[Date]]=MAX(GameLog[Date]),"Current","Previous")</f>
        <v>Previous</v>
      </c>
      <c r="L1960" s="6"/>
      <c r="M19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0" s="6" t="str">
        <f ca="1">IF(GameLog[[#This Row],[Check]]="","",COUNTIF(GameLog[[#Headers],[Check]]:GameLog[[#This Row],[Check]],"?*")-1)</f>
        <v/>
      </c>
      <c r="O1960" s="6" t="str">
        <f>IFERROR(INDEX(Players[New name],MATCH(GameLog[[#This Row],[Player]],Players[Name],0)),GameLog[[#This Row],[Player]])</f>
        <v>Brandon A</v>
      </c>
    </row>
    <row r="1961" spans="1:15" x14ac:dyDescent="0.45">
      <c r="A1961" s="6" t="s">
        <v>118</v>
      </c>
      <c r="B1961" s="6" t="s">
        <v>53</v>
      </c>
      <c r="C1961" s="6">
        <v>2</v>
      </c>
      <c r="D1961" s="6">
        <v>6</v>
      </c>
      <c r="E1961" s="6">
        <v>1</v>
      </c>
      <c r="F1961" s="10">
        <v>46244</v>
      </c>
      <c r="G1961" s="6" t="str">
        <f>_xlfn.TEXTJOIN("|",TRUE,GameLog[[#This Row],[Pod]],TEXT(INT(GameLog[[#This Row],[Round]]),"yyyymmdd"),GameLog[[#This Row],[Date]])</f>
        <v>6|19000101|46244</v>
      </c>
      <c r="H1961" s="6">
        <f>COUNTIF(GameLog[Pod ID],GameLog[[#This Row],[Pod ID]])</f>
        <v>3</v>
      </c>
      <c r="I1961" s="6">
        <f>YEAR(GameLog[[#This Row],[Date]])</f>
        <v>2026</v>
      </c>
      <c r="J1961" s="6">
        <f>MONTH(GameLog[[#This Row],[Date]])</f>
        <v>8</v>
      </c>
      <c r="K1961" s="6" t="str">
        <f>IF(GameLog[[#This Row],[Date]]=MAX(GameLog[Date]),"Current","Previous")</f>
        <v>Previous</v>
      </c>
      <c r="L1961" s="6"/>
      <c r="M19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1" s="6" t="str">
        <f ca="1">IF(GameLog[[#This Row],[Check]]="","",COUNTIF(GameLog[[#Headers],[Check]]:GameLog[[#This Row],[Check]],"?*")-1)</f>
        <v/>
      </c>
      <c r="O1961" s="6" t="str">
        <f>IFERROR(INDEX(Players[New name],MATCH(GameLog[[#This Row],[Player]],Players[Name],0)),GameLog[[#This Row],[Player]])</f>
        <v>Eric T</v>
      </c>
    </row>
    <row r="1962" spans="1:15" x14ac:dyDescent="0.45">
      <c r="A1962" s="6" t="s">
        <v>74</v>
      </c>
      <c r="B1962" s="6" t="s">
        <v>53</v>
      </c>
      <c r="C1962" s="6">
        <v>3</v>
      </c>
      <c r="D1962" s="6">
        <v>6</v>
      </c>
      <c r="E1962" s="6">
        <v>1</v>
      </c>
      <c r="F1962" s="10">
        <v>46244</v>
      </c>
      <c r="G1962" s="6" t="str">
        <f>_xlfn.TEXTJOIN("|",TRUE,GameLog[[#This Row],[Pod]],TEXT(INT(GameLog[[#This Row],[Round]]),"yyyymmdd"),GameLog[[#This Row],[Date]])</f>
        <v>6|19000101|46244</v>
      </c>
      <c r="H1962" s="6">
        <f>COUNTIF(GameLog[Pod ID],GameLog[[#This Row],[Pod ID]])</f>
        <v>3</v>
      </c>
      <c r="I1962" s="6">
        <f>YEAR(GameLog[[#This Row],[Date]])</f>
        <v>2026</v>
      </c>
      <c r="J1962" s="6">
        <f>MONTH(GameLog[[#This Row],[Date]])</f>
        <v>8</v>
      </c>
      <c r="K1962" s="6" t="str">
        <f>IF(GameLog[[#This Row],[Date]]=MAX(GameLog[Date]),"Current","Previous")</f>
        <v>Previous</v>
      </c>
      <c r="L1962" s="6"/>
      <c r="M19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2" s="6" t="str">
        <f ca="1">IF(GameLog[[#This Row],[Check]]="","",COUNTIF(GameLog[[#Headers],[Check]]:GameLog[[#This Row],[Check]],"?*")-1)</f>
        <v/>
      </c>
      <c r="O1962" s="6" t="str">
        <f>IFERROR(INDEX(Players[New name],MATCH(GameLog[[#This Row],[Player]],Players[Name],0)),GameLog[[#This Row],[Player]])</f>
        <v>Jarrod O</v>
      </c>
    </row>
    <row r="1963" spans="1:15" x14ac:dyDescent="0.45">
      <c r="A1963" s="6" t="s">
        <v>96</v>
      </c>
      <c r="B1963" s="6" t="s">
        <v>53</v>
      </c>
      <c r="C1963" s="6">
        <v>1</v>
      </c>
      <c r="D1963" s="6">
        <v>1</v>
      </c>
      <c r="E1963" s="6">
        <v>2</v>
      </c>
      <c r="F1963" s="10">
        <v>46244</v>
      </c>
      <c r="G1963" s="6" t="str">
        <f>_xlfn.TEXTJOIN("|",TRUE,GameLog[[#This Row],[Pod]],TEXT(INT(GameLog[[#This Row],[Round]]),"yyyymmdd"),GameLog[[#This Row],[Date]])</f>
        <v>1|19000102|46244</v>
      </c>
      <c r="H1963" s="6">
        <f>COUNTIF(GameLog[Pod ID],GameLog[[#This Row],[Pod ID]])</f>
        <v>4</v>
      </c>
      <c r="I1963" s="6">
        <f>YEAR(GameLog[[#This Row],[Date]])</f>
        <v>2026</v>
      </c>
      <c r="J1963" s="6">
        <f>MONTH(GameLog[[#This Row],[Date]])</f>
        <v>8</v>
      </c>
      <c r="K1963" s="6" t="str">
        <f>IF(GameLog[[#This Row],[Date]]=MAX(GameLog[Date]),"Current","Previous")</f>
        <v>Previous</v>
      </c>
      <c r="L1963" s="6"/>
      <c r="M19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3" s="6" t="str">
        <f ca="1">IF(GameLog[[#This Row],[Check]]="","",COUNTIF(GameLog[[#Headers],[Check]]:GameLog[[#This Row],[Check]],"?*")-1)</f>
        <v/>
      </c>
      <c r="O1963" s="6" t="str">
        <f>IFERROR(INDEX(Players[New name],MATCH(GameLog[[#This Row],[Player]],Players[Name],0)),GameLog[[#This Row],[Player]])</f>
        <v>Brandon A</v>
      </c>
    </row>
    <row r="1964" spans="1:15" x14ac:dyDescent="0.45">
      <c r="A1964" s="6" t="s">
        <v>104</v>
      </c>
      <c r="B1964" s="6" t="s">
        <v>53</v>
      </c>
      <c r="C1964" s="6">
        <v>2</v>
      </c>
      <c r="D1964" s="6">
        <v>1</v>
      </c>
      <c r="E1964" s="6">
        <v>2</v>
      </c>
      <c r="F1964" s="10">
        <v>46244</v>
      </c>
      <c r="G1964" s="6" t="str">
        <f>_xlfn.TEXTJOIN("|",TRUE,GameLog[[#This Row],[Pod]],TEXT(INT(GameLog[[#This Row],[Round]]),"yyyymmdd"),GameLog[[#This Row],[Date]])</f>
        <v>1|19000102|46244</v>
      </c>
      <c r="H1964" s="6">
        <f>COUNTIF(GameLog[Pod ID],GameLog[[#This Row],[Pod ID]])</f>
        <v>4</v>
      </c>
      <c r="I1964" s="6">
        <f>YEAR(GameLog[[#This Row],[Date]])</f>
        <v>2026</v>
      </c>
      <c r="J1964" s="6">
        <f>MONTH(GameLog[[#This Row],[Date]])</f>
        <v>8</v>
      </c>
      <c r="K1964" s="6" t="str">
        <f>IF(GameLog[[#This Row],[Date]]=MAX(GameLog[Date]),"Current","Previous")</f>
        <v>Previous</v>
      </c>
      <c r="L1964" s="6"/>
      <c r="M19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4" s="6" t="str">
        <f ca="1">IF(GameLog[[#This Row],[Check]]="","",COUNTIF(GameLog[[#Headers],[Check]]:GameLog[[#This Row],[Check]],"?*")-1)</f>
        <v/>
      </c>
      <c r="O1964" s="6" t="str">
        <f>IFERROR(INDEX(Players[New name],MATCH(GameLog[[#This Row],[Player]],Players[Name],0)),GameLog[[#This Row],[Player]])</f>
        <v>Eric E</v>
      </c>
    </row>
    <row r="1965" spans="1:15" x14ac:dyDescent="0.45">
      <c r="A1965" s="6" t="s">
        <v>112</v>
      </c>
      <c r="B1965" s="6" t="s">
        <v>53</v>
      </c>
      <c r="C1965" s="6">
        <v>3</v>
      </c>
      <c r="D1965" s="6">
        <v>1</v>
      </c>
      <c r="E1965" s="6">
        <v>2</v>
      </c>
      <c r="F1965" s="10">
        <v>46244</v>
      </c>
      <c r="G1965" s="6" t="str">
        <f>_xlfn.TEXTJOIN("|",TRUE,GameLog[[#This Row],[Pod]],TEXT(INT(GameLog[[#This Row],[Round]]),"yyyymmdd"),GameLog[[#This Row],[Date]])</f>
        <v>1|19000102|46244</v>
      </c>
      <c r="H1965" s="6">
        <f>COUNTIF(GameLog[Pod ID],GameLog[[#This Row],[Pod ID]])</f>
        <v>4</v>
      </c>
      <c r="I1965" s="6">
        <f>YEAR(GameLog[[#This Row],[Date]])</f>
        <v>2026</v>
      </c>
      <c r="J1965" s="6">
        <f>MONTH(GameLog[[#This Row],[Date]])</f>
        <v>8</v>
      </c>
      <c r="K1965" s="6" t="str">
        <f>IF(GameLog[[#This Row],[Date]]=MAX(GameLog[Date]),"Current","Previous")</f>
        <v>Previous</v>
      </c>
      <c r="L1965" s="6"/>
      <c r="M19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5" s="6" t="str">
        <f ca="1">IF(GameLog[[#This Row],[Check]]="","",COUNTIF(GameLog[[#Headers],[Check]]:GameLog[[#This Row],[Check]],"?*")-1)</f>
        <v/>
      </c>
      <c r="O1965" s="6" t="str">
        <f>IFERROR(INDEX(Players[New name],MATCH(GameLog[[#This Row],[Player]],Players[Name],0)),GameLog[[#This Row],[Player]])</f>
        <v>Savi</v>
      </c>
    </row>
    <row r="1966" spans="1:15" x14ac:dyDescent="0.45">
      <c r="A1966" s="6" t="s">
        <v>71</v>
      </c>
      <c r="B1966" s="6" t="s">
        <v>50</v>
      </c>
      <c r="C1966" s="6">
        <v>4</v>
      </c>
      <c r="D1966" s="6">
        <v>1</v>
      </c>
      <c r="E1966" s="6">
        <v>2</v>
      </c>
      <c r="F1966" s="10">
        <v>46244</v>
      </c>
      <c r="G1966" s="6" t="str">
        <f>_xlfn.TEXTJOIN("|",TRUE,GameLog[[#This Row],[Pod]],TEXT(INT(GameLog[[#This Row],[Round]]),"yyyymmdd"),GameLog[[#This Row],[Date]])</f>
        <v>1|19000102|46244</v>
      </c>
      <c r="H1966" s="6">
        <f>COUNTIF(GameLog[Pod ID],GameLog[[#This Row],[Pod ID]])</f>
        <v>4</v>
      </c>
      <c r="I1966" s="6">
        <f>YEAR(GameLog[[#This Row],[Date]])</f>
        <v>2026</v>
      </c>
      <c r="J1966" s="6">
        <f>MONTH(GameLog[[#This Row],[Date]])</f>
        <v>8</v>
      </c>
      <c r="K1966" s="6" t="str">
        <f>IF(GameLog[[#This Row],[Date]]=MAX(GameLog[Date]),"Current","Previous")</f>
        <v>Previous</v>
      </c>
      <c r="L1966" s="6"/>
      <c r="M19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6" s="6" t="str">
        <f ca="1">IF(GameLog[[#This Row],[Check]]="","",COUNTIF(GameLog[[#Headers],[Check]]:GameLog[[#This Row],[Check]],"?*")-1)</f>
        <v/>
      </c>
      <c r="O1966" s="6" t="str">
        <f>IFERROR(INDEX(Players[New name],MATCH(GameLog[[#This Row],[Player]],Players[Name],0)),GameLog[[#This Row],[Player]])</f>
        <v>Rodney Y</v>
      </c>
    </row>
    <row r="1967" spans="1:15" x14ac:dyDescent="0.45">
      <c r="A1967" s="6" t="s">
        <v>70</v>
      </c>
      <c r="B1967" s="6" t="s">
        <v>90</v>
      </c>
      <c r="C1967" s="6">
        <v>1</v>
      </c>
      <c r="D1967" s="6">
        <v>2</v>
      </c>
      <c r="E1967" s="6">
        <v>2</v>
      </c>
      <c r="F1967" s="10">
        <v>46244</v>
      </c>
      <c r="G1967" s="6" t="str">
        <f>_xlfn.TEXTJOIN("|",TRUE,GameLog[[#This Row],[Pod]],TEXT(INT(GameLog[[#This Row],[Round]]),"yyyymmdd"),GameLog[[#This Row],[Date]])</f>
        <v>2|19000102|46244</v>
      </c>
      <c r="H1967" s="6">
        <f>COUNTIF(GameLog[Pod ID],GameLog[[#This Row],[Pod ID]])</f>
        <v>4</v>
      </c>
      <c r="I1967" s="6">
        <f>YEAR(GameLog[[#This Row],[Date]])</f>
        <v>2026</v>
      </c>
      <c r="J1967" s="6">
        <f>MONTH(GameLog[[#This Row],[Date]])</f>
        <v>8</v>
      </c>
      <c r="K1967" s="6" t="str">
        <f>IF(GameLog[[#This Row],[Date]]=MAX(GameLog[Date]),"Current","Previous")</f>
        <v>Previous</v>
      </c>
      <c r="L1967" s="6"/>
      <c r="M19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7" s="6" t="str">
        <f ca="1">IF(GameLog[[#This Row],[Check]]="","",COUNTIF(GameLog[[#Headers],[Check]]:GameLog[[#This Row],[Check]],"?*")-1)</f>
        <v/>
      </c>
      <c r="O1967" s="6" t="str">
        <f>IFERROR(INDEX(Players[New name],MATCH(GameLog[[#This Row],[Player]],Players[Name],0)),GameLog[[#This Row],[Player]])</f>
        <v>Brad F</v>
      </c>
    </row>
    <row r="1968" spans="1:15" x14ac:dyDescent="0.45">
      <c r="A1968" s="6" t="s">
        <v>113</v>
      </c>
      <c r="B1968" s="6" t="s">
        <v>90</v>
      </c>
      <c r="C1968" s="6">
        <v>2</v>
      </c>
      <c r="D1968" s="6">
        <v>2</v>
      </c>
      <c r="E1968" s="6">
        <v>2</v>
      </c>
      <c r="F1968" s="10">
        <v>46244</v>
      </c>
      <c r="G1968" s="6" t="str">
        <f>_xlfn.TEXTJOIN("|",TRUE,GameLog[[#This Row],[Pod]],TEXT(INT(GameLog[[#This Row],[Round]]),"yyyymmdd"),GameLog[[#This Row],[Date]])</f>
        <v>2|19000102|46244</v>
      </c>
      <c r="H1968" s="6">
        <f>COUNTIF(GameLog[Pod ID],GameLog[[#This Row],[Pod ID]])</f>
        <v>4</v>
      </c>
      <c r="I1968" s="6">
        <f>YEAR(GameLog[[#This Row],[Date]])</f>
        <v>2026</v>
      </c>
      <c r="J1968" s="6">
        <f>MONTH(GameLog[[#This Row],[Date]])</f>
        <v>8</v>
      </c>
      <c r="K1968" s="6" t="str">
        <f>IF(GameLog[[#This Row],[Date]]=MAX(GameLog[Date]),"Current","Previous")</f>
        <v>Previous</v>
      </c>
      <c r="L1968" s="6"/>
      <c r="M19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8" s="6" t="str">
        <f ca="1">IF(GameLog[[#This Row],[Check]]="","",COUNTIF(GameLog[[#Headers],[Check]]:GameLog[[#This Row],[Check]],"?*")-1)</f>
        <v/>
      </c>
      <c r="O1968" s="6" t="str">
        <f>IFERROR(INDEX(Players[New name],MATCH(GameLog[[#This Row],[Player]],Players[Name],0)),GameLog[[#This Row],[Player]])</f>
        <v>Gavin J</v>
      </c>
    </row>
    <row r="1969" spans="1:15" x14ac:dyDescent="0.45">
      <c r="A1969" s="6" t="s">
        <v>75</v>
      </c>
      <c r="B1969" s="6" t="s">
        <v>90</v>
      </c>
      <c r="C1969" s="6">
        <v>3</v>
      </c>
      <c r="D1969" s="6">
        <v>2</v>
      </c>
      <c r="E1969" s="6">
        <v>2</v>
      </c>
      <c r="F1969" s="10">
        <v>46244</v>
      </c>
      <c r="G1969" s="6" t="str">
        <f>_xlfn.TEXTJOIN("|",TRUE,GameLog[[#This Row],[Pod]],TEXT(INT(GameLog[[#This Row],[Round]]),"yyyymmdd"),GameLog[[#This Row],[Date]])</f>
        <v>2|19000102|46244</v>
      </c>
      <c r="H1969" s="6">
        <f>COUNTIF(GameLog[Pod ID],GameLog[[#This Row],[Pod ID]])</f>
        <v>4</v>
      </c>
      <c r="I1969" s="6">
        <f>YEAR(GameLog[[#This Row],[Date]])</f>
        <v>2026</v>
      </c>
      <c r="J1969" s="6">
        <f>MONTH(GameLog[[#This Row],[Date]])</f>
        <v>8</v>
      </c>
      <c r="K1969" s="6" t="str">
        <f>IF(GameLog[[#This Row],[Date]]=MAX(GameLog[Date]),"Current","Previous")</f>
        <v>Previous</v>
      </c>
      <c r="L1969" s="6"/>
      <c r="M19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69" s="6" t="str">
        <f ca="1">IF(GameLog[[#This Row],[Check]]="","",COUNTIF(GameLog[[#Headers],[Check]]:GameLog[[#This Row],[Check]],"?*")-1)</f>
        <v/>
      </c>
      <c r="O1969" s="6" t="str">
        <f>IFERROR(INDEX(Players[New name],MATCH(GameLog[[#This Row],[Player]],Players[Name],0)),GameLog[[#This Row],[Player]])</f>
        <v>Eli T</v>
      </c>
    </row>
    <row r="1970" spans="1:15" x14ac:dyDescent="0.45">
      <c r="A1970" s="6" t="s">
        <v>56</v>
      </c>
      <c r="B1970" s="6" t="s">
        <v>90</v>
      </c>
      <c r="C1970" s="6">
        <v>4</v>
      </c>
      <c r="D1970" s="6">
        <v>2</v>
      </c>
      <c r="E1970" s="6">
        <v>2</v>
      </c>
      <c r="F1970" s="10">
        <v>46244</v>
      </c>
      <c r="G1970" s="6" t="str">
        <f>_xlfn.TEXTJOIN("|",TRUE,GameLog[[#This Row],[Pod]],TEXT(INT(GameLog[[#This Row],[Round]]),"yyyymmdd"),GameLog[[#This Row],[Date]])</f>
        <v>2|19000102|46244</v>
      </c>
      <c r="H1970" s="6">
        <f>COUNTIF(GameLog[Pod ID],GameLog[[#This Row],[Pod ID]])</f>
        <v>4</v>
      </c>
      <c r="I1970" s="6">
        <f>YEAR(GameLog[[#This Row],[Date]])</f>
        <v>2026</v>
      </c>
      <c r="J1970" s="6">
        <f>MONTH(GameLog[[#This Row],[Date]])</f>
        <v>8</v>
      </c>
      <c r="K1970" s="6" t="str">
        <f>IF(GameLog[[#This Row],[Date]]=MAX(GameLog[Date]),"Current","Previous")</f>
        <v>Previous</v>
      </c>
      <c r="L1970" s="6"/>
      <c r="M19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0" s="6" t="str">
        <f ca="1">IF(GameLog[[#This Row],[Check]]="","",COUNTIF(GameLog[[#Headers],[Check]]:GameLog[[#This Row],[Check]],"?*")-1)</f>
        <v/>
      </c>
      <c r="O1970" s="6" t="str">
        <f>IFERROR(INDEX(Players[New name],MATCH(GameLog[[#This Row],[Player]],Players[Name],0)),GameLog[[#This Row],[Player]])</f>
        <v>Mark D</v>
      </c>
    </row>
    <row r="1971" spans="1:15" x14ac:dyDescent="0.45">
      <c r="A1971" s="6" t="s">
        <v>97</v>
      </c>
      <c r="B1971" s="6" t="s">
        <v>90</v>
      </c>
      <c r="C1971" s="6">
        <v>1</v>
      </c>
      <c r="D1971" s="6">
        <v>3</v>
      </c>
      <c r="E1971" s="6">
        <v>2</v>
      </c>
      <c r="F1971" s="10">
        <v>46244</v>
      </c>
      <c r="G1971" s="6" t="str">
        <f>_xlfn.TEXTJOIN("|",TRUE,GameLog[[#This Row],[Pod]],TEXT(INT(GameLog[[#This Row],[Round]]),"yyyymmdd"),GameLog[[#This Row],[Date]])</f>
        <v>3|19000102|46244</v>
      </c>
      <c r="H1971" s="6">
        <f>COUNTIF(GameLog[Pod ID],GameLog[[#This Row],[Pod ID]])</f>
        <v>4</v>
      </c>
      <c r="I1971" s="6">
        <f>YEAR(GameLog[[#This Row],[Date]])</f>
        <v>2026</v>
      </c>
      <c r="J1971" s="6">
        <f>MONTH(GameLog[[#This Row],[Date]])</f>
        <v>8</v>
      </c>
      <c r="K1971" s="6" t="str">
        <f>IF(GameLog[[#This Row],[Date]]=MAX(GameLog[Date]),"Current","Previous")</f>
        <v>Previous</v>
      </c>
      <c r="L1971" s="6"/>
      <c r="M19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1" s="6" t="str">
        <f ca="1">IF(GameLog[[#This Row],[Check]]="","",COUNTIF(GameLog[[#Headers],[Check]]:GameLog[[#This Row],[Check]],"?*")-1)</f>
        <v/>
      </c>
      <c r="O1971" s="6" t="str">
        <f>IFERROR(INDEX(Players[New name],MATCH(GameLog[[#This Row],[Player]],Players[Name],0)),GameLog[[#This Row],[Player]])</f>
        <v>Arman H</v>
      </c>
    </row>
    <row r="1972" spans="1:15" x14ac:dyDescent="0.45">
      <c r="A1972" s="6" t="s">
        <v>68</v>
      </c>
      <c r="B1972" s="6" t="s">
        <v>90</v>
      </c>
      <c r="C1972" s="6">
        <v>2</v>
      </c>
      <c r="D1972" s="6">
        <v>3</v>
      </c>
      <c r="E1972" s="6">
        <v>2</v>
      </c>
      <c r="F1972" s="10">
        <v>46244</v>
      </c>
      <c r="G1972" s="6" t="str">
        <f>_xlfn.TEXTJOIN("|",TRUE,GameLog[[#This Row],[Pod]],TEXT(INT(GameLog[[#This Row],[Round]]),"yyyymmdd"),GameLog[[#This Row],[Date]])</f>
        <v>3|19000102|46244</v>
      </c>
      <c r="H1972" s="6">
        <f>COUNTIF(GameLog[Pod ID],GameLog[[#This Row],[Pod ID]])</f>
        <v>4</v>
      </c>
      <c r="I1972" s="6">
        <f>YEAR(GameLog[[#This Row],[Date]])</f>
        <v>2026</v>
      </c>
      <c r="J1972" s="6">
        <f>MONTH(GameLog[[#This Row],[Date]])</f>
        <v>8</v>
      </c>
      <c r="K1972" s="6" t="str">
        <f>IF(GameLog[[#This Row],[Date]]=MAX(GameLog[Date]),"Current","Previous")</f>
        <v>Previous</v>
      </c>
      <c r="L1972" s="6"/>
      <c r="M19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2" s="6" t="str">
        <f ca="1">IF(GameLog[[#This Row],[Check]]="","",COUNTIF(GameLog[[#Headers],[Check]]:GameLog[[#This Row],[Check]],"?*")-1)</f>
        <v/>
      </c>
      <c r="O1972" s="6" t="str">
        <f>IFERROR(INDEX(Players[New name],MATCH(GameLog[[#This Row],[Player]],Players[Name],0)),GameLog[[#This Row],[Player]])</f>
        <v>Edwin M</v>
      </c>
    </row>
    <row r="1973" spans="1:15" x14ac:dyDescent="0.45">
      <c r="A1973" s="6" t="s">
        <v>58</v>
      </c>
      <c r="B1973" s="6" t="s">
        <v>90</v>
      </c>
      <c r="C1973" s="6">
        <v>3</v>
      </c>
      <c r="D1973" s="6">
        <v>3</v>
      </c>
      <c r="E1973" s="6">
        <v>2</v>
      </c>
      <c r="F1973" s="10">
        <v>46244</v>
      </c>
      <c r="G1973" s="6" t="str">
        <f>_xlfn.TEXTJOIN("|",TRUE,GameLog[[#This Row],[Pod]],TEXT(INT(GameLog[[#This Row],[Round]]),"yyyymmdd"),GameLog[[#This Row],[Date]])</f>
        <v>3|19000102|46244</v>
      </c>
      <c r="H1973" s="6">
        <f>COUNTIF(GameLog[Pod ID],GameLog[[#This Row],[Pod ID]])</f>
        <v>4</v>
      </c>
      <c r="I1973" s="6">
        <f>YEAR(GameLog[[#This Row],[Date]])</f>
        <v>2026</v>
      </c>
      <c r="J1973" s="6">
        <f>MONTH(GameLog[[#This Row],[Date]])</f>
        <v>8</v>
      </c>
      <c r="K1973" s="6" t="str">
        <f>IF(GameLog[[#This Row],[Date]]=MAX(GameLog[Date]),"Current","Previous")</f>
        <v>Previous</v>
      </c>
      <c r="L1973" s="6"/>
      <c r="M19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3" s="6" t="str">
        <f ca="1">IF(GameLog[[#This Row],[Check]]="","",COUNTIF(GameLog[[#Headers],[Check]]:GameLog[[#This Row],[Check]],"?*")-1)</f>
        <v/>
      </c>
      <c r="O1973" s="6" t="str">
        <f>IFERROR(INDEX(Players[New name],MATCH(GameLog[[#This Row],[Player]],Players[Name],0)),GameLog[[#This Row],[Player]])</f>
        <v>Dakota P</v>
      </c>
    </row>
    <row r="1974" spans="1:15" x14ac:dyDescent="0.45">
      <c r="A1974" s="6" t="s">
        <v>91</v>
      </c>
      <c r="B1974" s="6" t="s">
        <v>90</v>
      </c>
      <c r="C1974" s="6">
        <v>4</v>
      </c>
      <c r="D1974" s="6">
        <v>3</v>
      </c>
      <c r="E1974" s="6">
        <v>2</v>
      </c>
      <c r="F1974" s="10">
        <v>46244</v>
      </c>
      <c r="G1974" s="6" t="str">
        <f>_xlfn.TEXTJOIN("|",TRUE,GameLog[[#This Row],[Pod]],TEXT(INT(GameLog[[#This Row],[Round]]),"yyyymmdd"),GameLog[[#This Row],[Date]])</f>
        <v>3|19000102|46244</v>
      </c>
      <c r="H1974" s="6">
        <f>COUNTIF(GameLog[Pod ID],GameLog[[#This Row],[Pod ID]])</f>
        <v>4</v>
      </c>
      <c r="I1974" s="6">
        <f>YEAR(GameLog[[#This Row],[Date]])</f>
        <v>2026</v>
      </c>
      <c r="J1974" s="6">
        <f>MONTH(GameLog[[#This Row],[Date]])</f>
        <v>8</v>
      </c>
      <c r="K1974" s="6" t="str">
        <f>IF(GameLog[[#This Row],[Date]]=MAX(GameLog[Date]),"Current","Previous")</f>
        <v>Previous</v>
      </c>
      <c r="L1974" s="6"/>
      <c r="M19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4" s="6" t="str">
        <f ca="1">IF(GameLog[[#This Row],[Check]]="","",COUNTIF(GameLog[[#Headers],[Check]]:GameLog[[#This Row],[Check]],"?*")-1)</f>
        <v/>
      </c>
      <c r="O1974" s="6" t="str">
        <f>IFERROR(INDEX(Players[New name],MATCH(GameLog[[#This Row],[Player]],Players[Name],0)),GameLog[[#This Row],[Player]])</f>
        <v>Isaac B</v>
      </c>
    </row>
    <row r="1975" spans="1:15" x14ac:dyDescent="0.45">
      <c r="A1975" s="6" t="s">
        <v>57</v>
      </c>
      <c r="B1975" s="6" t="s">
        <v>90</v>
      </c>
      <c r="C1975" s="6">
        <v>1</v>
      </c>
      <c r="D1975" s="6">
        <v>4</v>
      </c>
      <c r="E1975" s="6">
        <v>2</v>
      </c>
      <c r="F1975" s="10">
        <v>46244</v>
      </c>
      <c r="G1975" s="6" t="str">
        <f>_xlfn.TEXTJOIN("|",TRUE,GameLog[[#This Row],[Pod]],TEXT(INT(GameLog[[#This Row],[Round]]),"yyyymmdd"),GameLog[[#This Row],[Date]])</f>
        <v>4|19000102|46244</v>
      </c>
      <c r="H1975" s="6">
        <f>COUNTIF(GameLog[Pod ID],GameLog[[#This Row],[Pod ID]])</f>
        <v>4</v>
      </c>
      <c r="I1975" s="6">
        <f>YEAR(GameLog[[#This Row],[Date]])</f>
        <v>2026</v>
      </c>
      <c r="J1975" s="6">
        <f>MONTH(GameLog[[#This Row],[Date]])</f>
        <v>8</v>
      </c>
      <c r="K1975" s="6" t="str">
        <f>IF(GameLog[[#This Row],[Date]]=MAX(GameLog[Date]),"Current","Previous")</f>
        <v>Previous</v>
      </c>
      <c r="L1975" s="6"/>
      <c r="M19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5" s="6" t="str">
        <f ca="1">IF(GameLog[[#This Row],[Check]]="","",COUNTIF(GameLog[[#Headers],[Check]]:GameLog[[#This Row],[Check]],"?*")-1)</f>
        <v/>
      </c>
      <c r="O1975" s="6" t="str">
        <f>IFERROR(INDEX(Players[New name],MATCH(GameLog[[#This Row],[Player]],Players[Name],0)),GameLog[[#This Row],[Player]])</f>
        <v>AJ W</v>
      </c>
    </row>
    <row r="1976" spans="1:15" x14ac:dyDescent="0.45">
      <c r="A1976" s="6" t="s">
        <v>74</v>
      </c>
      <c r="B1976" s="6" t="s">
        <v>90</v>
      </c>
      <c r="C1976" s="6">
        <v>2</v>
      </c>
      <c r="D1976" s="6">
        <v>4</v>
      </c>
      <c r="E1976" s="6">
        <v>2</v>
      </c>
      <c r="F1976" s="10">
        <v>46244</v>
      </c>
      <c r="G1976" s="6" t="str">
        <f>_xlfn.TEXTJOIN("|",TRUE,GameLog[[#This Row],[Pod]],TEXT(INT(GameLog[[#This Row],[Round]]),"yyyymmdd"),GameLog[[#This Row],[Date]])</f>
        <v>4|19000102|46244</v>
      </c>
      <c r="H1976" s="6">
        <f>COUNTIF(GameLog[Pod ID],GameLog[[#This Row],[Pod ID]])</f>
        <v>4</v>
      </c>
      <c r="I1976" s="6">
        <f>YEAR(GameLog[[#This Row],[Date]])</f>
        <v>2026</v>
      </c>
      <c r="J1976" s="6">
        <f>MONTH(GameLog[[#This Row],[Date]])</f>
        <v>8</v>
      </c>
      <c r="K1976" s="6" t="str">
        <f>IF(GameLog[[#This Row],[Date]]=MAX(GameLog[Date]),"Current","Previous")</f>
        <v>Previous</v>
      </c>
      <c r="L1976" s="6"/>
      <c r="M19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6" s="6" t="str">
        <f ca="1">IF(GameLog[[#This Row],[Check]]="","",COUNTIF(GameLog[[#Headers],[Check]]:GameLog[[#This Row],[Check]],"?*")-1)</f>
        <v/>
      </c>
      <c r="O1976" s="6" t="str">
        <f>IFERROR(INDEX(Players[New name],MATCH(GameLog[[#This Row],[Player]],Players[Name],0)),GameLog[[#This Row],[Player]])</f>
        <v>Jarrod O</v>
      </c>
    </row>
    <row r="1977" spans="1:15" x14ac:dyDescent="0.45">
      <c r="A1977" s="6" t="s">
        <v>61</v>
      </c>
      <c r="B1977" s="6" t="s">
        <v>90</v>
      </c>
      <c r="C1977" s="6">
        <v>3</v>
      </c>
      <c r="D1977" s="6">
        <v>4</v>
      </c>
      <c r="E1977" s="6">
        <v>2</v>
      </c>
      <c r="F1977" s="10">
        <v>46244</v>
      </c>
      <c r="G1977" s="6" t="str">
        <f>_xlfn.TEXTJOIN("|",TRUE,GameLog[[#This Row],[Pod]],TEXT(INT(GameLog[[#This Row],[Round]]),"yyyymmdd"),GameLog[[#This Row],[Date]])</f>
        <v>4|19000102|46244</v>
      </c>
      <c r="H1977" s="6">
        <f>COUNTIF(GameLog[Pod ID],GameLog[[#This Row],[Pod ID]])</f>
        <v>4</v>
      </c>
      <c r="I1977" s="6">
        <f>YEAR(GameLog[[#This Row],[Date]])</f>
        <v>2026</v>
      </c>
      <c r="J1977" s="6">
        <f>MONTH(GameLog[[#This Row],[Date]])</f>
        <v>8</v>
      </c>
      <c r="K1977" s="6" t="str">
        <f>IF(GameLog[[#This Row],[Date]]=MAX(GameLog[Date]),"Current","Previous")</f>
        <v>Previous</v>
      </c>
      <c r="L1977" s="6"/>
      <c r="M19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7" s="6" t="str">
        <f ca="1">IF(GameLog[[#This Row],[Check]]="","",COUNTIF(GameLog[[#Headers],[Check]]:GameLog[[#This Row],[Check]],"?*")-1)</f>
        <v/>
      </c>
      <c r="O1977" s="6" t="str">
        <f>IFERROR(INDEX(Players[New name],MATCH(GameLog[[#This Row],[Player]],Players[Name],0)),GameLog[[#This Row],[Player]])</f>
        <v>Trevor</v>
      </c>
    </row>
    <row r="1978" spans="1:15" x14ac:dyDescent="0.45">
      <c r="A1978" s="6" t="s">
        <v>108</v>
      </c>
      <c r="B1978" s="6" t="s">
        <v>90</v>
      </c>
      <c r="C1978" s="6">
        <v>4</v>
      </c>
      <c r="D1978" s="6">
        <v>4</v>
      </c>
      <c r="E1978" s="6">
        <v>2</v>
      </c>
      <c r="F1978" s="10">
        <v>46244</v>
      </c>
      <c r="G1978" s="6" t="str">
        <f>_xlfn.TEXTJOIN("|",TRUE,GameLog[[#This Row],[Pod]],TEXT(INT(GameLog[[#This Row],[Round]]),"yyyymmdd"),GameLog[[#This Row],[Date]])</f>
        <v>4|19000102|46244</v>
      </c>
      <c r="H1978" s="6">
        <f>COUNTIF(GameLog[Pod ID],GameLog[[#This Row],[Pod ID]])</f>
        <v>4</v>
      </c>
      <c r="I1978" s="6">
        <f>YEAR(GameLog[[#This Row],[Date]])</f>
        <v>2026</v>
      </c>
      <c r="J1978" s="6">
        <f>MONTH(GameLog[[#This Row],[Date]])</f>
        <v>8</v>
      </c>
      <c r="K1978" s="6" t="str">
        <f>IF(GameLog[[#This Row],[Date]]=MAX(GameLog[Date]),"Current","Previous")</f>
        <v>Previous</v>
      </c>
      <c r="L1978" s="6"/>
      <c r="M19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8" s="6" t="str">
        <f ca="1">IF(GameLog[[#This Row],[Check]]="","",COUNTIF(GameLog[[#Headers],[Check]]:GameLog[[#This Row],[Check]],"?*")-1)</f>
        <v/>
      </c>
      <c r="O1978" s="6" t="str">
        <f>IFERROR(INDEX(Players[New name],MATCH(GameLog[[#This Row],[Player]],Players[Name],0)),GameLog[[#This Row],[Player]])</f>
        <v>Alexander D</v>
      </c>
    </row>
    <row r="1979" spans="1:15" x14ac:dyDescent="0.45">
      <c r="A1979" s="6" t="s">
        <v>63</v>
      </c>
      <c r="B1979" s="6" t="s">
        <v>53</v>
      </c>
      <c r="C1979" s="6">
        <v>1</v>
      </c>
      <c r="D1979" s="6">
        <v>5</v>
      </c>
      <c r="E1979" s="6">
        <v>2</v>
      </c>
      <c r="F1979" s="10">
        <v>46244</v>
      </c>
      <c r="G1979" s="6" t="str">
        <f>_xlfn.TEXTJOIN("|",TRUE,GameLog[[#This Row],[Pod]],TEXT(INT(GameLog[[#This Row],[Round]]),"yyyymmdd"),GameLog[[#This Row],[Date]])</f>
        <v>5|19000102|46244</v>
      </c>
      <c r="H1979" s="6">
        <f>COUNTIF(GameLog[Pod ID],GameLog[[#This Row],[Pod ID]])</f>
        <v>3</v>
      </c>
      <c r="I1979" s="6">
        <f>YEAR(GameLog[[#This Row],[Date]])</f>
        <v>2026</v>
      </c>
      <c r="J1979" s="6">
        <f>MONTH(GameLog[[#This Row],[Date]])</f>
        <v>8</v>
      </c>
      <c r="K1979" s="6" t="str">
        <f>IF(GameLog[[#This Row],[Date]]=MAX(GameLog[Date]),"Current","Previous")</f>
        <v>Previous</v>
      </c>
      <c r="L1979" s="6"/>
      <c r="M19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79" s="6" t="str">
        <f ca="1">IF(GameLog[[#This Row],[Check]]="","",COUNTIF(GameLog[[#Headers],[Check]]:GameLog[[#This Row],[Check]],"?*")-1)</f>
        <v/>
      </c>
      <c r="O1979" s="6" t="str">
        <f>IFERROR(INDEX(Players[New name],MATCH(GameLog[[#This Row],[Player]],Players[Name],0)),GameLog[[#This Row],[Player]])</f>
        <v>Jake D</v>
      </c>
    </row>
    <row r="1980" spans="1:15" x14ac:dyDescent="0.45">
      <c r="A1980" s="6" t="s">
        <v>118</v>
      </c>
      <c r="B1980" s="6" t="s">
        <v>53</v>
      </c>
      <c r="C1980" s="6">
        <v>2</v>
      </c>
      <c r="D1980" s="6">
        <v>5</v>
      </c>
      <c r="E1980" s="6">
        <v>2</v>
      </c>
      <c r="F1980" s="10">
        <v>46244</v>
      </c>
      <c r="G1980" s="6" t="str">
        <f>_xlfn.TEXTJOIN("|",TRUE,GameLog[[#This Row],[Pod]],TEXT(INT(GameLog[[#This Row],[Round]]),"yyyymmdd"),GameLog[[#This Row],[Date]])</f>
        <v>5|19000102|46244</v>
      </c>
      <c r="H1980" s="6">
        <f>COUNTIF(GameLog[Pod ID],GameLog[[#This Row],[Pod ID]])</f>
        <v>3</v>
      </c>
      <c r="I1980" s="6">
        <f>YEAR(GameLog[[#This Row],[Date]])</f>
        <v>2026</v>
      </c>
      <c r="J1980" s="6">
        <f>MONTH(GameLog[[#This Row],[Date]])</f>
        <v>8</v>
      </c>
      <c r="K1980" s="6" t="str">
        <f>IF(GameLog[[#This Row],[Date]]=MAX(GameLog[Date]),"Current","Previous")</f>
        <v>Previous</v>
      </c>
      <c r="L1980" s="6"/>
      <c r="M19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0" s="6" t="str">
        <f ca="1">IF(GameLog[[#This Row],[Check]]="","",COUNTIF(GameLog[[#Headers],[Check]]:GameLog[[#This Row],[Check]],"?*")-1)</f>
        <v/>
      </c>
      <c r="O1980" s="6" t="str">
        <f>IFERROR(INDEX(Players[New name],MATCH(GameLog[[#This Row],[Player]],Players[Name],0)),GameLog[[#This Row],[Player]])</f>
        <v>Eric T</v>
      </c>
    </row>
    <row r="1981" spans="1:15" x14ac:dyDescent="0.45">
      <c r="A1981" s="6" t="s">
        <v>55</v>
      </c>
      <c r="B1981" s="6" t="s">
        <v>50</v>
      </c>
      <c r="C1981" s="6">
        <v>3</v>
      </c>
      <c r="D1981" s="6">
        <v>5</v>
      </c>
      <c r="E1981" s="6">
        <v>2</v>
      </c>
      <c r="F1981" s="10">
        <v>46244</v>
      </c>
      <c r="G1981" s="6" t="str">
        <f>_xlfn.TEXTJOIN("|",TRUE,GameLog[[#This Row],[Pod]],TEXT(INT(GameLog[[#This Row],[Round]]),"yyyymmdd"),GameLog[[#This Row],[Date]])</f>
        <v>5|19000102|46244</v>
      </c>
      <c r="H1981" s="6">
        <f>COUNTIF(GameLog[Pod ID],GameLog[[#This Row],[Pod ID]])</f>
        <v>3</v>
      </c>
      <c r="I1981" s="6">
        <f>YEAR(GameLog[[#This Row],[Date]])</f>
        <v>2026</v>
      </c>
      <c r="J1981" s="6">
        <f>MONTH(GameLog[[#This Row],[Date]])</f>
        <v>8</v>
      </c>
      <c r="K1981" s="6" t="str">
        <f>IF(GameLog[[#This Row],[Date]]=MAX(GameLog[Date]),"Current","Previous")</f>
        <v>Previous</v>
      </c>
      <c r="L1981" s="6"/>
      <c r="M19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1" s="6" t="str">
        <f ca="1">IF(GameLog[[#This Row],[Check]]="","",COUNTIF(GameLog[[#Headers],[Check]]:GameLog[[#This Row],[Check]],"?*")-1)</f>
        <v/>
      </c>
      <c r="O1981" s="6" t="str">
        <f>IFERROR(INDEX(Players[New name],MATCH(GameLog[[#This Row],[Player]],Players[Name],0)),GameLog[[#This Row],[Player]])</f>
        <v>Bryce C</v>
      </c>
    </row>
    <row r="1982" spans="1:15" x14ac:dyDescent="0.45">
      <c r="A1982" s="6" t="s">
        <v>106</v>
      </c>
      <c r="B1982" s="6" t="s">
        <v>50</v>
      </c>
      <c r="C1982" s="6">
        <v>1</v>
      </c>
      <c r="D1982" s="6">
        <v>6</v>
      </c>
      <c r="E1982" s="6">
        <v>2</v>
      </c>
      <c r="F1982" s="10">
        <v>46244</v>
      </c>
      <c r="G1982" s="6" t="str">
        <f>_xlfn.TEXTJOIN("|",TRUE,GameLog[[#This Row],[Pod]],TEXT(INT(GameLog[[#This Row],[Round]]),"yyyymmdd"),GameLog[[#This Row],[Date]])</f>
        <v>6|19000102|46244</v>
      </c>
      <c r="H1982" s="6">
        <f>COUNTIF(GameLog[Pod ID],GameLog[[#This Row],[Pod ID]])</f>
        <v>3</v>
      </c>
      <c r="I1982" s="6">
        <f>YEAR(GameLog[[#This Row],[Date]])</f>
        <v>2026</v>
      </c>
      <c r="J1982" s="6">
        <f>MONTH(GameLog[[#This Row],[Date]])</f>
        <v>8</v>
      </c>
      <c r="K1982" s="6" t="str">
        <f>IF(GameLog[[#This Row],[Date]]=MAX(GameLog[Date]),"Current","Previous")</f>
        <v>Previous</v>
      </c>
      <c r="L1982" s="6"/>
      <c r="M19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2" s="6" t="str">
        <f ca="1">IF(GameLog[[#This Row],[Check]]="","",COUNTIF(GameLog[[#Headers],[Check]]:GameLog[[#This Row],[Check]],"?*")-1)</f>
        <v/>
      </c>
      <c r="O1982" s="6" t="str">
        <f>IFERROR(INDEX(Players[New name],MATCH(GameLog[[#This Row],[Player]],Players[Name],0)),GameLog[[#This Row],[Player]])</f>
        <v>Tony W</v>
      </c>
    </row>
    <row r="1983" spans="1:15" x14ac:dyDescent="0.45">
      <c r="A1983" s="6" t="s">
        <v>64</v>
      </c>
      <c r="B1983" s="6" t="s">
        <v>53</v>
      </c>
      <c r="C1983" s="6">
        <v>2</v>
      </c>
      <c r="D1983" s="6">
        <v>6</v>
      </c>
      <c r="E1983" s="6">
        <v>2</v>
      </c>
      <c r="F1983" s="10">
        <v>46244</v>
      </c>
      <c r="G1983" s="6" t="str">
        <f>_xlfn.TEXTJOIN("|",TRUE,GameLog[[#This Row],[Pod]],TEXT(INT(GameLog[[#This Row],[Round]]),"yyyymmdd"),GameLog[[#This Row],[Date]])</f>
        <v>6|19000102|46244</v>
      </c>
      <c r="H1983" s="6">
        <f>COUNTIF(GameLog[Pod ID],GameLog[[#This Row],[Pod ID]])</f>
        <v>3</v>
      </c>
      <c r="I1983" s="6">
        <f>YEAR(GameLog[[#This Row],[Date]])</f>
        <v>2026</v>
      </c>
      <c r="J1983" s="6">
        <f>MONTH(GameLog[[#This Row],[Date]])</f>
        <v>8</v>
      </c>
      <c r="K1983" s="6" t="str">
        <f>IF(GameLog[[#This Row],[Date]]=MAX(GameLog[Date]),"Current","Previous")</f>
        <v>Previous</v>
      </c>
      <c r="L1983" s="6"/>
      <c r="M19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3" s="6" t="str">
        <f ca="1">IF(GameLog[[#This Row],[Check]]="","",COUNTIF(GameLog[[#Headers],[Check]]:GameLog[[#This Row],[Check]],"?*")-1)</f>
        <v/>
      </c>
      <c r="O1983" s="6" t="str">
        <f>IFERROR(INDEX(Players[New name],MATCH(GameLog[[#This Row],[Player]],Players[Name],0)),GameLog[[#This Row],[Player]])</f>
        <v>Tyler B</v>
      </c>
    </row>
    <row r="1984" spans="1:15" x14ac:dyDescent="0.45">
      <c r="A1984" s="6" t="s">
        <v>73</v>
      </c>
      <c r="B1984" s="6" t="s">
        <v>53</v>
      </c>
      <c r="C1984" s="6">
        <v>3</v>
      </c>
      <c r="D1984" s="6">
        <v>6</v>
      </c>
      <c r="E1984" s="6">
        <v>2</v>
      </c>
      <c r="F1984" s="10">
        <v>46244</v>
      </c>
      <c r="G1984" s="6" t="str">
        <f>_xlfn.TEXTJOIN("|",TRUE,GameLog[[#This Row],[Pod]],TEXT(INT(GameLog[[#This Row],[Round]]),"yyyymmdd"),GameLog[[#This Row],[Date]])</f>
        <v>6|19000102|46244</v>
      </c>
      <c r="H1984" s="6">
        <f>COUNTIF(GameLog[Pod ID],GameLog[[#This Row],[Pod ID]])</f>
        <v>3</v>
      </c>
      <c r="I1984" s="6">
        <f>YEAR(GameLog[[#This Row],[Date]])</f>
        <v>2026</v>
      </c>
      <c r="J1984" s="6">
        <f>MONTH(GameLog[[#This Row],[Date]])</f>
        <v>8</v>
      </c>
      <c r="K1984" s="6" t="str">
        <f>IF(GameLog[[#This Row],[Date]]=MAX(GameLog[Date]),"Current","Previous")</f>
        <v>Previous</v>
      </c>
      <c r="L1984" s="6"/>
      <c r="M19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4" s="6" t="str">
        <f ca="1">IF(GameLog[[#This Row],[Check]]="","",COUNTIF(GameLog[[#Headers],[Check]]:GameLog[[#This Row],[Check]],"?*")-1)</f>
        <v/>
      </c>
      <c r="O1984" s="6" t="str">
        <f>IFERROR(INDEX(Players[New name],MATCH(GameLog[[#This Row],[Player]],Players[Name],0)),GameLog[[#This Row],[Player]])</f>
        <v>Brandon B</v>
      </c>
    </row>
    <row r="1985" spans="1:15" x14ac:dyDescent="0.45">
      <c r="A1985" s="6" t="s">
        <v>59</v>
      </c>
      <c r="B1985" s="6" t="s">
        <v>53</v>
      </c>
      <c r="C1985" s="6">
        <v>1</v>
      </c>
      <c r="D1985" s="6">
        <v>1</v>
      </c>
      <c r="E1985" s="6">
        <v>1</v>
      </c>
      <c r="F1985" s="10">
        <v>46251</v>
      </c>
      <c r="G1985" s="6" t="str">
        <f>_xlfn.TEXTJOIN("|",TRUE,GameLog[[#This Row],[Pod]],TEXT(INT(GameLog[[#This Row],[Round]]),"yyyymmdd"),GameLog[[#This Row],[Date]])</f>
        <v>1|19000101|46251</v>
      </c>
      <c r="H1985" s="6">
        <f>COUNTIF(GameLog[Pod ID],GameLog[[#This Row],[Pod ID]])</f>
        <v>4</v>
      </c>
      <c r="I1985" s="6">
        <f>YEAR(GameLog[[#This Row],[Date]])</f>
        <v>2026</v>
      </c>
      <c r="J1985" s="6">
        <f>MONTH(GameLog[[#This Row],[Date]])</f>
        <v>8</v>
      </c>
      <c r="K1985" s="6" t="str">
        <f>IF(GameLog[[#This Row],[Date]]=MAX(GameLog[Date]),"Current","Previous")</f>
        <v>Previous</v>
      </c>
      <c r="L1985" s="6"/>
      <c r="M19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5" s="6" t="str">
        <f ca="1">IF(GameLog[[#This Row],[Check]]="","",COUNTIF(GameLog[[#Headers],[Check]]:GameLog[[#This Row],[Check]],"?*")-1)</f>
        <v/>
      </c>
      <c r="O1985" s="6" t="str">
        <f>IFERROR(INDEX(Players[New name],MATCH(GameLog[[#This Row],[Player]],Players[Name],0)),GameLog[[#This Row],[Player]])</f>
        <v>Zack B</v>
      </c>
    </row>
    <row r="1986" spans="1:15" x14ac:dyDescent="0.45">
      <c r="A1986" s="6" t="s">
        <v>113</v>
      </c>
      <c r="B1986" s="6" t="s">
        <v>50</v>
      </c>
      <c r="C1986" s="6">
        <v>2</v>
      </c>
      <c r="D1986" s="6">
        <v>1</v>
      </c>
      <c r="E1986" s="6">
        <v>1</v>
      </c>
      <c r="F1986" s="10">
        <v>46251</v>
      </c>
      <c r="G1986" s="6" t="str">
        <f>_xlfn.TEXTJOIN("|",TRUE,GameLog[[#This Row],[Pod]],TEXT(INT(GameLog[[#This Row],[Round]]),"yyyymmdd"),GameLog[[#This Row],[Date]])</f>
        <v>1|19000101|46251</v>
      </c>
      <c r="H1986" s="6">
        <f>COUNTIF(GameLog[Pod ID],GameLog[[#This Row],[Pod ID]])</f>
        <v>4</v>
      </c>
      <c r="I1986" s="6">
        <f>YEAR(GameLog[[#This Row],[Date]])</f>
        <v>2026</v>
      </c>
      <c r="J1986" s="6">
        <f>MONTH(GameLog[[#This Row],[Date]])</f>
        <v>8</v>
      </c>
      <c r="K1986" s="6" t="str">
        <f>IF(GameLog[[#This Row],[Date]]=MAX(GameLog[Date]),"Current","Previous")</f>
        <v>Previous</v>
      </c>
      <c r="L1986" s="6"/>
      <c r="M19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6" s="6" t="str">
        <f ca="1">IF(GameLog[[#This Row],[Check]]="","",COUNTIF(GameLog[[#Headers],[Check]]:GameLog[[#This Row],[Check]],"?*")-1)</f>
        <v/>
      </c>
      <c r="O1986" s="6" t="str">
        <f>IFERROR(INDEX(Players[New name],MATCH(GameLog[[#This Row],[Player]],Players[Name],0)),GameLog[[#This Row],[Player]])</f>
        <v>Gavin J</v>
      </c>
    </row>
    <row r="1987" spans="1:15" x14ac:dyDescent="0.45">
      <c r="A1987" s="6" t="s">
        <v>98</v>
      </c>
      <c r="B1987" s="6" t="s">
        <v>53</v>
      </c>
      <c r="C1987" s="6">
        <v>3</v>
      </c>
      <c r="D1987" s="6">
        <v>1</v>
      </c>
      <c r="E1987" s="6">
        <v>1</v>
      </c>
      <c r="F1987" s="10">
        <v>46251</v>
      </c>
      <c r="G1987" s="6" t="str">
        <f>_xlfn.TEXTJOIN("|",TRUE,GameLog[[#This Row],[Pod]],TEXT(INT(GameLog[[#This Row],[Round]]),"yyyymmdd"),GameLog[[#This Row],[Date]])</f>
        <v>1|19000101|46251</v>
      </c>
      <c r="H1987" s="6">
        <f>COUNTIF(GameLog[Pod ID],GameLog[[#This Row],[Pod ID]])</f>
        <v>4</v>
      </c>
      <c r="I1987" s="6">
        <f>YEAR(GameLog[[#This Row],[Date]])</f>
        <v>2026</v>
      </c>
      <c r="J1987" s="6">
        <f>MONTH(GameLog[[#This Row],[Date]])</f>
        <v>8</v>
      </c>
      <c r="K1987" s="6" t="str">
        <f>IF(GameLog[[#This Row],[Date]]=MAX(GameLog[Date]),"Current","Previous")</f>
        <v>Previous</v>
      </c>
      <c r="L1987" s="6"/>
      <c r="M19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7" s="6" t="str">
        <f ca="1">IF(GameLog[[#This Row],[Check]]="","",COUNTIF(GameLog[[#Headers],[Check]]:GameLog[[#This Row],[Check]],"?*")-1)</f>
        <v/>
      </c>
      <c r="O1987" s="6" t="str">
        <f>IFERROR(INDEX(Players[New name],MATCH(GameLog[[#This Row],[Player]],Players[Name],0)),GameLog[[#This Row],[Player]])</f>
        <v>Charlie B</v>
      </c>
    </row>
    <row r="1988" spans="1:15" x14ac:dyDescent="0.45">
      <c r="A1988" s="6" t="s">
        <v>61</v>
      </c>
      <c r="B1988" s="6" t="s">
        <v>53</v>
      </c>
      <c r="C1988" s="6">
        <v>4</v>
      </c>
      <c r="D1988" s="6">
        <v>1</v>
      </c>
      <c r="E1988" s="6">
        <v>1</v>
      </c>
      <c r="F1988" s="10">
        <v>46251</v>
      </c>
      <c r="G1988" s="6" t="str">
        <f>_xlfn.TEXTJOIN("|",TRUE,GameLog[[#This Row],[Pod]],TEXT(INT(GameLog[[#This Row],[Round]]),"yyyymmdd"),GameLog[[#This Row],[Date]])</f>
        <v>1|19000101|46251</v>
      </c>
      <c r="H1988" s="6">
        <f>COUNTIF(GameLog[Pod ID],GameLog[[#This Row],[Pod ID]])</f>
        <v>4</v>
      </c>
      <c r="I1988" s="6">
        <f>YEAR(GameLog[[#This Row],[Date]])</f>
        <v>2026</v>
      </c>
      <c r="J1988" s="6">
        <f>MONTH(GameLog[[#This Row],[Date]])</f>
        <v>8</v>
      </c>
      <c r="K1988" s="6" t="str">
        <f>IF(GameLog[[#This Row],[Date]]=MAX(GameLog[Date]),"Current","Previous")</f>
        <v>Previous</v>
      </c>
      <c r="L1988" s="6"/>
      <c r="M19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8" s="6" t="str">
        <f ca="1">IF(GameLog[[#This Row],[Check]]="","",COUNTIF(GameLog[[#Headers],[Check]]:GameLog[[#This Row],[Check]],"?*")-1)</f>
        <v/>
      </c>
      <c r="O1988" s="6" t="str">
        <f>IFERROR(INDEX(Players[New name],MATCH(GameLog[[#This Row],[Player]],Players[Name],0)),GameLog[[#This Row],[Player]])</f>
        <v>Trevor</v>
      </c>
    </row>
    <row r="1989" spans="1:15" x14ac:dyDescent="0.45">
      <c r="A1989" s="6" t="s">
        <v>70</v>
      </c>
      <c r="B1989" s="6" t="s">
        <v>90</v>
      </c>
      <c r="C1989" s="6">
        <v>1</v>
      </c>
      <c r="D1989" s="6">
        <v>2</v>
      </c>
      <c r="E1989" s="6">
        <v>1</v>
      </c>
      <c r="F1989" s="10">
        <v>46251</v>
      </c>
      <c r="G1989" s="6" t="str">
        <f>_xlfn.TEXTJOIN("|",TRUE,GameLog[[#This Row],[Pod]],TEXT(INT(GameLog[[#This Row],[Round]]),"yyyymmdd"),GameLog[[#This Row],[Date]])</f>
        <v>2|19000101|46251</v>
      </c>
      <c r="H1989" s="6">
        <f>COUNTIF(GameLog[Pod ID],GameLog[[#This Row],[Pod ID]])</f>
        <v>4</v>
      </c>
      <c r="I1989" s="6">
        <f>YEAR(GameLog[[#This Row],[Date]])</f>
        <v>2026</v>
      </c>
      <c r="J1989" s="6">
        <f>MONTH(GameLog[[#This Row],[Date]])</f>
        <v>8</v>
      </c>
      <c r="K1989" s="6" t="str">
        <f>IF(GameLog[[#This Row],[Date]]=MAX(GameLog[Date]),"Current","Previous")</f>
        <v>Previous</v>
      </c>
      <c r="L1989" s="6"/>
      <c r="M19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89" s="6" t="str">
        <f ca="1">IF(GameLog[[#This Row],[Check]]="","",COUNTIF(GameLog[[#Headers],[Check]]:GameLog[[#This Row],[Check]],"?*")-1)</f>
        <v/>
      </c>
      <c r="O1989" s="6" t="str">
        <f>IFERROR(INDEX(Players[New name],MATCH(GameLog[[#This Row],[Player]],Players[Name],0)),GameLog[[#This Row],[Player]])</f>
        <v>Brad F</v>
      </c>
    </row>
    <row r="1990" spans="1:15" x14ac:dyDescent="0.45">
      <c r="A1990" s="6" t="s">
        <v>110</v>
      </c>
      <c r="B1990" s="6" t="s">
        <v>90</v>
      </c>
      <c r="C1990" s="6">
        <v>2</v>
      </c>
      <c r="D1990" s="6">
        <v>2</v>
      </c>
      <c r="E1990" s="6">
        <v>1</v>
      </c>
      <c r="F1990" s="10">
        <v>46251</v>
      </c>
      <c r="G1990" s="6" t="str">
        <f>_xlfn.TEXTJOIN("|",TRUE,GameLog[[#This Row],[Pod]],TEXT(INT(GameLog[[#This Row],[Round]]),"yyyymmdd"),GameLog[[#This Row],[Date]])</f>
        <v>2|19000101|46251</v>
      </c>
      <c r="H1990" s="6">
        <f>COUNTIF(GameLog[Pod ID],GameLog[[#This Row],[Pod ID]])</f>
        <v>4</v>
      </c>
      <c r="I1990" s="6">
        <f>YEAR(GameLog[[#This Row],[Date]])</f>
        <v>2026</v>
      </c>
      <c r="J1990" s="6">
        <f>MONTH(GameLog[[#This Row],[Date]])</f>
        <v>8</v>
      </c>
      <c r="K1990" s="6" t="str">
        <f>IF(GameLog[[#This Row],[Date]]=MAX(GameLog[Date]),"Current","Previous")</f>
        <v>Previous</v>
      </c>
      <c r="L1990" s="6"/>
      <c r="M19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0" s="6" t="str">
        <f ca="1">IF(GameLog[[#This Row],[Check]]="","",COUNTIF(GameLog[[#Headers],[Check]]:GameLog[[#This Row],[Check]],"?*")-1)</f>
        <v/>
      </c>
      <c r="O1990" s="6" t="str">
        <f>IFERROR(INDEX(Players[New name],MATCH(GameLog[[#This Row],[Player]],Players[Name],0)),GameLog[[#This Row],[Player]])</f>
        <v>Paul B</v>
      </c>
    </row>
    <row r="1991" spans="1:15" x14ac:dyDescent="0.45">
      <c r="A1991" s="6" t="s">
        <v>49</v>
      </c>
      <c r="B1991" s="6" t="s">
        <v>90</v>
      </c>
      <c r="C1991" s="6">
        <v>3</v>
      </c>
      <c r="D1991" s="6">
        <v>2</v>
      </c>
      <c r="E1991" s="6">
        <v>1</v>
      </c>
      <c r="F1991" s="10">
        <v>46251</v>
      </c>
      <c r="G1991" s="6" t="str">
        <f>_xlfn.TEXTJOIN("|",TRUE,GameLog[[#This Row],[Pod]],TEXT(INT(GameLog[[#This Row],[Round]]),"yyyymmdd"),GameLog[[#This Row],[Date]])</f>
        <v>2|19000101|46251</v>
      </c>
      <c r="H1991" s="6">
        <f>COUNTIF(GameLog[Pod ID],GameLog[[#This Row],[Pod ID]])</f>
        <v>4</v>
      </c>
      <c r="I1991" s="6">
        <f>YEAR(GameLog[[#This Row],[Date]])</f>
        <v>2026</v>
      </c>
      <c r="J1991" s="6">
        <f>MONTH(GameLog[[#This Row],[Date]])</f>
        <v>8</v>
      </c>
      <c r="K1991" s="6" t="str">
        <f>IF(GameLog[[#This Row],[Date]]=MAX(GameLog[Date]),"Current","Previous")</f>
        <v>Previous</v>
      </c>
      <c r="L1991" s="6"/>
      <c r="M19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1" s="6" t="str">
        <f ca="1">IF(GameLog[[#This Row],[Check]]="","",COUNTIF(GameLog[[#Headers],[Check]]:GameLog[[#This Row],[Check]],"?*")-1)</f>
        <v/>
      </c>
      <c r="O1991" s="6" t="str">
        <f>IFERROR(INDEX(Players[New name],MATCH(GameLog[[#This Row],[Player]],Players[Name],0)),GameLog[[#This Row],[Player]])</f>
        <v>Brett R</v>
      </c>
    </row>
    <row r="1992" spans="1:15" x14ac:dyDescent="0.45">
      <c r="A1992" s="6" t="s">
        <v>78</v>
      </c>
      <c r="B1992" s="6" t="s">
        <v>90</v>
      </c>
      <c r="C1992" s="6">
        <v>4</v>
      </c>
      <c r="D1992" s="6">
        <v>2</v>
      </c>
      <c r="E1992" s="6">
        <v>1</v>
      </c>
      <c r="F1992" s="10">
        <v>46251</v>
      </c>
      <c r="G1992" s="6" t="str">
        <f>_xlfn.TEXTJOIN("|",TRUE,GameLog[[#This Row],[Pod]],TEXT(INT(GameLog[[#This Row],[Round]]),"yyyymmdd"),GameLog[[#This Row],[Date]])</f>
        <v>2|19000101|46251</v>
      </c>
      <c r="H1992" s="6">
        <f>COUNTIF(GameLog[Pod ID],GameLog[[#This Row],[Pod ID]])</f>
        <v>4</v>
      </c>
      <c r="I1992" s="6">
        <f>YEAR(GameLog[[#This Row],[Date]])</f>
        <v>2026</v>
      </c>
      <c r="J1992" s="6">
        <f>MONTH(GameLog[[#This Row],[Date]])</f>
        <v>8</v>
      </c>
      <c r="K1992" s="6" t="str">
        <f>IF(GameLog[[#This Row],[Date]]=MAX(GameLog[Date]),"Current","Previous")</f>
        <v>Previous</v>
      </c>
      <c r="L1992" s="6"/>
      <c r="M19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2" s="6" t="str">
        <f ca="1">IF(GameLog[[#This Row],[Check]]="","",COUNTIF(GameLog[[#Headers],[Check]]:GameLog[[#This Row],[Check]],"?*")-1)</f>
        <v/>
      </c>
      <c r="O1992" s="6" t="str">
        <f>IFERROR(INDEX(Players[New name],MATCH(GameLog[[#This Row],[Player]],Players[Name],0)),GameLog[[#This Row],[Player]])</f>
        <v>Justin M</v>
      </c>
    </row>
    <row r="1993" spans="1:15" x14ac:dyDescent="0.45">
      <c r="A1993" s="6" t="s">
        <v>56</v>
      </c>
      <c r="B1993" s="6" t="s">
        <v>90</v>
      </c>
      <c r="C1993" s="6">
        <v>1</v>
      </c>
      <c r="D1993" s="6">
        <v>3</v>
      </c>
      <c r="E1993" s="6">
        <v>1</v>
      </c>
      <c r="F1993" s="10">
        <v>46251</v>
      </c>
      <c r="G1993" s="6" t="str">
        <f>_xlfn.TEXTJOIN("|",TRUE,GameLog[[#This Row],[Pod]],TEXT(INT(GameLog[[#This Row],[Round]]),"yyyymmdd"),GameLog[[#This Row],[Date]])</f>
        <v>3|19000101|46251</v>
      </c>
      <c r="H1993" s="6">
        <f>COUNTIF(GameLog[Pod ID],GameLog[[#This Row],[Pod ID]])</f>
        <v>4</v>
      </c>
      <c r="I1993" s="6">
        <f>YEAR(GameLog[[#This Row],[Date]])</f>
        <v>2026</v>
      </c>
      <c r="J1993" s="6">
        <f>MONTH(GameLog[[#This Row],[Date]])</f>
        <v>8</v>
      </c>
      <c r="K1993" s="6" t="str">
        <f>IF(GameLog[[#This Row],[Date]]=MAX(GameLog[Date]),"Current","Previous")</f>
        <v>Previous</v>
      </c>
      <c r="L1993" s="6"/>
      <c r="M19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3" s="6" t="str">
        <f ca="1">IF(GameLog[[#This Row],[Check]]="","",COUNTIF(GameLog[[#Headers],[Check]]:GameLog[[#This Row],[Check]],"?*")-1)</f>
        <v/>
      </c>
      <c r="O1993" s="6" t="str">
        <f>IFERROR(INDEX(Players[New name],MATCH(GameLog[[#This Row],[Player]],Players[Name],0)),GameLog[[#This Row],[Player]])</f>
        <v>Mark D</v>
      </c>
    </row>
    <row r="1994" spans="1:15" x14ac:dyDescent="0.45">
      <c r="A1994" s="6" t="s">
        <v>68</v>
      </c>
      <c r="B1994" s="6" t="s">
        <v>90</v>
      </c>
      <c r="C1994" s="6">
        <v>2</v>
      </c>
      <c r="D1994" s="6">
        <v>3</v>
      </c>
      <c r="E1994" s="6">
        <v>1</v>
      </c>
      <c r="F1994" s="10">
        <v>46251</v>
      </c>
      <c r="G1994" s="6" t="str">
        <f>_xlfn.TEXTJOIN("|",TRUE,GameLog[[#This Row],[Pod]],TEXT(INT(GameLog[[#This Row],[Round]]),"yyyymmdd"),GameLog[[#This Row],[Date]])</f>
        <v>3|19000101|46251</v>
      </c>
      <c r="H1994" s="6">
        <f>COUNTIF(GameLog[Pod ID],GameLog[[#This Row],[Pod ID]])</f>
        <v>4</v>
      </c>
      <c r="I1994" s="6">
        <f>YEAR(GameLog[[#This Row],[Date]])</f>
        <v>2026</v>
      </c>
      <c r="J1994" s="6">
        <f>MONTH(GameLog[[#This Row],[Date]])</f>
        <v>8</v>
      </c>
      <c r="K1994" s="6" t="str">
        <f>IF(GameLog[[#This Row],[Date]]=MAX(GameLog[Date]),"Current","Previous")</f>
        <v>Previous</v>
      </c>
      <c r="L1994" s="6"/>
      <c r="M19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4" s="6" t="str">
        <f ca="1">IF(GameLog[[#This Row],[Check]]="","",COUNTIF(GameLog[[#Headers],[Check]]:GameLog[[#This Row],[Check]],"?*")-1)</f>
        <v/>
      </c>
      <c r="O1994" s="6" t="str">
        <f>IFERROR(INDEX(Players[New name],MATCH(GameLog[[#This Row],[Player]],Players[Name],0)),GameLog[[#This Row],[Player]])</f>
        <v>Edwin M</v>
      </c>
    </row>
    <row r="1995" spans="1:15" x14ac:dyDescent="0.45">
      <c r="A1995" s="6" t="s">
        <v>55</v>
      </c>
      <c r="B1995" s="6" t="s">
        <v>90</v>
      </c>
      <c r="C1995" s="6">
        <v>3</v>
      </c>
      <c r="D1995" s="6">
        <v>3</v>
      </c>
      <c r="E1995" s="6">
        <v>1</v>
      </c>
      <c r="F1995" s="10">
        <v>46251</v>
      </c>
      <c r="G1995" s="6" t="str">
        <f>_xlfn.TEXTJOIN("|",TRUE,GameLog[[#This Row],[Pod]],TEXT(INT(GameLog[[#This Row],[Round]]),"yyyymmdd"),GameLog[[#This Row],[Date]])</f>
        <v>3|19000101|46251</v>
      </c>
      <c r="H1995" s="6">
        <f>COUNTIF(GameLog[Pod ID],GameLog[[#This Row],[Pod ID]])</f>
        <v>4</v>
      </c>
      <c r="I1995" s="6">
        <f>YEAR(GameLog[[#This Row],[Date]])</f>
        <v>2026</v>
      </c>
      <c r="J1995" s="6">
        <f>MONTH(GameLog[[#This Row],[Date]])</f>
        <v>8</v>
      </c>
      <c r="K1995" s="6" t="str">
        <f>IF(GameLog[[#This Row],[Date]]=MAX(GameLog[Date]),"Current","Previous")</f>
        <v>Previous</v>
      </c>
      <c r="L1995" s="6"/>
      <c r="M19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5" s="6" t="str">
        <f ca="1">IF(GameLog[[#This Row],[Check]]="","",COUNTIF(GameLog[[#Headers],[Check]]:GameLog[[#This Row],[Check]],"?*")-1)</f>
        <v/>
      </c>
      <c r="O1995" s="6" t="str">
        <f>IFERROR(INDEX(Players[New name],MATCH(GameLog[[#This Row],[Player]],Players[Name],0)),GameLog[[#This Row],[Player]])</f>
        <v>Bryce C</v>
      </c>
    </row>
    <row r="1996" spans="1:15" x14ac:dyDescent="0.45">
      <c r="A1996" s="6" t="s">
        <v>74</v>
      </c>
      <c r="B1996" s="6" t="s">
        <v>90</v>
      </c>
      <c r="C1996" s="6">
        <v>4</v>
      </c>
      <c r="D1996" s="6">
        <v>3</v>
      </c>
      <c r="E1996" s="6">
        <v>1</v>
      </c>
      <c r="F1996" s="10">
        <v>46251</v>
      </c>
      <c r="G1996" s="6" t="str">
        <f>_xlfn.TEXTJOIN("|",TRUE,GameLog[[#This Row],[Pod]],TEXT(INT(GameLog[[#This Row],[Round]]),"yyyymmdd"),GameLog[[#This Row],[Date]])</f>
        <v>3|19000101|46251</v>
      </c>
      <c r="H1996" s="6">
        <f>COUNTIF(GameLog[Pod ID],GameLog[[#This Row],[Pod ID]])</f>
        <v>4</v>
      </c>
      <c r="I1996" s="6">
        <f>YEAR(GameLog[[#This Row],[Date]])</f>
        <v>2026</v>
      </c>
      <c r="J1996" s="6">
        <f>MONTH(GameLog[[#This Row],[Date]])</f>
        <v>8</v>
      </c>
      <c r="K1996" s="6" t="str">
        <f>IF(GameLog[[#This Row],[Date]]=MAX(GameLog[Date]),"Current","Previous")</f>
        <v>Previous</v>
      </c>
      <c r="L1996" s="6"/>
      <c r="M19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6" s="6" t="str">
        <f ca="1">IF(GameLog[[#This Row],[Check]]="","",COUNTIF(GameLog[[#Headers],[Check]]:GameLog[[#This Row],[Check]],"?*")-1)</f>
        <v/>
      </c>
      <c r="O1996" s="6" t="str">
        <f>IFERROR(INDEX(Players[New name],MATCH(GameLog[[#This Row],[Player]],Players[Name],0)),GameLog[[#This Row],[Player]])</f>
        <v>Jarrod O</v>
      </c>
    </row>
    <row r="1997" spans="1:15" x14ac:dyDescent="0.45">
      <c r="A1997" s="6" t="s">
        <v>71</v>
      </c>
      <c r="B1997" s="6" t="s">
        <v>53</v>
      </c>
      <c r="C1997" s="6">
        <v>1</v>
      </c>
      <c r="D1997" s="6">
        <v>4</v>
      </c>
      <c r="E1997" s="6">
        <v>1</v>
      </c>
      <c r="F1997" s="10">
        <v>46251</v>
      </c>
      <c r="G1997" s="6" t="str">
        <f>_xlfn.TEXTJOIN("|",TRUE,GameLog[[#This Row],[Pod]],TEXT(INT(GameLog[[#This Row],[Round]]),"yyyymmdd"),GameLog[[#This Row],[Date]])</f>
        <v>4|19000101|46251</v>
      </c>
      <c r="H1997" s="6">
        <f>COUNTIF(GameLog[Pod ID],GameLog[[#This Row],[Pod ID]])</f>
        <v>4</v>
      </c>
      <c r="I1997" s="6">
        <f>YEAR(GameLog[[#This Row],[Date]])</f>
        <v>2026</v>
      </c>
      <c r="J1997" s="6">
        <f>MONTH(GameLog[[#This Row],[Date]])</f>
        <v>8</v>
      </c>
      <c r="K1997" s="6" t="str">
        <f>IF(GameLog[[#This Row],[Date]]=MAX(GameLog[Date]),"Current","Previous")</f>
        <v>Previous</v>
      </c>
      <c r="L1997" s="6"/>
      <c r="M19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7" s="6" t="str">
        <f ca="1">IF(GameLog[[#This Row],[Check]]="","",COUNTIF(GameLog[[#Headers],[Check]]:GameLog[[#This Row],[Check]],"?*")-1)</f>
        <v/>
      </c>
      <c r="O1997" s="6" t="str">
        <f>IFERROR(INDEX(Players[New name],MATCH(GameLog[[#This Row],[Player]],Players[Name],0)),GameLog[[#This Row],[Player]])</f>
        <v>Rodney Y</v>
      </c>
    </row>
    <row r="1998" spans="1:15" x14ac:dyDescent="0.45">
      <c r="A1998" s="6" t="s">
        <v>84</v>
      </c>
      <c r="B1998" s="6" t="s">
        <v>53</v>
      </c>
      <c r="C1998" s="6">
        <v>2</v>
      </c>
      <c r="D1998" s="6">
        <v>4</v>
      </c>
      <c r="E1998" s="6">
        <v>1</v>
      </c>
      <c r="F1998" s="10">
        <v>46251</v>
      </c>
      <c r="G1998" s="6" t="str">
        <f>_xlfn.TEXTJOIN("|",TRUE,GameLog[[#This Row],[Pod]],TEXT(INT(GameLog[[#This Row],[Round]]),"yyyymmdd"),GameLog[[#This Row],[Date]])</f>
        <v>4|19000101|46251</v>
      </c>
      <c r="H1998" s="6">
        <f>COUNTIF(GameLog[Pod ID],GameLog[[#This Row],[Pod ID]])</f>
        <v>4</v>
      </c>
      <c r="I1998" s="6">
        <f>YEAR(GameLog[[#This Row],[Date]])</f>
        <v>2026</v>
      </c>
      <c r="J1998" s="6">
        <f>MONTH(GameLog[[#This Row],[Date]])</f>
        <v>8</v>
      </c>
      <c r="K1998" s="6" t="str">
        <f>IF(GameLog[[#This Row],[Date]]=MAX(GameLog[Date]),"Current","Previous")</f>
        <v>Previous</v>
      </c>
      <c r="L1998" s="6"/>
      <c r="M19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8" s="6" t="str">
        <f ca="1">IF(GameLog[[#This Row],[Check]]="","",COUNTIF(GameLog[[#Headers],[Check]]:GameLog[[#This Row],[Check]],"?*")-1)</f>
        <v/>
      </c>
      <c r="O1998" s="6" t="str">
        <f>IFERROR(INDEX(Players[New name],MATCH(GameLog[[#This Row],[Player]],Players[Name],0)),GameLog[[#This Row],[Player]])</f>
        <v>Zach D</v>
      </c>
    </row>
    <row r="1999" spans="1:15" x14ac:dyDescent="0.45">
      <c r="A1999" s="6" t="s">
        <v>76</v>
      </c>
      <c r="B1999" s="6" t="s">
        <v>50</v>
      </c>
      <c r="C1999" s="6">
        <v>3</v>
      </c>
      <c r="D1999" s="6">
        <v>4</v>
      </c>
      <c r="E1999" s="6">
        <v>1</v>
      </c>
      <c r="F1999" s="10">
        <v>46251</v>
      </c>
      <c r="G1999" s="6" t="str">
        <f>_xlfn.TEXTJOIN("|",TRUE,GameLog[[#This Row],[Pod]],TEXT(INT(GameLog[[#This Row],[Round]]),"yyyymmdd"),GameLog[[#This Row],[Date]])</f>
        <v>4|19000101|46251</v>
      </c>
      <c r="H1999" s="6">
        <f>COUNTIF(GameLog[Pod ID],GameLog[[#This Row],[Pod ID]])</f>
        <v>4</v>
      </c>
      <c r="I1999" s="6">
        <f>YEAR(GameLog[[#This Row],[Date]])</f>
        <v>2026</v>
      </c>
      <c r="J1999" s="6">
        <f>MONTH(GameLog[[#This Row],[Date]])</f>
        <v>8</v>
      </c>
      <c r="K1999" s="6" t="str">
        <f>IF(GameLog[[#This Row],[Date]]=MAX(GameLog[Date]),"Current","Previous")</f>
        <v>Previous</v>
      </c>
      <c r="L1999" s="6"/>
      <c r="M19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1999" s="6" t="str">
        <f ca="1">IF(GameLog[[#This Row],[Check]]="","",COUNTIF(GameLog[[#Headers],[Check]]:GameLog[[#This Row],[Check]],"?*")-1)</f>
        <v/>
      </c>
      <c r="O1999" s="6" t="str">
        <f>IFERROR(INDEX(Players[New name],MATCH(GameLog[[#This Row],[Player]],Players[Name],0)),GameLog[[#This Row],[Player]])</f>
        <v>Jon M</v>
      </c>
    </row>
    <row r="2000" spans="1:15" x14ac:dyDescent="0.45">
      <c r="A2000" s="6" t="s">
        <v>57</v>
      </c>
      <c r="B2000" s="6" t="s">
        <v>53</v>
      </c>
      <c r="C2000" s="6">
        <v>4</v>
      </c>
      <c r="D2000" s="6">
        <v>4</v>
      </c>
      <c r="E2000" s="6">
        <v>1</v>
      </c>
      <c r="F2000" s="10">
        <v>46251</v>
      </c>
      <c r="G2000" s="6" t="str">
        <f>_xlfn.TEXTJOIN("|",TRUE,GameLog[[#This Row],[Pod]],TEXT(INT(GameLog[[#This Row],[Round]]),"yyyymmdd"),GameLog[[#This Row],[Date]])</f>
        <v>4|19000101|46251</v>
      </c>
      <c r="H2000" s="6">
        <f>COUNTIF(GameLog[Pod ID],GameLog[[#This Row],[Pod ID]])</f>
        <v>4</v>
      </c>
      <c r="I2000" s="6">
        <f>YEAR(GameLog[[#This Row],[Date]])</f>
        <v>2026</v>
      </c>
      <c r="J2000" s="6">
        <f>MONTH(GameLog[[#This Row],[Date]])</f>
        <v>8</v>
      </c>
      <c r="K2000" s="6" t="str">
        <f>IF(GameLog[[#This Row],[Date]]=MAX(GameLog[Date]),"Current","Previous")</f>
        <v>Previous</v>
      </c>
      <c r="L2000" s="6"/>
      <c r="M20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0" s="6" t="str">
        <f ca="1">IF(GameLog[[#This Row],[Check]]="","",COUNTIF(GameLog[[#Headers],[Check]]:GameLog[[#This Row],[Check]],"?*")-1)</f>
        <v/>
      </c>
      <c r="O2000" s="6" t="str">
        <f>IFERROR(INDEX(Players[New name],MATCH(GameLog[[#This Row],[Player]],Players[Name],0)),GameLog[[#This Row],[Player]])</f>
        <v>AJ W</v>
      </c>
    </row>
    <row r="2001" spans="1:15" x14ac:dyDescent="0.45">
      <c r="A2001" s="6" t="s">
        <v>104</v>
      </c>
      <c r="B2001" s="6" t="s">
        <v>50</v>
      </c>
      <c r="C2001" s="6">
        <v>1</v>
      </c>
      <c r="D2001" s="6">
        <v>5</v>
      </c>
      <c r="E2001" s="6">
        <v>1</v>
      </c>
      <c r="F2001" s="10">
        <v>46251</v>
      </c>
      <c r="G2001" s="6" t="str">
        <f>_xlfn.TEXTJOIN("|",TRUE,GameLog[[#This Row],[Pod]],TEXT(INT(GameLog[[#This Row],[Round]]),"yyyymmdd"),GameLog[[#This Row],[Date]])</f>
        <v>5|19000101|46251</v>
      </c>
      <c r="H2001" s="6">
        <f>COUNTIF(GameLog[Pod ID],GameLog[[#This Row],[Pod ID]])</f>
        <v>3</v>
      </c>
      <c r="I2001" s="6">
        <f>YEAR(GameLog[[#This Row],[Date]])</f>
        <v>2026</v>
      </c>
      <c r="J2001" s="6">
        <f>MONTH(GameLog[[#This Row],[Date]])</f>
        <v>8</v>
      </c>
      <c r="K2001" s="6" t="str">
        <f>IF(GameLog[[#This Row],[Date]]=MAX(GameLog[Date]),"Current","Previous")</f>
        <v>Previous</v>
      </c>
      <c r="L2001" s="6"/>
      <c r="M20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1" s="6" t="str">
        <f ca="1">IF(GameLog[[#This Row],[Check]]="","",COUNTIF(GameLog[[#Headers],[Check]]:GameLog[[#This Row],[Check]],"?*")-1)</f>
        <v/>
      </c>
      <c r="O2001" s="6" t="str">
        <f>IFERROR(INDEX(Players[New name],MATCH(GameLog[[#This Row],[Player]],Players[Name],0)),GameLog[[#This Row],[Player]])</f>
        <v>Eric E</v>
      </c>
    </row>
    <row r="2002" spans="1:15" x14ac:dyDescent="0.45">
      <c r="A2002" s="6" t="s">
        <v>73</v>
      </c>
      <c r="B2002" s="6" t="s">
        <v>53</v>
      </c>
      <c r="C2002" s="6">
        <v>2</v>
      </c>
      <c r="D2002" s="6">
        <v>5</v>
      </c>
      <c r="E2002" s="6">
        <v>1</v>
      </c>
      <c r="F2002" s="10">
        <v>46251</v>
      </c>
      <c r="G2002" s="6" t="str">
        <f>_xlfn.TEXTJOIN("|",TRUE,GameLog[[#This Row],[Pod]],TEXT(INT(GameLog[[#This Row],[Round]]),"yyyymmdd"),GameLog[[#This Row],[Date]])</f>
        <v>5|19000101|46251</v>
      </c>
      <c r="H2002" s="6">
        <f>COUNTIF(GameLog[Pod ID],GameLog[[#This Row],[Pod ID]])</f>
        <v>3</v>
      </c>
      <c r="I2002" s="6">
        <f>YEAR(GameLog[[#This Row],[Date]])</f>
        <v>2026</v>
      </c>
      <c r="J2002" s="6">
        <f>MONTH(GameLog[[#This Row],[Date]])</f>
        <v>8</v>
      </c>
      <c r="K2002" s="6" t="str">
        <f>IF(GameLog[[#This Row],[Date]]=MAX(GameLog[Date]),"Current","Previous")</f>
        <v>Previous</v>
      </c>
      <c r="L2002" s="6"/>
      <c r="M20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2" s="6" t="str">
        <f ca="1">IF(GameLog[[#This Row],[Check]]="","",COUNTIF(GameLog[[#Headers],[Check]]:GameLog[[#This Row],[Check]],"?*")-1)</f>
        <v/>
      </c>
      <c r="O2002" s="6" t="str">
        <f>IFERROR(INDEX(Players[New name],MATCH(GameLog[[#This Row],[Player]],Players[Name],0)),GameLog[[#This Row],[Player]])</f>
        <v>Brandon B</v>
      </c>
    </row>
    <row r="2003" spans="1:15" x14ac:dyDescent="0.45">
      <c r="A2003" s="6" t="s">
        <v>119</v>
      </c>
      <c r="B2003" s="6" t="s">
        <v>53</v>
      </c>
      <c r="C2003" s="6">
        <v>3</v>
      </c>
      <c r="D2003" s="6">
        <v>5</v>
      </c>
      <c r="E2003" s="6">
        <v>1</v>
      </c>
      <c r="F2003" s="10">
        <v>46251</v>
      </c>
      <c r="G2003" s="6" t="str">
        <f>_xlfn.TEXTJOIN("|",TRUE,GameLog[[#This Row],[Pod]],TEXT(INT(GameLog[[#This Row],[Round]]),"yyyymmdd"),GameLog[[#This Row],[Date]])</f>
        <v>5|19000101|46251</v>
      </c>
      <c r="H2003" s="6">
        <f>COUNTIF(GameLog[Pod ID],GameLog[[#This Row],[Pod ID]])</f>
        <v>3</v>
      </c>
      <c r="I2003" s="6">
        <f>YEAR(GameLog[[#This Row],[Date]])</f>
        <v>2026</v>
      </c>
      <c r="J2003" s="6">
        <f>MONTH(GameLog[[#This Row],[Date]])</f>
        <v>8</v>
      </c>
      <c r="K2003" s="6" t="str">
        <f>IF(GameLog[[#This Row],[Date]]=MAX(GameLog[Date]),"Current","Previous")</f>
        <v>Previous</v>
      </c>
      <c r="L2003" s="6"/>
      <c r="M20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3" s="6" t="str">
        <f ca="1">IF(GameLog[[#This Row],[Check]]="","",COUNTIF(GameLog[[#Headers],[Check]]:GameLog[[#This Row],[Check]],"?*")-1)</f>
        <v/>
      </c>
      <c r="O2003" s="6" t="str">
        <f>IFERROR(INDEX(Players[New name],MATCH(GameLog[[#This Row],[Player]],Players[Name],0)),GameLog[[#This Row],[Player]])</f>
        <v>Cristian S</v>
      </c>
    </row>
    <row r="2004" spans="1:15" x14ac:dyDescent="0.45">
      <c r="A2004" s="6" t="s">
        <v>55</v>
      </c>
      <c r="B2004" s="6" t="s">
        <v>50</v>
      </c>
      <c r="C2004" s="6">
        <v>1</v>
      </c>
      <c r="D2004" s="6">
        <v>1</v>
      </c>
      <c r="E2004" s="6">
        <v>2</v>
      </c>
      <c r="F2004" s="10">
        <v>46251</v>
      </c>
      <c r="G2004" s="6" t="str">
        <f>_xlfn.TEXTJOIN("|",TRUE,GameLog[[#This Row],[Pod]],TEXT(INT(GameLog[[#This Row],[Round]]),"yyyymmdd"),GameLog[[#This Row],[Date]])</f>
        <v>1|19000102|46251</v>
      </c>
      <c r="H2004" s="6">
        <f>COUNTIF(GameLog[Pod ID],GameLog[[#This Row],[Pod ID]])</f>
        <v>3</v>
      </c>
      <c r="I2004" s="6">
        <f>YEAR(GameLog[[#This Row],[Date]])</f>
        <v>2026</v>
      </c>
      <c r="J2004" s="6">
        <f>MONTH(GameLog[[#This Row],[Date]])</f>
        <v>8</v>
      </c>
      <c r="K2004" s="6" t="str">
        <f>IF(GameLog[[#This Row],[Date]]=MAX(GameLog[Date]),"Current","Previous")</f>
        <v>Previous</v>
      </c>
      <c r="L2004" s="6"/>
      <c r="M20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4" s="6" t="str">
        <f ca="1">IF(GameLog[[#This Row],[Check]]="","",COUNTIF(GameLog[[#Headers],[Check]]:GameLog[[#This Row],[Check]],"?*")-1)</f>
        <v/>
      </c>
      <c r="O2004" s="6" t="str">
        <f>IFERROR(INDEX(Players[New name],MATCH(GameLog[[#This Row],[Player]],Players[Name],0)),GameLog[[#This Row],[Player]])</f>
        <v>Bryce C</v>
      </c>
    </row>
    <row r="2005" spans="1:15" x14ac:dyDescent="0.45">
      <c r="A2005" s="6" t="s">
        <v>61</v>
      </c>
      <c r="B2005" s="6" t="s">
        <v>53</v>
      </c>
      <c r="C2005" s="6">
        <v>2</v>
      </c>
      <c r="D2005" s="6">
        <v>1</v>
      </c>
      <c r="E2005" s="6">
        <v>2</v>
      </c>
      <c r="F2005" s="10">
        <v>46251</v>
      </c>
      <c r="G2005" s="6" t="str">
        <f>_xlfn.TEXTJOIN("|",TRUE,GameLog[[#This Row],[Pod]],TEXT(INT(GameLog[[#This Row],[Round]]),"yyyymmdd"),GameLog[[#This Row],[Date]])</f>
        <v>1|19000102|46251</v>
      </c>
      <c r="H2005" s="6">
        <f>COUNTIF(GameLog[Pod ID],GameLog[[#This Row],[Pod ID]])</f>
        <v>3</v>
      </c>
      <c r="I2005" s="6">
        <f>YEAR(GameLog[[#This Row],[Date]])</f>
        <v>2026</v>
      </c>
      <c r="J2005" s="6">
        <f>MONTH(GameLog[[#This Row],[Date]])</f>
        <v>8</v>
      </c>
      <c r="K2005" s="6" t="str">
        <f>IF(GameLog[[#This Row],[Date]]=MAX(GameLog[Date]),"Current","Previous")</f>
        <v>Previous</v>
      </c>
      <c r="L2005" s="6"/>
      <c r="M20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5" s="6" t="str">
        <f ca="1">IF(GameLog[[#This Row],[Check]]="","",COUNTIF(GameLog[[#Headers],[Check]]:GameLog[[#This Row],[Check]],"?*")-1)</f>
        <v/>
      </c>
      <c r="O2005" s="6" t="str">
        <f>IFERROR(INDEX(Players[New name],MATCH(GameLog[[#This Row],[Player]],Players[Name],0)),GameLog[[#This Row],[Player]])</f>
        <v>Trevor</v>
      </c>
    </row>
    <row r="2006" spans="1:15" x14ac:dyDescent="0.45">
      <c r="A2006" s="6" t="s">
        <v>98</v>
      </c>
      <c r="B2006" s="6" t="s">
        <v>53</v>
      </c>
      <c r="C2006" s="6">
        <v>3</v>
      </c>
      <c r="D2006" s="6">
        <v>1</v>
      </c>
      <c r="E2006" s="6">
        <v>2</v>
      </c>
      <c r="F2006" s="10">
        <v>46251</v>
      </c>
      <c r="G2006" s="6" t="str">
        <f>_xlfn.TEXTJOIN("|",TRUE,GameLog[[#This Row],[Pod]],TEXT(INT(GameLog[[#This Row],[Round]]),"yyyymmdd"),GameLog[[#This Row],[Date]])</f>
        <v>1|19000102|46251</v>
      </c>
      <c r="H2006" s="6">
        <f>COUNTIF(GameLog[Pod ID],GameLog[[#This Row],[Pod ID]])</f>
        <v>3</v>
      </c>
      <c r="I2006" s="6">
        <f>YEAR(GameLog[[#This Row],[Date]])</f>
        <v>2026</v>
      </c>
      <c r="J2006" s="6">
        <f>MONTH(GameLog[[#This Row],[Date]])</f>
        <v>8</v>
      </c>
      <c r="K2006" s="6" t="str">
        <f>IF(GameLog[[#This Row],[Date]]=MAX(GameLog[Date]),"Current","Previous")</f>
        <v>Previous</v>
      </c>
      <c r="L2006" s="6"/>
      <c r="M20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6" s="6" t="str">
        <f ca="1">IF(GameLog[[#This Row],[Check]]="","",COUNTIF(GameLog[[#Headers],[Check]]:GameLog[[#This Row],[Check]],"?*")-1)</f>
        <v/>
      </c>
      <c r="O2006" s="6" t="str">
        <f>IFERROR(INDEX(Players[New name],MATCH(GameLog[[#This Row],[Player]],Players[Name],0)),GameLog[[#This Row],[Player]])</f>
        <v>Charlie B</v>
      </c>
    </row>
    <row r="2007" spans="1:15" x14ac:dyDescent="0.45">
      <c r="A2007" s="6" t="s">
        <v>76</v>
      </c>
      <c r="B2007" s="6" t="s">
        <v>53</v>
      </c>
      <c r="C2007" s="6">
        <v>1</v>
      </c>
      <c r="D2007" s="6">
        <v>2</v>
      </c>
      <c r="E2007" s="6">
        <v>2</v>
      </c>
      <c r="F2007" s="10">
        <v>46251</v>
      </c>
      <c r="G2007" s="6" t="str">
        <f>_xlfn.TEXTJOIN("|",TRUE,GameLog[[#This Row],[Pod]],TEXT(INT(GameLog[[#This Row],[Round]]),"yyyymmdd"),GameLog[[#This Row],[Date]])</f>
        <v>2|19000102|46251</v>
      </c>
      <c r="H2007" s="6">
        <f>COUNTIF(GameLog[Pod ID],GameLog[[#This Row],[Pod ID]])</f>
        <v>4</v>
      </c>
      <c r="I2007" s="6">
        <f>YEAR(GameLog[[#This Row],[Date]])</f>
        <v>2026</v>
      </c>
      <c r="J2007" s="6">
        <f>MONTH(GameLog[[#This Row],[Date]])</f>
        <v>8</v>
      </c>
      <c r="K2007" s="6" t="str">
        <f>IF(GameLog[[#This Row],[Date]]=MAX(GameLog[Date]),"Current","Previous")</f>
        <v>Previous</v>
      </c>
      <c r="L2007" s="6"/>
      <c r="M20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7" s="6" t="str">
        <f ca="1">IF(GameLog[[#This Row],[Check]]="","",COUNTIF(GameLog[[#Headers],[Check]]:GameLog[[#This Row],[Check]],"?*")-1)</f>
        <v/>
      </c>
      <c r="O2007" s="6" t="str">
        <f>IFERROR(INDEX(Players[New name],MATCH(GameLog[[#This Row],[Player]],Players[Name],0)),GameLog[[#This Row],[Player]])</f>
        <v>Jon M</v>
      </c>
    </row>
    <row r="2008" spans="1:15" x14ac:dyDescent="0.45">
      <c r="A2008" s="6" t="s">
        <v>119</v>
      </c>
      <c r="B2008" s="6" t="s">
        <v>53</v>
      </c>
      <c r="C2008" s="6">
        <v>2</v>
      </c>
      <c r="D2008" s="6">
        <v>2</v>
      </c>
      <c r="E2008" s="6">
        <v>2</v>
      </c>
      <c r="F2008" s="10">
        <v>46251</v>
      </c>
      <c r="G2008" s="6" t="str">
        <f>_xlfn.TEXTJOIN("|",TRUE,GameLog[[#This Row],[Pod]],TEXT(INT(GameLog[[#This Row],[Round]]),"yyyymmdd"),GameLog[[#This Row],[Date]])</f>
        <v>2|19000102|46251</v>
      </c>
      <c r="H2008" s="6">
        <f>COUNTIF(GameLog[Pod ID],GameLog[[#This Row],[Pod ID]])</f>
        <v>4</v>
      </c>
      <c r="I2008" s="6">
        <f>YEAR(GameLog[[#This Row],[Date]])</f>
        <v>2026</v>
      </c>
      <c r="J2008" s="6">
        <f>MONTH(GameLog[[#This Row],[Date]])</f>
        <v>8</v>
      </c>
      <c r="K2008" s="6" t="str">
        <f>IF(GameLog[[#This Row],[Date]]=MAX(GameLog[Date]),"Current","Previous")</f>
        <v>Previous</v>
      </c>
      <c r="L2008" s="6"/>
      <c r="M20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8" s="6" t="str">
        <f ca="1">IF(GameLog[[#This Row],[Check]]="","",COUNTIF(GameLog[[#Headers],[Check]]:GameLog[[#This Row],[Check]],"?*")-1)</f>
        <v/>
      </c>
      <c r="O2008" s="6" t="str">
        <f>IFERROR(INDEX(Players[New name],MATCH(GameLog[[#This Row],[Player]],Players[Name],0)),GameLog[[#This Row],[Player]])</f>
        <v>Cristian S</v>
      </c>
    </row>
    <row r="2009" spans="1:15" x14ac:dyDescent="0.45">
      <c r="A2009" s="6" t="s">
        <v>113</v>
      </c>
      <c r="B2009" s="6" t="s">
        <v>50</v>
      </c>
      <c r="C2009" s="6">
        <v>3</v>
      </c>
      <c r="D2009" s="6">
        <v>2</v>
      </c>
      <c r="E2009" s="6">
        <v>2</v>
      </c>
      <c r="F2009" s="10">
        <v>46251</v>
      </c>
      <c r="G2009" s="6" t="str">
        <f>_xlfn.TEXTJOIN("|",TRUE,GameLog[[#This Row],[Pod]],TEXT(INT(GameLog[[#This Row],[Round]]),"yyyymmdd"),GameLog[[#This Row],[Date]])</f>
        <v>2|19000102|46251</v>
      </c>
      <c r="H2009" s="6">
        <f>COUNTIF(GameLog[Pod ID],GameLog[[#This Row],[Pod ID]])</f>
        <v>4</v>
      </c>
      <c r="I2009" s="6">
        <f>YEAR(GameLog[[#This Row],[Date]])</f>
        <v>2026</v>
      </c>
      <c r="J2009" s="6">
        <f>MONTH(GameLog[[#This Row],[Date]])</f>
        <v>8</v>
      </c>
      <c r="K2009" s="6" t="str">
        <f>IF(GameLog[[#This Row],[Date]]=MAX(GameLog[Date]),"Current","Previous")</f>
        <v>Previous</v>
      </c>
      <c r="L2009" s="6"/>
      <c r="M20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09" s="6" t="str">
        <f ca="1">IF(GameLog[[#This Row],[Check]]="","",COUNTIF(GameLog[[#Headers],[Check]]:GameLog[[#This Row],[Check]],"?*")-1)</f>
        <v/>
      </c>
      <c r="O2009" s="6" t="str">
        <f>IFERROR(INDEX(Players[New name],MATCH(GameLog[[#This Row],[Player]],Players[Name],0)),GameLog[[#This Row],[Player]])</f>
        <v>Gavin J</v>
      </c>
    </row>
    <row r="2010" spans="1:15" x14ac:dyDescent="0.45">
      <c r="A2010" s="6" t="s">
        <v>70</v>
      </c>
      <c r="B2010" s="6" t="s">
        <v>53</v>
      </c>
      <c r="C2010" s="6">
        <v>4</v>
      </c>
      <c r="D2010" s="6">
        <v>2</v>
      </c>
      <c r="E2010" s="6">
        <v>2</v>
      </c>
      <c r="F2010" s="10">
        <v>46251</v>
      </c>
      <c r="G2010" s="6" t="str">
        <f>_xlfn.TEXTJOIN("|",TRUE,GameLog[[#This Row],[Pod]],TEXT(INT(GameLog[[#This Row],[Round]]),"yyyymmdd"),GameLog[[#This Row],[Date]])</f>
        <v>2|19000102|46251</v>
      </c>
      <c r="H2010" s="6">
        <f>COUNTIF(GameLog[Pod ID],GameLog[[#This Row],[Pod ID]])</f>
        <v>4</v>
      </c>
      <c r="I2010" s="6">
        <f>YEAR(GameLog[[#This Row],[Date]])</f>
        <v>2026</v>
      </c>
      <c r="J2010" s="6">
        <f>MONTH(GameLog[[#This Row],[Date]])</f>
        <v>8</v>
      </c>
      <c r="K2010" s="6" t="str">
        <f>IF(GameLog[[#This Row],[Date]]=MAX(GameLog[Date]),"Current","Previous")</f>
        <v>Previous</v>
      </c>
      <c r="L2010" s="6"/>
      <c r="M20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0" s="6" t="str">
        <f ca="1">IF(GameLog[[#This Row],[Check]]="","",COUNTIF(GameLog[[#Headers],[Check]]:GameLog[[#This Row],[Check]],"?*")-1)</f>
        <v/>
      </c>
      <c r="O2010" s="6" t="str">
        <f>IFERROR(INDEX(Players[New name],MATCH(GameLog[[#This Row],[Player]],Players[Name],0)),GameLog[[#This Row],[Player]])</f>
        <v>Brad F</v>
      </c>
    </row>
    <row r="2011" spans="1:15" x14ac:dyDescent="0.45">
      <c r="A2011" s="6" t="s">
        <v>59</v>
      </c>
      <c r="B2011" s="6" t="s">
        <v>53</v>
      </c>
      <c r="C2011" s="6">
        <v>1</v>
      </c>
      <c r="D2011" s="6">
        <v>3</v>
      </c>
      <c r="E2011" s="6">
        <v>2</v>
      </c>
      <c r="F2011" s="10">
        <v>46251</v>
      </c>
      <c r="G2011" s="6" t="str">
        <f>_xlfn.TEXTJOIN("|",TRUE,GameLog[[#This Row],[Pod]],TEXT(INT(GameLog[[#This Row],[Round]]),"yyyymmdd"),GameLog[[#This Row],[Date]])</f>
        <v>3|19000102|46251</v>
      </c>
      <c r="H2011" s="6">
        <f>COUNTIF(GameLog[Pod ID],GameLog[[#This Row],[Pod ID]])</f>
        <v>4</v>
      </c>
      <c r="I2011" s="6">
        <f>YEAR(GameLog[[#This Row],[Date]])</f>
        <v>2026</v>
      </c>
      <c r="J2011" s="6">
        <f>MONTH(GameLog[[#This Row],[Date]])</f>
        <v>8</v>
      </c>
      <c r="K2011" s="6" t="str">
        <f>IF(GameLog[[#This Row],[Date]]=MAX(GameLog[Date]),"Current","Previous")</f>
        <v>Previous</v>
      </c>
      <c r="L2011" s="6"/>
      <c r="M20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1" s="6" t="str">
        <f ca="1">IF(GameLog[[#This Row],[Check]]="","",COUNTIF(GameLog[[#Headers],[Check]]:GameLog[[#This Row],[Check]],"?*")-1)</f>
        <v/>
      </c>
      <c r="O2011" s="6" t="str">
        <f>IFERROR(INDEX(Players[New name],MATCH(GameLog[[#This Row],[Player]],Players[Name],0)),GameLog[[#This Row],[Player]])</f>
        <v>Zack B</v>
      </c>
    </row>
    <row r="2012" spans="1:15" x14ac:dyDescent="0.45">
      <c r="A2012" s="6" t="s">
        <v>57</v>
      </c>
      <c r="B2012" s="6" t="s">
        <v>53</v>
      </c>
      <c r="C2012" s="6">
        <v>2</v>
      </c>
      <c r="D2012" s="6">
        <v>3</v>
      </c>
      <c r="E2012" s="6">
        <v>2</v>
      </c>
      <c r="F2012" s="10">
        <v>46251</v>
      </c>
      <c r="G2012" s="6" t="str">
        <f>_xlfn.TEXTJOIN("|",TRUE,GameLog[[#This Row],[Pod]],TEXT(INT(GameLog[[#This Row],[Round]]),"yyyymmdd"),GameLog[[#This Row],[Date]])</f>
        <v>3|19000102|46251</v>
      </c>
      <c r="H2012" s="6">
        <f>COUNTIF(GameLog[Pod ID],GameLog[[#This Row],[Pod ID]])</f>
        <v>4</v>
      </c>
      <c r="I2012" s="6">
        <f>YEAR(GameLog[[#This Row],[Date]])</f>
        <v>2026</v>
      </c>
      <c r="J2012" s="6">
        <f>MONTH(GameLog[[#This Row],[Date]])</f>
        <v>8</v>
      </c>
      <c r="K2012" s="6" t="str">
        <f>IF(GameLog[[#This Row],[Date]]=MAX(GameLog[Date]),"Current","Previous")</f>
        <v>Previous</v>
      </c>
      <c r="L2012" s="6"/>
      <c r="M20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2" s="6" t="str">
        <f ca="1">IF(GameLog[[#This Row],[Check]]="","",COUNTIF(GameLog[[#Headers],[Check]]:GameLog[[#This Row],[Check]],"?*")-1)</f>
        <v/>
      </c>
      <c r="O2012" s="6" t="str">
        <f>IFERROR(INDEX(Players[New name],MATCH(GameLog[[#This Row],[Player]],Players[Name],0)),GameLog[[#This Row],[Player]])</f>
        <v>AJ W</v>
      </c>
    </row>
    <row r="2013" spans="1:15" x14ac:dyDescent="0.45">
      <c r="A2013" s="6" t="s">
        <v>73</v>
      </c>
      <c r="B2013" s="6" t="s">
        <v>53</v>
      </c>
      <c r="C2013" s="6">
        <v>3</v>
      </c>
      <c r="D2013" s="6">
        <v>3</v>
      </c>
      <c r="E2013" s="6">
        <v>2</v>
      </c>
      <c r="F2013" s="10">
        <v>46251</v>
      </c>
      <c r="G2013" s="6" t="str">
        <f>_xlfn.TEXTJOIN("|",TRUE,GameLog[[#This Row],[Pod]],TEXT(INT(GameLog[[#This Row],[Round]]),"yyyymmdd"),GameLog[[#This Row],[Date]])</f>
        <v>3|19000102|46251</v>
      </c>
      <c r="H2013" s="6">
        <f>COUNTIF(GameLog[Pod ID],GameLog[[#This Row],[Pod ID]])</f>
        <v>4</v>
      </c>
      <c r="I2013" s="6">
        <f>YEAR(GameLog[[#This Row],[Date]])</f>
        <v>2026</v>
      </c>
      <c r="J2013" s="6">
        <f>MONTH(GameLog[[#This Row],[Date]])</f>
        <v>8</v>
      </c>
      <c r="K2013" s="6" t="str">
        <f>IF(GameLog[[#This Row],[Date]]=MAX(GameLog[Date]),"Current","Previous")</f>
        <v>Previous</v>
      </c>
      <c r="L2013" s="6"/>
      <c r="M20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3" s="6" t="str">
        <f ca="1">IF(GameLog[[#This Row],[Check]]="","",COUNTIF(GameLog[[#Headers],[Check]]:GameLog[[#This Row],[Check]],"?*")-1)</f>
        <v/>
      </c>
      <c r="O2013" s="6" t="str">
        <f>IFERROR(INDEX(Players[New name],MATCH(GameLog[[#This Row],[Player]],Players[Name],0)),GameLog[[#This Row],[Player]])</f>
        <v>Brandon B</v>
      </c>
    </row>
    <row r="2014" spans="1:15" x14ac:dyDescent="0.45">
      <c r="A2014" s="6" t="s">
        <v>104</v>
      </c>
      <c r="B2014" s="6" t="s">
        <v>50</v>
      </c>
      <c r="C2014" s="6">
        <v>4</v>
      </c>
      <c r="D2014" s="6">
        <v>3</v>
      </c>
      <c r="E2014" s="6">
        <v>2</v>
      </c>
      <c r="F2014" s="10">
        <v>46251</v>
      </c>
      <c r="G2014" s="6" t="str">
        <f>_xlfn.TEXTJOIN("|",TRUE,GameLog[[#This Row],[Pod]],TEXT(INT(GameLog[[#This Row],[Round]]),"yyyymmdd"),GameLog[[#This Row],[Date]])</f>
        <v>3|19000102|46251</v>
      </c>
      <c r="H2014" s="6">
        <f>COUNTIF(GameLog[Pod ID],GameLog[[#This Row],[Pod ID]])</f>
        <v>4</v>
      </c>
      <c r="I2014" s="6">
        <f>YEAR(GameLog[[#This Row],[Date]])</f>
        <v>2026</v>
      </c>
      <c r="J2014" s="6">
        <f>MONTH(GameLog[[#This Row],[Date]])</f>
        <v>8</v>
      </c>
      <c r="K2014" s="6" t="str">
        <f>IF(GameLog[[#This Row],[Date]]=MAX(GameLog[Date]),"Current","Previous")</f>
        <v>Previous</v>
      </c>
      <c r="L2014" s="6"/>
      <c r="M20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4" s="6" t="str">
        <f ca="1">IF(GameLog[[#This Row],[Check]]="","",COUNTIF(GameLog[[#Headers],[Check]]:GameLog[[#This Row],[Check]],"?*")-1)</f>
        <v/>
      </c>
      <c r="O2014" s="6" t="str">
        <f>IFERROR(INDEX(Players[New name],MATCH(GameLog[[#This Row],[Player]],Players[Name],0)),GameLog[[#This Row],[Player]])</f>
        <v>Eric E</v>
      </c>
    </row>
    <row r="2015" spans="1:15" x14ac:dyDescent="0.45">
      <c r="A2015" s="6" t="s">
        <v>56</v>
      </c>
      <c r="B2015" s="6" t="s">
        <v>53</v>
      </c>
      <c r="C2015" s="6">
        <v>1</v>
      </c>
      <c r="D2015" s="6">
        <v>4</v>
      </c>
      <c r="E2015" s="6">
        <v>2</v>
      </c>
      <c r="F2015" s="10">
        <v>46251</v>
      </c>
      <c r="G2015" s="6" t="str">
        <f>_xlfn.TEXTJOIN("|",TRUE,GameLog[[#This Row],[Pod]],TEXT(INT(GameLog[[#This Row],[Round]]),"yyyymmdd"),GameLog[[#This Row],[Date]])</f>
        <v>4|19000102|46251</v>
      </c>
      <c r="H2015" s="6">
        <f>COUNTIF(GameLog[Pod ID],GameLog[[#This Row],[Pod ID]])</f>
        <v>4</v>
      </c>
      <c r="I2015" s="6">
        <f>YEAR(GameLog[[#This Row],[Date]])</f>
        <v>2026</v>
      </c>
      <c r="J2015" s="6">
        <f>MONTH(GameLog[[#This Row],[Date]])</f>
        <v>8</v>
      </c>
      <c r="K2015" s="6" t="str">
        <f>IF(GameLog[[#This Row],[Date]]=MAX(GameLog[Date]),"Current","Previous")</f>
        <v>Previous</v>
      </c>
      <c r="L2015" s="6"/>
      <c r="M20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5" s="6" t="str">
        <f ca="1">IF(GameLog[[#This Row],[Check]]="","",COUNTIF(GameLog[[#Headers],[Check]]:GameLog[[#This Row],[Check]],"?*")-1)</f>
        <v/>
      </c>
      <c r="O2015" s="6" t="str">
        <f>IFERROR(INDEX(Players[New name],MATCH(GameLog[[#This Row],[Player]],Players[Name],0)),GameLog[[#This Row],[Player]])</f>
        <v>Mark D</v>
      </c>
    </row>
    <row r="2016" spans="1:15" x14ac:dyDescent="0.45">
      <c r="A2016" s="6" t="s">
        <v>71</v>
      </c>
      <c r="B2016" s="6" t="s">
        <v>53</v>
      </c>
      <c r="C2016" s="6">
        <v>2</v>
      </c>
      <c r="D2016" s="6">
        <v>4</v>
      </c>
      <c r="E2016" s="6">
        <v>2</v>
      </c>
      <c r="F2016" s="10">
        <v>46251</v>
      </c>
      <c r="G2016" s="6" t="str">
        <f>_xlfn.TEXTJOIN("|",TRUE,GameLog[[#This Row],[Pod]],TEXT(INT(GameLog[[#This Row],[Round]]),"yyyymmdd"),GameLog[[#This Row],[Date]])</f>
        <v>4|19000102|46251</v>
      </c>
      <c r="H2016" s="6">
        <f>COUNTIF(GameLog[Pod ID],GameLog[[#This Row],[Pod ID]])</f>
        <v>4</v>
      </c>
      <c r="I2016" s="6">
        <f>YEAR(GameLog[[#This Row],[Date]])</f>
        <v>2026</v>
      </c>
      <c r="J2016" s="6">
        <f>MONTH(GameLog[[#This Row],[Date]])</f>
        <v>8</v>
      </c>
      <c r="K2016" s="6" t="str">
        <f>IF(GameLog[[#This Row],[Date]]=MAX(GameLog[Date]),"Current","Previous")</f>
        <v>Previous</v>
      </c>
      <c r="L2016" s="6"/>
      <c r="M20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6" s="6" t="str">
        <f ca="1">IF(GameLog[[#This Row],[Check]]="","",COUNTIF(GameLog[[#Headers],[Check]]:GameLog[[#This Row],[Check]],"?*")-1)</f>
        <v/>
      </c>
      <c r="O2016" s="6" t="str">
        <f>IFERROR(INDEX(Players[New name],MATCH(GameLog[[#This Row],[Player]],Players[Name],0)),GameLog[[#This Row],[Player]])</f>
        <v>Rodney Y</v>
      </c>
    </row>
    <row r="2017" spans="1:15" x14ac:dyDescent="0.45">
      <c r="A2017" s="6" t="s">
        <v>110</v>
      </c>
      <c r="B2017" s="6" t="s">
        <v>53</v>
      </c>
      <c r="C2017" s="6">
        <v>3</v>
      </c>
      <c r="D2017" s="6">
        <v>4</v>
      </c>
      <c r="E2017" s="6">
        <v>2</v>
      </c>
      <c r="F2017" s="10">
        <v>46251</v>
      </c>
      <c r="G2017" s="6" t="str">
        <f>_xlfn.TEXTJOIN("|",TRUE,GameLog[[#This Row],[Pod]],TEXT(INT(GameLog[[#This Row],[Round]]),"yyyymmdd"),GameLog[[#This Row],[Date]])</f>
        <v>4|19000102|46251</v>
      </c>
      <c r="H2017" s="6">
        <f>COUNTIF(GameLog[Pod ID],GameLog[[#This Row],[Pod ID]])</f>
        <v>4</v>
      </c>
      <c r="I2017" s="6">
        <f>YEAR(GameLog[[#This Row],[Date]])</f>
        <v>2026</v>
      </c>
      <c r="J2017" s="6">
        <f>MONTH(GameLog[[#This Row],[Date]])</f>
        <v>8</v>
      </c>
      <c r="K2017" s="6" t="str">
        <f>IF(GameLog[[#This Row],[Date]]=MAX(GameLog[Date]),"Current","Previous")</f>
        <v>Previous</v>
      </c>
      <c r="L2017" s="6"/>
      <c r="M20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7" s="6" t="str">
        <f ca="1">IF(GameLog[[#This Row],[Check]]="","",COUNTIF(GameLog[[#Headers],[Check]]:GameLog[[#This Row],[Check]],"?*")-1)</f>
        <v/>
      </c>
      <c r="O2017" s="6" t="str">
        <f>IFERROR(INDEX(Players[New name],MATCH(GameLog[[#This Row],[Player]],Players[Name],0)),GameLog[[#This Row],[Player]])</f>
        <v>Paul B</v>
      </c>
    </row>
    <row r="2018" spans="1:15" x14ac:dyDescent="0.45">
      <c r="A2018" s="6" t="s">
        <v>78</v>
      </c>
      <c r="B2018" s="6" t="s">
        <v>50</v>
      </c>
      <c r="C2018" s="6">
        <v>4</v>
      </c>
      <c r="D2018" s="6">
        <v>4</v>
      </c>
      <c r="E2018" s="6">
        <v>2</v>
      </c>
      <c r="F2018" s="10">
        <v>46251</v>
      </c>
      <c r="G2018" s="6" t="str">
        <f>_xlfn.TEXTJOIN("|",TRUE,GameLog[[#This Row],[Pod]],TEXT(INT(GameLog[[#This Row],[Round]]),"yyyymmdd"),GameLog[[#This Row],[Date]])</f>
        <v>4|19000102|46251</v>
      </c>
      <c r="H2018" s="6">
        <f>COUNTIF(GameLog[Pod ID],GameLog[[#This Row],[Pod ID]])</f>
        <v>4</v>
      </c>
      <c r="I2018" s="6">
        <f>YEAR(GameLog[[#This Row],[Date]])</f>
        <v>2026</v>
      </c>
      <c r="J2018" s="6">
        <f>MONTH(GameLog[[#This Row],[Date]])</f>
        <v>8</v>
      </c>
      <c r="K2018" s="6" t="str">
        <f>IF(GameLog[[#This Row],[Date]]=MAX(GameLog[Date]),"Current","Previous")</f>
        <v>Previous</v>
      </c>
      <c r="L2018" s="6"/>
      <c r="M20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8" s="6" t="str">
        <f ca="1">IF(GameLog[[#This Row],[Check]]="","",COUNTIF(GameLog[[#Headers],[Check]]:GameLog[[#This Row],[Check]],"?*")-1)</f>
        <v/>
      </c>
      <c r="O2018" s="6" t="str">
        <f>IFERROR(INDEX(Players[New name],MATCH(GameLog[[#This Row],[Player]],Players[Name],0)),GameLog[[#This Row],[Player]])</f>
        <v>Justin M</v>
      </c>
    </row>
    <row r="2019" spans="1:15" x14ac:dyDescent="0.45">
      <c r="A2019" s="6" t="s">
        <v>49</v>
      </c>
      <c r="B2019" s="6" t="s">
        <v>53</v>
      </c>
      <c r="C2019" s="6">
        <v>1</v>
      </c>
      <c r="D2019" s="6">
        <v>5</v>
      </c>
      <c r="E2019" s="6">
        <v>2</v>
      </c>
      <c r="F2019" s="10">
        <v>46251</v>
      </c>
      <c r="G2019" s="6" t="str">
        <f>_xlfn.TEXTJOIN("|",TRUE,GameLog[[#This Row],[Pod]],TEXT(INT(GameLog[[#This Row],[Round]]),"yyyymmdd"),GameLog[[#This Row],[Date]])</f>
        <v>5|19000102|46251</v>
      </c>
      <c r="H2019" s="6">
        <f>COUNTIF(GameLog[Pod ID],GameLog[[#This Row],[Pod ID]])</f>
        <v>3</v>
      </c>
      <c r="I2019" s="6">
        <f>YEAR(GameLog[[#This Row],[Date]])</f>
        <v>2026</v>
      </c>
      <c r="J2019" s="6">
        <f>MONTH(GameLog[[#This Row],[Date]])</f>
        <v>8</v>
      </c>
      <c r="K2019" s="6" t="str">
        <f>IF(GameLog[[#This Row],[Date]]=MAX(GameLog[Date]),"Current","Previous")</f>
        <v>Previous</v>
      </c>
      <c r="L2019" s="6"/>
      <c r="M20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19" s="6" t="str">
        <f ca="1">IF(GameLog[[#This Row],[Check]]="","",COUNTIF(GameLog[[#Headers],[Check]]:GameLog[[#This Row],[Check]],"?*")-1)</f>
        <v/>
      </c>
      <c r="O2019" s="6" t="str">
        <f>IFERROR(INDEX(Players[New name],MATCH(GameLog[[#This Row],[Player]],Players[Name],0)),GameLog[[#This Row],[Player]])</f>
        <v>Brett R</v>
      </c>
    </row>
    <row r="2020" spans="1:15" x14ac:dyDescent="0.45">
      <c r="A2020" s="6" t="s">
        <v>74</v>
      </c>
      <c r="B2020" s="6" t="s">
        <v>53</v>
      </c>
      <c r="C2020" s="6">
        <v>2</v>
      </c>
      <c r="D2020" s="6">
        <v>5</v>
      </c>
      <c r="E2020" s="6">
        <v>2</v>
      </c>
      <c r="F2020" s="10">
        <v>46251</v>
      </c>
      <c r="G2020" s="6" t="str">
        <f>_xlfn.TEXTJOIN("|",TRUE,GameLog[[#This Row],[Pod]],TEXT(INT(GameLog[[#This Row],[Round]]),"yyyymmdd"),GameLog[[#This Row],[Date]])</f>
        <v>5|19000102|46251</v>
      </c>
      <c r="H2020" s="6">
        <f>COUNTIF(GameLog[Pod ID],GameLog[[#This Row],[Pod ID]])</f>
        <v>3</v>
      </c>
      <c r="I2020" s="6">
        <f>YEAR(GameLog[[#This Row],[Date]])</f>
        <v>2026</v>
      </c>
      <c r="J2020" s="6">
        <f>MONTH(GameLog[[#This Row],[Date]])</f>
        <v>8</v>
      </c>
      <c r="K2020" s="6" t="str">
        <f>IF(GameLog[[#This Row],[Date]]=MAX(GameLog[Date]),"Current","Previous")</f>
        <v>Previous</v>
      </c>
      <c r="L2020" s="6"/>
      <c r="M20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0" s="6" t="str">
        <f ca="1">IF(GameLog[[#This Row],[Check]]="","",COUNTIF(GameLog[[#Headers],[Check]]:GameLog[[#This Row],[Check]],"?*")-1)</f>
        <v/>
      </c>
      <c r="O2020" s="6" t="str">
        <f>IFERROR(INDEX(Players[New name],MATCH(GameLog[[#This Row],[Player]],Players[Name],0)),GameLog[[#This Row],[Player]])</f>
        <v>Jarrod O</v>
      </c>
    </row>
    <row r="2021" spans="1:15" x14ac:dyDescent="0.45">
      <c r="A2021" s="6" t="s">
        <v>68</v>
      </c>
      <c r="B2021" s="6" t="s">
        <v>50</v>
      </c>
      <c r="C2021" s="6">
        <v>3</v>
      </c>
      <c r="D2021" s="6">
        <v>5</v>
      </c>
      <c r="E2021" s="6">
        <v>2</v>
      </c>
      <c r="F2021" s="10">
        <v>46251</v>
      </c>
      <c r="G2021" s="6" t="str">
        <f>_xlfn.TEXTJOIN("|",TRUE,GameLog[[#This Row],[Pod]],TEXT(INT(GameLog[[#This Row],[Round]]),"yyyymmdd"),GameLog[[#This Row],[Date]])</f>
        <v>5|19000102|46251</v>
      </c>
      <c r="H2021" s="6">
        <f>COUNTIF(GameLog[Pod ID],GameLog[[#This Row],[Pod ID]])</f>
        <v>3</v>
      </c>
      <c r="I2021" s="6">
        <f>YEAR(GameLog[[#This Row],[Date]])</f>
        <v>2026</v>
      </c>
      <c r="J2021" s="6">
        <f>MONTH(GameLog[[#This Row],[Date]])</f>
        <v>8</v>
      </c>
      <c r="K2021" s="6" t="str">
        <f>IF(GameLog[[#This Row],[Date]]=MAX(GameLog[Date]),"Current","Previous")</f>
        <v>Previous</v>
      </c>
      <c r="L2021" s="6"/>
      <c r="M20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1" s="6" t="str">
        <f ca="1">IF(GameLog[[#This Row],[Check]]="","",COUNTIF(GameLog[[#Headers],[Check]]:GameLog[[#This Row],[Check]],"?*")-1)</f>
        <v/>
      </c>
      <c r="O2021" s="6" t="str">
        <f>IFERROR(INDEX(Players[New name],MATCH(GameLog[[#This Row],[Player]],Players[Name],0)),GameLog[[#This Row],[Player]])</f>
        <v>Edwin M</v>
      </c>
    </row>
    <row r="2022" spans="1:15" x14ac:dyDescent="0.45">
      <c r="A2022" s="6" t="s">
        <v>97</v>
      </c>
      <c r="B2022" s="6" t="s">
        <v>90</v>
      </c>
      <c r="C2022" s="6">
        <v>1</v>
      </c>
      <c r="D2022" s="6">
        <v>1</v>
      </c>
      <c r="E2022" s="6">
        <v>1</v>
      </c>
      <c r="F2022" s="10">
        <v>46258</v>
      </c>
      <c r="G2022" s="6" t="str">
        <f>_xlfn.TEXTJOIN("|",TRUE,GameLog[[#This Row],[Pod]],TEXT(INT(GameLog[[#This Row],[Round]]),"yyyymmdd"),GameLog[[#This Row],[Date]])</f>
        <v>1|19000101|46258</v>
      </c>
      <c r="H2022" s="6">
        <f>COUNTIF(GameLog[Pod ID],GameLog[[#This Row],[Pod ID]])</f>
        <v>4</v>
      </c>
      <c r="I2022" s="6">
        <f>YEAR(GameLog[[#This Row],[Date]])</f>
        <v>2026</v>
      </c>
      <c r="J2022" s="6">
        <f>MONTH(GameLog[[#This Row],[Date]])</f>
        <v>8</v>
      </c>
      <c r="K2022" s="6" t="str">
        <f>IF(GameLog[[#This Row],[Date]]=MAX(GameLog[Date]),"Current","Previous")</f>
        <v>Previous</v>
      </c>
      <c r="L2022" s="6"/>
      <c r="M20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2" s="6" t="str">
        <f ca="1">IF(GameLog[[#This Row],[Check]]="","",COUNTIF(GameLog[[#Headers],[Check]]:GameLog[[#This Row],[Check]],"?*")-1)</f>
        <v/>
      </c>
      <c r="O2022" s="6" t="str">
        <f>IFERROR(INDEX(Players[New name],MATCH(GameLog[[#This Row],[Player]],Players[Name],0)),GameLog[[#This Row],[Player]])</f>
        <v>Arman H</v>
      </c>
    </row>
    <row r="2023" spans="1:15" x14ac:dyDescent="0.45">
      <c r="A2023" s="6" t="s">
        <v>57</v>
      </c>
      <c r="B2023" s="6" t="s">
        <v>90</v>
      </c>
      <c r="C2023" s="6">
        <v>2</v>
      </c>
      <c r="D2023" s="6">
        <v>1</v>
      </c>
      <c r="E2023" s="6">
        <v>1</v>
      </c>
      <c r="F2023" s="10">
        <v>46258</v>
      </c>
      <c r="G2023" s="6" t="str">
        <f>_xlfn.TEXTJOIN("|",TRUE,GameLog[[#This Row],[Pod]],TEXT(INT(GameLog[[#This Row],[Round]]),"yyyymmdd"),GameLog[[#This Row],[Date]])</f>
        <v>1|19000101|46258</v>
      </c>
      <c r="H2023" s="6">
        <f>COUNTIF(GameLog[Pod ID],GameLog[[#This Row],[Pod ID]])</f>
        <v>4</v>
      </c>
      <c r="I2023" s="6">
        <f>YEAR(GameLog[[#This Row],[Date]])</f>
        <v>2026</v>
      </c>
      <c r="J2023" s="6">
        <f>MONTH(GameLog[[#This Row],[Date]])</f>
        <v>8</v>
      </c>
      <c r="K2023" s="6" t="str">
        <f>IF(GameLog[[#This Row],[Date]]=MAX(GameLog[Date]),"Current","Previous")</f>
        <v>Previous</v>
      </c>
      <c r="L2023" s="6"/>
      <c r="M20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3" s="6" t="str">
        <f ca="1">IF(GameLog[[#This Row],[Check]]="","",COUNTIF(GameLog[[#Headers],[Check]]:GameLog[[#This Row],[Check]],"?*")-1)</f>
        <v/>
      </c>
      <c r="O2023" s="6" t="str">
        <f>IFERROR(INDEX(Players[New name],MATCH(GameLog[[#This Row],[Player]],Players[Name],0)),GameLog[[#This Row],[Player]])</f>
        <v>AJ W</v>
      </c>
    </row>
    <row r="2024" spans="1:15" x14ac:dyDescent="0.45">
      <c r="A2024" s="6" t="s">
        <v>104</v>
      </c>
      <c r="B2024" s="6" t="s">
        <v>90</v>
      </c>
      <c r="C2024" s="6">
        <v>3</v>
      </c>
      <c r="D2024" s="6">
        <v>1</v>
      </c>
      <c r="E2024" s="6">
        <v>1</v>
      </c>
      <c r="F2024" s="10">
        <v>46258</v>
      </c>
      <c r="G2024" s="6" t="str">
        <f>_xlfn.TEXTJOIN("|",TRUE,GameLog[[#This Row],[Pod]],TEXT(INT(GameLog[[#This Row],[Round]]),"yyyymmdd"),GameLog[[#This Row],[Date]])</f>
        <v>1|19000101|46258</v>
      </c>
      <c r="H2024" s="6">
        <f>COUNTIF(GameLog[Pod ID],GameLog[[#This Row],[Pod ID]])</f>
        <v>4</v>
      </c>
      <c r="I2024" s="6">
        <f>YEAR(GameLog[[#This Row],[Date]])</f>
        <v>2026</v>
      </c>
      <c r="J2024" s="6">
        <f>MONTH(GameLog[[#This Row],[Date]])</f>
        <v>8</v>
      </c>
      <c r="K2024" s="6" t="str">
        <f>IF(GameLog[[#This Row],[Date]]=MAX(GameLog[Date]),"Current","Previous")</f>
        <v>Previous</v>
      </c>
      <c r="L2024" s="6"/>
      <c r="M20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4" s="6" t="str">
        <f ca="1">IF(GameLog[[#This Row],[Check]]="","",COUNTIF(GameLog[[#Headers],[Check]]:GameLog[[#This Row],[Check]],"?*")-1)</f>
        <v/>
      </c>
      <c r="O2024" s="6" t="str">
        <f>IFERROR(INDEX(Players[New name],MATCH(GameLog[[#This Row],[Player]],Players[Name],0)),GameLog[[#This Row],[Player]])</f>
        <v>Eric E</v>
      </c>
    </row>
    <row r="2025" spans="1:15" x14ac:dyDescent="0.45">
      <c r="A2025" s="6" t="s">
        <v>61</v>
      </c>
      <c r="B2025" s="6" t="s">
        <v>90</v>
      </c>
      <c r="C2025" s="6">
        <v>4</v>
      </c>
      <c r="D2025" s="6">
        <v>1</v>
      </c>
      <c r="E2025" s="6">
        <v>1</v>
      </c>
      <c r="F2025" s="10">
        <v>46258</v>
      </c>
      <c r="G2025" s="6" t="str">
        <f>_xlfn.TEXTJOIN("|",TRUE,GameLog[[#This Row],[Pod]],TEXT(INT(GameLog[[#This Row],[Round]]),"yyyymmdd"),GameLog[[#This Row],[Date]])</f>
        <v>1|19000101|46258</v>
      </c>
      <c r="H2025" s="6">
        <f>COUNTIF(GameLog[Pod ID],GameLog[[#This Row],[Pod ID]])</f>
        <v>4</v>
      </c>
      <c r="I2025" s="6">
        <f>YEAR(GameLog[[#This Row],[Date]])</f>
        <v>2026</v>
      </c>
      <c r="J2025" s="6">
        <f>MONTH(GameLog[[#This Row],[Date]])</f>
        <v>8</v>
      </c>
      <c r="K2025" s="6" t="str">
        <f>IF(GameLog[[#This Row],[Date]]=MAX(GameLog[Date]),"Current","Previous")</f>
        <v>Previous</v>
      </c>
      <c r="L2025" s="6"/>
      <c r="M20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5" s="6" t="str">
        <f ca="1">IF(GameLog[[#This Row],[Check]]="","",COUNTIF(GameLog[[#Headers],[Check]]:GameLog[[#This Row],[Check]],"?*")-1)</f>
        <v/>
      </c>
      <c r="O2025" s="6" t="str">
        <f>IFERROR(INDEX(Players[New name],MATCH(GameLog[[#This Row],[Player]],Players[Name],0)),GameLog[[#This Row],[Player]])</f>
        <v>Trevor</v>
      </c>
    </row>
    <row r="2026" spans="1:15" x14ac:dyDescent="0.45">
      <c r="A2026" s="6" t="s">
        <v>96</v>
      </c>
      <c r="B2026" s="6" t="s">
        <v>90</v>
      </c>
      <c r="C2026" s="6">
        <v>1</v>
      </c>
      <c r="D2026" s="6">
        <v>2</v>
      </c>
      <c r="E2026" s="6">
        <v>1</v>
      </c>
      <c r="F2026" s="10">
        <v>46258</v>
      </c>
      <c r="G2026" s="6" t="str">
        <f>_xlfn.TEXTJOIN("|",TRUE,GameLog[[#This Row],[Pod]],TEXT(INT(GameLog[[#This Row],[Round]]),"yyyymmdd"),GameLog[[#This Row],[Date]])</f>
        <v>2|19000101|46258</v>
      </c>
      <c r="H2026" s="6">
        <f>COUNTIF(GameLog[Pod ID],GameLog[[#This Row],[Pod ID]])</f>
        <v>3</v>
      </c>
      <c r="I2026" s="6">
        <f>YEAR(GameLog[[#This Row],[Date]])</f>
        <v>2026</v>
      </c>
      <c r="J2026" s="6">
        <f>MONTH(GameLog[[#This Row],[Date]])</f>
        <v>8</v>
      </c>
      <c r="K2026" s="6" t="str">
        <f>IF(GameLog[[#This Row],[Date]]=MAX(GameLog[Date]),"Current","Previous")</f>
        <v>Previous</v>
      </c>
      <c r="L2026" s="6"/>
      <c r="M20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6" s="6" t="str">
        <f ca="1">IF(GameLog[[#This Row],[Check]]="","",COUNTIF(GameLog[[#Headers],[Check]]:GameLog[[#This Row],[Check]],"?*")-1)</f>
        <v/>
      </c>
      <c r="O2026" s="6" t="str">
        <f>IFERROR(INDEX(Players[New name],MATCH(GameLog[[#This Row],[Player]],Players[Name],0)),GameLog[[#This Row],[Player]])</f>
        <v>Brandon A</v>
      </c>
    </row>
    <row r="2027" spans="1:15" x14ac:dyDescent="0.45">
      <c r="A2027" s="6" t="s">
        <v>73</v>
      </c>
      <c r="B2027" s="6" t="s">
        <v>90</v>
      </c>
      <c r="C2027" s="6">
        <v>2</v>
      </c>
      <c r="D2027" s="6">
        <v>2</v>
      </c>
      <c r="E2027" s="6">
        <v>1</v>
      </c>
      <c r="F2027" s="10">
        <v>46258</v>
      </c>
      <c r="G2027" s="6" t="str">
        <f>_xlfn.TEXTJOIN("|",TRUE,GameLog[[#This Row],[Pod]],TEXT(INT(GameLog[[#This Row],[Round]]),"yyyymmdd"),GameLog[[#This Row],[Date]])</f>
        <v>2|19000101|46258</v>
      </c>
      <c r="H2027" s="6">
        <f>COUNTIF(GameLog[Pod ID],GameLog[[#This Row],[Pod ID]])</f>
        <v>3</v>
      </c>
      <c r="I2027" s="6">
        <f>YEAR(GameLog[[#This Row],[Date]])</f>
        <v>2026</v>
      </c>
      <c r="J2027" s="6">
        <f>MONTH(GameLog[[#This Row],[Date]])</f>
        <v>8</v>
      </c>
      <c r="K2027" s="6" t="str">
        <f>IF(GameLog[[#This Row],[Date]]=MAX(GameLog[Date]),"Current","Previous")</f>
        <v>Previous</v>
      </c>
      <c r="L2027" s="6"/>
      <c r="M20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7" s="6" t="str">
        <f ca="1">IF(GameLog[[#This Row],[Check]]="","",COUNTIF(GameLog[[#Headers],[Check]]:GameLog[[#This Row],[Check]],"?*")-1)</f>
        <v/>
      </c>
      <c r="O2027" s="6" t="str">
        <f>IFERROR(INDEX(Players[New name],MATCH(GameLog[[#This Row],[Player]],Players[Name],0)),GameLog[[#This Row],[Player]])</f>
        <v>Brandon B</v>
      </c>
    </row>
    <row r="2028" spans="1:15" x14ac:dyDescent="0.45">
      <c r="A2028" s="6" t="s">
        <v>113</v>
      </c>
      <c r="B2028" s="6" t="s">
        <v>90</v>
      </c>
      <c r="C2028" s="6">
        <v>3</v>
      </c>
      <c r="D2028" s="6">
        <v>2</v>
      </c>
      <c r="E2028" s="6">
        <v>1</v>
      </c>
      <c r="F2028" s="10">
        <v>46258</v>
      </c>
      <c r="G2028" s="6" t="str">
        <f>_xlfn.TEXTJOIN("|",TRUE,GameLog[[#This Row],[Pod]],TEXT(INT(GameLog[[#This Row],[Round]]),"yyyymmdd"),GameLog[[#This Row],[Date]])</f>
        <v>2|19000101|46258</v>
      </c>
      <c r="H2028" s="6">
        <f>COUNTIF(GameLog[Pod ID],GameLog[[#This Row],[Pod ID]])</f>
        <v>3</v>
      </c>
      <c r="I2028" s="6">
        <f>YEAR(GameLog[[#This Row],[Date]])</f>
        <v>2026</v>
      </c>
      <c r="J2028" s="6">
        <f>MONTH(GameLog[[#This Row],[Date]])</f>
        <v>8</v>
      </c>
      <c r="K2028" s="6" t="str">
        <f>IF(GameLog[[#This Row],[Date]]=MAX(GameLog[Date]),"Current","Previous")</f>
        <v>Previous</v>
      </c>
      <c r="L2028" s="6"/>
      <c r="M20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8" s="6" t="str">
        <f ca="1">IF(GameLog[[#This Row],[Check]]="","",COUNTIF(GameLog[[#Headers],[Check]]:GameLog[[#This Row],[Check]],"?*")-1)</f>
        <v/>
      </c>
      <c r="O2028" s="6" t="str">
        <f>IFERROR(INDEX(Players[New name],MATCH(GameLog[[#This Row],[Player]],Players[Name],0)),GameLog[[#This Row],[Player]])</f>
        <v>Gavin J</v>
      </c>
    </row>
    <row r="2029" spans="1:15" x14ac:dyDescent="0.45">
      <c r="A2029" s="6" t="s">
        <v>56</v>
      </c>
      <c r="B2029" s="6" t="s">
        <v>50</v>
      </c>
      <c r="C2029" s="6">
        <v>1</v>
      </c>
      <c r="D2029" s="6">
        <v>3</v>
      </c>
      <c r="E2029" s="6">
        <v>1</v>
      </c>
      <c r="F2029" s="10">
        <v>46258</v>
      </c>
      <c r="G2029" s="6" t="str">
        <f>_xlfn.TEXTJOIN("|",TRUE,GameLog[[#This Row],[Pod]],TEXT(INT(GameLog[[#This Row],[Round]]),"yyyymmdd"),GameLog[[#This Row],[Date]])</f>
        <v>3|19000101|46258</v>
      </c>
      <c r="H2029" s="6">
        <f>COUNTIF(GameLog[Pod ID],GameLog[[#This Row],[Pod ID]])</f>
        <v>4</v>
      </c>
      <c r="I2029" s="6">
        <f>YEAR(GameLog[[#This Row],[Date]])</f>
        <v>2026</v>
      </c>
      <c r="J2029" s="6">
        <f>MONTH(GameLog[[#This Row],[Date]])</f>
        <v>8</v>
      </c>
      <c r="K2029" s="6" t="str">
        <f>IF(GameLog[[#This Row],[Date]]=MAX(GameLog[Date]),"Current","Previous")</f>
        <v>Previous</v>
      </c>
      <c r="L2029" s="6"/>
      <c r="M20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29" s="6" t="str">
        <f ca="1">IF(GameLog[[#This Row],[Check]]="","",COUNTIF(GameLog[[#Headers],[Check]]:GameLog[[#This Row],[Check]],"?*")-1)</f>
        <v/>
      </c>
      <c r="O2029" s="6" t="str">
        <f>IFERROR(INDEX(Players[New name],MATCH(GameLog[[#This Row],[Player]],Players[Name],0)),GameLog[[#This Row],[Player]])</f>
        <v>Mark D</v>
      </c>
    </row>
    <row r="2030" spans="1:15" x14ac:dyDescent="0.45">
      <c r="A2030" s="6" t="s">
        <v>78</v>
      </c>
      <c r="B2030" s="6" t="s">
        <v>53</v>
      </c>
      <c r="C2030" s="6">
        <v>2</v>
      </c>
      <c r="D2030" s="6">
        <v>3</v>
      </c>
      <c r="E2030" s="6">
        <v>1</v>
      </c>
      <c r="F2030" s="10">
        <v>46258</v>
      </c>
      <c r="G2030" s="6" t="str">
        <f>_xlfn.TEXTJOIN("|",TRUE,GameLog[[#This Row],[Pod]],TEXT(INT(GameLog[[#This Row],[Round]]),"yyyymmdd"),GameLog[[#This Row],[Date]])</f>
        <v>3|19000101|46258</v>
      </c>
      <c r="H2030" s="6">
        <f>COUNTIF(GameLog[Pod ID],GameLog[[#This Row],[Pod ID]])</f>
        <v>4</v>
      </c>
      <c r="I2030" s="6">
        <f>YEAR(GameLog[[#This Row],[Date]])</f>
        <v>2026</v>
      </c>
      <c r="J2030" s="6">
        <f>MONTH(GameLog[[#This Row],[Date]])</f>
        <v>8</v>
      </c>
      <c r="K2030" s="6" t="str">
        <f>IF(GameLog[[#This Row],[Date]]=MAX(GameLog[Date]),"Current","Previous")</f>
        <v>Previous</v>
      </c>
      <c r="L2030" s="6"/>
      <c r="M20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0" s="6" t="str">
        <f ca="1">IF(GameLog[[#This Row],[Check]]="","",COUNTIF(GameLog[[#Headers],[Check]]:GameLog[[#This Row],[Check]],"?*")-1)</f>
        <v/>
      </c>
      <c r="O2030" s="6" t="str">
        <f>IFERROR(INDEX(Players[New name],MATCH(GameLog[[#This Row],[Player]],Players[Name],0)),GameLog[[#This Row],[Player]])</f>
        <v>Justin M</v>
      </c>
    </row>
    <row r="2031" spans="1:15" x14ac:dyDescent="0.45">
      <c r="A2031" s="6" t="s">
        <v>63</v>
      </c>
      <c r="B2031" s="6" t="s">
        <v>53</v>
      </c>
      <c r="C2031" s="6">
        <v>3</v>
      </c>
      <c r="D2031" s="6">
        <v>3</v>
      </c>
      <c r="E2031" s="6">
        <v>1</v>
      </c>
      <c r="F2031" s="10">
        <v>46258</v>
      </c>
      <c r="G2031" s="6" t="str">
        <f>_xlfn.TEXTJOIN("|",TRUE,GameLog[[#This Row],[Pod]],TEXT(INT(GameLog[[#This Row],[Round]]),"yyyymmdd"),GameLog[[#This Row],[Date]])</f>
        <v>3|19000101|46258</v>
      </c>
      <c r="H2031" s="6">
        <f>COUNTIF(GameLog[Pod ID],GameLog[[#This Row],[Pod ID]])</f>
        <v>4</v>
      </c>
      <c r="I2031" s="6">
        <f>YEAR(GameLog[[#This Row],[Date]])</f>
        <v>2026</v>
      </c>
      <c r="J2031" s="6">
        <f>MONTH(GameLog[[#This Row],[Date]])</f>
        <v>8</v>
      </c>
      <c r="K2031" s="6" t="str">
        <f>IF(GameLog[[#This Row],[Date]]=MAX(GameLog[Date]),"Current","Previous")</f>
        <v>Previous</v>
      </c>
      <c r="L2031" s="6"/>
      <c r="M20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1" s="6" t="str">
        <f ca="1">IF(GameLog[[#This Row],[Check]]="","",COUNTIF(GameLog[[#Headers],[Check]]:GameLog[[#This Row],[Check]],"?*")-1)</f>
        <v/>
      </c>
      <c r="O2031" s="6" t="str">
        <f>IFERROR(INDEX(Players[New name],MATCH(GameLog[[#This Row],[Player]],Players[Name],0)),GameLog[[#This Row],[Player]])</f>
        <v>Jake D</v>
      </c>
    </row>
    <row r="2032" spans="1:15" x14ac:dyDescent="0.45">
      <c r="A2032" s="6" t="s">
        <v>68</v>
      </c>
      <c r="B2032" s="6" t="s">
        <v>53</v>
      </c>
      <c r="C2032" s="6">
        <v>4</v>
      </c>
      <c r="D2032" s="6">
        <v>3</v>
      </c>
      <c r="E2032" s="6">
        <v>1</v>
      </c>
      <c r="F2032" s="10">
        <v>46258</v>
      </c>
      <c r="G2032" s="6" t="str">
        <f>_xlfn.TEXTJOIN("|",TRUE,GameLog[[#This Row],[Pod]],TEXT(INT(GameLog[[#This Row],[Round]]),"yyyymmdd"),GameLog[[#This Row],[Date]])</f>
        <v>3|19000101|46258</v>
      </c>
      <c r="H2032" s="6">
        <f>COUNTIF(GameLog[Pod ID],GameLog[[#This Row],[Pod ID]])</f>
        <v>4</v>
      </c>
      <c r="I2032" s="6">
        <f>YEAR(GameLog[[#This Row],[Date]])</f>
        <v>2026</v>
      </c>
      <c r="J2032" s="6">
        <f>MONTH(GameLog[[#This Row],[Date]])</f>
        <v>8</v>
      </c>
      <c r="K2032" s="6" t="str">
        <f>IF(GameLog[[#This Row],[Date]]=MAX(GameLog[Date]),"Current","Previous")</f>
        <v>Previous</v>
      </c>
      <c r="L2032" s="6"/>
      <c r="M20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2" s="6" t="str">
        <f ca="1">IF(GameLog[[#This Row],[Check]]="","",COUNTIF(GameLog[[#Headers],[Check]]:GameLog[[#This Row],[Check]],"?*")-1)</f>
        <v/>
      </c>
      <c r="O2032" s="6" t="str">
        <f>IFERROR(INDEX(Players[New name],MATCH(GameLog[[#This Row],[Player]],Players[Name],0)),GameLog[[#This Row],[Player]])</f>
        <v>Edwin M</v>
      </c>
    </row>
    <row r="2033" spans="1:15" x14ac:dyDescent="0.45">
      <c r="A2033" s="6" t="s">
        <v>64</v>
      </c>
      <c r="B2033" s="6" t="s">
        <v>53</v>
      </c>
      <c r="C2033" s="6">
        <v>1</v>
      </c>
      <c r="D2033" s="6">
        <v>4</v>
      </c>
      <c r="E2033" s="6">
        <v>1</v>
      </c>
      <c r="F2033" s="10">
        <v>46258</v>
      </c>
      <c r="G2033" s="6" t="str">
        <f>_xlfn.TEXTJOIN("|",TRUE,GameLog[[#This Row],[Pod]],TEXT(INT(GameLog[[#This Row],[Round]]),"yyyymmdd"),GameLog[[#This Row],[Date]])</f>
        <v>4|19000101|46258</v>
      </c>
      <c r="H2033" s="6">
        <f>COUNTIF(GameLog[Pod ID],GameLog[[#This Row],[Pod ID]])</f>
        <v>3</v>
      </c>
      <c r="I2033" s="6">
        <f>YEAR(GameLog[[#This Row],[Date]])</f>
        <v>2026</v>
      </c>
      <c r="J2033" s="6">
        <f>MONTH(GameLog[[#This Row],[Date]])</f>
        <v>8</v>
      </c>
      <c r="K2033" s="6" t="str">
        <f>IF(GameLog[[#This Row],[Date]]=MAX(GameLog[Date]),"Current","Previous")</f>
        <v>Previous</v>
      </c>
      <c r="L2033" s="6"/>
      <c r="M20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3" s="6" t="str">
        <f ca="1">IF(GameLog[[#This Row],[Check]]="","",COUNTIF(GameLog[[#Headers],[Check]]:GameLog[[#This Row],[Check]],"?*")-1)</f>
        <v/>
      </c>
      <c r="O2033" s="6" t="str">
        <f>IFERROR(INDEX(Players[New name],MATCH(GameLog[[#This Row],[Player]],Players[Name],0)),GameLog[[#This Row],[Player]])</f>
        <v>Tyler B</v>
      </c>
    </row>
    <row r="2034" spans="1:15" x14ac:dyDescent="0.45">
      <c r="A2034" s="6" t="s">
        <v>49</v>
      </c>
      <c r="B2034" s="6" t="s">
        <v>53</v>
      </c>
      <c r="C2034" s="6">
        <v>2</v>
      </c>
      <c r="D2034" s="6">
        <v>4</v>
      </c>
      <c r="E2034" s="6">
        <v>1</v>
      </c>
      <c r="F2034" s="10">
        <v>46258</v>
      </c>
      <c r="G2034" s="6" t="str">
        <f>_xlfn.TEXTJOIN("|",TRUE,GameLog[[#This Row],[Pod]],TEXT(INT(GameLog[[#This Row],[Round]]),"yyyymmdd"),GameLog[[#This Row],[Date]])</f>
        <v>4|19000101|46258</v>
      </c>
      <c r="H2034" s="6">
        <f>COUNTIF(GameLog[Pod ID],GameLog[[#This Row],[Pod ID]])</f>
        <v>3</v>
      </c>
      <c r="I2034" s="6">
        <f>YEAR(GameLog[[#This Row],[Date]])</f>
        <v>2026</v>
      </c>
      <c r="J2034" s="6">
        <f>MONTH(GameLog[[#This Row],[Date]])</f>
        <v>8</v>
      </c>
      <c r="K2034" s="6" t="str">
        <f>IF(GameLog[[#This Row],[Date]]=MAX(GameLog[Date]),"Current","Previous")</f>
        <v>Previous</v>
      </c>
      <c r="L2034" s="6"/>
      <c r="M20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4" s="6" t="str">
        <f ca="1">IF(GameLog[[#This Row],[Check]]="","",COUNTIF(GameLog[[#Headers],[Check]]:GameLog[[#This Row],[Check]],"?*")-1)</f>
        <v/>
      </c>
      <c r="O2034" s="6" t="str">
        <f>IFERROR(INDEX(Players[New name],MATCH(GameLog[[#This Row],[Player]],Players[Name],0)),GameLog[[#This Row],[Player]])</f>
        <v>Brett R</v>
      </c>
    </row>
    <row r="2035" spans="1:15" x14ac:dyDescent="0.45">
      <c r="A2035" s="6" t="s">
        <v>70</v>
      </c>
      <c r="B2035" s="6" t="s">
        <v>50</v>
      </c>
      <c r="C2035" s="6">
        <v>3</v>
      </c>
      <c r="D2035" s="6">
        <v>4</v>
      </c>
      <c r="E2035" s="6">
        <v>1</v>
      </c>
      <c r="F2035" s="10">
        <v>46258</v>
      </c>
      <c r="G2035" s="6" t="str">
        <f>_xlfn.TEXTJOIN("|",TRUE,GameLog[[#This Row],[Pod]],TEXT(INT(GameLog[[#This Row],[Round]]),"yyyymmdd"),GameLog[[#This Row],[Date]])</f>
        <v>4|19000101|46258</v>
      </c>
      <c r="H2035" s="6">
        <f>COUNTIF(GameLog[Pod ID],GameLog[[#This Row],[Pod ID]])</f>
        <v>3</v>
      </c>
      <c r="I2035" s="6">
        <f>YEAR(GameLog[[#This Row],[Date]])</f>
        <v>2026</v>
      </c>
      <c r="J2035" s="6">
        <f>MONTH(GameLog[[#This Row],[Date]])</f>
        <v>8</v>
      </c>
      <c r="K2035" s="6" t="str">
        <f>IF(GameLog[[#This Row],[Date]]=MAX(GameLog[Date]),"Current","Previous")</f>
        <v>Previous</v>
      </c>
      <c r="L2035" s="6"/>
      <c r="M20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5" s="6" t="str">
        <f ca="1">IF(GameLog[[#This Row],[Check]]="","",COUNTIF(GameLog[[#Headers],[Check]]:GameLog[[#This Row],[Check]],"?*")-1)</f>
        <v/>
      </c>
      <c r="O2035" s="6" t="str">
        <f>IFERROR(INDEX(Players[New name],MATCH(GameLog[[#This Row],[Player]],Players[Name],0)),GameLog[[#This Row],[Player]])</f>
        <v>Brad F</v>
      </c>
    </row>
    <row r="2036" spans="1:15" x14ac:dyDescent="0.45">
      <c r="A2036" s="6" t="s">
        <v>74</v>
      </c>
      <c r="B2036" s="6" t="s">
        <v>53</v>
      </c>
      <c r="C2036" s="6">
        <v>1</v>
      </c>
      <c r="D2036" s="6">
        <v>5</v>
      </c>
      <c r="E2036" s="6">
        <v>1</v>
      </c>
      <c r="F2036" s="10">
        <v>46258</v>
      </c>
      <c r="G2036" s="6" t="str">
        <f>_xlfn.TEXTJOIN("|",TRUE,GameLog[[#This Row],[Pod]],TEXT(INT(GameLog[[#This Row],[Round]]),"yyyymmdd"),GameLog[[#This Row],[Date]])</f>
        <v>5|19000101|46258</v>
      </c>
      <c r="H2036" s="6">
        <f>COUNTIF(GameLog[Pod ID],GameLog[[#This Row],[Pod ID]])</f>
        <v>3</v>
      </c>
      <c r="I2036" s="6">
        <f>YEAR(GameLog[[#This Row],[Date]])</f>
        <v>2026</v>
      </c>
      <c r="J2036" s="6">
        <f>MONTH(GameLog[[#This Row],[Date]])</f>
        <v>8</v>
      </c>
      <c r="K2036" s="6" t="str">
        <f>IF(GameLog[[#This Row],[Date]]=MAX(GameLog[Date]),"Current","Previous")</f>
        <v>Previous</v>
      </c>
      <c r="L2036" s="6"/>
      <c r="M20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6" s="6" t="str">
        <f ca="1">IF(GameLog[[#This Row],[Check]]="","",COUNTIF(GameLog[[#Headers],[Check]]:GameLog[[#This Row],[Check]],"?*")-1)</f>
        <v/>
      </c>
      <c r="O2036" s="6" t="str">
        <f>IFERROR(INDEX(Players[New name],MATCH(GameLog[[#This Row],[Player]],Players[Name],0)),GameLog[[#This Row],[Player]])</f>
        <v>Jarrod O</v>
      </c>
    </row>
    <row r="2037" spans="1:15" x14ac:dyDescent="0.45">
      <c r="A2037" s="6" t="s">
        <v>58</v>
      </c>
      <c r="B2037" s="6" t="s">
        <v>50</v>
      </c>
      <c r="C2037" s="6">
        <v>2</v>
      </c>
      <c r="D2037" s="6">
        <v>5</v>
      </c>
      <c r="E2037" s="6">
        <v>1</v>
      </c>
      <c r="F2037" s="10">
        <v>46258</v>
      </c>
      <c r="G2037" s="6" t="str">
        <f>_xlfn.TEXTJOIN("|",TRUE,GameLog[[#This Row],[Pod]],TEXT(INT(GameLog[[#This Row],[Round]]),"yyyymmdd"),GameLog[[#This Row],[Date]])</f>
        <v>5|19000101|46258</v>
      </c>
      <c r="H2037" s="6">
        <f>COUNTIF(GameLog[Pod ID],GameLog[[#This Row],[Pod ID]])</f>
        <v>3</v>
      </c>
      <c r="I2037" s="6">
        <f>YEAR(GameLog[[#This Row],[Date]])</f>
        <v>2026</v>
      </c>
      <c r="J2037" s="6">
        <f>MONTH(GameLog[[#This Row],[Date]])</f>
        <v>8</v>
      </c>
      <c r="K2037" s="6" t="str">
        <f>IF(GameLog[[#This Row],[Date]]=MAX(GameLog[Date]),"Current","Previous")</f>
        <v>Previous</v>
      </c>
      <c r="L2037" s="6"/>
      <c r="M20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7" s="6" t="str">
        <f ca="1">IF(GameLog[[#This Row],[Check]]="","",COUNTIF(GameLog[[#Headers],[Check]]:GameLog[[#This Row],[Check]],"?*")-1)</f>
        <v/>
      </c>
      <c r="O2037" s="6" t="str">
        <f>IFERROR(INDEX(Players[New name],MATCH(GameLog[[#This Row],[Player]],Players[Name],0)),GameLog[[#This Row],[Player]])</f>
        <v>Dakota P</v>
      </c>
    </row>
    <row r="2038" spans="1:15" x14ac:dyDescent="0.45">
      <c r="A2038" s="6" t="s">
        <v>118</v>
      </c>
      <c r="B2038" s="6" t="s">
        <v>53</v>
      </c>
      <c r="C2038" s="6">
        <v>3</v>
      </c>
      <c r="D2038" s="6">
        <v>5</v>
      </c>
      <c r="E2038" s="6">
        <v>1</v>
      </c>
      <c r="F2038" s="10">
        <v>46258</v>
      </c>
      <c r="G2038" s="6" t="str">
        <f>_xlfn.TEXTJOIN("|",TRUE,GameLog[[#This Row],[Pod]],TEXT(INT(GameLog[[#This Row],[Round]]),"yyyymmdd"),GameLog[[#This Row],[Date]])</f>
        <v>5|19000101|46258</v>
      </c>
      <c r="H2038" s="6">
        <f>COUNTIF(GameLog[Pod ID],GameLog[[#This Row],[Pod ID]])</f>
        <v>3</v>
      </c>
      <c r="I2038" s="6">
        <f>YEAR(GameLog[[#This Row],[Date]])</f>
        <v>2026</v>
      </c>
      <c r="J2038" s="6">
        <f>MONTH(GameLog[[#This Row],[Date]])</f>
        <v>8</v>
      </c>
      <c r="K2038" s="6" t="str">
        <f>IF(GameLog[[#This Row],[Date]]=MAX(GameLog[Date]),"Current","Previous")</f>
        <v>Previous</v>
      </c>
      <c r="L2038" s="6"/>
      <c r="M20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8" s="6" t="str">
        <f ca="1">IF(GameLog[[#This Row],[Check]]="","",COUNTIF(GameLog[[#Headers],[Check]]:GameLog[[#This Row],[Check]],"?*")-1)</f>
        <v/>
      </c>
      <c r="O2038" s="6" t="str">
        <f>IFERROR(INDEX(Players[New name],MATCH(GameLog[[#This Row],[Player]],Players[Name],0)),GameLog[[#This Row],[Player]])</f>
        <v>Eric T</v>
      </c>
    </row>
    <row r="2039" spans="1:15" x14ac:dyDescent="0.45">
      <c r="A2039" s="6" t="s">
        <v>73</v>
      </c>
      <c r="B2039" s="6" t="s">
        <v>90</v>
      </c>
      <c r="C2039" s="6">
        <v>1</v>
      </c>
      <c r="D2039" s="6">
        <v>1</v>
      </c>
      <c r="E2039" s="6">
        <v>2</v>
      </c>
      <c r="F2039" s="10">
        <v>46258</v>
      </c>
      <c r="G2039" s="6" t="str">
        <f>_xlfn.TEXTJOIN("|",TRUE,GameLog[[#This Row],[Pod]],TEXT(INT(GameLog[[#This Row],[Round]]),"yyyymmdd"),GameLog[[#This Row],[Date]])</f>
        <v>1|19000102|46258</v>
      </c>
      <c r="H2039" s="6">
        <f>COUNTIF(GameLog[Pod ID],GameLog[[#This Row],[Pod ID]])</f>
        <v>4</v>
      </c>
      <c r="I2039" s="6">
        <f>YEAR(GameLog[[#This Row],[Date]])</f>
        <v>2026</v>
      </c>
      <c r="J2039" s="6">
        <f>MONTH(GameLog[[#This Row],[Date]])</f>
        <v>8</v>
      </c>
      <c r="K2039" s="6" t="str">
        <f>IF(GameLog[[#This Row],[Date]]=MAX(GameLog[Date]),"Current","Previous")</f>
        <v>Previous</v>
      </c>
      <c r="L2039" s="6"/>
      <c r="M20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39" s="6" t="str">
        <f ca="1">IF(GameLog[[#This Row],[Check]]="","",COUNTIF(GameLog[[#Headers],[Check]]:GameLog[[#This Row],[Check]],"?*")-1)</f>
        <v/>
      </c>
      <c r="O2039" s="6" t="str">
        <f>IFERROR(INDEX(Players[New name],MATCH(GameLog[[#This Row],[Player]],Players[Name],0)),GameLog[[#This Row],[Player]])</f>
        <v>Brandon B</v>
      </c>
    </row>
    <row r="2040" spans="1:15" x14ac:dyDescent="0.45">
      <c r="A2040" s="6" t="s">
        <v>70</v>
      </c>
      <c r="B2040" s="6" t="s">
        <v>90</v>
      </c>
      <c r="C2040" s="6">
        <v>2</v>
      </c>
      <c r="D2040" s="6">
        <v>1</v>
      </c>
      <c r="E2040" s="6">
        <v>2</v>
      </c>
      <c r="F2040" s="10">
        <v>46258</v>
      </c>
      <c r="G2040" s="6" t="str">
        <f>_xlfn.TEXTJOIN("|",TRUE,GameLog[[#This Row],[Pod]],TEXT(INT(GameLog[[#This Row],[Round]]),"yyyymmdd"),GameLog[[#This Row],[Date]])</f>
        <v>1|19000102|46258</v>
      </c>
      <c r="H2040" s="6">
        <f>COUNTIF(GameLog[Pod ID],GameLog[[#This Row],[Pod ID]])</f>
        <v>4</v>
      </c>
      <c r="I2040" s="6">
        <f>YEAR(GameLog[[#This Row],[Date]])</f>
        <v>2026</v>
      </c>
      <c r="J2040" s="6">
        <f>MONTH(GameLog[[#This Row],[Date]])</f>
        <v>8</v>
      </c>
      <c r="K2040" s="6" t="str">
        <f>IF(GameLog[[#This Row],[Date]]=MAX(GameLog[Date]),"Current","Previous")</f>
        <v>Previous</v>
      </c>
      <c r="L2040" s="6"/>
      <c r="M20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0" s="6" t="str">
        <f ca="1">IF(GameLog[[#This Row],[Check]]="","",COUNTIF(GameLog[[#Headers],[Check]]:GameLog[[#This Row],[Check]],"?*")-1)</f>
        <v/>
      </c>
      <c r="O2040" s="6" t="str">
        <f>IFERROR(INDEX(Players[New name],MATCH(GameLog[[#This Row],[Player]],Players[Name],0)),GameLog[[#This Row],[Player]])</f>
        <v>Brad F</v>
      </c>
    </row>
    <row r="2041" spans="1:15" x14ac:dyDescent="0.45">
      <c r="A2041" s="6" t="s">
        <v>58</v>
      </c>
      <c r="B2041" s="6" t="s">
        <v>90</v>
      </c>
      <c r="C2041" s="6">
        <v>3</v>
      </c>
      <c r="D2041" s="6">
        <v>1</v>
      </c>
      <c r="E2041" s="6">
        <v>2</v>
      </c>
      <c r="F2041" s="10">
        <v>46258</v>
      </c>
      <c r="G2041" s="6" t="str">
        <f>_xlfn.TEXTJOIN("|",TRUE,GameLog[[#This Row],[Pod]],TEXT(INT(GameLog[[#This Row],[Round]]),"yyyymmdd"),GameLog[[#This Row],[Date]])</f>
        <v>1|19000102|46258</v>
      </c>
      <c r="H2041" s="6">
        <f>COUNTIF(GameLog[Pod ID],GameLog[[#This Row],[Pod ID]])</f>
        <v>4</v>
      </c>
      <c r="I2041" s="6">
        <f>YEAR(GameLog[[#This Row],[Date]])</f>
        <v>2026</v>
      </c>
      <c r="J2041" s="6">
        <f>MONTH(GameLog[[#This Row],[Date]])</f>
        <v>8</v>
      </c>
      <c r="K2041" s="6" t="str">
        <f>IF(GameLog[[#This Row],[Date]]=MAX(GameLog[Date]),"Current","Previous")</f>
        <v>Previous</v>
      </c>
      <c r="L2041" s="6"/>
      <c r="M20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1" s="6" t="str">
        <f ca="1">IF(GameLog[[#This Row],[Check]]="","",COUNTIF(GameLog[[#Headers],[Check]]:GameLog[[#This Row],[Check]],"?*")-1)</f>
        <v/>
      </c>
      <c r="O2041" s="6" t="str">
        <f>IFERROR(INDEX(Players[New name],MATCH(GameLog[[#This Row],[Player]],Players[Name],0)),GameLog[[#This Row],[Player]])</f>
        <v>Dakota P</v>
      </c>
    </row>
    <row r="2042" spans="1:15" x14ac:dyDescent="0.45">
      <c r="A2042" s="6" t="s">
        <v>56</v>
      </c>
      <c r="B2042" s="6" t="s">
        <v>90</v>
      </c>
      <c r="C2042" s="6">
        <v>4</v>
      </c>
      <c r="D2042" s="6">
        <v>1</v>
      </c>
      <c r="E2042" s="6">
        <v>2</v>
      </c>
      <c r="F2042" s="10">
        <v>46258</v>
      </c>
      <c r="G2042" s="6" t="str">
        <f>_xlfn.TEXTJOIN("|",TRUE,GameLog[[#This Row],[Pod]],TEXT(INT(GameLog[[#This Row],[Round]]),"yyyymmdd"),GameLog[[#This Row],[Date]])</f>
        <v>1|19000102|46258</v>
      </c>
      <c r="H2042" s="6">
        <f>COUNTIF(GameLog[Pod ID],GameLog[[#This Row],[Pod ID]])</f>
        <v>4</v>
      </c>
      <c r="I2042" s="6">
        <f>YEAR(GameLog[[#This Row],[Date]])</f>
        <v>2026</v>
      </c>
      <c r="J2042" s="6">
        <f>MONTH(GameLog[[#This Row],[Date]])</f>
        <v>8</v>
      </c>
      <c r="K2042" s="6" t="str">
        <f>IF(GameLog[[#This Row],[Date]]=MAX(GameLog[Date]),"Current","Previous")</f>
        <v>Previous</v>
      </c>
      <c r="L2042" s="6"/>
      <c r="M20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2" s="6" t="str">
        <f ca="1">IF(GameLog[[#This Row],[Check]]="","",COUNTIF(GameLog[[#Headers],[Check]]:GameLog[[#This Row],[Check]],"?*")-1)</f>
        <v/>
      </c>
      <c r="O2042" s="6" t="str">
        <f>IFERROR(INDEX(Players[New name],MATCH(GameLog[[#This Row],[Player]],Players[Name],0)),GameLog[[#This Row],[Player]])</f>
        <v>Mark D</v>
      </c>
    </row>
    <row r="2043" spans="1:15" x14ac:dyDescent="0.45">
      <c r="A2043" s="6" t="s">
        <v>113</v>
      </c>
      <c r="B2043" s="6" t="s">
        <v>90</v>
      </c>
      <c r="C2043" s="6">
        <v>1</v>
      </c>
      <c r="D2043" s="6">
        <v>2</v>
      </c>
      <c r="E2043" s="6">
        <v>2</v>
      </c>
      <c r="F2043" s="10">
        <v>46258</v>
      </c>
      <c r="G2043" s="6" t="str">
        <f>_xlfn.TEXTJOIN("|",TRUE,GameLog[[#This Row],[Pod]],TEXT(INT(GameLog[[#This Row],[Round]]),"yyyymmdd"),GameLog[[#This Row],[Date]])</f>
        <v>2|19000102|46258</v>
      </c>
      <c r="H2043" s="6">
        <f>COUNTIF(GameLog[Pod ID],GameLog[[#This Row],[Pod ID]])</f>
        <v>4</v>
      </c>
      <c r="I2043" s="6">
        <f>YEAR(GameLog[[#This Row],[Date]])</f>
        <v>2026</v>
      </c>
      <c r="J2043" s="6">
        <f>MONTH(GameLog[[#This Row],[Date]])</f>
        <v>8</v>
      </c>
      <c r="K2043" s="6" t="str">
        <f>IF(GameLog[[#This Row],[Date]]=MAX(GameLog[Date]),"Current","Previous")</f>
        <v>Previous</v>
      </c>
      <c r="L2043" s="6"/>
      <c r="M20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3" s="6" t="str">
        <f ca="1">IF(GameLog[[#This Row],[Check]]="","",COUNTIF(GameLog[[#Headers],[Check]]:GameLog[[#This Row],[Check]],"?*")-1)</f>
        <v/>
      </c>
      <c r="O2043" s="6" t="str">
        <f>IFERROR(INDEX(Players[New name],MATCH(GameLog[[#This Row],[Player]],Players[Name],0)),GameLog[[#This Row],[Player]])</f>
        <v>Gavin J</v>
      </c>
    </row>
    <row r="2044" spans="1:15" x14ac:dyDescent="0.45">
      <c r="A2044" s="6" t="s">
        <v>57</v>
      </c>
      <c r="B2044" s="6" t="s">
        <v>90</v>
      </c>
      <c r="C2044" s="6">
        <v>2</v>
      </c>
      <c r="D2044" s="6">
        <v>2</v>
      </c>
      <c r="E2044" s="6">
        <v>2</v>
      </c>
      <c r="F2044" s="10">
        <v>46258</v>
      </c>
      <c r="G2044" s="6" t="str">
        <f>_xlfn.TEXTJOIN("|",TRUE,GameLog[[#This Row],[Pod]],TEXT(INT(GameLog[[#This Row],[Round]]),"yyyymmdd"),GameLog[[#This Row],[Date]])</f>
        <v>2|19000102|46258</v>
      </c>
      <c r="H2044" s="6">
        <f>COUNTIF(GameLog[Pod ID],GameLog[[#This Row],[Pod ID]])</f>
        <v>4</v>
      </c>
      <c r="I2044" s="6">
        <f>YEAR(GameLog[[#This Row],[Date]])</f>
        <v>2026</v>
      </c>
      <c r="J2044" s="6">
        <f>MONTH(GameLog[[#This Row],[Date]])</f>
        <v>8</v>
      </c>
      <c r="K2044" s="6" t="str">
        <f>IF(GameLog[[#This Row],[Date]]=MAX(GameLog[Date]),"Current","Previous")</f>
        <v>Previous</v>
      </c>
      <c r="L2044" s="6"/>
      <c r="M20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4" s="6" t="str">
        <f ca="1">IF(GameLog[[#This Row],[Check]]="","",COUNTIF(GameLog[[#Headers],[Check]]:GameLog[[#This Row],[Check]],"?*")-1)</f>
        <v/>
      </c>
      <c r="O2044" s="6" t="str">
        <f>IFERROR(INDEX(Players[New name],MATCH(GameLog[[#This Row],[Player]],Players[Name],0)),GameLog[[#This Row],[Player]])</f>
        <v>AJ W</v>
      </c>
    </row>
    <row r="2045" spans="1:15" x14ac:dyDescent="0.45">
      <c r="A2045" s="6" t="s">
        <v>49</v>
      </c>
      <c r="B2045" s="6" t="s">
        <v>90</v>
      </c>
      <c r="C2045" s="6">
        <v>3</v>
      </c>
      <c r="D2045" s="6">
        <v>2</v>
      </c>
      <c r="E2045" s="6">
        <v>2</v>
      </c>
      <c r="F2045" s="10">
        <v>46258</v>
      </c>
      <c r="G2045" s="6" t="str">
        <f>_xlfn.TEXTJOIN("|",TRUE,GameLog[[#This Row],[Pod]],TEXT(INT(GameLog[[#This Row],[Round]]),"yyyymmdd"),GameLog[[#This Row],[Date]])</f>
        <v>2|19000102|46258</v>
      </c>
      <c r="H2045" s="6">
        <f>COUNTIF(GameLog[Pod ID],GameLog[[#This Row],[Pod ID]])</f>
        <v>4</v>
      </c>
      <c r="I2045" s="6">
        <f>YEAR(GameLog[[#This Row],[Date]])</f>
        <v>2026</v>
      </c>
      <c r="J2045" s="6">
        <f>MONTH(GameLog[[#This Row],[Date]])</f>
        <v>8</v>
      </c>
      <c r="K2045" s="6" t="str">
        <f>IF(GameLog[[#This Row],[Date]]=MAX(GameLog[Date]),"Current","Previous")</f>
        <v>Previous</v>
      </c>
      <c r="L2045" s="6"/>
      <c r="M20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5" s="6" t="str">
        <f ca="1">IF(GameLog[[#This Row],[Check]]="","",COUNTIF(GameLog[[#Headers],[Check]]:GameLog[[#This Row],[Check]],"?*")-1)</f>
        <v/>
      </c>
      <c r="O2045" s="6" t="str">
        <f>IFERROR(INDEX(Players[New name],MATCH(GameLog[[#This Row],[Player]],Players[Name],0)),GameLog[[#This Row],[Player]])</f>
        <v>Brett R</v>
      </c>
    </row>
    <row r="2046" spans="1:15" x14ac:dyDescent="0.45">
      <c r="A2046" s="6" t="s">
        <v>63</v>
      </c>
      <c r="B2046" s="6" t="s">
        <v>90</v>
      </c>
      <c r="C2046" s="6">
        <v>4</v>
      </c>
      <c r="D2046" s="6">
        <v>2</v>
      </c>
      <c r="E2046" s="6">
        <v>2</v>
      </c>
      <c r="F2046" s="10">
        <v>46258</v>
      </c>
      <c r="G2046" s="6" t="str">
        <f>_xlfn.TEXTJOIN("|",TRUE,GameLog[[#This Row],[Pod]],TEXT(INT(GameLog[[#This Row],[Round]]),"yyyymmdd"),GameLog[[#This Row],[Date]])</f>
        <v>2|19000102|46258</v>
      </c>
      <c r="H2046" s="6">
        <f>COUNTIF(GameLog[Pod ID],GameLog[[#This Row],[Pod ID]])</f>
        <v>4</v>
      </c>
      <c r="I2046" s="6">
        <f>YEAR(GameLog[[#This Row],[Date]])</f>
        <v>2026</v>
      </c>
      <c r="J2046" s="6">
        <f>MONTH(GameLog[[#This Row],[Date]])</f>
        <v>8</v>
      </c>
      <c r="K2046" s="6" t="str">
        <f>IF(GameLog[[#This Row],[Date]]=MAX(GameLog[Date]),"Current","Previous")</f>
        <v>Previous</v>
      </c>
      <c r="L2046" s="6"/>
      <c r="M20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6" s="6" t="str">
        <f ca="1">IF(GameLog[[#This Row],[Check]]="","",COUNTIF(GameLog[[#Headers],[Check]]:GameLog[[#This Row],[Check]],"?*")-1)</f>
        <v/>
      </c>
      <c r="O2046" s="6" t="str">
        <f>IFERROR(INDEX(Players[New name],MATCH(GameLog[[#This Row],[Player]],Players[Name],0)),GameLog[[#This Row],[Player]])</f>
        <v>Jake D</v>
      </c>
    </row>
    <row r="2047" spans="1:15" x14ac:dyDescent="0.45">
      <c r="A2047" s="6" t="s">
        <v>96</v>
      </c>
      <c r="B2047" s="6" t="s">
        <v>90</v>
      </c>
      <c r="C2047" s="6">
        <v>1</v>
      </c>
      <c r="D2047" s="6">
        <v>3</v>
      </c>
      <c r="E2047" s="6">
        <v>2</v>
      </c>
      <c r="F2047" s="10">
        <v>46258</v>
      </c>
      <c r="G2047" s="6" t="str">
        <f>_xlfn.TEXTJOIN("|",TRUE,GameLog[[#This Row],[Pod]],TEXT(INT(GameLog[[#This Row],[Round]]),"yyyymmdd"),GameLog[[#This Row],[Date]])</f>
        <v>3|19000102|46258</v>
      </c>
      <c r="H2047" s="6">
        <f>COUNTIF(GameLog[Pod ID],GameLog[[#This Row],[Pod ID]])</f>
        <v>3</v>
      </c>
      <c r="I2047" s="6">
        <f>YEAR(GameLog[[#This Row],[Date]])</f>
        <v>2026</v>
      </c>
      <c r="J2047" s="6">
        <f>MONTH(GameLog[[#This Row],[Date]])</f>
        <v>8</v>
      </c>
      <c r="K2047" s="6" t="str">
        <f>IF(GameLog[[#This Row],[Date]]=MAX(GameLog[Date]),"Current","Previous")</f>
        <v>Previous</v>
      </c>
      <c r="L2047" s="6"/>
      <c r="M20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7" s="6" t="str">
        <f ca="1">IF(GameLog[[#This Row],[Check]]="","",COUNTIF(GameLog[[#Headers],[Check]]:GameLog[[#This Row],[Check]],"?*")-1)</f>
        <v/>
      </c>
      <c r="O2047" s="6" t="str">
        <f>IFERROR(INDEX(Players[New name],MATCH(GameLog[[#This Row],[Player]],Players[Name],0)),GameLog[[#This Row],[Player]])</f>
        <v>Brandon A</v>
      </c>
    </row>
    <row r="2048" spans="1:15" x14ac:dyDescent="0.45">
      <c r="A2048" s="6" t="s">
        <v>61</v>
      </c>
      <c r="B2048" s="6" t="s">
        <v>90</v>
      </c>
      <c r="C2048" s="6">
        <v>2</v>
      </c>
      <c r="D2048" s="6">
        <v>3</v>
      </c>
      <c r="E2048" s="6">
        <v>2</v>
      </c>
      <c r="F2048" s="10">
        <v>46258</v>
      </c>
      <c r="G2048" s="6" t="str">
        <f>_xlfn.TEXTJOIN("|",TRUE,GameLog[[#This Row],[Pod]],TEXT(INT(GameLog[[#This Row],[Round]]),"yyyymmdd"),GameLog[[#This Row],[Date]])</f>
        <v>3|19000102|46258</v>
      </c>
      <c r="H2048" s="6">
        <f>COUNTIF(GameLog[Pod ID],GameLog[[#This Row],[Pod ID]])</f>
        <v>3</v>
      </c>
      <c r="I2048" s="6">
        <f>YEAR(GameLog[[#This Row],[Date]])</f>
        <v>2026</v>
      </c>
      <c r="J2048" s="6">
        <f>MONTH(GameLog[[#This Row],[Date]])</f>
        <v>8</v>
      </c>
      <c r="K2048" s="6" t="str">
        <f>IF(GameLog[[#This Row],[Date]]=MAX(GameLog[Date]),"Current","Previous")</f>
        <v>Previous</v>
      </c>
      <c r="L2048" s="6"/>
      <c r="M20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8" s="6" t="str">
        <f ca="1">IF(GameLog[[#This Row],[Check]]="","",COUNTIF(GameLog[[#Headers],[Check]]:GameLog[[#This Row],[Check]],"?*")-1)</f>
        <v/>
      </c>
      <c r="O2048" s="6" t="str">
        <f>IFERROR(INDEX(Players[New name],MATCH(GameLog[[#This Row],[Player]],Players[Name],0)),GameLog[[#This Row],[Player]])</f>
        <v>Trevor</v>
      </c>
    </row>
    <row r="2049" spans="1:15" x14ac:dyDescent="0.45">
      <c r="A2049" s="6" t="s">
        <v>64</v>
      </c>
      <c r="B2049" s="6" t="s">
        <v>90</v>
      </c>
      <c r="C2049" s="6">
        <v>3</v>
      </c>
      <c r="D2049" s="6">
        <v>3</v>
      </c>
      <c r="E2049" s="6">
        <v>2</v>
      </c>
      <c r="F2049" s="10">
        <v>46258</v>
      </c>
      <c r="G2049" s="6" t="str">
        <f>_xlfn.TEXTJOIN("|",TRUE,GameLog[[#This Row],[Pod]],TEXT(INT(GameLog[[#This Row],[Round]]),"yyyymmdd"),GameLog[[#This Row],[Date]])</f>
        <v>3|19000102|46258</v>
      </c>
      <c r="H2049" s="6">
        <f>COUNTIF(GameLog[Pod ID],GameLog[[#This Row],[Pod ID]])</f>
        <v>3</v>
      </c>
      <c r="I2049" s="6">
        <f>YEAR(GameLog[[#This Row],[Date]])</f>
        <v>2026</v>
      </c>
      <c r="J2049" s="6">
        <f>MONTH(GameLog[[#This Row],[Date]])</f>
        <v>8</v>
      </c>
      <c r="K2049" s="6" t="str">
        <f>IF(GameLog[[#This Row],[Date]]=MAX(GameLog[Date]),"Current","Previous")</f>
        <v>Previous</v>
      </c>
      <c r="L2049" s="6"/>
      <c r="M20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49" s="6" t="str">
        <f ca="1">IF(GameLog[[#This Row],[Check]]="","",COUNTIF(GameLog[[#Headers],[Check]]:GameLog[[#This Row],[Check]],"?*")-1)</f>
        <v/>
      </c>
      <c r="O2049" s="6" t="str">
        <f>IFERROR(INDEX(Players[New name],MATCH(GameLog[[#This Row],[Player]],Players[Name],0)),GameLog[[#This Row],[Player]])</f>
        <v>Tyler B</v>
      </c>
    </row>
    <row r="2050" spans="1:15" x14ac:dyDescent="0.45">
      <c r="A2050" s="6" t="s">
        <v>97</v>
      </c>
      <c r="B2050" s="6" t="s">
        <v>90</v>
      </c>
      <c r="C2050" s="6">
        <v>1</v>
      </c>
      <c r="D2050" s="6">
        <v>4</v>
      </c>
      <c r="E2050" s="6">
        <v>2</v>
      </c>
      <c r="F2050" s="10">
        <v>46258</v>
      </c>
      <c r="G2050" s="6" t="str">
        <f>_xlfn.TEXTJOIN("|",TRUE,GameLog[[#This Row],[Pod]],TEXT(INT(GameLog[[#This Row],[Round]]),"yyyymmdd"),GameLog[[#This Row],[Date]])</f>
        <v>4|19000102|46258</v>
      </c>
      <c r="H2050" s="6">
        <f>COUNTIF(GameLog[Pod ID],GameLog[[#This Row],[Pod ID]])</f>
        <v>3</v>
      </c>
      <c r="I2050" s="6">
        <f>YEAR(GameLog[[#This Row],[Date]])</f>
        <v>2026</v>
      </c>
      <c r="J2050" s="6">
        <f>MONTH(GameLog[[#This Row],[Date]])</f>
        <v>8</v>
      </c>
      <c r="K2050" s="6" t="str">
        <f>IF(GameLog[[#This Row],[Date]]=MAX(GameLog[Date]),"Current","Previous")</f>
        <v>Previous</v>
      </c>
      <c r="L2050" s="6"/>
      <c r="M20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0" s="6" t="str">
        <f ca="1">IF(GameLog[[#This Row],[Check]]="","",COUNTIF(GameLog[[#Headers],[Check]]:GameLog[[#This Row],[Check]],"?*")-1)</f>
        <v/>
      </c>
      <c r="O2050" s="6" t="str">
        <f>IFERROR(INDEX(Players[New name],MATCH(GameLog[[#This Row],[Player]],Players[Name],0)),GameLog[[#This Row],[Player]])</f>
        <v>Arman H</v>
      </c>
    </row>
    <row r="2051" spans="1:15" x14ac:dyDescent="0.45">
      <c r="A2051" s="6" t="s">
        <v>68</v>
      </c>
      <c r="B2051" s="6" t="s">
        <v>90</v>
      </c>
      <c r="C2051" s="6">
        <v>2</v>
      </c>
      <c r="D2051" s="6">
        <v>4</v>
      </c>
      <c r="E2051" s="6">
        <v>2</v>
      </c>
      <c r="F2051" s="10">
        <v>46258</v>
      </c>
      <c r="G2051" s="6" t="str">
        <f>_xlfn.TEXTJOIN("|",TRUE,GameLog[[#This Row],[Pod]],TEXT(INT(GameLog[[#This Row],[Round]]),"yyyymmdd"),GameLog[[#This Row],[Date]])</f>
        <v>4|19000102|46258</v>
      </c>
      <c r="H2051" s="6">
        <f>COUNTIF(GameLog[Pod ID],GameLog[[#This Row],[Pod ID]])</f>
        <v>3</v>
      </c>
      <c r="I2051" s="6">
        <f>YEAR(GameLog[[#This Row],[Date]])</f>
        <v>2026</v>
      </c>
      <c r="J2051" s="6">
        <f>MONTH(GameLog[[#This Row],[Date]])</f>
        <v>8</v>
      </c>
      <c r="K2051" s="6" t="str">
        <f>IF(GameLog[[#This Row],[Date]]=MAX(GameLog[Date]),"Current","Previous")</f>
        <v>Previous</v>
      </c>
      <c r="L2051" s="6"/>
      <c r="M20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1" s="6" t="str">
        <f ca="1">IF(GameLog[[#This Row],[Check]]="","",COUNTIF(GameLog[[#Headers],[Check]]:GameLog[[#This Row],[Check]],"?*")-1)</f>
        <v/>
      </c>
      <c r="O2051" s="6" t="str">
        <f>IFERROR(INDEX(Players[New name],MATCH(GameLog[[#This Row],[Player]],Players[Name],0)),GameLog[[#This Row],[Player]])</f>
        <v>Edwin M</v>
      </c>
    </row>
    <row r="2052" spans="1:15" x14ac:dyDescent="0.45">
      <c r="A2052" s="6" t="s">
        <v>74</v>
      </c>
      <c r="B2052" s="6" t="s">
        <v>90</v>
      </c>
      <c r="C2052" s="6">
        <v>3</v>
      </c>
      <c r="D2052" s="6">
        <v>4</v>
      </c>
      <c r="E2052" s="6">
        <v>2</v>
      </c>
      <c r="F2052" s="10">
        <v>46258</v>
      </c>
      <c r="G2052" s="6" t="str">
        <f>_xlfn.TEXTJOIN("|",TRUE,GameLog[[#This Row],[Pod]],TEXT(INT(GameLog[[#This Row],[Round]]),"yyyymmdd"),GameLog[[#This Row],[Date]])</f>
        <v>4|19000102|46258</v>
      </c>
      <c r="H2052" s="6">
        <f>COUNTIF(GameLog[Pod ID],GameLog[[#This Row],[Pod ID]])</f>
        <v>3</v>
      </c>
      <c r="I2052" s="6">
        <f>YEAR(GameLog[[#This Row],[Date]])</f>
        <v>2026</v>
      </c>
      <c r="J2052" s="6">
        <f>MONTH(GameLog[[#This Row],[Date]])</f>
        <v>8</v>
      </c>
      <c r="K2052" s="6" t="str">
        <f>IF(GameLog[[#This Row],[Date]]=MAX(GameLog[Date]),"Current","Previous")</f>
        <v>Previous</v>
      </c>
      <c r="L2052" s="6"/>
      <c r="M20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2" s="6" t="str">
        <f ca="1">IF(GameLog[[#This Row],[Check]]="","",COUNTIF(GameLog[[#Headers],[Check]]:GameLog[[#This Row],[Check]],"?*")-1)</f>
        <v/>
      </c>
      <c r="O2052" s="6" t="str">
        <f>IFERROR(INDEX(Players[New name],MATCH(GameLog[[#This Row],[Player]],Players[Name],0)),GameLog[[#This Row],[Player]])</f>
        <v>Jarrod O</v>
      </c>
    </row>
    <row r="2053" spans="1:15" x14ac:dyDescent="0.45">
      <c r="A2053" s="6" t="s">
        <v>104</v>
      </c>
      <c r="B2053" s="6" t="s">
        <v>50</v>
      </c>
      <c r="C2053" s="6">
        <v>1</v>
      </c>
      <c r="D2053" s="6">
        <v>5</v>
      </c>
      <c r="E2053" s="6">
        <v>2</v>
      </c>
      <c r="F2053" s="10">
        <v>46258</v>
      </c>
      <c r="G2053" s="6" t="str">
        <f>_xlfn.TEXTJOIN("|",TRUE,GameLog[[#This Row],[Pod]],TEXT(INT(GameLog[[#This Row],[Round]]),"yyyymmdd"),GameLog[[#This Row],[Date]])</f>
        <v>5|19000102|46258</v>
      </c>
      <c r="H2053" s="6">
        <f>COUNTIF(GameLog[Pod ID],GameLog[[#This Row],[Pod ID]])</f>
        <v>3</v>
      </c>
      <c r="I2053" s="6">
        <f>YEAR(GameLog[[#This Row],[Date]])</f>
        <v>2026</v>
      </c>
      <c r="J2053" s="6">
        <f>MONTH(GameLog[[#This Row],[Date]])</f>
        <v>8</v>
      </c>
      <c r="K2053" s="6" t="str">
        <f>IF(GameLog[[#This Row],[Date]]=MAX(GameLog[Date]),"Current","Previous")</f>
        <v>Previous</v>
      </c>
      <c r="L2053" s="6"/>
      <c r="M20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3" s="6" t="str">
        <f ca="1">IF(GameLog[[#This Row],[Check]]="","",COUNTIF(GameLog[[#Headers],[Check]]:GameLog[[#This Row],[Check]],"?*")-1)</f>
        <v/>
      </c>
      <c r="O2053" s="6" t="str">
        <f>IFERROR(INDEX(Players[New name],MATCH(GameLog[[#This Row],[Player]],Players[Name],0)),GameLog[[#This Row],[Player]])</f>
        <v>Eric E</v>
      </c>
    </row>
    <row r="2054" spans="1:15" x14ac:dyDescent="0.45">
      <c r="A2054" s="6" t="s">
        <v>118</v>
      </c>
      <c r="B2054" s="6" t="s">
        <v>53</v>
      </c>
      <c r="C2054" s="6">
        <v>2</v>
      </c>
      <c r="D2054" s="6">
        <v>5</v>
      </c>
      <c r="E2054" s="6">
        <v>2</v>
      </c>
      <c r="F2054" s="10">
        <v>46258</v>
      </c>
      <c r="G2054" s="6" t="str">
        <f>_xlfn.TEXTJOIN("|",TRUE,GameLog[[#This Row],[Pod]],TEXT(INT(GameLog[[#This Row],[Round]]),"yyyymmdd"),GameLog[[#This Row],[Date]])</f>
        <v>5|19000102|46258</v>
      </c>
      <c r="H2054" s="6">
        <f>COUNTIF(GameLog[Pod ID],GameLog[[#This Row],[Pod ID]])</f>
        <v>3</v>
      </c>
      <c r="I2054" s="6">
        <f>YEAR(GameLog[[#This Row],[Date]])</f>
        <v>2026</v>
      </c>
      <c r="J2054" s="6">
        <f>MONTH(GameLog[[#This Row],[Date]])</f>
        <v>8</v>
      </c>
      <c r="K2054" s="6" t="str">
        <f>IF(GameLog[[#This Row],[Date]]=MAX(GameLog[Date]),"Current","Previous")</f>
        <v>Previous</v>
      </c>
      <c r="L2054" s="6"/>
      <c r="M20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4" s="6" t="str">
        <f ca="1">IF(GameLog[[#This Row],[Check]]="","",COUNTIF(GameLog[[#Headers],[Check]]:GameLog[[#This Row],[Check]],"?*")-1)</f>
        <v/>
      </c>
      <c r="O2054" s="6" t="str">
        <f>IFERROR(INDEX(Players[New name],MATCH(GameLog[[#This Row],[Player]],Players[Name],0)),GameLog[[#This Row],[Player]])</f>
        <v>Eric T</v>
      </c>
    </row>
    <row r="2055" spans="1:15" x14ac:dyDescent="0.45">
      <c r="A2055" s="6" t="s">
        <v>78</v>
      </c>
      <c r="B2055" s="6" t="s">
        <v>53</v>
      </c>
      <c r="C2055" s="6">
        <v>3</v>
      </c>
      <c r="D2055" s="6">
        <v>5</v>
      </c>
      <c r="E2055" s="6">
        <v>2</v>
      </c>
      <c r="F2055" s="10">
        <v>46258</v>
      </c>
      <c r="G2055" s="6" t="str">
        <f>_xlfn.TEXTJOIN("|",TRUE,GameLog[[#This Row],[Pod]],TEXT(INT(GameLog[[#This Row],[Round]]),"yyyymmdd"),GameLog[[#This Row],[Date]])</f>
        <v>5|19000102|46258</v>
      </c>
      <c r="H2055" s="6">
        <f>COUNTIF(GameLog[Pod ID],GameLog[[#This Row],[Pod ID]])</f>
        <v>3</v>
      </c>
      <c r="I2055" s="6">
        <f>YEAR(GameLog[[#This Row],[Date]])</f>
        <v>2026</v>
      </c>
      <c r="J2055" s="6">
        <f>MONTH(GameLog[[#This Row],[Date]])</f>
        <v>8</v>
      </c>
      <c r="K2055" s="6" t="str">
        <f>IF(GameLog[[#This Row],[Date]]=MAX(GameLog[Date]),"Current","Previous")</f>
        <v>Previous</v>
      </c>
      <c r="L2055" s="6"/>
      <c r="M20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5" s="6" t="str">
        <f ca="1">IF(GameLog[[#This Row],[Check]]="","",COUNTIF(GameLog[[#Headers],[Check]]:GameLog[[#This Row],[Check]],"?*")-1)</f>
        <v/>
      </c>
      <c r="O2055" s="6" t="str">
        <f>IFERROR(INDEX(Players[New name],MATCH(GameLog[[#This Row],[Player]],Players[Name],0)),GameLog[[#This Row],[Player]])</f>
        <v>Justin M</v>
      </c>
    </row>
    <row r="2056" spans="1:15" x14ac:dyDescent="0.45">
      <c r="A2056" s="6" t="s">
        <v>57</v>
      </c>
      <c r="B2056" s="6" t="s">
        <v>90</v>
      </c>
      <c r="C2056" s="6">
        <v>1</v>
      </c>
      <c r="D2056" s="6">
        <v>1</v>
      </c>
      <c r="E2056" s="6">
        <v>1</v>
      </c>
      <c r="F2056" s="10">
        <v>46265</v>
      </c>
      <c r="G2056" s="6" t="str">
        <f>_xlfn.TEXTJOIN("|",TRUE,GameLog[[#This Row],[Pod]],TEXT(INT(GameLog[[#This Row],[Round]]),"yyyymmdd"),GameLog[[#This Row],[Date]])</f>
        <v>1|19000101|46265</v>
      </c>
      <c r="H2056" s="6">
        <f>COUNTIF(GameLog[Pod ID],GameLog[[#This Row],[Pod ID]])</f>
        <v>4</v>
      </c>
      <c r="I2056" s="6">
        <f>YEAR(GameLog[[#This Row],[Date]])</f>
        <v>2026</v>
      </c>
      <c r="J2056" s="6">
        <f>MONTH(GameLog[[#This Row],[Date]])</f>
        <v>8</v>
      </c>
      <c r="K2056" s="6" t="str">
        <f>IF(GameLog[[#This Row],[Date]]=MAX(GameLog[Date]),"Current","Previous")</f>
        <v>Previous</v>
      </c>
      <c r="L2056" s="6"/>
      <c r="M20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6" s="6" t="str">
        <f ca="1">IF(GameLog[[#This Row],[Check]]="","",COUNTIF(GameLog[[#Headers],[Check]]:GameLog[[#This Row],[Check]],"?*")-1)</f>
        <v/>
      </c>
      <c r="O2056" s="6" t="str">
        <f>IFERROR(INDEX(Players[New name],MATCH(GameLog[[#This Row],[Player]],Players[Name],0)),GameLog[[#This Row],[Player]])</f>
        <v>AJ W</v>
      </c>
    </row>
    <row r="2057" spans="1:15" x14ac:dyDescent="0.45">
      <c r="A2057" s="6" t="s">
        <v>52</v>
      </c>
      <c r="B2057" s="6" t="s">
        <v>90</v>
      </c>
      <c r="C2057" s="6">
        <v>2</v>
      </c>
      <c r="D2057" s="6">
        <v>1</v>
      </c>
      <c r="E2057" s="6">
        <v>1</v>
      </c>
      <c r="F2057" s="10">
        <v>46265</v>
      </c>
      <c r="G2057" s="6" t="str">
        <f>_xlfn.TEXTJOIN("|",TRUE,GameLog[[#This Row],[Pod]],TEXT(INT(GameLog[[#This Row],[Round]]),"yyyymmdd"),GameLog[[#This Row],[Date]])</f>
        <v>1|19000101|46265</v>
      </c>
      <c r="H2057" s="6">
        <f>COUNTIF(GameLog[Pod ID],GameLog[[#This Row],[Pod ID]])</f>
        <v>4</v>
      </c>
      <c r="I2057" s="6">
        <f>YEAR(GameLog[[#This Row],[Date]])</f>
        <v>2026</v>
      </c>
      <c r="J2057" s="6">
        <f>MONTH(GameLog[[#This Row],[Date]])</f>
        <v>8</v>
      </c>
      <c r="K2057" s="6" t="str">
        <f>IF(GameLog[[#This Row],[Date]]=MAX(GameLog[Date]),"Current","Previous")</f>
        <v>Previous</v>
      </c>
      <c r="L2057" s="6"/>
      <c r="M20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7" s="6" t="str">
        <f ca="1">IF(GameLog[[#This Row],[Check]]="","",COUNTIF(GameLog[[#Headers],[Check]]:GameLog[[#This Row],[Check]],"?*")-1)</f>
        <v/>
      </c>
      <c r="O2057" s="6" t="str">
        <f>IFERROR(INDEX(Players[New name],MATCH(GameLog[[#This Row],[Player]],Players[Name],0)),GameLog[[#This Row],[Player]])</f>
        <v>Unknown</v>
      </c>
    </row>
    <row r="2058" spans="1:15" x14ac:dyDescent="0.45">
      <c r="A2058" s="6" t="s">
        <v>68</v>
      </c>
      <c r="B2058" s="6" t="s">
        <v>90</v>
      </c>
      <c r="C2058" s="6">
        <v>3</v>
      </c>
      <c r="D2058" s="6">
        <v>1</v>
      </c>
      <c r="E2058" s="6">
        <v>1</v>
      </c>
      <c r="F2058" s="10">
        <v>46265</v>
      </c>
      <c r="G2058" s="6" t="str">
        <f>_xlfn.TEXTJOIN("|",TRUE,GameLog[[#This Row],[Pod]],TEXT(INT(GameLog[[#This Row],[Round]]),"yyyymmdd"),GameLog[[#This Row],[Date]])</f>
        <v>1|19000101|46265</v>
      </c>
      <c r="H2058" s="6">
        <f>COUNTIF(GameLog[Pod ID],GameLog[[#This Row],[Pod ID]])</f>
        <v>4</v>
      </c>
      <c r="I2058" s="6">
        <f>YEAR(GameLog[[#This Row],[Date]])</f>
        <v>2026</v>
      </c>
      <c r="J2058" s="6">
        <f>MONTH(GameLog[[#This Row],[Date]])</f>
        <v>8</v>
      </c>
      <c r="K2058" s="6" t="str">
        <f>IF(GameLog[[#This Row],[Date]]=MAX(GameLog[Date]),"Current","Previous")</f>
        <v>Previous</v>
      </c>
      <c r="L2058" s="6"/>
      <c r="M20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8" s="6" t="str">
        <f ca="1">IF(GameLog[[#This Row],[Check]]="","",COUNTIF(GameLog[[#Headers],[Check]]:GameLog[[#This Row],[Check]],"?*")-1)</f>
        <v/>
      </c>
      <c r="O2058" s="6" t="str">
        <f>IFERROR(INDEX(Players[New name],MATCH(GameLog[[#This Row],[Player]],Players[Name],0)),GameLog[[#This Row],[Player]])</f>
        <v>Edwin M</v>
      </c>
    </row>
    <row r="2059" spans="1:15" x14ac:dyDescent="0.45">
      <c r="A2059" s="6" t="s">
        <v>118</v>
      </c>
      <c r="B2059" s="6" t="s">
        <v>90</v>
      </c>
      <c r="C2059" s="6">
        <v>4</v>
      </c>
      <c r="D2059" s="6">
        <v>1</v>
      </c>
      <c r="E2059" s="6">
        <v>1</v>
      </c>
      <c r="F2059" s="10">
        <v>46265</v>
      </c>
      <c r="G2059" s="6" t="str">
        <f>_xlfn.TEXTJOIN("|",TRUE,GameLog[[#This Row],[Pod]],TEXT(INT(GameLog[[#This Row],[Round]]),"yyyymmdd"),GameLog[[#This Row],[Date]])</f>
        <v>1|19000101|46265</v>
      </c>
      <c r="H2059" s="6">
        <f>COUNTIF(GameLog[Pod ID],GameLog[[#This Row],[Pod ID]])</f>
        <v>4</v>
      </c>
      <c r="I2059" s="6">
        <f>YEAR(GameLog[[#This Row],[Date]])</f>
        <v>2026</v>
      </c>
      <c r="J2059" s="6">
        <f>MONTH(GameLog[[#This Row],[Date]])</f>
        <v>8</v>
      </c>
      <c r="K2059" s="6" t="str">
        <f>IF(GameLog[[#This Row],[Date]]=MAX(GameLog[Date]),"Current","Previous")</f>
        <v>Previous</v>
      </c>
      <c r="L2059" s="6"/>
      <c r="M20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59" s="6" t="str">
        <f ca="1">IF(GameLog[[#This Row],[Check]]="","",COUNTIF(GameLog[[#Headers],[Check]]:GameLog[[#This Row],[Check]],"?*")-1)</f>
        <v/>
      </c>
      <c r="O2059" s="6" t="str">
        <f>IFERROR(INDEX(Players[New name],MATCH(GameLog[[#This Row],[Player]],Players[Name],0)),GameLog[[#This Row],[Player]])</f>
        <v>Eric T</v>
      </c>
    </row>
    <row r="2060" spans="1:15" x14ac:dyDescent="0.45">
      <c r="A2060" s="6" t="s">
        <v>56</v>
      </c>
      <c r="B2060" s="6" t="s">
        <v>50</v>
      </c>
      <c r="C2060" s="6">
        <v>1</v>
      </c>
      <c r="D2060" s="6">
        <v>2</v>
      </c>
      <c r="E2060" s="6">
        <v>1</v>
      </c>
      <c r="F2060" s="10">
        <v>46265</v>
      </c>
      <c r="G2060" s="6" t="str">
        <f>_xlfn.TEXTJOIN("|",TRUE,GameLog[[#This Row],[Pod]],TEXT(INT(GameLog[[#This Row],[Round]]),"yyyymmdd"),GameLog[[#This Row],[Date]])</f>
        <v>2|19000101|46265</v>
      </c>
      <c r="H2060" s="6">
        <f>COUNTIF(GameLog[Pod ID],GameLog[[#This Row],[Pod ID]])</f>
        <v>4</v>
      </c>
      <c r="I2060" s="6">
        <f>YEAR(GameLog[[#This Row],[Date]])</f>
        <v>2026</v>
      </c>
      <c r="J2060" s="6">
        <f>MONTH(GameLog[[#This Row],[Date]])</f>
        <v>8</v>
      </c>
      <c r="K2060" s="6" t="str">
        <f>IF(GameLog[[#This Row],[Date]]=MAX(GameLog[Date]),"Current","Previous")</f>
        <v>Previous</v>
      </c>
      <c r="L2060" s="6"/>
      <c r="M20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0" s="6" t="str">
        <f ca="1">IF(GameLog[[#This Row],[Check]]="","",COUNTIF(GameLog[[#Headers],[Check]]:GameLog[[#This Row],[Check]],"?*")-1)</f>
        <v/>
      </c>
      <c r="O2060" s="6" t="str">
        <f>IFERROR(INDEX(Players[New name],MATCH(GameLog[[#This Row],[Player]],Players[Name],0)),GameLog[[#This Row],[Player]])</f>
        <v>Mark D</v>
      </c>
    </row>
    <row r="2061" spans="1:15" x14ac:dyDescent="0.45">
      <c r="A2061" s="6" t="s">
        <v>63</v>
      </c>
      <c r="B2061" s="6" t="s">
        <v>53</v>
      </c>
      <c r="C2061" s="6">
        <v>2</v>
      </c>
      <c r="D2061" s="6">
        <v>2</v>
      </c>
      <c r="E2061" s="6">
        <v>1</v>
      </c>
      <c r="F2061" s="10">
        <v>46265</v>
      </c>
      <c r="G2061" s="6" t="str">
        <f>_xlfn.TEXTJOIN("|",TRUE,GameLog[[#This Row],[Pod]],TEXT(INT(GameLog[[#This Row],[Round]]),"yyyymmdd"),GameLog[[#This Row],[Date]])</f>
        <v>2|19000101|46265</v>
      </c>
      <c r="H2061" s="6">
        <f>COUNTIF(GameLog[Pod ID],GameLog[[#This Row],[Pod ID]])</f>
        <v>4</v>
      </c>
      <c r="I2061" s="6">
        <f>YEAR(GameLog[[#This Row],[Date]])</f>
        <v>2026</v>
      </c>
      <c r="J2061" s="6">
        <f>MONTH(GameLog[[#This Row],[Date]])</f>
        <v>8</v>
      </c>
      <c r="K2061" s="6" t="str">
        <f>IF(GameLog[[#This Row],[Date]]=MAX(GameLog[Date]),"Current","Previous")</f>
        <v>Previous</v>
      </c>
      <c r="L2061" s="6"/>
      <c r="M20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1" s="6" t="str">
        <f ca="1">IF(GameLog[[#This Row],[Check]]="","",COUNTIF(GameLog[[#Headers],[Check]]:GameLog[[#This Row],[Check]],"?*")-1)</f>
        <v/>
      </c>
      <c r="O2061" s="6" t="str">
        <f>IFERROR(INDEX(Players[New name],MATCH(GameLog[[#This Row],[Player]],Players[Name],0)),GameLog[[#This Row],[Player]])</f>
        <v>Jake D</v>
      </c>
    </row>
    <row r="2062" spans="1:15" x14ac:dyDescent="0.45">
      <c r="A2062" s="6" t="s">
        <v>64</v>
      </c>
      <c r="B2062" s="6" t="s">
        <v>53</v>
      </c>
      <c r="C2062" s="6">
        <v>3</v>
      </c>
      <c r="D2062" s="6">
        <v>2</v>
      </c>
      <c r="E2062" s="6">
        <v>1</v>
      </c>
      <c r="F2062" s="10">
        <v>46265</v>
      </c>
      <c r="G2062" s="6" t="str">
        <f>_xlfn.TEXTJOIN("|",TRUE,GameLog[[#This Row],[Pod]],TEXT(INT(GameLog[[#This Row],[Round]]),"yyyymmdd"),GameLog[[#This Row],[Date]])</f>
        <v>2|19000101|46265</v>
      </c>
      <c r="H2062" s="6">
        <f>COUNTIF(GameLog[Pod ID],GameLog[[#This Row],[Pod ID]])</f>
        <v>4</v>
      </c>
      <c r="I2062" s="6">
        <f>YEAR(GameLog[[#This Row],[Date]])</f>
        <v>2026</v>
      </c>
      <c r="J2062" s="6">
        <f>MONTH(GameLog[[#This Row],[Date]])</f>
        <v>8</v>
      </c>
      <c r="K2062" s="6" t="str">
        <f>IF(GameLog[[#This Row],[Date]]=MAX(GameLog[Date]),"Current","Previous")</f>
        <v>Previous</v>
      </c>
      <c r="L2062" s="6"/>
      <c r="M20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2" s="6" t="str">
        <f ca="1">IF(GameLog[[#This Row],[Check]]="","",COUNTIF(GameLog[[#Headers],[Check]]:GameLog[[#This Row],[Check]],"?*")-1)</f>
        <v/>
      </c>
      <c r="O2062" s="6" t="str">
        <f>IFERROR(INDEX(Players[New name],MATCH(GameLog[[#This Row],[Player]],Players[Name],0)),GameLog[[#This Row],[Player]])</f>
        <v>Tyler B</v>
      </c>
    </row>
    <row r="2063" spans="1:15" x14ac:dyDescent="0.45">
      <c r="A2063" s="6" t="s">
        <v>76</v>
      </c>
      <c r="B2063" s="6" t="s">
        <v>53</v>
      </c>
      <c r="C2063" s="6">
        <v>4</v>
      </c>
      <c r="D2063" s="6">
        <v>2</v>
      </c>
      <c r="E2063" s="6">
        <v>1</v>
      </c>
      <c r="F2063" s="10">
        <v>46265</v>
      </c>
      <c r="G2063" s="6" t="str">
        <f>_xlfn.TEXTJOIN("|",TRUE,GameLog[[#This Row],[Pod]],TEXT(INT(GameLog[[#This Row],[Round]]),"yyyymmdd"),GameLog[[#This Row],[Date]])</f>
        <v>2|19000101|46265</v>
      </c>
      <c r="H2063" s="6">
        <f>COUNTIF(GameLog[Pod ID],GameLog[[#This Row],[Pod ID]])</f>
        <v>4</v>
      </c>
      <c r="I2063" s="6">
        <f>YEAR(GameLog[[#This Row],[Date]])</f>
        <v>2026</v>
      </c>
      <c r="J2063" s="6">
        <f>MONTH(GameLog[[#This Row],[Date]])</f>
        <v>8</v>
      </c>
      <c r="K2063" s="6" t="str">
        <f>IF(GameLog[[#This Row],[Date]]=MAX(GameLog[Date]),"Current","Previous")</f>
        <v>Previous</v>
      </c>
      <c r="L2063" s="6"/>
      <c r="M20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3" s="6" t="str">
        <f ca="1">IF(GameLog[[#This Row],[Check]]="","",COUNTIF(GameLog[[#Headers],[Check]]:GameLog[[#This Row],[Check]],"?*")-1)</f>
        <v/>
      </c>
      <c r="O2063" s="6" t="str">
        <f>IFERROR(INDEX(Players[New name],MATCH(GameLog[[#This Row],[Player]],Players[Name],0)),GameLog[[#This Row],[Player]])</f>
        <v>Jon M</v>
      </c>
    </row>
    <row r="2064" spans="1:15" x14ac:dyDescent="0.45">
      <c r="A2064" s="6" t="s">
        <v>102</v>
      </c>
      <c r="B2064" s="6" t="s">
        <v>90</v>
      </c>
      <c r="C2064" s="6">
        <v>1</v>
      </c>
      <c r="D2064" s="6">
        <v>3</v>
      </c>
      <c r="E2064" s="6">
        <v>1</v>
      </c>
      <c r="F2064" s="10">
        <v>46265</v>
      </c>
      <c r="G2064" s="6" t="str">
        <f>_xlfn.TEXTJOIN("|",TRUE,GameLog[[#This Row],[Pod]],TEXT(INT(GameLog[[#This Row],[Round]]),"yyyymmdd"),GameLog[[#This Row],[Date]])</f>
        <v>3|19000101|46265</v>
      </c>
      <c r="H2064" s="6">
        <f>COUNTIF(GameLog[Pod ID],GameLog[[#This Row],[Pod ID]])</f>
        <v>4</v>
      </c>
      <c r="I2064" s="6">
        <f>YEAR(GameLog[[#This Row],[Date]])</f>
        <v>2026</v>
      </c>
      <c r="J2064" s="6">
        <f>MONTH(GameLog[[#This Row],[Date]])</f>
        <v>8</v>
      </c>
      <c r="K2064" s="6" t="str">
        <f>IF(GameLog[[#This Row],[Date]]=MAX(GameLog[Date]),"Current","Previous")</f>
        <v>Previous</v>
      </c>
      <c r="L2064" s="6"/>
      <c r="M20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4" s="6" t="str">
        <f ca="1">IF(GameLog[[#This Row],[Check]]="","",COUNTIF(GameLog[[#Headers],[Check]]:GameLog[[#This Row],[Check]],"?*")-1)</f>
        <v/>
      </c>
      <c r="O2064" s="6" t="str">
        <f>IFERROR(INDEX(Players[New name],MATCH(GameLog[[#This Row],[Player]],Players[Name],0)),GameLog[[#This Row],[Player]])</f>
        <v>Sage</v>
      </c>
    </row>
    <row r="2065" spans="1:15" x14ac:dyDescent="0.45">
      <c r="A2065" s="6" t="s">
        <v>55</v>
      </c>
      <c r="B2065" s="6" t="s">
        <v>90</v>
      </c>
      <c r="C2065" s="6">
        <v>2</v>
      </c>
      <c r="D2065" s="6">
        <v>3</v>
      </c>
      <c r="E2065" s="6">
        <v>1</v>
      </c>
      <c r="F2065" s="10">
        <v>46265</v>
      </c>
      <c r="G2065" s="6" t="str">
        <f>_xlfn.TEXTJOIN("|",TRUE,GameLog[[#This Row],[Pod]],TEXT(INT(GameLog[[#This Row],[Round]]),"yyyymmdd"),GameLog[[#This Row],[Date]])</f>
        <v>3|19000101|46265</v>
      </c>
      <c r="H2065" s="6">
        <f>COUNTIF(GameLog[Pod ID],GameLog[[#This Row],[Pod ID]])</f>
        <v>4</v>
      </c>
      <c r="I2065" s="6">
        <f>YEAR(GameLog[[#This Row],[Date]])</f>
        <v>2026</v>
      </c>
      <c r="J2065" s="6">
        <f>MONTH(GameLog[[#This Row],[Date]])</f>
        <v>8</v>
      </c>
      <c r="K2065" s="6" t="str">
        <f>IF(GameLog[[#This Row],[Date]]=MAX(GameLog[Date]),"Current","Previous")</f>
        <v>Previous</v>
      </c>
      <c r="L2065" s="6"/>
      <c r="M20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5" s="6" t="str">
        <f ca="1">IF(GameLog[[#This Row],[Check]]="","",COUNTIF(GameLog[[#Headers],[Check]]:GameLog[[#This Row],[Check]],"?*")-1)</f>
        <v/>
      </c>
      <c r="O2065" s="6" t="str">
        <f>IFERROR(INDEX(Players[New name],MATCH(GameLog[[#This Row],[Player]],Players[Name],0)),GameLog[[#This Row],[Player]])</f>
        <v>Bryce C</v>
      </c>
    </row>
    <row r="2066" spans="1:15" x14ac:dyDescent="0.45">
      <c r="A2066" s="6" t="s">
        <v>49</v>
      </c>
      <c r="B2066" s="6" t="s">
        <v>90</v>
      </c>
      <c r="C2066" s="6">
        <v>3</v>
      </c>
      <c r="D2066" s="6">
        <v>3</v>
      </c>
      <c r="E2066" s="6">
        <v>1</v>
      </c>
      <c r="F2066" s="10">
        <v>46265</v>
      </c>
      <c r="G2066" s="6" t="str">
        <f>_xlfn.TEXTJOIN("|",TRUE,GameLog[[#This Row],[Pod]],TEXT(INT(GameLog[[#This Row],[Round]]),"yyyymmdd"),GameLog[[#This Row],[Date]])</f>
        <v>3|19000101|46265</v>
      </c>
      <c r="H2066" s="6">
        <f>COUNTIF(GameLog[Pod ID],GameLog[[#This Row],[Pod ID]])</f>
        <v>4</v>
      </c>
      <c r="I2066" s="6">
        <f>YEAR(GameLog[[#This Row],[Date]])</f>
        <v>2026</v>
      </c>
      <c r="J2066" s="6">
        <f>MONTH(GameLog[[#This Row],[Date]])</f>
        <v>8</v>
      </c>
      <c r="K2066" s="6" t="str">
        <f>IF(GameLog[[#This Row],[Date]]=MAX(GameLog[Date]),"Current","Previous")</f>
        <v>Previous</v>
      </c>
      <c r="L2066" s="6"/>
      <c r="M20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6" s="6" t="str">
        <f ca="1">IF(GameLog[[#This Row],[Check]]="","",COUNTIF(GameLog[[#Headers],[Check]]:GameLog[[#This Row],[Check]],"?*")-1)</f>
        <v/>
      </c>
      <c r="O2066" s="6" t="str">
        <f>IFERROR(INDEX(Players[New name],MATCH(GameLog[[#This Row],[Player]],Players[Name],0)),GameLog[[#This Row],[Player]])</f>
        <v>Brett R</v>
      </c>
    </row>
    <row r="2067" spans="1:15" x14ac:dyDescent="0.45">
      <c r="A2067" s="6" t="s">
        <v>73</v>
      </c>
      <c r="B2067" s="6" t="s">
        <v>90</v>
      </c>
      <c r="C2067" s="6">
        <v>4</v>
      </c>
      <c r="D2067" s="6">
        <v>3</v>
      </c>
      <c r="E2067" s="6">
        <v>1</v>
      </c>
      <c r="F2067" s="10">
        <v>46265</v>
      </c>
      <c r="G2067" s="6" t="str">
        <f>_xlfn.TEXTJOIN("|",TRUE,GameLog[[#This Row],[Pod]],TEXT(INT(GameLog[[#This Row],[Round]]),"yyyymmdd"),GameLog[[#This Row],[Date]])</f>
        <v>3|19000101|46265</v>
      </c>
      <c r="H2067" s="6">
        <f>COUNTIF(GameLog[Pod ID],GameLog[[#This Row],[Pod ID]])</f>
        <v>4</v>
      </c>
      <c r="I2067" s="6">
        <f>YEAR(GameLog[[#This Row],[Date]])</f>
        <v>2026</v>
      </c>
      <c r="J2067" s="6">
        <f>MONTH(GameLog[[#This Row],[Date]])</f>
        <v>8</v>
      </c>
      <c r="K2067" s="6" t="str">
        <f>IF(GameLog[[#This Row],[Date]]=MAX(GameLog[Date]),"Current","Previous")</f>
        <v>Previous</v>
      </c>
      <c r="L2067" s="6"/>
      <c r="M20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7" s="6" t="str">
        <f ca="1">IF(GameLog[[#This Row],[Check]]="","",COUNTIF(GameLog[[#Headers],[Check]]:GameLog[[#This Row],[Check]],"?*")-1)</f>
        <v/>
      </c>
      <c r="O2067" s="6" t="str">
        <f>IFERROR(INDEX(Players[New name],MATCH(GameLog[[#This Row],[Player]],Players[Name],0)),GameLog[[#This Row],[Player]])</f>
        <v>Brandon B</v>
      </c>
    </row>
    <row r="2068" spans="1:15" x14ac:dyDescent="0.45">
      <c r="A2068" s="6" t="s">
        <v>75</v>
      </c>
      <c r="B2068" s="6" t="s">
        <v>90</v>
      </c>
      <c r="C2068" s="6">
        <v>1</v>
      </c>
      <c r="D2068" s="6">
        <v>4</v>
      </c>
      <c r="E2068" s="6">
        <v>1</v>
      </c>
      <c r="F2068" s="10">
        <v>46265</v>
      </c>
      <c r="G2068" s="6" t="str">
        <f>_xlfn.TEXTJOIN("|",TRUE,GameLog[[#This Row],[Pod]],TEXT(INT(GameLog[[#This Row],[Round]]),"yyyymmdd"),GameLog[[#This Row],[Date]])</f>
        <v>4|19000101|46265</v>
      </c>
      <c r="H2068" s="6">
        <f>COUNTIF(GameLog[Pod ID],GameLog[[#This Row],[Pod ID]])</f>
        <v>4</v>
      </c>
      <c r="I2068" s="6">
        <f>YEAR(GameLog[[#This Row],[Date]])</f>
        <v>2026</v>
      </c>
      <c r="J2068" s="6">
        <f>MONTH(GameLog[[#This Row],[Date]])</f>
        <v>8</v>
      </c>
      <c r="K2068" s="6" t="str">
        <f>IF(GameLog[[#This Row],[Date]]=MAX(GameLog[Date]),"Current","Previous")</f>
        <v>Previous</v>
      </c>
      <c r="L2068" s="6"/>
      <c r="M20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8" s="6" t="str">
        <f ca="1">IF(GameLog[[#This Row],[Check]]="","",COUNTIF(GameLog[[#Headers],[Check]]:GameLog[[#This Row],[Check]],"?*")-1)</f>
        <v/>
      </c>
      <c r="O2068" s="6" t="str">
        <f>IFERROR(INDEX(Players[New name],MATCH(GameLog[[#This Row],[Player]],Players[Name],0)),GameLog[[#This Row],[Player]])</f>
        <v>Eli T</v>
      </c>
    </row>
    <row r="2069" spans="1:15" x14ac:dyDescent="0.45">
      <c r="A2069" s="6" t="s">
        <v>96</v>
      </c>
      <c r="B2069" s="6" t="s">
        <v>90</v>
      </c>
      <c r="C2069" s="6">
        <v>2</v>
      </c>
      <c r="D2069" s="6">
        <v>4</v>
      </c>
      <c r="E2069" s="6">
        <v>1</v>
      </c>
      <c r="F2069" s="10">
        <v>46265</v>
      </c>
      <c r="G2069" s="6" t="str">
        <f>_xlfn.TEXTJOIN("|",TRUE,GameLog[[#This Row],[Pod]],TEXT(INT(GameLog[[#This Row],[Round]]),"yyyymmdd"),GameLog[[#This Row],[Date]])</f>
        <v>4|19000101|46265</v>
      </c>
      <c r="H2069" s="6">
        <f>COUNTIF(GameLog[Pod ID],GameLog[[#This Row],[Pod ID]])</f>
        <v>4</v>
      </c>
      <c r="I2069" s="6">
        <f>YEAR(GameLog[[#This Row],[Date]])</f>
        <v>2026</v>
      </c>
      <c r="J2069" s="6">
        <f>MONTH(GameLog[[#This Row],[Date]])</f>
        <v>8</v>
      </c>
      <c r="K2069" s="6" t="str">
        <f>IF(GameLog[[#This Row],[Date]]=MAX(GameLog[Date]),"Current","Previous")</f>
        <v>Previous</v>
      </c>
      <c r="L2069" s="6"/>
      <c r="M20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69" s="6" t="str">
        <f ca="1">IF(GameLog[[#This Row],[Check]]="","",COUNTIF(GameLog[[#Headers],[Check]]:GameLog[[#This Row],[Check]],"?*")-1)</f>
        <v/>
      </c>
      <c r="O2069" s="6" t="str">
        <f>IFERROR(INDEX(Players[New name],MATCH(GameLog[[#This Row],[Player]],Players[Name],0)),GameLog[[#This Row],[Player]])</f>
        <v>Brandon A</v>
      </c>
    </row>
    <row r="2070" spans="1:15" x14ac:dyDescent="0.45">
      <c r="A2070" s="6" t="s">
        <v>113</v>
      </c>
      <c r="B2070" s="6" t="s">
        <v>90</v>
      </c>
      <c r="C2070" s="6">
        <v>3</v>
      </c>
      <c r="D2070" s="6">
        <v>4</v>
      </c>
      <c r="E2070" s="6">
        <v>1</v>
      </c>
      <c r="F2070" s="10">
        <v>46265</v>
      </c>
      <c r="G2070" s="6" t="str">
        <f>_xlfn.TEXTJOIN("|",TRUE,GameLog[[#This Row],[Pod]],TEXT(INT(GameLog[[#This Row],[Round]]),"yyyymmdd"),GameLog[[#This Row],[Date]])</f>
        <v>4|19000101|46265</v>
      </c>
      <c r="H2070" s="6">
        <f>COUNTIF(GameLog[Pod ID],GameLog[[#This Row],[Pod ID]])</f>
        <v>4</v>
      </c>
      <c r="I2070" s="6">
        <f>YEAR(GameLog[[#This Row],[Date]])</f>
        <v>2026</v>
      </c>
      <c r="J2070" s="6">
        <f>MONTH(GameLog[[#This Row],[Date]])</f>
        <v>8</v>
      </c>
      <c r="K2070" s="6" t="str">
        <f>IF(GameLog[[#This Row],[Date]]=MAX(GameLog[Date]),"Current","Previous")</f>
        <v>Previous</v>
      </c>
      <c r="L2070" s="6"/>
      <c r="M20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0" s="6" t="str">
        <f ca="1">IF(GameLog[[#This Row],[Check]]="","",COUNTIF(GameLog[[#Headers],[Check]]:GameLog[[#This Row],[Check]],"?*")-1)</f>
        <v/>
      </c>
      <c r="O2070" s="6" t="str">
        <f>IFERROR(INDEX(Players[New name],MATCH(GameLog[[#This Row],[Player]],Players[Name],0)),GameLog[[#This Row],[Player]])</f>
        <v>Gavin J</v>
      </c>
    </row>
    <row r="2071" spans="1:15" x14ac:dyDescent="0.45">
      <c r="A2071" s="6" t="s">
        <v>61</v>
      </c>
      <c r="B2071" s="6" t="s">
        <v>90</v>
      </c>
      <c r="C2071" s="6">
        <v>4</v>
      </c>
      <c r="D2071" s="6">
        <v>4</v>
      </c>
      <c r="E2071" s="6">
        <v>1</v>
      </c>
      <c r="F2071" s="10">
        <v>46265</v>
      </c>
      <c r="G2071" s="6" t="str">
        <f>_xlfn.TEXTJOIN("|",TRUE,GameLog[[#This Row],[Pod]],TEXT(INT(GameLog[[#This Row],[Round]]),"yyyymmdd"),GameLog[[#This Row],[Date]])</f>
        <v>4|19000101|46265</v>
      </c>
      <c r="H2071" s="6">
        <f>COUNTIF(GameLog[Pod ID],GameLog[[#This Row],[Pod ID]])</f>
        <v>4</v>
      </c>
      <c r="I2071" s="6">
        <f>YEAR(GameLog[[#This Row],[Date]])</f>
        <v>2026</v>
      </c>
      <c r="J2071" s="6">
        <f>MONTH(GameLog[[#This Row],[Date]])</f>
        <v>8</v>
      </c>
      <c r="K2071" s="6" t="str">
        <f>IF(GameLog[[#This Row],[Date]]=MAX(GameLog[Date]),"Current","Previous")</f>
        <v>Previous</v>
      </c>
      <c r="L2071" s="6"/>
      <c r="M20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1" s="6" t="str">
        <f ca="1">IF(GameLog[[#This Row],[Check]]="","",COUNTIF(GameLog[[#Headers],[Check]]:GameLog[[#This Row],[Check]],"?*")-1)</f>
        <v/>
      </c>
      <c r="O2071" s="6" t="str">
        <f>IFERROR(INDEX(Players[New name],MATCH(GameLog[[#This Row],[Player]],Players[Name],0)),GameLog[[#This Row],[Player]])</f>
        <v>Trevor</v>
      </c>
    </row>
    <row r="2072" spans="1:15" x14ac:dyDescent="0.45">
      <c r="A2072" s="6" t="s">
        <v>70</v>
      </c>
      <c r="B2072" s="6" t="s">
        <v>53</v>
      </c>
      <c r="C2072" s="6">
        <v>1</v>
      </c>
      <c r="D2072" s="6">
        <v>5</v>
      </c>
      <c r="E2072" s="6">
        <v>1</v>
      </c>
      <c r="F2072" s="10">
        <v>46265</v>
      </c>
      <c r="G2072" s="6" t="str">
        <f>_xlfn.TEXTJOIN("|",TRUE,GameLog[[#This Row],[Pod]],TEXT(INT(GameLog[[#This Row],[Round]]),"yyyymmdd"),GameLog[[#This Row],[Date]])</f>
        <v>5|19000101|46265</v>
      </c>
      <c r="H2072" s="6">
        <f>COUNTIF(GameLog[Pod ID],GameLog[[#This Row],[Pod ID]])</f>
        <v>3</v>
      </c>
      <c r="I2072" s="6">
        <f>YEAR(GameLog[[#This Row],[Date]])</f>
        <v>2026</v>
      </c>
      <c r="J2072" s="6">
        <f>MONTH(GameLog[[#This Row],[Date]])</f>
        <v>8</v>
      </c>
      <c r="K2072" s="6" t="str">
        <f>IF(GameLog[[#This Row],[Date]]=MAX(GameLog[Date]),"Current","Previous")</f>
        <v>Previous</v>
      </c>
      <c r="L2072" s="6"/>
      <c r="M20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2" s="6" t="str">
        <f ca="1">IF(GameLog[[#This Row],[Check]]="","",COUNTIF(GameLog[[#Headers],[Check]]:GameLog[[#This Row],[Check]],"?*")-1)</f>
        <v/>
      </c>
      <c r="O2072" s="6" t="str">
        <f>IFERROR(INDEX(Players[New name],MATCH(GameLog[[#This Row],[Player]],Players[Name],0)),GameLog[[#This Row],[Player]])</f>
        <v>Brad F</v>
      </c>
    </row>
    <row r="2073" spans="1:15" x14ac:dyDescent="0.45">
      <c r="A2073" s="6" t="s">
        <v>58</v>
      </c>
      <c r="B2073" s="6" t="s">
        <v>50</v>
      </c>
      <c r="C2073" s="6">
        <v>2</v>
      </c>
      <c r="D2073" s="6">
        <v>5</v>
      </c>
      <c r="E2073" s="6">
        <v>1</v>
      </c>
      <c r="F2073" s="10">
        <v>46265</v>
      </c>
      <c r="G2073" s="6" t="str">
        <f>_xlfn.TEXTJOIN("|",TRUE,GameLog[[#This Row],[Pod]],TEXT(INT(GameLog[[#This Row],[Round]]),"yyyymmdd"),GameLog[[#This Row],[Date]])</f>
        <v>5|19000101|46265</v>
      </c>
      <c r="H2073" s="6">
        <f>COUNTIF(GameLog[Pod ID],GameLog[[#This Row],[Pod ID]])</f>
        <v>3</v>
      </c>
      <c r="I2073" s="6">
        <f>YEAR(GameLog[[#This Row],[Date]])</f>
        <v>2026</v>
      </c>
      <c r="J2073" s="6">
        <f>MONTH(GameLog[[#This Row],[Date]])</f>
        <v>8</v>
      </c>
      <c r="K2073" s="6" t="str">
        <f>IF(GameLog[[#This Row],[Date]]=MAX(GameLog[Date]),"Current","Previous")</f>
        <v>Previous</v>
      </c>
      <c r="L2073" s="6"/>
      <c r="M20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3" s="6" t="str">
        <f ca="1">IF(GameLog[[#This Row],[Check]]="","",COUNTIF(GameLog[[#Headers],[Check]]:GameLog[[#This Row],[Check]],"?*")-1)</f>
        <v/>
      </c>
      <c r="O2073" s="6" t="str">
        <f>IFERROR(INDEX(Players[New name],MATCH(GameLog[[#This Row],[Player]],Players[Name],0)),GameLog[[#This Row],[Player]])</f>
        <v>Dakota P</v>
      </c>
    </row>
    <row r="2074" spans="1:15" x14ac:dyDescent="0.45">
      <c r="A2074" s="6" t="s">
        <v>71</v>
      </c>
      <c r="B2074" s="6" t="s">
        <v>53</v>
      </c>
      <c r="C2074" s="6">
        <v>3</v>
      </c>
      <c r="D2074" s="6">
        <v>5</v>
      </c>
      <c r="E2074" s="6">
        <v>1</v>
      </c>
      <c r="F2074" s="10">
        <v>46265</v>
      </c>
      <c r="G2074" s="6" t="str">
        <f>_xlfn.TEXTJOIN("|",TRUE,GameLog[[#This Row],[Pod]],TEXT(INT(GameLog[[#This Row],[Round]]),"yyyymmdd"),GameLog[[#This Row],[Date]])</f>
        <v>5|19000101|46265</v>
      </c>
      <c r="H2074" s="6">
        <f>COUNTIF(GameLog[Pod ID],GameLog[[#This Row],[Pod ID]])</f>
        <v>3</v>
      </c>
      <c r="I2074" s="6">
        <f>YEAR(GameLog[[#This Row],[Date]])</f>
        <v>2026</v>
      </c>
      <c r="J2074" s="6">
        <f>MONTH(GameLog[[#This Row],[Date]])</f>
        <v>8</v>
      </c>
      <c r="K2074" s="6" t="str">
        <f>IF(GameLog[[#This Row],[Date]]=MAX(GameLog[Date]),"Current","Previous")</f>
        <v>Previous</v>
      </c>
      <c r="L2074" s="6"/>
      <c r="M20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4" s="6" t="str">
        <f ca="1">IF(GameLog[[#This Row],[Check]]="","",COUNTIF(GameLog[[#Headers],[Check]]:GameLog[[#This Row],[Check]],"?*")-1)</f>
        <v/>
      </c>
      <c r="O2074" s="6" t="str">
        <f>IFERROR(INDEX(Players[New name],MATCH(GameLog[[#This Row],[Player]],Players[Name],0)),GameLog[[#This Row],[Player]])</f>
        <v>Rodney Y</v>
      </c>
    </row>
    <row r="2075" spans="1:15" x14ac:dyDescent="0.45">
      <c r="A2075" s="6" t="s">
        <v>118</v>
      </c>
      <c r="B2075" s="6" t="s">
        <v>53</v>
      </c>
      <c r="C2075" s="6">
        <v>1</v>
      </c>
      <c r="D2075" s="6">
        <v>1</v>
      </c>
      <c r="E2075" s="6">
        <v>2</v>
      </c>
      <c r="F2075" s="10">
        <v>46265</v>
      </c>
      <c r="G2075" s="6" t="str">
        <f>_xlfn.TEXTJOIN("|",TRUE,GameLog[[#This Row],[Pod]],TEXT(INT(GameLog[[#This Row],[Round]]),"yyyymmdd"),GameLog[[#This Row],[Date]])</f>
        <v>1|19000102|46265</v>
      </c>
      <c r="H2075" s="6">
        <f>COUNTIF(GameLog[Pod ID],GameLog[[#This Row],[Pod ID]])</f>
        <v>4</v>
      </c>
      <c r="I2075" s="6">
        <f>YEAR(GameLog[[#This Row],[Date]])</f>
        <v>2026</v>
      </c>
      <c r="J2075" s="6">
        <f>MONTH(GameLog[[#This Row],[Date]])</f>
        <v>8</v>
      </c>
      <c r="K2075" s="6" t="str">
        <f>IF(GameLog[[#This Row],[Date]]=MAX(GameLog[Date]),"Current","Previous")</f>
        <v>Previous</v>
      </c>
      <c r="L2075" s="6"/>
      <c r="M20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5" s="6" t="str">
        <f ca="1">IF(GameLog[[#This Row],[Check]]="","",COUNTIF(GameLog[[#Headers],[Check]]:GameLog[[#This Row],[Check]],"?*")-1)</f>
        <v/>
      </c>
      <c r="O2075" s="6" t="str">
        <f>IFERROR(INDEX(Players[New name],MATCH(GameLog[[#This Row],[Player]],Players[Name],0)),GameLog[[#This Row],[Player]])</f>
        <v>Eric T</v>
      </c>
    </row>
    <row r="2076" spans="1:15" x14ac:dyDescent="0.45">
      <c r="A2076" s="6" t="s">
        <v>73</v>
      </c>
      <c r="B2076" s="6" t="s">
        <v>53</v>
      </c>
      <c r="C2076" s="6">
        <v>2</v>
      </c>
      <c r="D2076" s="6">
        <v>1</v>
      </c>
      <c r="E2076" s="6">
        <v>2</v>
      </c>
      <c r="F2076" s="10">
        <v>46265</v>
      </c>
      <c r="G2076" s="6" t="str">
        <f>_xlfn.TEXTJOIN("|",TRUE,GameLog[[#This Row],[Pod]],TEXT(INT(GameLog[[#This Row],[Round]]),"yyyymmdd"),GameLog[[#This Row],[Date]])</f>
        <v>1|19000102|46265</v>
      </c>
      <c r="H2076" s="6">
        <f>COUNTIF(GameLog[Pod ID],GameLog[[#This Row],[Pod ID]])</f>
        <v>4</v>
      </c>
      <c r="I2076" s="6">
        <f>YEAR(GameLog[[#This Row],[Date]])</f>
        <v>2026</v>
      </c>
      <c r="J2076" s="6">
        <f>MONTH(GameLog[[#This Row],[Date]])</f>
        <v>8</v>
      </c>
      <c r="K2076" s="6" t="str">
        <f>IF(GameLog[[#This Row],[Date]]=MAX(GameLog[Date]),"Current","Previous")</f>
        <v>Previous</v>
      </c>
      <c r="L2076" s="6"/>
      <c r="M20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6" s="6" t="str">
        <f ca="1">IF(GameLog[[#This Row],[Check]]="","",COUNTIF(GameLog[[#Headers],[Check]]:GameLog[[#This Row],[Check]],"?*")-1)</f>
        <v/>
      </c>
      <c r="O2076" s="6" t="str">
        <f>IFERROR(INDEX(Players[New name],MATCH(GameLog[[#This Row],[Player]],Players[Name],0)),GameLog[[#This Row],[Player]])</f>
        <v>Brandon B</v>
      </c>
    </row>
    <row r="2077" spans="1:15" x14ac:dyDescent="0.45">
      <c r="A2077" s="6" t="s">
        <v>58</v>
      </c>
      <c r="B2077" s="6" t="s">
        <v>53</v>
      </c>
      <c r="C2077" s="6">
        <v>3</v>
      </c>
      <c r="D2077" s="6">
        <v>1</v>
      </c>
      <c r="E2077" s="6">
        <v>2</v>
      </c>
      <c r="F2077" s="10">
        <v>46265</v>
      </c>
      <c r="G2077" s="6" t="str">
        <f>_xlfn.TEXTJOIN("|",TRUE,GameLog[[#This Row],[Pod]],TEXT(INT(GameLog[[#This Row],[Round]]),"yyyymmdd"),GameLog[[#This Row],[Date]])</f>
        <v>1|19000102|46265</v>
      </c>
      <c r="H2077" s="6">
        <f>COUNTIF(GameLog[Pod ID],GameLog[[#This Row],[Pod ID]])</f>
        <v>4</v>
      </c>
      <c r="I2077" s="6">
        <f>YEAR(GameLog[[#This Row],[Date]])</f>
        <v>2026</v>
      </c>
      <c r="J2077" s="6">
        <f>MONTH(GameLog[[#This Row],[Date]])</f>
        <v>8</v>
      </c>
      <c r="K2077" s="6" t="str">
        <f>IF(GameLog[[#This Row],[Date]]=MAX(GameLog[Date]),"Current","Previous")</f>
        <v>Previous</v>
      </c>
      <c r="L2077" s="6"/>
      <c r="M20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7" s="6" t="str">
        <f ca="1">IF(GameLog[[#This Row],[Check]]="","",COUNTIF(GameLog[[#Headers],[Check]]:GameLog[[#This Row],[Check]],"?*")-1)</f>
        <v/>
      </c>
      <c r="O2077" s="6" t="str">
        <f>IFERROR(INDEX(Players[New name],MATCH(GameLog[[#This Row],[Player]],Players[Name],0)),GameLog[[#This Row],[Player]])</f>
        <v>Dakota P</v>
      </c>
    </row>
    <row r="2078" spans="1:15" x14ac:dyDescent="0.45">
      <c r="A2078" s="6" t="s">
        <v>56</v>
      </c>
      <c r="B2078" s="6" t="s">
        <v>50</v>
      </c>
      <c r="C2078" s="6">
        <v>4</v>
      </c>
      <c r="D2078" s="6">
        <v>1</v>
      </c>
      <c r="E2078" s="6">
        <v>2</v>
      </c>
      <c r="F2078" s="10">
        <v>46265</v>
      </c>
      <c r="G2078" s="6" t="str">
        <f>_xlfn.TEXTJOIN("|",TRUE,GameLog[[#This Row],[Pod]],TEXT(INT(GameLog[[#This Row],[Round]]),"yyyymmdd"),GameLog[[#This Row],[Date]])</f>
        <v>1|19000102|46265</v>
      </c>
      <c r="H2078" s="6">
        <f>COUNTIF(GameLog[Pod ID],GameLog[[#This Row],[Pod ID]])</f>
        <v>4</v>
      </c>
      <c r="I2078" s="6">
        <f>YEAR(GameLog[[#This Row],[Date]])</f>
        <v>2026</v>
      </c>
      <c r="J2078" s="6">
        <f>MONTH(GameLog[[#This Row],[Date]])</f>
        <v>8</v>
      </c>
      <c r="K2078" s="6" t="str">
        <f>IF(GameLog[[#This Row],[Date]]=MAX(GameLog[Date]),"Current","Previous")</f>
        <v>Previous</v>
      </c>
      <c r="L2078" s="6"/>
      <c r="M20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8" s="6" t="str">
        <f ca="1">IF(GameLog[[#This Row],[Check]]="","",COUNTIF(GameLog[[#Headers],[Check]]:GameLog[[#This Row],[Check]],"?*")-1)</f>
        <v/>
      </c>
      <c r="O2078" s="6" t="str">
        <f>IFERROR(INDEX(Players[New name],MATCH(GameLog[[#This Row],[Player]],Players[Name],0)),GameLog[[#This Row],[Player]])</f>
        <v>Mark D</v>
      </c>
    </row>
    <row r="2079" spans="1:15" x14ac:dyDescent="0.45">
      <c r="A2079" s="6" t="s">
        <v>68</v>
      </c>
      <c r="B2079" s="6" t="s">
        <v>50</v>
      </c>
      <c r="C2079" s="6">
        <v>1</v>
      </c>
      <c r="D2079" s="6">
        <v>2</v>
      </c>
      <c r="E2079" s="6">
        <v>2</v>
      </c>
      <c r="F2079" s="10">
        <v>46265</v>
      </c>
      <c r="G2079" s="6" t="str">
        <f>_xlfn.TEXTJOIN("|",TRUE,GameLog[[#This Row],[Pod]],TEXT(INT(GameLog[[#This Row],[Round]]),"yyyymmdd"),GameLog[[#This Row],[Date]])</f>
        <v>2|19000102|46265</v>
      </c>
      <c r="H2079" s="6">
        <f>COUNTIF(GameLog[Pod ID],GameLog[[#This Row],[Pod ID]])</f>
        <v>4</v>
      </c>
      <c r="I2079" s="6">
        <f>YEAR(GameLog[[#This Row],[Date]])</f>
        <v>2026</v>
      </c>
      <c r="J2079" s="6">
        <f>MONTH(GameLog[[#This Row],[Date]])</f>
        <v>8</v>
      </c>
      <c r="K2079" s="6" t="str">
        <f>IF(GameLog[[#This Row],[Date]]=MAX(GameLog[Date]),"Current","Previous")</f>
        <v>Previous</v>
      </c>
      <c r="L2079" s="6"/>
      <c r="M20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79" s="6" t="str">
        <f ca="1">IF(GameLog[[#This Row],[Check]]="","",COUNTIF(GameLog[[#Headers],[Check]]:GameLog[[#This Row],[Check]],"?*")-1)</f>
        <v/>
      </c>
      <c r="O2079" s="6" t="str">
        <f>IFERROR(INDEX(Players[New name],MATCH(GameLog[[#This Row],[Player]],Players[Name],0)),GameLog[[#This Row],[Player]])</f>
        <v>Edwin M</v>
      </c>
    </row>
    <row r="2080" spans="1:15" x14ac:dyDescent="0.45">
      <c r="A2080" s="6" t="s">
        <v>63</v>
      </c>
      <c r="B2080" s="6" t="s">
        <v>53</v>
      </c>
      <c r="C2080" s="6">
        <v>2</v>
      </c>
      <c r="D2080" s="6">
        <v>2</v>
      </c>
      <c r="E2080" s="6">
        <v>2</v>
      </c>
      <c r="F2080" s="10">
        <v>46265</v>
      </c>
      <c r="G2080" s="6" t="str">
        <f>_xlfn.TEXTJOIN("|",TRUE,GameLog[[#This Row],[Pod]],TEXT(INT(GameLog[[#This Row],[Round]]),"yyyymmdd"),GameLog[[#This Row],[Date]])</f>
        <v>2|19000102|46265</v>
      </c>
      <c r="H2080" s="6">
        <f>COUNTIF(GameLog[Pod ID],GameLog[[#This Row],[Pod ID]])</f>
        <v>4</v>
      </c>
      <c r="I2080" s="6">
        <f>YEAR(GameLog[[#This Row],[Date]])</f>
        <v>2026</v>
      </c>
      <c r="J2080" s="6">
        <f>MONTH(GameLog[[#This Row],[Date]])</f>
        <v>8</v>
      </c>
      <c r="K2080" s="6" t="str">
        <f>IF(GameLog[[#This Row],[Date]]=MAX(GameLog[Date]),"Current","Previous")</f>
        <v>Previous</v>
      </c>
      <c r="L2080" s="6"/>
      <c r="M20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0" s="6" t="str">
        <f ca="1">IF(GameLog[[#This Row],[Check]]="","",COUNTIF(GameLog[[#Headers],[Check]]:GameLog[[#This Row],[Check]],"?*")-1)</f>
        <v/>
      </c>
      <c r="O2080" s="6" t="str">
        <f>IFERROR(INDEX(Players[New name],MATCH(GameLog[[#This Row],[Player]],Players[Name],0)),GameLog[[#This Row],[Player]])</f>
        <v>Jake D</v>
      </c>
    </row>
    <row r="2081" spans="1:15" x14ac:dyDescent="0.45">
      <c r="A2081" s="6" t="s">
        <v>102</v>
      </c>
      <c r="B2081" s="6" t="s">
        <v>53</v>
      </c>
      <c r="C2081" s="6">
        <v>3</v>
      </c>
      <c r="D2081" s="6">
        <v>2</v>
      </c>
      <c r="E2081" s="6">
        <v>2</v>
      </c>
      <c r="F2081" s="10">
        <v>46265</v>
      </c>
      <c r="G2081" s="6" t="str">
        <f>_xlfn.TEXTJOIN("|",TRUE,GameLog[[#This Row],[Pod]],TEXT(INT(GameLog[[#This Row],[Round]]),"yyyymmdd"),GameLog[[#This Row],[Date]])</f>
        <v>2|19000102|46265</v>
      </c>
      <c r="H2081" s="6">
        <f>COUNTIF(GameLog[Pod ID],GameLog[[#This Row],[Pod ID]])</f>
        <v>4</v>
      </c>
      <c r="I2081" s="6">
        <f>YEAR(GameLog[[#This Row],[Date]])</f>
        <v>2026</v>
      </c>
      <c r="J2081" s="6">
        <f>MONTH(GameLog[[#This Row],[Date]])</f>
        <v>8</v>
      </c>
      <c r="K2081" s="6" t="str">
        <f>IF(GameLog[[#This Row],[Date]]=MAX(GameLog[Date]),"Current","Previous")</f>
        <v>Previous</v>
      </c>
      <c r="L2081" s="6"/>
      <c r="M20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1" s="6" t="str">
        <f ca="1">IF(GameLog[[#This Row],[Check]]="","",COUNTIF(GameLog[[#Headers],[Check]]:GameLog[[#This Row],[Check]],"?*")-1)</f>
        <v/>
      </c>
      <c r="O2081" s="6" t="str">
        <f>IFERROR(INDEX(Players[New name],MATCH(GameLog[[#This Row],[Player]],Players[Name],0)),GameLog[[#This Row],[Player]])</f>
        <v>Sage</v>
      </c>
    </row>
    <row r="2082" spans="1:15" x14ac:dyDescent="0.45">
      <c r="A2082" s="6" t="s">
        <v>96</v>
      </c>
      <c r="B2082" s="6" t="s">
        <v>53</v>
      </c>
      <c r="C2082" s="6">
        <v>4</v>
      </c>
      <c r="D2082" s="6">
        <v>2</v>
      </c>
      <c r="E2082" s="6">
        <v>2</v>
      </c>
      <c r="F2082" s="10">
        <v>46265</v>
      </c>
      <c r="G2082" s="6" t="str">
        <f>_xlfn.TEXTJOIN("|",TRUE,GameLog[[#This Row],[Pod]],TEXT(INT(GameLog[[#This Row],[Round]]),"yyyymmdd"),GameLog[[#This Row],[Date]])</f>
        <v>2|19000102|46265</v>
      </c>
      <c r="H2082" s="6">
        <f>COUNTIF(GameLog[Pod ID],GameLog[[#This Row],[Pod ID]])</f>
        <v>4</v>
      </c>
      <c r="I2082" s="6">
        <f>YEAR(GameLog[[#This Row],[Date]])</f>
        <v>2026</v>
      </c>
      <c r="J2082" s="6">
        <f>MONTH(GameLog[[#This Row],[Date]])</f>
        <v>8</v>
      </c>
      <c r="K2082" s="6" t="str">
        <f>IF(GameLog[[#This Row],[Date]]=MAX(GameLog[Date]),"Current","Previous")</f>
        <v>Previous</v>
      </c>
      <c r="L2082" s="6"/>
      <c r="M20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2" s="6" t="str">
        <f ca="1">IF(GameLog[[#This Row],[Check]]="","",COUNTIF(GameLog[[#Headers],[Check]]:GameLog[[#This Row],[Check]],"?*")-1)</f>
        <v/>
      </c>
      <c r="O2082" s="6" t="str">
        <f>IFERROR(INDEX(Players[New name],MATCH(GameLog[[#This Row],[Player]],Players[Name],0)),GameLog[[#This Row],[Player]])</f>
        <v>Brandon A</v>
      </c>
    </row>
    <row r="2083" spans="1:15" x14ac:dyDescent="0.45">
      <c r="A2083" s="6" t="s">
        <v>71</v>
      </c>
      <c r="B2083" s="6" t="s">
        <v>90</v>
      </c>
      <c r="C2083" s="6">
        <v>1</v>
      </c>
      <c r="D2083" s="6">
        <v>3</v>
      </c>
      <c r="E2083" s="6">
        <v>2</v>
      </c>
      <c r="F2083" s="10">
        <v>46265</v>
      </c>
      <c r="G2083" s="6" t="str">
        <f>_xlfn.TEXTJOIN("|",TRUE,GameLog[[#This Row],[Pod]],TEXT(INT(GameLog[[#This Row],[Round]]),"yyyymmdd"),GameLog[[#This Row],[Date]])</f>
        <v>3|19000102|46265</v>
      </c>
      <c r="H2083" s="6">
        <f>COUNTIF(GameLog[Pod ID],GameLog[[#This Row],[Pod ID]])</f>
        <v>4</v>
      </c>
      <c r="I2083" s="6">
        <f>YEAR(GameLog[[#This Row],[Date]])</f>
        <v>2026</v>
      </c>
      <c r="J2083" s="6">
        <f>MONTH(GameLog[[#This Row],[Date]])</f>
        <v>8</v>
      </c>
      <c r="K2083" s="6" t="str">
        <f>IF(GameLog[[#This Row],[Date]]=MAX(GameLog[Date]),"Current","Previous")</f>
        <v>Previous</v>
      </c>
      <c r="L2083" s="6"/>
      <c r="M20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3" s="6" t="str">
        <f ca="1">IF(GameLog[[#This Row],[Check]]="","",COUNTIF(GameLog[[#Headers],[Check]]:GameLog[[#This Row],[Check]],"?*")-1)</f>
        <v/>
      </c>
      <c r="O2083" s="6" t="str">
        <f>IFERROR(INDEX(Players[New name],MATCH(GameLog[[#This Row],[Player]],Players[Name],0)),GameLog[[#This Row],[Player]])</f>
        <v>Rodney Y</v>
      </c>
    </row>
    <row r="2084" spans="1:15" x14ac:dyDescent="0.45">
      <c r="A2084" s="6" t="s">
        <v>113</v>
      </c>
      <c r="B2084" s="6" t="s">
        <v>90</v>
      </c>
      <c r="C2084" s="6">
        <v>2</v>
      </c>
      <c r="D2084" s="6">
        <v>3</v>
      </c>
      <c r="E2084" s="6">
        <v>2</v>
      </c>
      <c r="F2084" s="10">
        <v>46265</v>
      </c>
      <c r="G2084" s="6" t="str">
        <f>_xlfn.TEXTJOIN("|",TRUE,GameLog[[#This Row],[Pod]],TEXT(INT(GameLog[[#This Row],[Round]]),"yyyymmdd"),GameLog[[#This Row],[Date]])</f>
        <v>3|19000102|46265</v>
      </c>
      <c r="H2084" s="6">
        <f>COUNTIF(GameLog[Pod ID],GameLog[[#This Row],[Pod ID]])</f>
        <v>4</v>
      </c>
      <c r="I2084" s="6">
        <f>YEAR(GameLog[[#This Row],[Date]])</f>
        <v>2026</v>
      </c>
      <c r="J2084" s="6">
        <f>MONTH(GameLog[[#This Row],[Date]])</f>
        <v>8</v>
      </c>
      <c r="K2084" s="6" t="str">
        <f>IF(GameLog[[#This Row],[Date]]=MAX(GameLog[Date]),"Current","Previous")</f>
        <v>Previous</v>
      </c>
      <c r="L2084" s="6"/>
      <c r="M20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4" s="6" t="str">
        <f ca="1">IF(GameLog[[#This Row],[Check]]="","",COUNTIF(GameLog[[#Headers],[Check]]:GameLog[[#This Row],[Check]],"?*")-1)</f>
        <v/>
      </c>
      <c r="O2084" s="6" t="str">
        <f>IFERROR(INDEX(Players[New name],MATCH(GameLog[[#This Row],[Player]],Players[Name],0)),GameLog[[#This Row],[Player]])</f>
        <v>Gavin J</v>
      </c>
    </row>
    <row r="2085" spans="1:15" x14ac:dyDescent="0.45">
      <c r="A2085" s="6" t="s">
        <v>55</v>
      </c>
      <c r="B2085" s="6" t="s">
        <v>90</v>
      </c>
      <c r="C2085" s="6">
        <v>3</v>
      </c>
      <c r="D2085" s="6">
        <v>3</v>
      </c>
      <c r="E2085" s="6">
        <v>2</v>
      </c>
      <c r="F2085" s="10">
        <v>46265</v>
      </c>
      <c r="G2085" s="6" t="str">
        <f>_xlfn.TEXTJOIN("|",TRUE,GameLog[[#This Row],[Pod]],TEXT(INT(GameLog[[#This Row],[Round]]),"yyyymmdd"),GameLog[[#This Row],[Date]])</f>
        <v>3|19000102|46265</v>
      </c>
      <c r="H2085" s="6">
        <f>COUNTIF(GameLog[Pod ID],GameLog[[#This Row],[Pod ID]])</f>
        <v>4</v>
      </c>
      <c r="I2085" s="6">
        <f>YEAR(GameLog[[#This Row],[Date]])</f>
        <v>2026</v>
      </c>
      <c r="J2085" s="6">
        <f>MONTH(GameLog[[#This Row],[Date]])</f>
        <v>8</v>
      </c>
      <c r="K2085" s="6" t="str">
        <f>IF(GameLog[[#This Row],[Date]]=MAX(GameLog[Date]),"Current","Previous")</f>
        <v>Previous</v>
      </c>
      <c r="L2085" s="6"/>
      <c r="M20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5" s="6" t="str">
        <f ca="1">IF(GameLog[[#This Row],[Check]]="","",COUNTIF(GameLog[[#Headers],[Check]]:GameLog[[#This Row],[Check]],"?*")-1)</f>
        <v/>
      </c>
      <c r="O2085" s="6" t="str">
        <f>IFERROR(INDEX(Players[New name],MATCH(GameLog[[#This Row],[Player]],Players[Name],0)),GameLog[[#This Row],[Player]])</f>
        <v>Bryce C</v>
      </c>
    </row>
    <row r="2086" spans="1:15" x14ac:dyDescent="0.45">
      <c r="A2086" s="6" t="s">
        <v>57</v>
      </c>
      <c r="B2086" s="6" t="s">
        <v>90</v>
      </c>
      <c r="C2086" s="6">
        <v>4</v>
      </c>
      <c r="D2086" s="6">
        <v>3</v>
      </c>
      <c r="E2086" s="6">
        <v>2</v>
      </c>
      <c r="F2086" s="10">
        <v>46265</v>
      </c>
      <c r="G2086" s="6" t="str">
        <f>_xlfn.TEXTJOIN("|",TRUE,GameLog[[#This Row],[Pod]],TEXT(INT(GameLog[[#This Row],[Round]]),"yyyymmdd"),GameLog[[#This Row],[Date]])</f>
        <v>3|19000102|46265</v>
      </c>
      <c r="H2086" s="6">
        <f>COUNTIF(GameLog[Pod ID],GameLog[[#This Row],[Pod ID]])</f>
        <v>4</v>
      </c>
      <c r="I2086" s="6">
        <f>YEAR(GameLog[[#This Row],[Date]])</f>
        <v>2026</v>
      </c>
      <c r="J2086" s="6">
        <f>MONTH(GameLog[[#This Row],[Date]])</f>
        <v>8</v>
      </c>
      <c r="K2086" s="6" t="str">
        <f>IF(GameLog[[#This Row],[Date]]=MAX(GameLog[Date]),"Current","Previous")</f>
        <v>Previous</v>
      </c>
      <c r="L2086" s="6"/>
      <c r="M20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6" s="6" t="str">
        <f ca="1">IF(GameLog[[#This Row],[Check]]="","",COUNTIF(GameLog[[#Headers],[Check]]:GameLog[[#This Row],[Check]],"?*")-1)</f>
        <v/>
      </c>
      <c r="O2086" s="6" t="str">
        <f>IFERROR(INDEX(Players[New name],MATCH(GameLog[[#This Row],[Player]],Players[Name],0)),GameLog[[#This Row],[Player]])</f>
        <v>AJ W</v>
      </c>
    </row>
    <row r="2087" spans="1:15" x14ac:dyDescent="0.45">
      <c r="A2087" s="6" t="s">
        <v>61</v>
      </c>
      <c r="B2087" s="6" t="s">
        <v>90</v>
      </c>
      <c r="C2087" s="6">
        <v>1</v>
      </c>
      <c r="D2087" s="6">
        <v>4</v>
      </c>
      <c r="E2087" s="6">
        <v>2</v>
      </c>
      <c r="F2087" s="10">
        <v>46265</v>
      </c>
      <c r="G2087" s="6" t="str">
        <f>_xlfn.TEXTJOIN("|",TRUE,GameLog[[#This Row],[Pod]],TEXT(INT(GameLog[[#This Row],[Round]]),"yyyymmdd"),GameLog[[#This Row],[Date]])</f>
        <v>4|19000102|46265</v>
      </c>
      <c r="H2087" s="6">
        <f>COUNTIF(GameLog[Pod ID],GameLog[[#This Row],[Pod ID]])</f>
        <v>4</v>
      </c>
      <c r="I2087" s="6">
        <f>YEAR(GameLog[[#This Row],[Date]])</f>
        <v>2026</v>
      </c>
      <c r="J2087" s="6">
        <f>MONTH(GameLog[[#This Row],[Date]])</f>
        <v>8</v>
      </c>
      <c r="K2087" s="6" t="str">
        <f>IF(GameLog[[#This Row],[Date]]=MAX(GameLog[Date]),"Current","Previous")</f>
        <v>Previous</v>
      </c>
      <c r="L2087" s="6"/>
      <c r="M20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7" s="6" t="str">
        <f ca="1">IF(GameLog[[#This Row],[Check]]="","",COUNTIF(GameLog[[#Headers],[Check]]:GameLog[[#This Row],[Check]],"?*")-1)</f>
        <v/>
      </c>
      <c r="O2087" s="6" t="str">
        <f>IFERROR(INDEX(Players[New name],MATCH(GameLog[[#This Row],[Player]],Players[Name],0)),GameLog[[#This Row],[Player]])</f>
        <v>Trevor</v>
      </c>
    </row>
    <row r="2088" spans="1:15" x14ac:dyDescent="0.45">
      <c r="A2088" s="6" t="s">
        <v>64</v>
      </c>
      <c r="B2088" s="6" t="s">
        <v>90</v>
      </c>
      <c r="C2088" s="6">
        <v>2</v>
      </c>
      <c r="D2088" s="6">
        <v>4</v>
      </c>
      <c r="E2088" s="6">
        <v>2</v>
      </c>
      <c r="F2088" s="10">
        <v>46265</v>
      </c>
      <c r="G2088" s="6" t="str">
        <f>_xlfn.TEXTJOIN("|",TRUE,GameLog[[#This Row],[Pod]],TEXT(INT(GameLog[[#This Row],[Round]]),"yyyymmdd"),GameLog[[#This Row],[Date]])</f>
        <v>4|19000102|46265</v>
      </c>
      <c r="H2088" s="6">
        <f>COUNTIF(GameLog[Pod ID],GameLog[[#This Row],[Pod ID]])</f>
        <v>4</v>
      </c>
      <c r="I2088" s="6">
        <f>YEAR(GameLog[[#This Row],[Date]])</f>
        <v>2026</v>
      </c>
      <c r="J2088" s="6">
        <f>MONTH(GameLog[[#This Row],[Date]])</f>
        <v>8</v>
      </c>
      <c r="K2088" s="6" t="str">
        <f>IF(GameLog[[#This Row],[Date]]=MAX(GameLog[Date]),"Current","Previous")</f>
        <v>Previous</v>
      </c>
      <c r="L2088" s="6"/>
      <c r="M20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8" s="6" t="str">
        <f ca="1">IF(GameLog[[#This Row],[Check]]="","",COUNTIF(GameLog[[#Headers],[Check]]:GameLog[[#This Row],[Check]],"?*")-1)</f>
        <v/>
      </c>
      <c r="O2088" s="6" t="str">
        <f>IFERROR(INDEX(Players[New name],MATCH(GameLog[[#This Row],[Player]],Players[Name],0)),GameLog[[#This Row],[Player]])</f>
        <v>Tyler B</v>
      </c>
    </row>
    <row r="2089" spans="1:15" x14ac:dyDescent="0.45">
      <c r="A2089" s="6" t="s">
        <v>52</v>
      </c>
      <c r="B2089" s="6" t="s">
        <v>90</v>
      </c>
      <c r="C2089" s="6">
        <v>3</v>
      </c>
      <c r="D2089" s="6">
        <v>4</v>
      </c>
      <c r="E2089" s="6">
        <v>2</v>
      </c>
      <c r="F2089" s="10">
        <v>46265</v>
      </c>
      <c r="G2089" s="6" t="str">
        <f>_xlfn.TEXTJOIN("|",TRUE,GameLog[[#This Row],[Pod]],TEXT(INT(GameLog[[#This Row],[Round]]),"yyyymmdd"),GameLog[[#This Row],[Date]])</f>
        <v>4|19000102|46265</v>
      </c>
      <c r="H2089" s="6">
        <f>COUNTIF(GameLog[Pod ID],GameLog[[#This Row],[Pod ID]])</f>
        <v>4</v>
      </c>
      <c r="I2089" s="6">
        <f>YEAR(GameLog[[#This Row],[Date]])</f>
        <v>2026</v>
      </c>
      <c r="J2089" s="6">
        <f>MONTH(GameLog[[#This Row],[Date]])</f>
        <v>8</v>
      </c>
      <c r="K2089" s="6" t="str">
        <f>IF(GameLog[[#This Row],[Date]]=MAX(GameLog[Date]),"Current","Previous")</f>
        <v>Previous</v>
      </c>
      <c r="L2089" s="6"/>
      <c r="M20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89" s="6" t="str">
        <f ca="1">IF(GameLog[[#This Row],[Check]]="","",COUNTIF(GameLog[[#Headers],[Check]]:GameLog[[#This Row],[Check]],"?*")-1)</f>
        <v/>
      </c>
      <c r="O2089" s="6" t="str">
        <f>IFERROR(INDEX(Players[New name],MATCH(GameLog[[#This Row],[Player]],Players[Name],0)),GameLog[[#This Row],[Player]])</f>
        <v>Unknown</v>
      </c>
    </row>
    <row r="2090" spans="1:15" x14ac:dyDescent="0.45">
      <c r="A2090" s="6" t="s">
        <v>49</v>
      </c>
      <c r="B2090" s="6" t="s">
        <v>90</v>
      </c>
      <c r="C2090" s="6">
        <v>4</v>
      </c>
      <c r="D2090" s="6">
        <v>4</v>
      </c>
      <c r="E2090" s="6">
        <v>2</v>
      </c>
      <c r="F2090" s="10">
        <v>46265</v>
      </c>
      <c r="G2090" s="6" t="str">
        <f>_xlfn.TEXTJOIN("|",TRUE,GameLog[[#This Row],[Pod]],TEXT(INT(GameLog[[#This Row],[Round]]),"yyyymmdd"),GameLog[[#This Row],[Date]])</f>
        <v>4|19000102|46265</v>
      </c>
      <c r="H2090" s="6">
        <f>COUNTIF(GameLog[Pod ID],GameLog[[#This Row],[Pod ID]])</f>
        <v>4</v>
      </c>
      <c r="I2090" s="6">
        <f>YEAR(GameLog[[#This Row],[Date]])</f>
        <v>2026</v>
      </c>
      <c r="J2090" s="6">
        <f>MONTH(GameLog[[#This Row],[Date]])</f>
        <v>8</v>
      </c>
      <c r="K2090" s="6" t="str">
        <f>IF(GameLog[[#This Row],[Date]]=MAX(GameLog[Date]),"Current","Previous")</f>
        <v>Previous</v>
      </c>
      <c r="L2090" s="6"/>
      <c r="M20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0" s="6" t="str">
        <f ca="1">IF(GameLog[[#This Row],[Check]]="","",COUNTIF(GameLog[[#Headers],[Check]]:GameLog[[#This Row],[Check]],"?*")-1)</f>
        <v/>
      </c>
      <c r="O2090" s="6" t="str">
        <f>IFERROR(INDEX(Players[New name],MATCH(GameLog[[#This Row],[Player]],Players[Name],0)),GameLog[[#This Row],[Player]])</f>
        <v>Brett R</v>
      </c>
    </row>
    <row r="2091" spans="1:15" x14ac:dyDescent="0.45">
      <c r="A2091" s="6" t="s">
        <v>75</v>
      </c>
      <c r="B2091" s="6" t="s">
        <v>53</v>
      </c>
      <c r="C2091" s="6">
        <v>1</v>
      </c>
      <c r="D2091" s="6">
        <v>5</v>
      </c>
      <c r="E2091" s="6">
        <v>2</v>
      </c>
      <c r="F2091" s="10">
        <v>46265</v>
      </c>
      <c r="G2091" s="6" t="str">
        <f>_xlfn.TEXTJOIN("|",TRUE,GameLog[[#This Row],[Pod]],TEXT(INT(GameLog[[#This Row],[Round]]),"yyyymmdd"),GameLog[[#This Row],[Date]])</f>
        <v>5|19000102|46265</v>
      </c>
      <c r="H2091" s="6">
        <f>COUNTIF(GameLog[Pod ID],GameLog[[#This Row],[Pod ID]])</f>
        <v>3</v>
      </c>
      <c r="I2091" s="6">
        <f>YEAR(GameLog[[#This Row],[Date]])</f>
        <v>2026</v>
      </c>
      <c r="J2091" s="6">
        <f>MONTH(GameLog[[#This Row],[Date]])</f>
        <v>8</v>
      </c>
      <c r="K2091" s="6" t="str">
        <f>IF(GameLog[[#This Row],[Date]]=MAX(GameLog[Date]),"Current","Previous")</f>
        <v>Previous</v>
      </c>
      <c r="L2091" s="6"/>
      <c r="M20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1" s="6" t="str">
        <f ca="1">IF(GameLog[[#This Row],[Check]]="","",COUNTIF(GameLog[[#Headers],[Check]]:GameLog[[#This Row],[Check]],"?*")-1)</f>
        <v/>
      </c>
      <c r="O2091" s="6" t="str">
        <f>IFERROR(INDEX(Players[New name],MATCH(GameLog[[#This Row],[Player]],Players[Name],0)),GameLog[[#This Row],[Player]])</f>
        <v>Eli T</v>
      </c>
    </row>
    <row r="2092" spans="1:15" x14ac:dyDescent="0.45">
      <c r="A2092" s="6" t="s">
        <v>76</v>
      </c>
      <c r="B2092" s="6" t="s">
        <v>53</v>
      </c>
      <c r="C2092" s="6">
        <v>2</v>
      </c>
      <c r="D2092" s="6">
        <v>5</v>
      </c>
      <c r="E2092" s="6">
        <v>2</v>
      </c>
      <c r="F2092" s="10">
        <v>46265</v>
      </c>
      <c r="G2092" s="6" t="str">
        <f>_xlfn.TEXTJOIN("|",TRUE,GameLog[[#This Row],[Pod]],TEXT(INT(GameLog[[#This Row],[Round]]),"yyyymmdd"),GameLog[[#This Row],[Date]])</f>
        <v>5|19000102|46265</v>
      </c>
      <c r="H2092" s="6">
        <f>COUNTIF(GameLog[Pod ID],GameLog[[#This Row],[Pod ID]])</f>
        <v>3</v>
      </c>
      <c r="I2092" s="6">
        <f>YEAR(GameLog[[#This Row],[Date]])</f>
        <v>2026</v>
      </c>
      <c r="J2092" s="6">
        <f>MONTH(GameLog[[#This Row],[Date]])</f>
        <v>8</v>
      </c>
      <c r="K2092" s="6" t="str">
        <f>IF(GameLog[[#This Row],[Date]]=MAX(GameLog[Date]),"Current","Previous")</f>
        <v>Previous</v>
      </c>
      <c r="L2092" s="6"/>
      <c r="M20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2" s="6" t="str">
        <f ca="1">IF(GameLog[[#This Row],[Check]]="","",COUNTIF(GameLog[[#Headers],[Check]]:GameLog[[#This Row],[Check]],"?*")-1)</f>
        <v/>
      </c>
      <c r="O2092" s="6" t="str">
        <f>IFERROR(INDEX(Players[New name],MATCH(GameLog[[#This Row],[Player]],Players[Name],0)),GameLog[[#This Row],[Player]])</f>
        <v>Jon M</v>
      </c>
    </row>
    <row r="2093" spans="1:15" x14ac:dyDescent="0.45">
      <c r="A2093" s="6" t="s">
        <v>70</v>
      </c>
      <c r="B2093" s="6" t="s">
        <v>50</v>
      </c>
      <c r="C2093" s="6">
        <v>3</v>
      </c>
      <c r="D2093" s="6">
        <v>5</v>
      </c>
      <c r="E2093" s="6">
        <v>2</v>
      </c>
      <c r="F2093" s="10">
        <v>46265</v>
      </c>
      <c r="G2093" s="6" t="str">
        <f>_xlfn.TEXTJOIN("|",TRUE,GameLog[[#This Row],[Pod]],TEXT(INT(GameLog[[#This Row],[Round]]),"yyyymmdd"),GameLog[[#This Row],[Date]])</f>
        <v>5|19000102|46265</v>
      </c>
      <c r="H2093" s="6">
        <f>COUNTIF(GameLog[Pod ID],GameLog[[#This Row],[Pod ID]])</f>
        <v>3</v>
      </c>
      <c r="I2093" s="6">
        <f>YEAR(GameLog[[#This Row],[Date]])</f>
        <v>2026</v>
      </c>
      <c r="J2093" s="6">
        <f>MONTH(GameLog[[#This Row],[Date]])</f>
        <v>8</v>
      </c>
      <c r="K2093" s="6" t="str">
        <f>IF(GameLog[[#This Row],[Date]]=MAX(GameLog[Date]),"Current","Previous")</f>
        <v>Previous</v>
      </c>
      <c r="L2093" s="6"/>
      <c r="M20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3" s="6" t="str">
        <f ca="1">IF(GameLog[[#This Row],[Check]]="","",COUNTIF(GameLog[[#Headers],[Check]]:GameLog[[#This Row],[Check]],"?*")-1)</f>
        <v/>
      </c>
      <c r="O2093" s="6" t="str">
        <f>IFERROR(INDEX(Players[New name],MATCH(GameLog[[#This Row],[Player]],Players[Name],0)),GameLog[[#This Row],[Player]])</f>
        <v>Brad F</v>
      </c>
    </row>
    <row r="2094" spans="1:15" x14ac:dyDescent="0.45">
      <c r="A2094" s="6" t="s">
        <v>96</v>
      </c>
      <c r="B2094" s="6" t="s">
        <v>53</v>
      </c>
      <c r="C2094" s="6">
        <v>1</v>
      </c>
      <c r="D2094" s="6">
        <v>1</v>
      </c>
      <c r="E2094" s="6">
        <v>1</v>
      </c>
      <c r="F2094" s="10">
        <v>46272</v>
      </c>
      <c r="G2094" s="6" t="str">
        <f>_xlfn.TEXTJOIN("|",TRUE,GameLog[[#This Row],[Pod]],TEXT(INT(GameLog[[#This Row],[Round]]),"yyyymmdd"),GameLog[[#This Row],[Date]])</f>
        <v>1|19000101|46272</v>
      </c>
      <c r="H2094" s="6">
        <f>COUNTIF(GameLog[Pod ID],GameLog[[#This Row],[Pod ID]])</f>
        <v>4</v>
      </c>
      <c r="I2094" s="6">
        <f>YEAR(GameLog[[#This Row],[Date]])</f>
        <v>2026</v>
      </c>
      <c r="J2094" s="6">
        <f>MONTH(GameLog[[#This Row],[Date]])</f>
        <v>9</v>
      </c>
      <c r="K2094" s="6" t="str">
        <f>IF(GameLog[[#This Row],[Date]]=MAX(GameLog[Date]),"Current","Previous")</f>
        <v>Previous</v>
      </c>
      <c r="L2094" s="6"/>
      <c r="M20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4" s="6" t="str">
        <f ca="1">IF(GameLog[[#This Row],[Check]]="","",COUNTIF(GameLog[[#Headers],[Check]]:GameLog[[#This Row],[Check]],"?*")-1)</f>
        <v/>
      </c>
      <c r="O2094" s="6" t="str">
        <f>IFERROR(INDEX(Players[New name],MATCH(GameLog[[#This Row],[Player]],Players[Name],0)),GameLog[[#This Row],[Player]])</f>
        <v>Brandon A</v>
      </c>
    </row>
    <row r="2095" spans="1:15" x14ac:dyDescent="0.45">
      <c r="A2095" s="6" t="s">
        <v>71</v>
      </c>
      <c r="B2095" s="6" t="s">
        <v>50</v>
      </c>
      <c r="C2095" s="6">
        <v>2</v>
      </c>
      <c r="D2095" s="6">
        <v>1</v>
      </c>
      <c r="E2095" s="6">
        <v>1</v>
      </c>
      <c r="F2095" s="10">
        <v>46272</v>
      </c>
      <c r="G2095" s="6" t="str">
        <f>_xlfn.TEXTJOIN("|",TRUE,GameLog[[#This Row],[Pod]],TEXT(INT(GameLog[[#This Row],[Round]]),"yyyymmdd"),GameLog[[#This Row],[Date]])</f>
        <v>1|19000101|46272</v>
      </c>
      <c r="H2095" s="6">
        <f>COUNTIF(GameLog[Pod ID],GameLog[[#This Row],[Pod ID]])</f>
        <v>4</v>
      </c>
      <c r="I2095" s="6">
        <f>YEAR(GameLog[[#This Row],[Date]])</f>
        <v>2026</v>
      </c>
      <c r="J2095" s="6">
        <f>MONTH(GameLog[[#This Row],[Date]])</f>
        <v>9</v>
      </c>
      <c r="K2095" s="6" t="str">
        <f>IF(GameLog[[#This Row],[Date]]=MAX(GameLog[Date]),"Current","Previous")</f>
        <v>Previous</v>
      </c>
      <c r="L2095" s="6"/>
      <c r="M20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5" s="6" t="str">
        <f ca="1">IF(GameLog[[#This Row],[Check]]="","",COUNTIF(GameLog[[#Headers],[Check]]:GameLog[[#This Row],[Check]],"?*")-1)</f>
        <v/>
      </c>
      <c r="O2095" s="6" t="str">
        <f>IFERROR(INDEX(Players[New name],MATCH(GameLog[[#This Row],[Player]],Players[Name],0)),GameLog[[#This Row],[Player]])</f>
        <v>Rodney Y</v>
      </c>
    </row>
    <row r="2096" spans="1:15" x14ac:dyDescent="0.45">
      <c r="A2096" s="6" t="s">
        <v>102</v>
      </c>
      <c r="B2096" s="6" t="s">
        <v>53</v>
      </c>
      <c r="C2096" s="6">
        <v>3</v>
      </c>
      <c r="D2096" s="6">
        <v>1</v>
      </c>
      <c r="E2096" s="6">
        <v>1</v>
      </c>
      <c r="F2096" s="10">
        <v>46272</v>
      </c>
      <c r="G2096" s="6" t="str">
        <f>_xlfn.TEXTJOIN("|",TRUE,GameLog[[#This Row],[Pod]],TEXT(INT(GameLog[[#This Row],[Round]]),"yyyymmdd"),GameLog[[#This Row],[Date]])</f>
        <v>1|19000101|46272</v>
      </c>
      <c r="H2096" s="6">
        <f>COUNTIF(GameLog[Pod ID],GameLog[[#This Row],[Pod ID]])</f>
        <v>4</v>
      </c>
      <c r="I2096" s="6">
        <f>YEAR(GameLog[[#This Row],[Date]])</f>
        <v>2026</v>
      </c>
      <c r="J2096" s="6">
        <f>MONTH(GameLog[[#This Row],[Date]])</f>
        <v>9</v>
      </c>
      <c r="K2096" s="6" t="str">
        <f>IF(GameLog[[#This Row],[Date]]=MAX(GameLog[Date]),"Current","Previous")</f>
        <v>Previous</v>
      </c>
      <c r="L2096" s="6"/>
      <c r="M20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6" s="6" t="str">
        <f ca="1">IF(GameLog[[#This Row],[Check]]="","",COUNTIF(GameLog[[#Headers],[Check]]:GameLog[[#This Row],[Check]],"?*")-1)</f>
        <v/>
      </c>
      <c r="O2096" s="6" t="str">
        <f>IFERROR(INDEX(Players[New name],MATCH(GameLog[[#This Row],[Player]],Players[Name],0)),GameLog[[#This Row],[Player]])</f>
        <v>Sage</v>
      </c>
    </row>
    <row r="2097" spans="1:15" x14ac:dyDescent="0.45">
      <c r="A2097" s="6" t="s">
        <v>65</v>
      </c>
      <c r="B2097" s="6" t="s">
        <v>53</v>
      </c>
      <c r="C2097" s="6">
        <v>4</v>
      </c>
      <c r="D2097" s="6">
        <v>1</v>
      </c>
      <c r="E2097" s="6">
        <v>1</v>
      </c>
      <c r="F2097" s="10">
        <v>46272</v>
      </c>
      <c r="G2097" s="6" t="str">
        <f>_xlfn.TEXTJOIN("|",TRUE,GameLog[[#This Row],[Pod]],TEXT(INT(GameLog[[#This Row],[Round]]),"yyyymmdd"),GameLog[[#This Row],[Date]])</f>
        <v>1|19000101|46272</v>
      </c>
      <c r="H2097" s="6">
        <f>COUNTIF(GameLog[Pod ID],GameLog[[#This Row],[Pod ID]])</f>
        <v>4</v>
      </c>
      <c r="I2097" s="6">
        <f>YEAR(GameLog[[#This Row],[Date]])</f>
        <v>2026</v>
      </c>
      <c r="J2097" s="6">
        <f>MONTH(GameLog[[#This Row],[Date]])</f>
        <v>9</v>
      </c>
      <c r="K2097" s="6" t="str">
        <f>IF(GameLog[[#This Row],[Date]]=MAX(GameLog[Date]),"Current","Previous")</f>
        <v>Previous</v>
      </c>
      <c r="L2097" s="6"/>
      <c r="M20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7" s="6" t="str">
        <f ca="1">IF(GameLog[[#This Row],[Check]]="","",COUNTIF(GameLog[[#Headers],[Check]]:GameLog[[#This Row],[Check]],"?*")-1)</f>
        <v/>
      </c>
      <c r="O2097" s="6" t="str">
        <f>IFERROR(INDEX(Players[New name],MATCH(GameLog[[#This Row],[Player]],Players[Name],0)),GameLog[[#This Row],[Player]])</f>
        <v>Mitch</v>
      </c>
    </row>
    <row r="2098" spans="1:15" x14ac:dyDescent="0.45">
      <c r="A2098" s="6" t="s">
        <v>55</v>
      </c>
      <c r="B2098" s="6" t="s">
        <v>90</v>
      </c>
      <c r="C2098" s="6">
        <v>1</v>
      </c>
      <c r="D2098" s="6">
        <v>2</v>
      </c>
      <c r="E2098" s="6">
        <v>1</v>
      </c>
      <c r="F2098" s="10">
        <v>46272</v>
      </c>
      <c r="G2098" s="6" t="str">
        <f>_xlfn.TEXTJOIN("|",TRUE,GameLog[[#This Row],[Pod]],TEXT(INT(GameLog[[#This Row],[Round]]),"yyyymmdd"),GameLog[[#This Row],[Date]])</f>
        <v>2|19000101|46272</v>
      </c>
      <c r="H2098" s="6">
        <f>COUNTIF(GameLog[Pod ID],GameLog[[#This Row],[Pod ID]])</f>
        <v>4</v>
      </c>
      <c r="I2098" s="6">
        <f>YEAR(GameLog[[#This Row],[Date]])</f>
        <v>2026</v>
      </c>
      <c r="J2098" s="6">
        <f>MONTH(GameLog[[#This Row],[Date]])</f>
        <v>9</v>
      </c>
      <c r="K2098" s="6" t="str">
        <f>IF(GameLog[[#This Row],[Date]]=MAX(GameLog[Date]),"Current","Previous")</f>
        <v>Previous</v>
      </c>
      <c r="L2098" s="6"/>
      <c r="M20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8" s="6" t="str">
        <f ca="1">IF(GameLog[[#This Row],[Check]]="","",COUNTIF(GameLog[[#Headers],[Check]]:GameLog[[#This Row],[Check]],"?*")-1)</f>
        <v/>
      </c>
      <c r="O2098" s="6" t="str">
        <f>IFERROR(INDEX(Players[New name],MATCH(GameLog[[#This Row],[Player]],Players[Name],0)),GameLog[[#This Row],[Player]])</f>
        <v>Bryce C</v>
      </c>
    </row>
    <row r="2099" spans="1:15" x14ac:dyDescent="0.45">
      <c r="A2099" s="6" t="s">
        <v>75</v>
      </c>
      <c r="B2099" s="6" t="s">
        <v>90</v>
      </c>
      <c r="C2099" s="6">
        <v>2</v>
      </c>
      <c r="D2099" s="6">
        <v>2</v>
      </c>
      <c r="E2099" s="6">
        <v>1</v>
      </c>
      <c r="F2099" s="10">
        <v>46272</v>
      </c>
      <c r="G2099" s="6" t="str">
        <f>_xlfn.TEXTJOIN("|",TRUE,GameLog[[#This Row],[Pod]],TEXT(INT(GameLog[[#This Row],[Round]]),"yyyymmdd"),GameLog[[#This Row],[Date]])</f>
        <v>2|19000101|46272</v>
      </c>
      <c r="H2099" s="6">
        <f>COUNTIF(GameLog[Pod ID],GameLog[[#This Row],[Pod ID]])</f>
        <v>4</v>
      </c>
      <c r="I2099" s="6">
        <f>YEAR(GameLog[[#This Row],[Date]])</f>
        <v>2026</v>
      </c>
      <c r="J2099" s="6">
        <f>MONTH(GameLog[[#This Row],[Date]])</f>
        <v>9</v>
      </c>
      <c r="K2099" s="6" t="str">
        <f>IF(GameLog[[#This Row],[Date]]=MAX(GameLog[Date]),"Current","Previous")</f>
        <v>Previous</v>
      </c>
      <c r="L2099" s="6"/>
      <c r="M20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099" s="6" t="str">
        <f ca="1">IF(GameLog[[#This Row],[Check]]="","",COUNTIF(GameLog[[#Headers],[Check]]:GameLog[[#This Row],[Check]],"?*")-1)</f>
        <v/>
      </c>
      <c r="O2099" s="6" t="str">
        <f>IFERROR(INDEX(Players[New name],MATCH(GameLog[[#This Row],[Player]],Players[Name],0)),GameLog[[#This Row],[Player]])</f>
        <v>Eli T</v>
      </c>
    </row>
    <row r="2100" spans="1:15" x14ac:dyDescent="0.45">
      <c r="A2100" s="6" t="s">
        <v>49</v>
      </c>
      <c r="B2100" s="6" t="s">
        <v>90</v>
      </c>
      <c r="C2100" s="6">
        <v>3</v>
      </c>
      <c r="D2100" s="6">
        <v>2</v>
      </c>
      <c r="E2100" s="6">
        <v>1</v>
      </c>
      <c r="F2100" s="10">
        <v>46272</v>
      </c>
      <c r="G2100" s="6" t="str">
        <f>_xlfn.TEXTJOIN("|",TRUE,GameLog[[#This Row],[Pod]],TEXT(INT(GameLog[[#This Row],[Round]]),"yyyymmdd"),GameLog[[#This Row],[Date]])</f>
        <v>2|19000101|46272</v>
      </c>
      <c r="H2100" s="6">
        <f>COUNTIF(GameLog[Pod ID],GameLog[[#This Row],[Pod ID]])</f>
        <v>4</v>
      </c>
      <c r="I2100" s="6">
        <f>YEAR(GameLog[[#This Row],[Date]])</f>
        <v>2026</v>
      </c>
      <c r="J2100" s="6">
        <f>MONTH(GameLog[[#This Row],[Date]])</f>
        <v>9</v>
      </c>
      <c r="K2100" s="6" t="str">
        <f>IF(GameLog[[#This Row],[Date]]=MAX(GameLog[Date]),"Current","Previous")</f>
        <v>Previous</v>
      </c>
      <c r="L2100" s="6"/>
      <c r="M21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0" s="6" t="str">
        <f ca="1">IF(GameLog[[#This Row],[Check]]="","",COUNTIF(GameLog[[#Headers],[Check]]:GameLog[[#This Row],[Check]],"?*")-1)</f>
        <v/>
      </c>
      <c r="O2100" s="6" t="str">
        <f>IFERROR(INDEX(Players[New name],MATCH(GameLog[[#This Row],[Player]],Players[Name],0)),GameLog[[#This Row],[Player]])</f>
        <v>Brett R</v>
      </c>
    </row>
    <row r="2101" spans="1:15" x14ac:dyDescent="0.45">
      <c r="A2101" s="6" t="s">
        <v>70</v>
      </c>
      <c r="B2101" s="6" t="s">
        <v>90</v>
      </c>
      <c r="C2101" s="6">
        <v>4</v>
      </c>
      <c r="D2101" s="6">
        <v>2</v>
      </c>
      <c r="E2101" s="6">
        <v>1</v>
      </c>
      <c r="F2101" s="10">
        <v>46272</v>
      </c>
      <c r="G2101" s="6" t="str">
        <f>_xlfn.TEXTJOIN("|",TRUE,GameLog[[#This Row],[Pod]],TEXT(INT(GameLog[[#This Row],[Round]]),"yyyymmdd"),GameLog[[#This Row],[Date]])</f>
        <v>2|19000101|46272</v>
      </c>
      <c r="H2101" s="6">
        <f>COUNTIF(GameLog[Pod ID],GameLog[[#This Row],[Pod ID]])</f>
        <v>4</v>
      </c>
      <c r="I2101" s="6">
        <f>YEAR(GameLog[[#This Row],[Date]])</f>
        <v>2026</v>
      </c>
      <c r="J2101" s="6">
        <f>MONTH(GameLog[[#This Row],[Date]])</f>
        <v>9</v>
      </c>
      <c r="K2101" s="6" t="str">
        <f>IF(GameLog[[#This Row],[Date]]=MAX(GameLog[Date]),"Current","Previous")</f>
        <v>Previous</v>
      </c>
      <c r="L2101" s="6"/>
      <c r="M21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1" s="6" t="str">
        <f ca="1">IF(GameLog[[#This Row],[Check]]="","",COUNTIF(GameLog[[#Headers],[Check]]:GameLog[[#This Row],[Check]],"?*")-1)</f>
        <v/>
      </c>
      <c r="O2101" s="6" t="str">
        <f>IFERROR(INDEX(Players[New name],MATCH(GameLog[[#This Row],[Player]],Players[Name],0)),GameLog[[#This Row],[Player]])</f>
        <v>Brad F</v>
      </c>
    </row>
    <row r="2102" spans="1:15" x14ac:dyDescent="0.45">
      <c r="A2102" s="6" t="s">
        <v>113</v>
      </c>
      <c r="B2102" s="6" t="s">
        <v>90</v>
      </c>
      <c r="C2102" s="6">
        <v>1</v>
      </c>
      <c r="D2102" s="6">
        <v>3</v>
      </c>
      <c r="E2102" s="6">
        <v>1</v>
      </c>
      <c r="F2102" s="10">
        <v>46272</v>
      </c>
      <c r="G2102" s="6" t="str">
        <f>_xlfn.TEXTJOIN("|",TRUE,GameLog[[#This Row],[Pod]],TEXT(INT(GameLog[[#This Row],[Round]]),"yyyymmdd"),GameLog[[#This Row],[Date]])</f>
        <v>3|19000101|46272</v>
      </c>
      <c r="H2102" s="6">
        <f>COUNTIF(GameLog[Pod ID],GameLog[[#This Row],[Pod ID]])</f>
        <v>4</v>
      </c>
      <c r="I2102" s="6">
        <f>YEAR(GameLog[[#This Row],[Date]])</f>
        <v>2026</v>
      </c>
      <c r="J2102" s="6">
        <f>MONTH(GameLog[[#This Row],[Date]])</f>
        <v>9</v>
      </c>
      <c r="K2102" s="6" t="str">
        <f>IF(GameLog[[#This Row],[Date]]=MAX(GameLog[Date]),"Current","Previous")</f>
        <v>Previous</v>
      </c>
      <c r="L2102" s="6"/>
      <c r="M21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2" s="6" t="str">
        <f ca="1">IF(GameLog[[#This Row],[Check]]="","",COUNTIF(GameLog[[#Headers],[Check]]:GameLog[[#This Row],[Check]],"?*")-1)</f>
        <v/>
      </c>
      <c r="O2102" s="6" t="str">
        <f>IFERROR(INDEX(Players[New name],MATCH(GameLog[[#This Row],[Player]],Players[Name],0)),GameLog[[#This Row],[Player]])</f>
        <v>Gavin J</v>
      </c>
    </row>
    <row r="2103" spans="1:15" x14ac:dyDescent="0.45">
      <c r="A2103" s="6" t="s">
        <v>56</v>
      </c>
      <c r="B2103" s="6" t="s">
        <v>90</v>
      </c>
      <c r="C2103" s="6">
        <v>2</v>
      </c>
      <c r="D2103" s="6">
        <v>3</v>
      </c>
      <c r="E2103" s="6">
        <v>1</v>
      </c>
      <c r="F2103" s="10">
        <v>46272</v>
      </c>
      <c r="G2103" s="6" t="str">
        <f>_xlfn.TEXTJOIN("|",TRUE,GameLog[[#This Row],[Pod]],TEXT(INT(GameLog[[#This Row],[Round]]),"yyyymmdd"),GameLog[[#This Row],[Date]])</f>
        <v>3|19000101|46272</v>
      </c>
      <c r="H2103" s="6">
        <f>COUNTIF(GameLog[Pod ID],GameLog[[#This Row],[Pod ID]])</f>
        <v>4</v>
      </c>
      <c r="I2103" s="6">
        <f>YEAR(GameLog[[#This Row],[Date]])</f>
        <v>2026</v>
      </c>
      <c r="J2103" s="6">
        <f>MONTH(GameLog[[#This Row],[Date]])</f>
        <v>9</v>
      </c>
      <c r="K2103" s="6" t="str">
        <f>IF(GameLog[[#This Row],[Date]]=MAX(GameLog[Date]),"Current","Previous")</f>
        <v>Previous</v>
      </c>
      <c r="L2103" s="6"/>
      <c r="M21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3" s="6" t="str">
        <f ca="1">IF(GameLog[[#This Row],[Check]]="","",COUNTIF(GameLog[[#Headers],[Check]]:GameLog[[#This Row],[Check]],"?*")-1)</f>
        <v/>
      </c>
      <c r="O2103" s="6" t="str">
        <f>IFERROR(INDEX(Players[New name],MATCH(GameLog[[#This Row],[Player]],Players[Name],0)),GameLog[[#This Row],[Player]])</f>
        <v>Mark D</v>
      </c>
    </row>
    <row r="2104" spans="1:15" x14ac:dyDescent="0.45">
      <c r="A2104" s="6" t="s">
        <v>97</v>
      </c>
      <c r="B2104" s="6" t="s">
        <v>90</v>
      </c>
      <c r="C2104" s="6">
        <v>3</v>
      </c>
      <c r="D2104" s="6">
        <v>3</v>
      </c>
      <c r="E2104" s="6">
        <v>1</v>
      </c>
      <c r="F2104" s="10">
        <v>46272</v>
      </c>
      <c r="G2104" s="6" t="str">
        <f>_xlfn.TEXTJOIN("|",TRUE,GameLog[[#This Row],[Pod]],TEXT(INT(GameLog[[#This Row],[Round]]),"yyyymmdd"),GameLog[[#This Row],[Date]])</f>
        <v>3|19000101|46272</v>
      </c>
      <c r="H2104" s="6">
        <f>COUNTIF(GameLog[Pod ID],GameLog[[#This Row],[Pod ID]])</f>
        <v>4</v>
      </c>
      <c r="I2104" s="6">
        <f>YEAR(GameLog[[#This Row],[Date]])</f>
        <v>2026</v>
      </c>
      <c r="J2104" s="6">
        <f>MONTH(GameLog[[#This Row],[Date]])</f>
        <v>9</v>
      </c>
      <c r="K2104" s="6" t="str">
        <f>IF(GameLog[[#This Row],[Date]]=MAX(GameLog[Date]),"Current","Previous")</f>
        <v>Previous</v>
      </c>
      <c r="L2104" s="6"/>
      <c r="M21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4" s="6" t="str">
        <f ca="1">IF(GameLog[[#This Row],[Check]]="","",COUNTIF(GameLog[[#Headers],[Check]]:GameLog[[#This Row],[Check]],"?*")-1)</f>
        <v/>
      </c>
      <c r="O2104" s="6" t="str">
        <f>IFERROR(INDEX(Players[New name],MATCH(GameLog[[#This Row],[Player]],Players[Name],0)),GameLog[[#This Row],[Player]])</f>
        <v>Arman H</v>
      </c>
    </row>
    <row r="2105" spans="1:15" x14ac:dyDescent="0.45">
      <c r="A2105" s="6" t="s">
        <v>104</v>
      </c>
      <c r="B2105" s="6" t="s">
        <v>90</v>
      </c>
      <c r="C2105" s="6">
        <v>4</v>
      </c>
      <c r="D2105" s="6">
        <v>3</v>
      </c>
      <c r="E2105" s="6">
        <v>1</v>
      </c>
      <c r="F2105" s="10">
        <v>46272</v>
      </c>
      <c r="G2105" s="6" t="str">
        <f>_xlfn.TEXTJOIN("|",TRUE,GameLog[[#This Row],[Pod]],TEXT(INT(GameLog[[#This Row],[Round]]),"yyyymmdd"),GameLog[[#This Row],[Date]])</f>
        <v>3|19000101|46272</v>
      </c>
      <c r="H2105" s="6">
        <f>COUNTIF(GameLog[Pod ID],GameLog[[#This Row],[Pod ID]])</f>
        <v>4</v>
      </c>
      <c r="I2105" s="6">
        <f>YEAR(GameLog[[#This Row],[Date]])</f>
        <v>2026</v>
      </c>
      <c r="J2105" s="6">
        <f>MONTH(GameLog[[#This Row],[Date]])</f>
        <v>9</v>
      </c>
      <c r="K2105" s="6" t="str">
        <f>IF(GameLog[[#This Row],[Date]]=MAX(GameLog[Date]),"Current","Previous")</f>
        <v>Previous</v>
      </c>
      <c r="L2105" s="6"/>
      <c r="M21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5" s="6" t="str">
        <f ca="1">IF(GameLog[[#This Row],[Check]]="","",COUNTIF(GameLog[[#Headers],[Check]]:GameLog[[#This Row],[Check]],"?*")-1)</f>
        <v/>
      </c>
      <c r="O2105" s="6" t="str">
        <f>IFERROR(INDEX(Players[New name],MATCH(GameLog[[#This Row],[Player]],Players[Name],0)),GameLog[[#This Row],[Player]])</f>
        <v>Eric E</v>
      </c>
    </row>
    <row r="2106" spans="1:15" x14ac:dyDescent="0.45">
      <c r="A2106" s="6" t="s">
        <v>61</v>
      </c>
      <c r="B2106" s="6" t="s">
        <v>90</v>
      </c>
      <c r="C2106" s="6">
        <v>1</v>
      </c>
      <c r="D2106" s="6">
        <v>4</v>
      </c>
      <c r="E2106" s="6">
        <v>1</v>
      </c>
      <c r="F2106" s="10">
        <v>46272</v>
      </c>
      <c r="G2106" s="6" t="str">
        <f>_xlfn.TEXTJOIN("|",TRUE,GameLog[[#This Row],[Pod]],TEXT(INT(GameLog[[#This Row],[Round]]),"yyyymmdd"),GameLog[[#This Row],[Date]])</f>
        <v>4|19000101|46272</v>
      </c>
      <c r="H2106" s="6">
        <f>COUNTIF(GameLog[Pod ID],GameLog[[#This Row],[Pod ID]])</f>
        <v>4</v>
      </c>
      <c r="I2106" s="6">
        <f>YEAR(GameLog[[#This Row],[Date]])</f>
        <v>2026</v>
      </c>
      <c r="J2106" s="6">
        <f>MONTH(GameLog[[#This Row],[Date]])</f>
        <v>9</v>
      </c>
      <c r="K2106" s="6" t="str">
        <f>IF(GameLog[[#This Row],[Date]]=MAX(GameLog[Date]),"Current","Previous")</f>
        <v>Previous</v>
      </c>
      <c r="L2106" s="6"/>
      <c r="M21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6" s="6" t="str">
        <f ca="1">IF(GameLog[[#This Row],[Check]]="","",COUNTIF(GameLog[[#Headers],[Check]]:GameLog[[#This Row],[Check]],"?*")-1)</f>
        <v/>
      </c>
      <c r="O2106" s="6" t="str">
        <f>IFERROR(INDEX(Players[New name],MATCH(GameLog[[#This Row],[Player]],Players[Name],0)),GameLog[[#This Row],[Player]])</f>
        <v>Trevor</v>
      </c>
    </row>
    <row r="2107" spans="1:15" x14ac:dyDescent="0.45">
      <c r="A2107" s="6" t="s">
        <v>73</v>
      </c>
      <c r="B2107" s="6" t="s">
        <v>90</v>
      </c>
      <c r="C2107" s="6">
        <v>2</v>
      </c>
      <c r="D2107" s="6">
        <v>4</v>
      </c>
      <c r="E2107" s="6">
        <v>1</v>
      </c>
      <c r="F2107" s="10">
        <v>46272</v>
      </c>
      <c r="G2107" s="6" t="str">
        <f>_xlfn.TEXTJOIN("|",TRUE,GameLog[[#This Row],[Pod]],TEXT(INT(GameLog[[#This Row],[Round]]),"yyyymmdd"),GameLog[[#This Row],[Date]])</f>
        <v>4|19000101|46272</v>
      </c>
      <c r="H2107" s="6">
        <f>COUNTIF(GameLog[Pod ID],GameLog[[#This Row],[Pod ID]])</f>
        <v>4</v>
      </c>
      <c r="I2107" s="6">
        <f>YEAR(GameLog[[#This Row],[Date]])</f>
        <v>2026</v>
      </c>
      <c r="J2107" s="6">
        <f>MONTH(GameLog[[#This Row],[Date]])</f>
        <v>9</v>
      </c>
      <c r="K2107" s="6" t="str">
        <f>IF(GameLog[[#This Row],[Date]]=MAX(GameLog[Date]),"Current","Previous")</f>
        <v>Previous</v>
      </c>
      <c r="L2107" s="6"/>
      <c r="M21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7" s="6" t="str">
        <f ca="1">IF(GameLog[[#This Row],[Check]]="","",COUNTIF(GameLog[[#Headers],[Check]]:GameLog[[#This Row],[Check]],"?*")-1)</f>
        <v/>
      </c>
      <c r="O2107" s="6" t="str">
        <f>IFERROR(INDEX(Players[New name],MATCH(GameLog[[#This Row],[Player]],Players[Name],0)),GameLog[[#This Row],[Player]])</f>
        <v>Brandon B</v>
      </c>
    </row>
    <row r="2108" spans="1:15" x14ac:dyDescent="0.45">
      <c r="A2108" s="6" t="s">
        <v>118</v>
      </c>
      <c r="B2108" s="6" t="s">
        <v>90</v>
      </c>
      <c r="C2108" s="6">
        <v>3</v>
      </c>
      <c r="D2108" s="6">
        <v>4</v>
      </c>
      <c r="E2108" s="6">
        <v>1</v>
      </c>
      <c r="F2108" s="10">
        <v>46272</v>
      </c>
      <c r="G2108" s="6" t="str">
        <f>_xlfn.TEXTJOIN("|",TRUE,GameLog[[#This Row],[Pod]],TEXT(INT(GameLog[[#This Row],[Round]]),"yyyymmdd"),GameLog[[#This Row],[Date]])</f>
        <v>4|19000101|46272</v>
      </c>
      <c r="H2108" s="6">
        <f>COUNTIF(GameLog[Pod ID],GameLog[[#This Row],[Pod ID]])</f>
        <v>4</v>
      </c>
      <c r="I2108" s="6">
        <f>YEAR(GameLog[[#This Row],[Date]])</f>
        <v>2026</v>
      </c>
      <c r="J2108" s="6">
        <f>MONTH(GameLog[[#This Row],[Date]])</f>
        <v>9</v>
      </c>
      <c r="K2108" s="6" t="str">
        <f>IF(GameLog[[#This Row],[Date]]=MAX(GameLog[Date]),"Current","Previous")</f>
        <v>Previous</v>
      </c>
      <c r="L2108" s="6"/>
      <c r="M21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8" s="6" t="str">
        <f ca="1">IF(GameLog[[#This Row],[Check]]="","",COUNTIF(GameLog[[#Headers],[Check]]:GameLog[[#This Row],[Check]],"?*")-1)</f>
        <v/>
      </c>
      <c r="O2108" s="6" t="str">
        <f>IFERROR(INDEX(Players[New name],MATCH(GameLog[[#This Row],[Player]],Players[Name],0)),GameLog[[#This Row],[Player]])</f>
        <v>Eric T</v>
      </c>
    </row>
    <row r="2109" spans="1:15" x14ac:dyDescent="0.45">
      <c r="A2109" s="6" t="s">
        <v>57</v>
      </c>
      <c r="B2109" s="6" t="s">
        <v>90</v>
      </c>
      <c r="C2109" s="6">
        <v>4</v>
      </c>
      <c r="D2109" s="6">
        <v>4</v>
      </c>
      <c r="E2109" s="6">
        <v>1</v>
      </c>
      <c r="F2109" s="10">
        <v>46272</v>
      </c>
      <c r="G2109" s="6" t="str">
        <f>_xlfn.TEXTJOIN("|",TRUE,GameLog[[#This Row],[Pod]],TEXT(INT(GameLog[[#This Row],[Round]]),"yyyymmdd"),GameLog[[#This Row],[Date]])</f>
        <v>4|19000101|46272</v>
      </c>
      <c r="H2109" s="6">
        <f>COUNTIF(GameLog[Pod ID],GameLog[[#This Row],[Pod ID]])</f>
        <v>4</v>
      </c>
      <c r="I2109" s="6">
        <f>YEAR(GameLog[[#This Row],[Date]])</f>
        <v>2026</v>
      </c>
      <c r="J2109" s="6">
        <f>MONTH(GameLog[[#This Row],[Date]])</f>
        <v>9</v>
      </c>
      <c r="K2109" s="6" t="str">
        <f>IF(GameLog[[#This Row],[Date]]=MAX(GameLog[Date]),"Current","Previous")</f>
        <v>Previous</v>
      </c>
      <c r="L2109" s="6"/>
      <c r="M21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09" s="6" t="str">
        <f ca="1">IF(GameLog[[#This Row],[Check]]="","",COUNTIF(GameLog[[#Headers],[Check]]:GameLog[[#This Row],[Check]],"?*")-1)</f>
        <v/>
      </c>
      <c r="O2109" s="6" t="str">
        <f>IFERROR(INDEX(Players[New name],MATCH(GameLog[[#This Row],[Player]],Players[Name],0)),GameLog[[#This Row],[Player]])</f>
        <v>AJ W</v>
      </c>
    </row>
    <row r="2110" spans="1:15" x14ac:dyDescent="0.45">
      <c r="A2110" s="6" t="s">
        <v>57</v>
      </c>
      <c r="B2110" s="6" t="s">
        <v>90</v>
      </c>
      <c r="C2110" s="6">
        <v>1</v>
      </c>
      <c r="D2110" s="6">
        <v>1</v>
      </c>
      <c r="E2110" s="6">
        <v>2</v>
      </c>
      <c r="F2110" s="10">
        <v>46272</v>
      </c>
      <c r="G2110" s="6" t="str">
        <f>_xlfn.TEXTJOIN("|",TRUE,GameLog[[#This Row],[Pod]],TEXT(INT(GameLog[[#This Row],[Round]]),"yyyymmdd"),GameLog[[#This Row],[Date]])</f>
        <v>1|19000102|46272</v>
      </c>
      <c r="H2110" s="6">
        <f>COUNTIF(GameLog[Pod ID],GameLog[[#This Row],[Pod ID]])</f>
        <v>4</v>
      </c>
      <c r="I2110" s="6">
        <f>YEAR(GameLog[[#This Row],[Date]])</f>
        <v>2026</v>
      </c>
      <c r="J2110" s="6">
        <f>MONTH(GameLog[[#This Row],[Date]])</f>
        <v>9</v>
      </c>
      <c r="K2110" s="6" t="str">
        <f>IF(GameLog[[#This Row],[Date]]=MAX(GameLog[Date]),"Current","Previous")</f>
        <v>Previous</v>
      </c>
      <c r="L2110" s="6"/>
      <c r="M21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0" s="6" t="str">
        <f ca="1">IF(GameLog[[#This Row],[Check]]="","",COUNTIF(GameLog[[#Headers],[Check]]:GameLog[[#This Row],[Check]],"?*")-1)</f>
        <v/>
      </c>
      <c r="O2110" s="6" t="str">
        <f>IFERROR(INDEX(Players[New name],MATCH(GameLog[[#This Row],[Player]],Players[Name],0)),GameLog[[#This Row],[Player]])</f>
        <v>AJ W</v>
      </c>
    </row>
    <row r="2111" spans="1:15" x14ac:dyDescent="0.45">
      <c r="A2111" s="6" t="s">
        <v>70</v>
      </c>
      <c r="B2111" s="6" t="s">
        <v>90</v>
      </c>
      <c r="C2111" s="6">
        <v>2</v>
      </c>
      <c r="D2111" s="6">
        <v>1</v>
      </c>
      <c r="E2111" s="6">
        <v>2</v>
      </c>
      <c r="F2111" s="10">
        <v>46272</v>
      </c>
      <c r="G2111" s="6" t="str">
        <f>_xlfn.TEXTJOIN("|",TRUE,GameLog[[#This Row],[Pod]],TEXT(INT(GameLog[[#This Row],[Round]]),"yyyymmdd"),GameLog[[#This Row],[Date]])</f>
        <v>1|19000102|46272</v>
      </c>
      <c r="H2111" s="6">
        <f>COUNTIF(GameLog[Pod ID],GameLog[[#This Row],[Pod ID]])</f>
        <v>4</v>
      </c>
      <c r="I2111" s="6">
        <f>YEAR(GameLog[[#This Row],[Date]])</f>
        <v>2026</v>
      </c>
      <c r="J2111" s="6">
        <f>MONTH(GameLog[[#This Row],[Date]])</f>
        <v>9</v>
      </c>
      <c r="K2111" s="6" t="str">
        <f>IF(GameLog[[#This Row],[Date]]=MAX(GameLog[Date]),"Current","Previous")</f>
        <v>Previous</v>
      </c>
      <c r="L2111" s="6"/>
      <c r="M21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1" s="6" t="str">
        <f ca="1">IF(GameLog[[#This Row],[Check]]="","",COUNTIF(GameLog[[#Headers],[Check]]:GameLog[[#This Row],[Check]],"?*")-1)</f>
        <v/>
      </c>
      <c r="O2111" s="6" t="str">
        <f>IFERROR(INDEX(Players[New name],MATCH(GameLog[[#This Row],[Player]],Players[Name],0)),GameLog[[#This Row],[Player]])</f>
        <v>Brad F</v>
      </c>
    </row>
    <row r="2112" spans="1:15" x14ac:dyDescent="0.45">
      <c r="A2112" s="6" t="s">
        <v>104</v>
      </c>
      <c r="B2112" s="6" t="s">
        <v>90</v>
      </c>
      <c r="C2112" s="6">
        <v>3</v>
      </c>
      <c r="D2112" s="6">
        <v>1</v>
      </c>
      <c r="E2112" s="6">
        <v>2</v>
      </c>
      <c r="F2112" s="10">
        <v>46272</v>
      </c>
      <c r="G2112" s="6" t="str">
        <f>_xlfn.TEXTJOIN("|",TRUE,GameLog[[#This Row],[Pod]],TEXT(INT(GameLog[[#This Row],[Round]]),"yyyymmdd"),GameLog[[#This Row],[Date]])</f>
        <v>1|19000102|46272</v>
      </c>
      <c r="H2112" s="6">
        <f>COUNTIF(GameLog[Pod ID],GameLog[[#This Row],[Pod ID]])</f>
        <v>4</v>
      </c>
      <c r="I2112" s="6">
        <f>YEAR(GameLog[[#This Row],[Date]])</f>
        <v>2026</v>
      </c>
      <c r="J2112" s="6">
        <f>MONTH(GameLog[[#This Row],[Date]])</f>
        <v>9</v>
      </c>
      <c r="K2112" s="6" t="str">
        <f>IF(GameLog[[#This Row],[Date]]=MAX(GameLog[Date]),"Current","Previous")</f>
        <v>Previous</v>
      </c>
      <c r="L2112" s="6"/>
      <c r="M21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2" s="6" t="str">
        <f ca="1">IF(GameLog[[#This Row],[Check]]="","",COUNTIF(GameLog[[#Headers],[Check]]:GameLog[[#This Row],[Check]],"?*")-1)</f>
        <v/>
      </c>
      <c r="O2112" s="6" t="str">
        <f>IFERROR(INDEX(Players[New name],MATCH(GameLog[[#This Row],[Player]],Players[Name],0)),GameLog[[#This Row],[Player]])</f>
        <v>Eric E</v>
      </c>
    </row>
    <row r="2113" spans="1:15" x14ac:dyDescent="0.45">
      <c r="A2113" s="6" t="s">
        <v>71</v>
      </c>
      <c r="B2113" s="6" t="s">
        <v>90</v>
      </c>
      <c r="C2113" s="6">
        <v>4</v>
      </c>
      <c r="D2113" s="6">
        <v>1</v>
      </c>
      <c r="E2113" s="6">
        <v>2</v>
      </c>
      <c r="F2113" s="10">
        <v>46272</v>
      </c>
      <c r="G2113" s="6" t="str">
        <f>_xlfn.TEXTJOIN("|",TRUE,GameLog[[#This Row],[Pod]],TEXT(INT(GameLog[[#This Row],[Round]]),"yyyymmdd"),GameLog[[#This Row],[Date]])</f>
        <v>1|19000102|46272</v>
      </c>
      <c r="H2113" s="6">
        <f>COUNTIF(GameLog[Pod ID],GameLog[[#This Row],[Pod ID]])</f>
        <v>4</v>
      </c>
      <c r="I2113" s="6">
        <f>YEAR(GameLog[[#This Row],[Date]])</f>
        <v>2026</v>
      </c>
      <c r="J2113" s="6">
        <f>MONTH(GameLog[[#This Row],[Date]])</f>
        <v>9</v>
      </c>
      <c r="K2113" s="6" t="str">
        <f>IF(GameLog[[#This Row],[Date]]=MAX(GameLog[Date]),"Current","Previous")</f>
        <v>Previous</v>
      </c>
      <c r="L2113" s="6"/>
      <c r="M21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3" s="6" t="str">
        <f ca="1">IF(GameLog[[#This Row],[Check]]="","",COUNTIF(GameLog[[#Headers],[Check]]:GameLog[[#This Row],[Check]],"?*")-1)</f>
        <v/>
      </c>
      <c r="O2113" s="6" t="str">
        <f>IFERROR(INDEX(Players[New name],MATCH(GameLog[[#This Row],[Player]],Players[Name],0)),GameLog[[#This Row],[Player]])</f>
        <v>Rodney Y</v>
      </c>
    </row>
    <row r="2114" spans="1:15" x14ac:dyDescent="0.45">
      <c r="A2114" s="6" t="s">
        <v>73</v>
      </c>
      <c r="B2114" s="6" t="s">
        <v>53</v>
      </c>
      <c r="C2114" s="6">
        <v>1</v>
      </c>
      <c r="D2114" s="6">
        <v>2</v>
      </c>
      <c r="E2114" s="6">
        <v>2</v>
      </c>
      <c r="F2114" s="10">
        <v>46272</v>
      </c>
      <c r="G2114" s="6" t="str">
        <f>_xlfn.TEXTJOIN("|",TRUE,GameLog[[#This Row],[Pod]],TEXT(INT(GameLog[[#This Row],[Round]]),"yyyymmdd"),GameLog[[#This Row],[Date]])</f>
        <v>2|19000102|46272</v>
      </c>
      <c r="H2114" s="6">
        <f>COUNTIF(GameLog[Pod ID],GameLog[[#This Row],[Pod ID]])</f>
        <v>4</v>
      </c>
      <c r="I2114" s="6">
        <f>YEAR(GameLog[[#This Row],[Date]])</f>
        <v>2026</v>
      </c>
      <c r="J2114" s="6">
        <f>MONTH(GameLog[[#This Row],[Date]])</f>
        <v>9</v>
      </c>
      <c r="K2114" s="6" t="str">
        <f>IF(GameLog[[#This Row],[Date]]=MAX(GameLog[Date]),"Current","Previous")</f>
        <v>Previous</v>
      </c>
      <c r="L2114" s="6"/>
      <c r="M21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4" s="6" t="str">
        <f ca="1">IF(GameLog[[#This Row],[Check]]="","",COUNTIF(GameLog[[#Headers],[Check]]:GameLog[[#This Row],[Check]],"?*")-1)</f>
        <v/>
      </c>
      <c r="O2114" s="6" t="str">
        <f>IFERROR(INDEX(Players[New name],MATCH(GameLog[[#This Row],[Player]],Players[Name],0)),GameLog[[#This Row],[Player]])</f>
        <v>Brandon B</v>
      </c>
    </row>
    <row r="2115" spans="1:15" x14ac:dyDescent="0.45">
      <c r="A2115" s="6" t="s">
        <v>102</v>
      </c>
      <c r="B2115" s="6" t="s">
        <v>53</v>
      </c>
      <c r="C2115" s="6">
        <v>2</v>
      </c>
      <c r="D2115" s="6">
        <v>2</v>
      </c>
      <c r="E2115" s="6">
        <v>2</v>
      </c>
      <c r="F2115" s="10">
        <v>46272</v>
      </c>
      <c r="G2115" s="6" t="str">
        <f>_xlfn.TEXTJOIN("|",TRUE,GameLog[[#This Row],[Pod]],TEXT(INT(GameLog[[#This Row],[Round]]),"yyyymmdd"),GameLog[[#This Row],[Date]])</f>
        <v>2|19000102|46272</v>
      </c>
      <c r="H2115" s="6">
        <f>COUNTIF(GameLog[Pod ID],GameLog[[#This Row],[Pod ID]])</f>
        <v>4</v>
      </c>
      <c r="I2115" s="6">
        <f>YEAR(GameLog[[#This Row],[Date]])</f>
        <v>2026</v>
      </c>
      <c r="J2115" s="6">
        <f>MONTH(GameLog[[#This Row],[Date]])</f>
        <v>9</v>
      </c>
      <c r="K2115" s="6" t="str">
        <f>IF(GameLog[[#This Row],[Date]]=MAX(GameLog[Date]),"Current","Previous")</f>
        <v>Previous</v>
      </c>
      <c r="L2115" s="6"/>
      <c r="M21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5" s="6" t="str">
        <f ca="1">IF(GameLog[[#This Row],[Check]]="","",COUNTIF(GameLog[[#Headers],[Check]]:GameLog[[#This Row],[Check]],"?*")-1)</f>
        <v/>
      </c>
      <c r="O2115" s="6" t="str">
        <f>IFERROR(INDEX(Players[New name],MATCH(GameLog[[#This Row],[Player]],Players[Name],0)),GameLog[[#This Row],[Player]])</f>
        <v>Sage</v>
      </c>
    </row>
    <row r="2116" spans="1:15" x14ac:dyDescent="0.45">
      <c r="A2116" s="6" t="s">
        <v>75</v>
      </c>
      <c r="B2116" s="6" t="s">
        <v>53</v>
      </c>
      <c r="C2116" s="6">
        <v>3</v>
      </c>
      <c r="D2116" s="6">
        <v>2</v>
      </c>
      <c r="E2116" s="6">
        <v>2</v>
      </c>
      <c r="F2116" s="10">
        <v>46272</v>
      </c>
      <c r="G2116" s="6" t="str">
        <f>_xlfn.TEXTJOIN("|",TRUE,GameLog[[#This Row],[Pod]],TEXT(INT(GameLog[[#This Row],[Round]]),"yyyymmdd"),GameLog[[#This Row],[Date]])</f>
        <v>2|19000102|46272</v>
      </c>
      <c r="H2116" s="6">
        <f>COUNTIF(GameLog[Pod ID],GameLog[[#This Row],[Pod ID]])</f>
        <v>4</v>
      </c>
      <c r="I2116" s="6">
        <f>YEAR(GameLog[[#This Row],[Date]])</f>
        <v>2026</v>
      </c>
      <c r="J2116" s="6">
        <f>MONTH(GameLog[[#This Row],[Date]])</f>
        <v>9</v>
      </c>
      <c r="K2116" s="6" t="str">
        <f>IF(GameLog[[#This Row],[Date]]=MAX(GameLog[Date]),"Current","Previous")</f>
        <v>Previous</v>
      </c>
      <c r="L2116" s="6"/>
      <c r="M21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6" s="6" t="str">
        <f ca="1">IF(GameLog[[#This Row],[Check]]="","",COUNTIF(GameLog[[#Headers],[Check]]:GameLog[[#This Row],[Check]],"?*")-1)</f>
        <v/>
      </c>
      <c r="O2116" s="6" t="str">
        <f>IFERROR(INDEX(Players[New name],MATCH(GameLog[[#This Row],[Player]],Players[Name],0)),GameLog[[#This Row],[Player]])</f>
        <v>Eli T</v>
      </c>
    </row>
    <row r="2117" spans="1:15" x14ac:dyDescent="0.45">
      <c r="A2117" s="6" t="s">
        <v>113</v>
      </c>
      <c r="B2117" s="6" t="s">
        <v>50</v>
      </c>
      <c r="C2117" s="6">
        <v>4</v>
      </c>
      <c r="D2117" s="6">
        <v>2</v>
      </c>
      <c r="E2117" s="6">
        <v>2</v>
      </c>
      <c r="F2117" s="10">
        <v>46272</v>
      </c>
      <c r="G2117" s="6" t="str">
        <f>_xlfn.TEXTJOIN("|",TRUE,GameLog[[#This Row],[Pod]],TEXT(INT(GameLog[[#This Row],[Round]]),"yyyymmdd"),GameLog[[#This Row],[Date]])</f>
        <v>2|19000102|46272</v>
      </c>
      <c r="H2117" s="6">
        <f>COUNTIF(GameLog[Pod ID],GameLog[[#This Row],[Pod ID]])</f>
        <v>4</v>
      </c>
      <c r="I2117" s="6">
        <f>YEAR(GameLog[[#This Row],[Date]])</f>
        <v>2026</v>
      </c>
      <c r="J2117" s="6">
        <f>MONTH(GameLog[[#This Row],[Date]])</f>
        <v>9</v>
      </c>
      <c r="K2117" s="6" t="str">
        <f>IF(GameLog[[#This Row],[Date]]=MAX(GameLog[Date]),"Current","Previous")</f>
        <v>Previous</v>
      </c>
      <c r="L2117" s="6"/>
      <c r="M21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7" s="6" t="str">
        <f ca="1">IF(GameLog[[#This Row],[Check]]="","",COUNTIF(GameLog[[#Headers],[Check]]:GameLog[[#This Row],[Check]],"?*")-1)</f>
        <v/>
      </c>
      <c r="O2117" s="6" t="str">
        <f>IFERROR(INDEX(Players[New name],MATCH(GameLog[[#This Row],[Player]],Players[Name],0)),GameLog[[#This Row],[Player]])</f>
        <v>Gavin J</v>
      </c>
    </row>
    <row r="2118" spans="1:15" x14ac:dyDescent="0.45">
      <c r="A2118" s="6" t="s">
        <v>65</v>
      </c>
      <c r="B2118" s="6" t="s">
        <v>53</v>
      </c>
      <c r="C2118" s="6">
        <v>1</v>
      </c>
      <c r="D2118" s="6">
        <v>3</v>
      </c>
      <c r="E2118" s="6">
        <v>2</v>
      </c>
      <c r="F2118" s="10">
        <v>46272</v>
      </c>
      <c r="G2118" s="6" t="str">
        <f>_xlfn.TEXTJOIN("|",TRUE,GameLog[[#This Row],[Pod]],TEXT(INT(GameLog[[#This Row],[Round]]),"yyyymmdd"),GameLog[[#This Row],[Date]])</f>
        <v>3|19000102|46272</v>
      </c>
      <c r="H2118" s="6">
        <f>COUNTIF(GameLog[Pod ID],GameLog[[#This Row],[Pod ID]])</f>
        <v>4</v>
      </c>
      <c r="I2118" s="6">
        <f>YEAR(GameLog[[#This Row],[Date]])</f>
        <v>2026</v>
      </c>
      <c r="J2118" s="6">
        <f>MONTH(GameLog[[#This Row],[Date]])</f>
        <v>9</v>
      </c>
      <c r="K2118" s="6" t="str">
        <f>IF(GameLog[[#This Row],[Date]]=MAX(GameLog[Date]),"Current","Previous")</f>
        <v>Previous</v>
      </c>
      <c r="L2118" s="6"/>
      <c r="M21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8" s="6" t="str">
        <f ca="1">IF(GameLog[[#This Row],[Check]]="","",COUNTIF(GameLog[[#Headers],[Check]]:GameLog[[#This Row],[Check]],"?*")-1)</f>
        <v/>
      </c>
      <c r="O2118" s="6" t="str">
        <f>IFERROR(INDEX(Players[New name],MATCH(GameLog[[#This Row],[Player]],Players[Name],0)),GameLog[[#This Row],[Player]])</f>
        <v>Mitch</v>
      </c>
    </row>
    <row r="2119" spans="1:15" x14ac:dyDescent="0.45">
      <c r="A2119" s="6" t="s">
        <v>49</v>
      </c>
      <c r="B2119" s="6" t="s">
        <v>53</v>
      </c>
      <c r="C2119" s="6">
        <v>2</v>
      </c>
      <c r="D2119" s="6">
        <v>3</v>
      </c>
      <c r="E2119" s="6">
        <v>2</v>
      </c>
      <c r="F2119" s="10">
        <v>46272</v>
      </c>
      <c r="G2119" s="6" t="str">
        <f>_xlfn.TEXTJOIN("|",TRUE,GameLog[[#This Row],[Pod]],TEXT(INT(GameLog[[#This Row],[Round]]),"yyyymmdd"),GameLog[[#This Row],[Date]])</f>
        <v>3|19000102|46272</v>
      </c>
      <c r="H2119" s="6">
        <f>COUNTIF(GameLog[Pod ID],GameLog[[#This Row],[Pod ID]])</f>
        <v>4</v>
      </c>
      <c r="I2119" s="6">
        <f>YEAR(GameLog[[#This Row],[Date]])</f>
        <v>2026</v>
      </c>
      <c r="J2119" s="6">
        <f>MONTH(GameLog[[#This Row],[Date]])</f>
        <v>9</v>
      </c>
      <c r="K2119" s="6" t="str">
        <f>IF(GameLog[[#This Row],[Date]]=MAX(GameLog[Date]),"Current","Previous")</f>
        <v>Previous</v>
      </c>
      <c r="L2119" s="6"/>
      <c r="M21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19" s="6" t="str">
        <f ca="1">IF(GameLog[[#This Row],[Check]]="","",COUNTIF(GameLog[[#Headers],[Check]]:GameLog[[#This Row],[Check]],"?*")-1)</f>
        <v/>
      </c>
      <c r="O2119" s="6" t="str">
        <f>IFERROR(INDEX(Players[New name],MATCH(GameLog[[#This Row],[Player]],Players[Name],0)),GameLog[[#This Row],[Player]])</f>
        <v>Brett R</v>
      </c>
    </row>
    <row r="2120" spans="1:15" x14ac:dyDescent="0.45">
      <c r="A2120" s="6" t="s">
        <v>97</v>
      </c>
      <c r="B2120" s="6" t="s">
        <v>53</v>
      </c>
      <c r="C2120" s="6">
        <v>3</v>
      </c>
      <c r="D2120" s="6">
        <v>3</v>
      </c>
      <c r="E2120" s="6">
        <v>2</v>
      </c>
      <c r="F2120" s="10">
        <v>46272</v>
      </c>
      <c r="G2120" s="6" t="str">
        <f>_xlfn.TEXTJOIN("|",TRUE,GameLog[[#This Row],[Pod]],TEXT(INT(GameLog[[#This Row],[Round]]),"yyyymmdd"),GameLog[[#This Row],[Date]])</f>
        <v>3|19000102|46272</v>
      </c>
      <c r="H2120" s="6">
        <f>COUNTIF(GameLog[Pod ID],GameLog[[#This Row],[Pod ID]])</f>
        <v>4</v>
      </c>
      <c r="I2120" s="6">
        <f>YEAR(GameLog[[#This Row],[Date]])</f>
        <v>2026</v>
      </c>
      <c r="J2120" s="6">
        <f>MONTH(GameLog[[#This Row],[Date]])</f>
        <v>9</v>
      </c>
      <c r="K2120" s="6" t="str">
        <f>IF(GameLog[[#This Row],[Date]]=MAX(GameLog[Date]),"Current","Previous")</f>
        <v>Previous</v>
      </c>
      <c r="L2120" s="6"/>
      <c r="M21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0" s="6" t="str">
        <f ca="1">IF(GameLog[[#This Row],[Check]]="","",COUNTIF(GameLog[[#Headers],[Check]]:GameLog[[#This Row],[Check]],"?*")-1)</f>
        <v/>
      </c>
      <c r="O2120" s="6" t="str">
        <f>IFERROR(INDEX(Players[New name],MATCH(GameLog[[#This Row],[Player]],Players[Name],0)),GameLog[[#This Row],[Player]])</f>
        <v>Arman H</v>
      </c>
    </row>
    <row r="2121" spans="1:15" x14ac:dyDescent="0.45">
      <c r="A2121" s="6" t="s">
        <v>61</v>
      </c>
      <c r="B2121" s="6" t="s">
        <v>50</v>
      </c>
      <c r="C2121" s="6">
        <v>4</v>
      </c>
      <c r="D2121" s="6">
        <v>3</v>
      </c>
      <c r="E2121" s="6">
        <v>2</v>
      </c>
      <c r="F2121" s="10">
        <v>46272</v>
      </c>
      <c r="G2121" s="6" t="str">
        <f>_xlfn.TEXTJOIN("|",TRUE,GameLog[[#This Row],[Pod]],TEXT(INT(GameLog[[#This Row],[Round]]),"yyyymmdd"),GameLog[[#This Row],[Date]])</f>
        <v>3|19000102|46272</v>
      </c>
      <c r="H2121" s="6">
        <f>COUNTIF(GameLog[Pod ID],GameLog[[#This Row],[Pod ID]])</f>
        <v>4</v>
      </c>
      <c r="I2121" s="6">
        <f>YEAR(GameLog[[#This Row],[Date]])</f>
        <v>2026</v>
      </c>
      <c r="J2121" s="6">
        <f>MONTH(GameLog[[#This Row],[Date]])</f>
        <v>9</v>
      </c>
      <c r="K2121" s="6" t="str">
        <f>IF(GameLog[[#This Row],[Date]]=MAX(GameLog[Date]),"Current","Previous")</f>
        <v>Previous</v>
      </c>
      <c r="L2121" s="6"/>
      <c r="M21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1" s="6" t="str">
        <f ca="1">IF(GameLog[[#This Row],[Check]]="","",COUNTIF(GameLog[[#Headers],[Check]]:GameLog[[#This Row],[Check]],"?*")-1)</f>
        <v/>
      </c>
      <c r="O2121" s="6" t="str">
        <f>IFERROR(INDEX(Players[New name],MATCH(GameLog[[#This Row],[Player]],Players[Name],0)),GameLog[[#This Row],[Player]])</f>
        <v>Trevor</v>
      </c>
    </row>
    <row r="2122" spans="1:15" x14ac:dyDescent="0.45">
      <c r="A2122" s="6" t="s">
        <v>118</v>
      </c>
      <c r="B2122" s="6" t="s">
        <v>53</v>
      </c>
      <c r="C2122" s="6">
        <v>1</v>
      </c>
      <c r="D2122" s="6">
        <v>4</v>
      </c>
      <c r="E2122" s="6">
        <v>2</v>
      </c>
      <c r="F2122" s="10">
        <v>46272</v>
      </c>
      <c r="G2122" s="6" t="str">
        <f>_xlfn.TEXTJOIN("|",TRUE,GameLog[[#This Row],[Pod]],TEXT(INT(GameLog[[#This Row],[Round]]),"yyyymmdd"),GameLog[[#This Row],[Date]])</f>
        <v>4|19000102|46272</v>
      </c>
      <c r="H2122" s="6">
        <f>COUNTIF(GameLog[Pod ID],GameLog[[#This Row],[Pod ID]])</f>
        <v>4</v>
      </c>
      <c r="I2122" s="6">
        <f>YEAR(GameLog[[#This Row],[Date]])</f>
        <v>2026</v>
      </c>
      <c r="J2122" s="6">
        <f>MONTH(GameLog[[#This Row],[Date]])</f>
        <v>9</v>
      </c>
      <c r="K2122" s="6" t="str">
        <f>IF(GameLog[[#This Row],[Date]]=MAX(GameLog[Date]),"Current","Previous")</f>
        <v>Previous</v>
      </c>
      <c r="L2122" s="6"/>
      <c r="M21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2" s="6" t="str">
        <f ca="1">IF(GameLog[[#This Row],[Check]]="","",COUNTIF(GameLog[[#Headers],[Check]]:GameLog[[#This Row],[Check]],"?*")-1)</f>
        <v/>
      </c>
      <c r="O2122" s="6" t="str">
        <f>IFERROR(INDEX(Players[New name],MATCH(GameLog[[#This Row],[Player]],Players[Name],0)),GameLog[[#This Row],[Player]])</f>
        <v>Eric T</v>
      </c>
    </row>
    <row r="2123" spans="1:15" x14ac:dyDescent="0.45">
      <c r="A2123" s="6" t="s">
        <v>56</v>
      </c>
      <c r="B2123" s="6" t="s">
        <v>53</v>
      </c>
      <c r="C2123" s="6">
        <v>2</v>
      </c>
      <c r="D2123" s="6">
        <v>4</v>
      </c>
      <c r="E2123" s="6">
        <v>2</v>
      </c>
      <c r="F2123" s="10">
        <v>46272</v>
      </c>
      <c r="G2123" s="6" t="str">
        <f>_xlfn.TEXTJOIN("|",TRUE,GameLog[[#This Row],[Pod]],TEXT(INT(GameLog[[#This Row],[Round]]),"yyyymmdd"),GameLog[[#This Row],[Date]])</f>
        <v>4|19000102|46272</v>
      </c>
      <c r="H2123" s="6">
        <f>COUNTIF(GameLog[Pod ID],GameLog[[#This Row],[Pod ID]])</f>
        <v>4</v>
      </c>
      <c r="I2123" s="6">
        <f>YEAR(GameLog[[#This Row],[Date]])</f>
        <v>2026</v>
      </c>
      <c r="J2123" s="6">
        <f>MONTH(GameLog[[#This Row],[Date]])</f>
        <v>9</v>
      </c>
      <c r="K2123" s="6" t="str">
        <f>IF(GameLog[[#This Row],[Date]]=MAX(GameLog[Date]),"Current","Previous")</f>
        <v>Previous</v>
      </c>
      <c r="L2123" s="6"/>
      <c r="M21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3" s="6" t="str">
        <f ca="1">IF(GameLog[[#This Row],[Check]]="","",COUNTIF(GameLog[[#Headers],[Check]]:GameLog[[#This Row],[Check]],"?*")-1)</f>
        <v/>
      </c>
      <c r="O2123" s="6" t="str">
        <f>IFERROR(INDEX(Players[New name],MATCH(GameLog[[#This Row],[Player]],Players[Name],0)),GameLog[[#This Row],[Player]])</f>
        <v>Mark D</v>
      </c>
    </row>
    <row r="2124" spans="1:15" x14ac:dyDescent="0.45">
      <c r="A2124" s="6" t="s">
        <v>55</v>
      </c>
      <c r="B2124" s="6" t="s">
        <v>50</v>
      </c>
      <c r="C2124" s="6">
        <v>3</v>
      </c>
      <c r="D2124" s="6">
        <v>4</v>
      </c>
      <c r="E2124" s="6">
        <v>2</v>
      </c>
      <c r="F2124" s="10">
        <v>46272</v>
      </c>
      <c r="G2124" s="6" t="str">
        <f>_xlfn.TEXTJOIN("|",TRUE,GameLog[[#This Row],[Pod]],TEXT(INT(GameLog[[#This Row],[Round]]),"yyyymmdd"),GameLog[[#This Row],[Date]])</f>
        <v>4|19000102|46272</v>
      </c>
      <c r="H2124" s="6">
        <f>COUNTIF(GameLog[Pod ID],GameLog[[#This Row],[Pod ID]])</f>
        <v>4</v>
      </c>
      <c r="I2124" s="6">
        <f>YEAR(GameLog[[#This Row],[Date]])</f>
        <v>2026</v>
      </c>
      <c r="J2124" s="6">
        <f>MONTH(GameLog[[#This Row],[Date]])</f>
        <v>9</v>
      </c>
      <c r="K2124" s="6" t="str">
        <f>IF(GameLog[[#This Row],[Date]]=MAX(GameLog[Date]),"Current","Previous")</f>
        <v>Previous</v>
      </c>
      <c r="L2124" s="6"/>
      <c r="M21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4" s="6" t="str">
        <f ca="1">IF(GameLog[[#This Row],[Check]]="","",COUNTIF(GameLog[[#Headers],[Check]]:GameLog[[#This Row],[Check]],"?*")-1)</f>
        <v/>
      </c>
      <c r="O2124" s="6" t="str">
        <f>IFERROR(INDEX(Players[New name],MATCH(GameLog[[#This Row],[Player]],Players[Name],0)),GameLog[[#This Row],[Player]])</f>
        <v>Bryce C</v>
      </c>
    </row>
    <row r="2125" spans="1:15" x14ac:dyDescent="0.45">
      <c r="A2125" s="6" t="s">
        <v>96</v>
      </c>
      <c r="B2125" s="6" t="s">
        <v>53</v>
      </c>
      <c r="C2125" s="6">
        <v>4</v>
      </c>
      <c r="D2125" s="6">
        <v>4</v>
      </c>
      <c r="E2125" s="6">
        <v>2</v>
      </c>
      <c r="F2125" s="10">
        <v>46272</v>
      </c>
      <c r="G2125" s="6" t="str">
        <f>_xlfn.TEXTJOIN("|",TRUE,GameLog[[#This Row],[Pod]],TEXT(INT(GameLog[[#This Row],[Round]]),"yyyymmdd"),GameLog[[#This Row],[Date]])</f>
        <v>4|19000102|46272</v>
      </c>
      <c r="H2125" s="6">
        <f>COUNTIF(GameLog[Pod ID],GameLog[[#This Row],[Pod ID]])</f>
        <v>4</v>
      </c>
      <c r="I2125" s="6">
        <f>YEAR(GameLog[[#This Row],[Date]])</f>
        <v>2026</v>
      </c>
      <c r="J2125" s="6">
        <f>MONTH(GameLog[[#This Row],[Date]])</f>
        <v>9</v>
      </c>
      <c r="K2125" s="6" t="str">
        <f>IF(GameLog[[#This Row],[Date]]=MAX(GameLog[Date]),"Current","Previous")</f>
        <v>Previous</v>
      </c>
      <c r="L2125" s="6"/>
      <c r="M21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5" s="6" t="str">
        <f ca="1">IF(GameLog[[#This Row],[Check]]="","",COUNTIF(GameLog[[#Headers],[Check]]:GameLog[[#This Row],[Check]],"?*")-1)</f>
        <v/>
      </c>
      <c r="O2125" s="6" t="str">
        <f>IFERROR(INDEX(Players[New name],MATCH(GameLog[[#This Row],[Player]],Players[Name],0)),GameLog[[#This Row],[Player]])</f>
        <v>Brandon A</v>
      </c>
    </row>
    <row r="2126" spans="1:15" x14ac:dyDescent="0.45">
      <c r="A2126" s="6" t="s">
        <v>73</v>
      </c>
      <c r="B2126" s="6" t="s">
        <v>53</v>
      </c>
      <c r="C2126" s="6">
        <v>1</v>
      </c>
      <c r="D2126" s="6">
        <v>1</v>
      </c>
      <c r="E2126" s="6">
        <v>1</v>
      </c>
      <c r="F2126" s="10">
        <v>46279</v>
      </c>
      <c r="G2126" s="6" t="str">
        <f>_xlfn.TEXTJOIN("|",TRUE,GameLog[[#This Row],[Pod]],TEXT(INT(GameLog[[#This Row],[Round]]),"yyyymmdd"),GameLog[[#This Row],[Date]])</f>
        <v>1|19000101|46279</v>
      </c>
      <c r="H2126" s="6">
        <f>COUNTIF(GameLog[Pod ID],GameLog[[#This Row],[Pod ID]])</f>
        <v>4</v>
      </c>
      <c r="I2126" s="6">
        <f>YEAR(GameLog[[#This Row],[Date]])</f>
        <v>2026</v>
      </c>
      <c r="J2126" s="6">
        <f>MONTH(GameLog[[#This Row],[Date]])</f>
        <v>9</v>
      </c>
      <c r="K2126" s="6" t="str">
        <f>IF(GameLog[[#This Row],[Date]]=MAX(GameLog[Date]),"Current","Previous")</f>
        <v>Previous</v>
      </c>
      <c r="L2126" s="6"/>
      <c r="M21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6" s="6" t="str">
        <f ca="1">IF(GameLog[[#This Row],[Check]]="","",COUNTIF(GameLog[[#Headers],[Check]]:GameLog[[#This Row],[Check]],"?*")-1)</f>
        <v/>
      </c>
      <c r="O2126" s="6" t="str">
        <f>IFERROR(INDEX(Players[New name],MATCH(GameLog[[#This Row],[Player]],Players[Name],0)),GameLog[[#This Row],[Player]])</f>
        <v>Brandon B</v>
      </c>
    </row>
    <row r="2127" spans="1:15" x14ac:dyDescent="0.45">
      <c r="A2127" s="6" t="s">
        <v>113</v>
      </c>
      <c r="B2127" s="6" t="s">
        <v>50</v>
      </c>
      <c r="C2127" s="6">
        <v>2</v>
      </c>
      <c r="D2127" s="6">
        <v>1</v>
      </c>
      <c r="E2127" s="6">
        <v>1</v>
      </c>
      <c r="F2127" s="10">
        <v>46279</v>
      </c>
      <c r="G2127" s="6" t="str">
        <f>_xlfn.TEXTJOIN("|",TRUE,GameLog[[#This Row],[Pod]],TEXT(INT(GameLog[[#This Row],[Round]]),"yyyymmdd"),GameLog[[#This Row],[Date]])</f>
        <v>1|19000101|46279</v>
      </c>
      <c r="H2127" s="6">
        <f>COUNTIF(GameLog[Pod ID],GameLog[[#This Row],[Pod ID]])</f>
        <v>4</v>
      </c>
      <c r="I2127" s="6">
        <f>YEAR(GameLog[[#This Row],[Date]])</f>
        <v>2026</v>
      </c>
      <c r="J2127" s="6">
        <f>MONTH(GameLog[[#This Row],[Date]])</f>
        <v>9</v>
      </c>
      <c r="K2127" s="6" t="str">
        <f>IF(GameLog[[#This Row],[Date]]=MAX(GameLog[Date]),"Current","Previous")</f>
        <v>Previous</v>
      </c>
      <c r="L2127" s="6"/>
      <c r="M21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7" s="6" t="str">
        <f ca="1">IF(GameLog[[#This Row],[Check]]="","",COUNTIF(GameLog[[#Headers],[Check]]:GameLog[[#This Row],[Check]],"?*")-1)</f>
        <v/>
      </c>
      <c r="O2127" s="6" t="str">
        <f>IFERROR(INDEX(Players[New name],MATCH(GameLog[[#This Row],[Player]],Players[Name],0)),GameLog[[#This Row],[Player]])</f>
        <v>Gavin J</v>
      </c>
    </row>
    <row r="2128" spans="1:15" x14ac:dyDescent="0.45">
      <c r="A2128" s="6" t="s">
        <v>70</v>
      </c>
      <c r="B2128" s="6" t="s">
        <v>53</v>
      </c>
      <c r="C2128" s="6">
        <v>3</v>
      </c>
      <c r="D2128" s="6">
        <v>1</v>
      </c>
      <c r="E2128" s="6">
        <v>1</v>
      </c>
      <c r="F2128" s="10">
        <v>46279</v>
      </c>
      <c r="G2128" s="6" t="str">
        <f>_xlfn.TEXTJOIN("|",TRUE,GameLog[[#This Row],[Pod]],TEXT(INT(GameLog[[#This Row],[Round]]),"yyyymmdd"),GameLog[[#This Row],[Date]])</f>
        <v>1|19000101|46279</v>
      </c>
      <c r="H2128" s="6">
        <f>COUNTIF(GameLog[Pod ID],GameLog[[#This Row],[Pod ID]])</f>
        <v>4</v>
      </c>
      <c r="I2128" s="6">
        <f>YEAR(GameLog[[#This Row],[Date]])</f>
        <v>2026</v>
      </c>
      <c r="J2128" s="6">
        <f>MONTH(GameLog[[#This Row],[Date]])</f>
        <v>9</v>
      </c>
      <c r="K2128" s="6" t="str">
        <f>IF(GameLog[[#This Row],[Date]]=MAX(GameLog[Date]),"Current","Previous")</f>
        <v>Previous</v>
      </c>
      <c r="L2128" s="6"/>
      <c r="M21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8" s="6" t="str">
        <f ca="1">IF(GameLog[[#This Row],[Check]]="","",COUNTIF(GameLog[[#Headers],[Check]]:GameLog[[#This Row],[Check]],"?*")-1)</f>
        <v/>
      </c>
      <c r="O2128" s="6" t="str">
        <f>IFERROR(INDEX(Players[New name],MATCH(GameLog[[#This Row],[Player]],Players[Name],0)),GameLog[[#This Row],[Player]])</f>
        <v>Brad F</v>
      </c>
    </row>
    <row r="2129" spans="1:15" x14ac:dyDescent="0.45">
      <c r="A2129" s="6" t="s">
        <v>118</v>
      </c>
      <c r="B2129" s="6" t="s">
        <v>53</v>
      </c>
      <c r="C2129" s="6">
        <v>4</v>
      </c>
      <c r="D2129" s="6">
        <v>1</v>
      </c>
      <c r="E2129" s="6">
        <v>1</v>
      </c>
      <c r="F2129" s="10">
        <v>46279</v>
      </c>
      <c r="G2129" s="6" t="str">
        <f>_xlfn.TEXTJOIN("|",TRUE,GameLog[[#This Row],[Pod]],TEXT(INT(GameLog[[#This Row],[Round]]),"yyyymmdd"),GameLog[[#This Row],[Date]])</f>
        <v>1|19000101|46279</v>
      </c>
      <c r="H2129" s="6">
        <f>COUNTIF(GameLog[Pod ID],GameLog[[#This Row],[Pod ID]])</f>
        <v>4</v>
      </c>
      <c r="I2129" s="6">
        <f>YEAR(GameLog[[#This Row],[Date]])</f>
        <v>2026</v>
      </c>
      <c r="J2129" s="6">
        <f>MONTH(GameLog[[#This Row],[Date]])</f>
        <v>9</v>
      </c>
      <c r="K2129" s="6" t="str">
        <f>IF(GameLog[[#This Row],[Date]]=MAX(GameLog[Date]),"Current","Previous")</f>
        <v>Previous</v>
      </c>
      <c r="L2129" s="6"/>
      <c r="M21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29" s="6" t="str">
        <f ca="1">IF(GameLog[[#This Row],[Check]]="","",COUNTIF(GameLog[[#Headers],[Check]]:GameLog[[#This Row],[Check]],"?*")-1)</f>
        <v/>
      </c>
      <c r="O2129" s="6" t="str">
        <f>IFERROR(INDEX(Players[New name],MATCH(GameLog[[#This Row],[Player]],Players[Name],0)),GameLog[[#This Row],[Player]])</f>
        <v>Eric T</v>
      </c>
    </row>
    <row r="2130" spans="1:15" x14ac:dyDescent="0.45">
      <c r="A2130" s="6" t="s">
        <v>68</v>
      </c>
      <c r="B2130" s="6" t="s">
        <v>90</v>
      </c>
      <c r="C2130" s="6">
        <v>1</v>
      </c>
      <c r="D2130" s="6">
        <v>2</v>
      </c>
      <c r="E2130" s="6">
        <v>1</v>
      </c>
      <c r="F2130" s="10">
        <v>46279</v>
      </c>
      <c r="G2130" s="6" t="str">
        <f>_xlfn.TEXTJOIN("|",TRUE,GameLog[[#This Row],[Pod]],TEXT(INT(GameLog[[#This Row],[Round]]),"yyyymmdd"),GameLog[[#This Row],[Date]])</f>
        <v>2|19000101|46279</v>
      </c>
      <c r="H2130" s="6">
        <f>COUNTIF(GameLog[Pod ID],GameLog[[#This Row],[Pod ID]])</f>
        <v>4</v>
      </c>
      <c r="I2130" s="6">
        <f>YEAR(GameLog[[#This Row],[Date]])</f>
        <v>2026</v>
      </c>
      <c r="J2130" s="6">
        <f>MONTH(GameLog[[#This Row],[Date]])</f>
        <v>9</v>
      </c>
      <c r="K2130" s="6" t="str">
        <f>IF(GameLog[[#This Row],[Date]]=MAX(GameLog[Date]),"Current","Previous")</f>
        <v>Previous</v>
      </c>
      <c r="L2130" s="6"/>
      <c r="M21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0" s="6" t="str">
        <f ca="1">IF(GameLog[[#This Row],[Check]]="","",COUNTIF(GameLog[[#Headers],[Check]]:GameLog[[#This Row],[Check]],"?*")-1)</f>
        <v/>
      </c>
      <c r="O2130" s="6" t="str">
        <f>IFERROR(INDEX(Players[New name],MATCH(GameLog[[#This Row],[Player]],Players[Name],0)),GameLog[[#This Row],[Player]])</f>
        <v>Edwin M</v>
      </c>
    </row>
    <row r="2131" spans="1:15" x14ac:dyDescent="0.45">
      <c r="A2131" s="6" t="s">
        <v>64</v>
      </c>
      <c r="B2131" s="6" t="s">
        <v>90</v>
      </c>
      <c r="C2131" s="6">
        <v>2</v>
      </c>
      <c r="D2131" s="6">
        <v>2</v>
      </c>
      <c r="E2131" s="6">
        <v>1</v>
      </c>
      <c r="F2131" s="10">
        <v>46279</v>
      </c>
      <c r="G2131" s="6" t="str">
        <f>_xlfn.TEXTJOIN("|",TRUE,GameLog[[#This Row],[Pod]],TEXT(INT(GameLog[[#This Row],[Round]]),"yyyymmdd"),GameLog[[#This Row],[Date]])</f>
        <v>2|19000101|46279</v>
      </c>
      <c r="H2131" s="6">
        <f>COUNTIF(GameLog[Pod ID],GameLog[[#This Row],[Pod ID]])</f>
        <v>4</v>
      </c>
      <c r="I2131" s="6">
        <f>YEAR(GameLog[[#This Row],[Date]])</f>
        <v>2026</v>
      </c>
      <c r="J2131" s="6">
        <f>MONTH(GameLog[[#This Row],[Date]])</f>
        <v>9</v>
      </c>
      <c r="K2131" s="6" t="str">
        <f>IF(GameLog[[#This Row],[Date]]=MAX(GameLog[Date]),"Current","Previous")</f>
        <v>Previous</v>
      </c>
      <c r="L2131" s="6"/>
      <c r="M21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1" s="6" t="str">
        <f ca="1">IF(GameLog[[#This Row],[Check]]="","",COUNTIF(GameLog[[#Headers],[Check]]:GameLog[[#This Row],[Check]],"?*")-1)</f>
        <v/>
      </c>
      <c r="O2131" s="6" t="str">
        <f>IFERROR(INDEX(Players[New name],MATCH(GameLog[[#This Row],[Player]],Players[Name],0)),GameLog[[#This Row],[Player]])</f>
        <v>Tyler B</v>
      </c>
    </row>
    <row r="2132" spans="1:15" x14ac:dyDescent="0.45">
      <c r="A2132" s="6" t="s">
        <v>96</v>
      </c>
      <c r="B2132" s="6" t="s">
        <v>90</v>
      </c>
      <c r="C2132" s="6">
        <v>3</v>
      </c>
      <c r="D2132" s="6">
        <v>2</v>
      </c>
      <c r="E2132" s="6">
        <v>1</v>
      </c>
      <c r="F2132" s="10">
        <v>46279</v>
      </c>
      <c r="G2132" s="6" t="str">
        <f>_xlfn.TEXTJOIN("|",TRUE,GameLog[[#This Row],[Pod]],TEXT(INT(GameLog[[#This Row],[Round]]),"yyyymmdd"),GameLog[[#This Row],[Date]])</f>
        <v>2|19000101|46279</v>
      </c>
      <c r="H2132" s="6">
        <f>COUNTIF(GameLog[Pod ID],GameLog[[#This Row],[Pod ID]])</f>
        <v>4</v>
      </c>
      <c r="I2132" s="6">
        <f>YEAR(GameLog[[#This Row],[Date]])</f>
        <v>2026</v>
      </c>
      <c r="J2132" s="6">
        <f>MONTH(GameLog[[#This Row],[Date]])</f>
        <v>9</v>
      </c>
      <c r="K2132" s="6" t="str">
        <f>IF(GameLog[[#This Row],[Date]]=MAX(GameLog[Date]),"Current","Previous")</f>
        <v>Previous</v>
      </c>
      <c r="L2132" s="6"/>
      <c r="M21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2" s="6" t="str">
        <f ca="1">IF(GameLog[[#This Row],[Check]]="","",COUNTIF(GameLog[[#Headers],[Check]]:GameLog[[#This Row],[Check]],"?*")-1)</f>
        <v/>
      </c>
      <c r="O2132" s="6" t="str">
        <f>IFERROR(INDEX(Players[New name],MATCH(GameLog[[#This Row],[Player]],Players[Name],0)),GameLog[[#This Row],[Player]])</f>
        <v>Brandon A</v>
      </c>
    </row>
    <row r="2133" spans="1:15" x14ac:dyDescent="0.45">
      <c r="A2133" s="6" t="s">
        <v>61</v>
      </c>
      <c r="B2133" s="6" t="s">
        <v>90</v>
      </c>
      <c r="C2133" s="6">
        <v>4</v>
      </c>
      <c r="D2133" s="6">
        <v>2</v>
      </c>
      <c r="E2133" s="6">
        <v>1</v>
      </c>
      <c r="F2133" s="10">
        <v>46279</v>
      </c>
      <c r="G2133" s="6" t="str">
        <f>_xlfn.TEXTJOIN("|",TRUE,GameLog[[#This Row],[Pod]],TEXT(INT(GameLog[[#This Row],[Round]]),"yyyymmdd"),GameLog[[#This Row],[Date]])</f>
        <v>2|19000101|46279</v>
      </c>
      <c r="H2133" s="6">
        <f>COUNTIF(GameLog[Pod ID],GameLog[[#This Row],[Pod ID]])</f>
        <v>4</v>
      </c>
      <c r="I2133" s="6">
        <f>YEAR(GameLog[[#This Row],[Date]])</f>
        <v>2026</v>
      </c>
      <c r="J2133" s="6">
        <f>MONTH(GameLog[[#This Row],[Date]])</f>
        <v>9</v>
      </c>
      <c r="K2133" s="6" t="str">
        <f>IF(GameLog[[#This Row],[Date]]=MAX(GameLog[Date]),"Current","Previous")</f>
        <v>Previous</v>
      </c>
      <c r="L2133" s="6"/>
      <c r="M21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3" s="6" t="str">
        <f ca="1">IF(GameLog[[#This Row],[Check]]="","",COUNTIF(GameLog[[#Headers],[Check]]:GameLog[[#This Row],[Check]],"?*")-1)</f>
        <v/>
      </c>
      <c r="O2133" s="6" t="str">
        <f>IFERROR(INDEX(Players[New name],MATCH(GameLog[[#This Row],[Player]],Players[Name],0)),GameLog[[#This Row],[Player]])</f>
        <v>Trevor</v>
      </c>
    </row>
    <row r="2134" spans="1:15" x14ac:dyDescent="0.45">
      <c r="A2134" s="6" t="s">
        <v>49</v>
      </c>
      <c r="B2134" s="6" t="s">
        <v>90</v>
      </c>
      <c r="C2134" s="6">
        <v>1</v>
      </c>
      <c r="D2134" s="6">
        <v>3</v>
      </c>
      <c r="E2134" s="6">
        <v>1</v>
      </c>
      <c r="F2134" s="10">
        <v>46279</v>
      </c>
      <c r="G2134" s="6" t="str">
        <f>_xlfn.TEXTJOIN("|",TRUE,GameLog[[#This Row],[Pod]],TEXT(INT(GameLog[[#This Row],[Round]]),"yyyymmdd"),GameLog[[#This Row],[Date]])</f>
        <v>3|19000101|46279</v>
      </c>
      <c r="H2134" s="6">
        <f>COUNTIF(GameLog[Pod ID],GameLog[[#This Row],[Pod ID]])</f>
        <v>4</v>
      </c>
      <c r="I2134" s="6">
        <f>YEAR(GameLog[[#This Row],[Date]])</f>
        <v>2026</v>
      </c>
      <c r="J2134" s="6">
        <f>MONTH(GameLog[[#This Row],[Date]])</f>
        <v>9</v>
      </c>
      <c r="K2134" s="6" t="str">
        <f>IF(GameLog[[#This Row],[Date]]=MAX(GameLog[Date]),"Current","Previous")</f>
        <v>Previous</v>
      </c>
      <c r="L2134" s="6"/>
      <c r="M21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4" s="6" t="str">
        <f ca="1">IF(GameLog[[#This Row],[Check]]="","",COUNTIF(GameLog[[#Headers],[Check]]:GameLog[[#This Row],[Check]],"?*")-1)</f>
        <v/>
      </c>
      <c r="O2134" s="6" t="str">
        <f>IFERROR(INDEX(Players[New name],MATCH(GameLog[[#This Row],[Player]],Players[Name],0)),GameLog[[#This Row],[Player]])</f>
        <v>Brett R</v>
      </c>
    </row>
    <row r="2135" spans="1:15" x14ac:dyDescent="0.45">
      <c r="A2135" s="6" t="s">
        <v>55</v>
      </c>
      <c r="B2135" s="6" t="s">
        <v>90</v>
      </c>
      <c r="C2135" s="6">
        <v>2</v>
      </c>
      <c r="D2135" s="6">
        <v>3</v>
      </c>
      <c r="E2135" s="6">
        <v>1</v>
      </c>
      <c r="F2135" s="10">
        <v>46279</v>
      </c>
      <c r="G2135" s="6" t="str">
        <f>_xlfn.TEXTJOIN("|",TRUE,GameLog[[#This Row],[Pod]],TEXT(INT(GameLog[[#This Row],[Round]]),"yyyymmdd"),GameLog[[#This Row],[Date]])</f>
        <v>3|19000101|46279</v>
      </c>
      <c r="H2135" s="6">
        <f>COUNTIF(GameLog[Pod ID],GameLog[[#This Row],[Pod ID]])</f>
        <v>4</v>
      </c>
      <c r="I2135" s="6">
        <f>YEAR(GameLog[[#This Row],[Date]])</f>
        <v>2026</v>
      </c>
      <c r="J2135" s="6">
        <f>MONTH(GameLog[[#This Row],[Date]])</f>
        <v>9</v>
      </c>
      <c r="K2135" s="6" t="str">
        <f>IF(GameLog[[#This Row],[Date]]=MAX(GameLog[Date]),"Current","Previous")</f>
        <v>Previous</v>
      </c>
      <c r="L2135" s="6"/>
      <c r="M21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5" s="6" t="str">
        <f ca="1">IF(GameLog[[#This Row],[Check]]="","",COUNTIF(GameLog[[#Headers],[Check]]:GameLog[[#This Row],[Check]],"?*")-1)</f>
        <v/>
      </c>
      <c r="O2135" s="6" t="str">
        <f>IFERROR(INDEX(Players[New name],MATCH(GameLog[[#This Row],[Player]],Players[Name],0)),GameLog[[#This Row],[Player]])</f>
        <v>Bryce C</v>
      </c>
    </row>
    <row r="2136" spans="1:15" x14ac:dyDescent="0.45">
      <c r="A2136" s="6" t="s">
        <v>109</v>
      </c>
      <c r="B2136" s="6" t="s">
        <v>90</v>
      </c>
      <c r="C2136" s="6">
        <v>3</v>
      </c>
      <c r="D2136" s="6">
        <v>3</v>
      </c>
      <c r="E2136" s="6">
        <v>1</v>
      </c>
      <c r="F2136" s="10">
        <v>46279</v>
      </c>
      <c r="G2136" s="6" t="str">
        <f>_xlfn.TEXTJOIN("|",TRUE,GameLog[[#This Row],[Pod]],TEXT(INT(GameLog[[#This Row],[Round]]),"yyyymmdd"),GameLog[[#This Row],[Date]])</f>
        <v>3|19000101|46279</v>
      </c>
      <c r="H2136" s="6">
        <f>COUNTIF(GameLog[Pod ID],GameLog[[#This Row],[Pod ID]])</f>
        <v>4</v>
      </c>
      <c r="I2136" s="6">
        <f>YEAR(GameLog[[#This Row],[Date]])</f>
        <v>2026</v>
      </c>
      <c r="J2136" s="6">
        <f>MONTH(GameLog[[#This Row],[Date]])</f>
        <v>9</v>
      </c>
      <c r="K2136" s="6" t="str">
        <f>IF(GameLog[[#This Row],[Date]]=MAX(GameLog[Date]),"Current","Previous")</f>
        <v>Previous</v>
      </c>
      <c r="L2136" s="6"/>
      <c r="M21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6" s="6" t="str">
        <f ca="1">IF(GameLog[[#This Row],[Check]]="","",COUNTIF(GameLog[[#Headers],[Check]]:GameLog[[#This Row],[Check]],"?*")-1)</f>
        <v/>
      </c>
      <c r="O2136" s="6" t="str">
        <f>IFERROR(INDEX(Players[New name],MATCH(GameLog[[#This Row],[Player]],Players[Name],0)),GameLog[[#This Row],[Player]])</f>
        <v>Taylor C</v>
      </c>
    </row>
    <row r="2137" spans="1:15" x14ac:dyDescent="0.45">
      <c r="A2137" s="6" t="s">
        <v>97</v>
      </c>
      <c r="B2137" s="6" t="s">
        <v>90</v>
      </c>
      <c r="C2137" s="6">
        <v>4</v>
      </c>
      <c r="D2137" s="6">
        <v>3</v>
      </c>
      <c r="E2137" s="6">
        <v>1</v>
      </c>
      <c r="F2137" s="10">
        <v>46279</v>
      </c>
      <c r="G2137" s="6" t="str">
        <f>_xlfn.TEXTJOIN("|",TRUE,GameLog[[#This Row],[Pod]],TEXT(INT(GameLog[[#This Row],[Round]]),"yyyymmdd"),GameLog[[#This Row],[Date]])</f>
        <v>3|19000101|46279</v>
      </c>
      <c r="H2137" s="6">
        <f>COUNTIF(GameLog[Pod ID],GameLog[[#This Row],[Pod ID]])</f>
        <v>4</v>
      </c>
      <c r="I2137" s="6">
        <f>YEAR(GameLog[[#This Row],[Date]])</f>
        <v>2026</v>
      </c>
      <c r="J2137" s="6">
        <f>MONTH(GameLog[[#This Row],[Date]])</f>
        <v>9</v>
      </c>
      <c r="K2137" s="6" t="str">
        <f>IF(GameLog[[#This Row],[Date]]=MAX(GameLog[Date]),"Current","Previous")</f>
        <v>Previous</v>
      </c>
      <c r="L2137" s="6"/>
      <c r="M21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7" s="6" t="str">
        <f ca="1">IF(GameLog[[#This Row],[Check]]="","",COUNTIF(GameLog[[#Headers],[Check]]:GameLog[[#This Row],[Check]],"?*")-1)</f>
        <v/>
      </c>
      <c r="O2137" s="6" t="str">
        <f>IFERROR(INDEX(Players[New name],MATCH(GameLog[[#This Row],[Player]],Players[Name],0)),GameLog[[#This Row],[Player]])</f>
        <v>Arman H</v>
      </c>
    </row>
    <row r="2138" spans="1:15" x14ac:dyDescent="0.45">
      <c r="A2138" s="6" t="s">
        <v>56</v>
      </c>
      <c r="B2138" s="6" t="s">
        <v>53</v>
      </c>
      <c r="C2138" s="6">
        <v>1</v>
      </c>
      <c r="D2138" s="6">
        <v>4</v>
      </c>
      <c r="E2138" s="6">
        <v>1</v>
      </c>
      <c r="F2138" s="10">
        <v>46279</v>
      </c>
      <c r="G2138" s="6" t="str">
        <f>_xlfn.TEXTJOIN("|",TRUE,GameLog[[#This Row],[Pod]],TEXT(INT(GameLog[[#This Row],[Round]]),"yyyymmdd"),GameLog[[#This Row],[Date]])</f>
        <v>4|19000101|46279</v>
      </c>
      <c r="H2138" s="6">
        <f>COUNTIF(GameLog[Pod ID],GameLog[[#This Row],[Pod ID]])</f>
        <v>3</v>
      </c>
      <c r="I2138" s="6">
        <f>YEAR(GameLog[[#This Row],[Date]])</f>
        <v>2026</v>
      </c>
      <c r="J2138" s="6">
        <f>MONTH(GameLog[[#This Row],[Date]])</f>
        <v>9</v>
      </c>
      <c r="K2138" s="6" t="str">
        <f>IF(GameLog[[#This Row],[Date]]=MAX(GameLog[Date]),"Current","Previous")</f>
        <v>Previous</v>
      </c>
      <c r="L2138" s="6"/>
      <c r="M21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8" s="6" t="str">
        <f ca="1">IF(GameLog[[#This Row],[Check]]="","",COUNTIF(GameLog[[#Headers],[Check]]:GameLog[[#This Row],[Check]],"?*")-1)</f>
        <v/>
      </c>
      <c r="O2138" s="6" t="str">
        <f>IFERROR(INDEX(Players[New name],MATCH(GameLog[[#This Row],[Player]],Players[Name],0)),GameLog[[#This Row],[Player]])</f>
        <v>Mark D</v>
      </c>
    </row>
    <row r="2139" spans="1:15" x14ac:dyDescent="0.45">
      <c r="A2139" s="6" t="s">
        <v>120</v>
      </c>
      <c r="B2139" s="6" t="s">
        <v>53</v>
      </c>
      <c r="C2139" s="6">
        <v>2</v>
      </c>
      <c r="D2139" s="6">
        <v>4</v>
      </c>
      <c r="E2139" s="6">
        <v>1</v>
      </c>
      <c r="F2139" s="10">
        <v>46279</v>
      </c>
      <c r="G2139" s="6" t="str">
        <f>_xlfn.TEXTJOIN("|",TRUE,GameLog[[#This Row],[Pod]],TEXT(INT(GameLog[[#This Row],[Round]]),"yyyymmdd"),GameLog[[#This Row],[Date]])</f>
        <v>4|19000101|46279</v>
      </c>
      <c r="H2139" s="6">
        <f>COUNTIF(GameLog[Pod ID],GameLog[[#This Row],[Pod ID]])</f>
        <v>3</v>
      </c>
      <c r="I2139" s="6">
        <f>YEAR(GameLog[[#This Row],[Date]])</f>
        <v>2026</v>
      </c>
      <c r="J2139" s="6">
        <f>MONTH(GameLog[[#This Row],[Date]])</f>
        <v>9</v>
      </c>
      <c r="K2139" s="6" t="str">
        <f>IF(GameLog[[#This Row],[Date]]=MAX(GameLog[Date]),"Current","Previous")</f>
        <v>Previous</v>
      </c>
      <c r="L2139" s="6"/>
      <c r="M21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39" s="6" t="str">
        <f ca="1">IF(GameLog[[#This Row],[Check]]="","",COUNTIF(GameLog[[#Headers],[Check]]:GameLog[[#This Row],[Check]],"?*")-1)</f>
        <v/>
      </c>
      <c r="O2139" s="6" t="str">
        <f>IFERROR(INDEX(Players[New name],MATCH(GameLog[[#This Row],[Player]],Players[Name],0)),GameLog[[#This Row],[Player]])</f>
        <v>Jonny T</v>
      </c>
    </row>
    <row r="2140" spans="1:15" x14ac:dyDescent="0.45">
      <c r="A2140" s="6" t="s">
        <v>63</v>
      </c>
      <c r="B2140" s="6" t="s">
        <v>50</v>
      </c>
      <c r="C2140" s="6">
        <v>3</v>
      </c>
      <c r="D2140" s="6">
        <v>4</v>
      </c>
      <c r="E2140" s="6">
        <v>1</v>
      </c>
      <c r="F2140" s="10">
        <v>46279</v>
      </c>
      <c r="G2140" s="6" t="str">
        <f>_xlfn.TEXTJOIN("|",TRUE,GameLog[[#This Row],[Pod]],TEXT(INT(GameLog[[#This Row],[Round]]),"yyyymmdd"),GameLog[[#This Row],[Date]])</f>
        <v>4|19000101|46279</v>
      </c>
      <c r="H2140" s="6">
        <f>COUNTIF(GameLog[Pod ID],GameLog[[#This Row],[Pod ID]])</f>
        <v>3</v>
      </c>
      <c r="I2140" s="6">
        <f>YEAR(GameLog[[#This Row],[Date]])</f>
        <v>2026</v>
      </c>
      <c r="J2140" s="6">
        <f>MONTH(GameLog[[#This Row],[Date]])</f>
        <v>9</v>
      </c>
      <c r="K2140" s="6" t="str">
        <f>IF(GameLog[[#This Row],[Date]]=MAX(GameLog[Date]),"Current","Previous")</f>
        <v>Previous</v>
      </c>
      <c r="L2140" s="6"/>
      <c r="M21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0" s="6" t="str">
        <f ca="1">IF(GameLog[[#This Row],[Check]]="","",COUNTIF(GameLog[[#Headers],[Check]]:GameLog[[#This Row],[Check]],"?*")-1)</f>
        <v/>
      </c>
      <c r="O2140" s="6" t="str">
        <f>IFERROR(INDEX(Players[New name],MATCH(GameLog[[#This Row],[Player]],Players[Name],0)),GameLog[[#This Row],[Player]])</f>
        <v>Jake D</v>
      </c>
    </row>
    <row r="2141" spans="1:15" x14ac:dyDescent="0.45">
      <c r="A2141" s="6" t="s">
        <v>57</v>
      </c>
      <c r="B2141" s="6" t="s">
        <v>50</v>
      </c>
      <c r="C2141" s="6">
        <v>1</v>
      </c>
      <c r="D2141" s="6">
        <v>5</v>
      </c>
      <c r="E2141" s="6">
        <v>1</v>
      </c>
      <c r="F2141" s="10">
        <v>46279</v>
      </c>
      <c r="G2141" s="6" t="str">
        <f>_xlfn.TEXTJOIN("|",TRUE,GameLog[[#This Row],[Pod]],TEXT(INT(GameLog[[#This Row],[Round]]),"yyyymmdd"),GameLog[[#This Row],[Date]])</f>
        <v>5|19000101|46279</v>
      </c>
      <c r="H2141" s="6">
        <f>COUNTIF(GameLog[Pod ID],GameLog[[#This Row],[Pod ID]])</f>
        <v>3</v>
      </c>
      <c r="I2141" s="6">
        <f>YEAR(GameLog[[#This Row],[Date]])</f>
        <v>2026</v>
      </c>
      <c r="J2141" s="6">
        <f>MONTH(GameLog[[#This Row],[Date]])</f>
        <v>9</v>
      </c>
      <c r="K2141" s="6" t="str">
        <f>IF(GameLog[[#This Row],[Date]]=MAX(GameLog[Date]),"Current","Previous")</f>
        <v>Previous</v>
      </c>
      <c r="L2141" s="6"/>
      <c r="M21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1" s="6" t="str">
        <f ca="1">IF(GameLog[[#This Row],[Check]]="","",COUNTIF(GameLog[[#Headers],[Check]]:GameLog[[#This Row],[Check]],"?*")-1)</f>
        <v/>
      </c>
      <c r="O2141" s="6" t="str">
        <f>IFERROR(INDEX(Players[New name],MATCH(GameLog[[#This Row],[Player]],Players[Name],0)),GameLog[[#This Row],[Player]])</f>
        <v>AJ W</v>
      </c>
    </row>
    <row r="2142" spans="1:15" x14ac:dyDescent="0.45">
      <c r="A2142" s="6" t="s">
        <v>71</v>
      </c>
      <c r="B2142" s="6" t="s">
        <v>53</v>
      </c>
      <c r="C2142" s="6">
        <v>2</v>
      </c>
      <c r="D2142" s="6">
        <v>5</v>
      </c>
      <c r="E2142" s="6">
        <v>1</v>
      </c>
      <c r="F2142" s="10">
        <v>46279</v>
      </c>
      <c r="G2142" s="6" t="str">
        <f>_xlfn.TEXTJOIN("|",TRUE,GameLog[[#This Row],[Pod]],TEXT(INT(GameLog[[#This Row],[Round]]),"yyyymmdd"),GameLog[[#This Row],[Date]])</f>
        <v>5|19000101|46279</v>
      </c>
      <c r="H2142" s="6">
        <f>COUNTIF(GameLog[Pod ID],GameLog[[#This Row],[Pod ID]])</f>
        <v>3</v>
      </c>
      <c r="I2142" s="6">
        <f>YEAR(GameLog[[#This Row],[Date]])</f>
        <v>2026</v>
      </c>
      <c r="J2142" s="6">
        <f>MONTH(GameLog[[#This Row],[Date]])</f>
        <v>9</v>
      </c>
      <c r="K2142" s="6" t="str">
        <f>IF(GameLog[[#This Row],[Date]]=MAX(GameLog[Date]),"Current","Previous")</f>
        <v>Previous</v>
      </c>
      <c r="L2142" s="6"/>
      <c r="M21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2" s="6" t="str">
        <f ca="1">IF(GameLog[[#This Row],[Check]]="","",COUNTIF(GameLog[[#Headers],[Check]]:GameLog[[#This Row],[Check]],"?*")-1)</f>
        <v/>
      </c>
      <c r="O2142" s="6" t="str">
        <f>IFERROR(INDEX(Players[New name],MATCH(GameLog[[#This Row],[Player]],Players[Name],0)),GameLog[[#This Row],[Player]])</f>
        <v>Rodney Y</v>
      </c>
    </row>
    <row r="2143" spans="1:15" x14ac:dyDescent="0.45">
      <c r="A2143" s="6" t="s">
        <v>58</v>
      </c>
      <c r="B2143" s="6" t="s">
        <v>53</v>
      </c>
      <c r="C2143" s="6">
        <v>3</v>
      </c>
      <c r="D2143" s="6">
        <v>5</v>
      </c>
      <c r="E2143" s="6">
        <v>1</v>
      </c>
      <c r="F2143" s="10">
        <v>46279</v>
      </c>
      <c r="G2143" s="6" t="str">
        <f>_xlfn.TEXTJOIN("|",TRUE,GameLog[[#This Row],[Pod]],TEXT(INT(GameLog[[#This Row],[Round]]),"yyyymmdd"),GameLog[[#This Row],[Date]])</f>
        <v>5|19000101|46279</v>
      </c>
      <c r="H2143" s="6">
        <f>COUNTIF(GameLog[Pod ID],GameLog[[#This Row],[Pod ID]])</f>
        <v>3</v>
      </c>
      <c r="I2143" s="6">
        <f>YEAR(GameLog[[#This Row],[Date]])</f>
        <v>2026</v>
      </c>
      <c r="J2143" s="6">
        <f>MONTH(GameLog[[#This Row],[Date]])</f>
        <v>9</v>
      </c>
      <c r="K2143" s="6" t="str">
        <f>IF(GameLog[[#This Row],[Date]]=MAX(GameLog[Date]),"Current","Previous")</f>
        <v>Previous</v>
      </c>
      <c r="L2143" s="6"/>
      <c r="M21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3" s="6" t="str">
        <f ca="1">IF(GameLog[[#This Row],[Check]]="","",COUNTIF(GameLog[[#Headers],[Check]]:GameLog[[#This Row],[Check]],"?*")-1)</f>
        <v/>
      </c>
      <c r="O2143" s="6" t="str">
        <f>IFERROR(INDEX(Players[New name],MATCH(GameLog[[#This Row],[Player]],Players[Name],0)),GameLog[[#This Row],[Player]])</f>
        <v>Dakota P</v>
      </c>
    </row>
    <row r="2144" spans="1:15" x14ac:dyDescent="0.45">
      <c r="A2144" s="6" t="s">
        <v>63</v>
      </c>
      <c r="B2144" s="6" t="s">
        <v>53</v>
      </c>
      <c r="C2144" s="6">
        <v>1</v>
      </c>
      <c r="D2144" s="6">
        <v>1</v>
      </c>
      <c r="E2144" s="6">
        <v>2</v>
      </c>
      <c r="F2144" s="10">
        <v>46279</v>
      </c>
      <c r="G2144" s="6" t="str">
        <f>_xlfn.TEXTJOIN("|",TRUE,GameLog[[#This Row],[Pod]],TEXT(INT(GameLog[[#This Row],[Round]]),"yyyymmdd"),GameLog[[#This Row],[Date]])</f>
        <v>1|19000102|46279</v>
      </c>
      <c r="H2144" s="6">
        <f>COUNTIF(GameLog[Pod ID],GameLog[[#This Row],[Pod ID]])</f>
        <v>4</v>
      </c>
      <c r="I2144" s="6">
        <f>YEAR(GameLog[[#This Row],[Date]])</f>
        <v>2026</v>
      </c>
      <c r="J2144" s="6">
        <f>MONTH(GameLog[[#This Row],[Date]])</f>
        <v>9</v>
      </c>
      <c r="K2144" s="6" t="str">
        <f>IF(GameLog[[#This Row],[Date]]=MAX(GameLog[Date]),"Current","Previous")</f>
        <v>Previous</v>
      </c>
      <c r="L2144" s="6"/>
      <c r="M21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4" s="6" t="str">
        <f ca="1">IF(GameLog[[#This Row],[Check]]="","",COUNTIF(GameLog[[#Headers],[Check]]:GameLog[[#This Row],[Check]],"?*")-1)</f>
        <v/>
      </c>
      <c r="O2144" s="6" t="str">
        <f>IFERROR(INDEX(Players[New name],MATCH(GameLog[[#This Row],[Player]],Players[Name],0)),GameLog[[#This Row],[Player]])</f>
        <v>Jake D</v>
      </c>
    </row>
    <row r="2145" spans="1:15" x14ac:dyDescent="0.45">
      <c r="A2145" s="6" t="s">
        <v>113</v>
      </c>
      <c r="B2145" s="6" t="s">
        <v>53</v>
      </c>
      <c r="C2145" s="6">
        <v>2</v>
      </c>
      <c r="D2145" s="6">
        <v>1</v>
      </c>
      <c r="E2145" s="6">
        <v>2</v>
      </c>
      <c r="F2145" s="10">
        <v>46279</v>
      </c>
      <c r="G2145" s="6" t="str">
        <f>_xlfn.TEXTJOIN("|",TRUE,GameLog[[#This Row],[Pod]],TEXT(INT(GameLog[[#This Row],[Round]]),"yyyymmdd"),GameLog[[#This Row],[Date]])</f>
        <v>1|19000102|46279</v>
      </c>
      <c r="H2145" s="6">
        <f>COUNTIF(GameLog[Pod ID],GameLog[[#This Row],[Pod ID]])</f>
        <v>4</v>
      </c>
      <c r="I2145" s="6">
        <f>YEAR(GameLog[[#This Row],[Date]])</f>
        <v>2026</v>
      </c>
      <c r="J2145" s="6">
        <f>MONTH(GameLog[[#This Row],[Date]])</f>
        <v>9</v>
      </c>
      <c r="K2145" s="6" t="str">
        <f>IF(GameLog[[#This Row],[Date]]=MAX(GameLog[Date]),"Current","Previous")</f>
        <v>Previous</v>
      </c>
      <c r="L2145" s="6"/>
      <c r="M21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5" s="6" t="str">
        <f ca="1">IF(GameLog[[#This Row],[Check]]="","",COUNTIF(GameLog[[#Headers],[Check]]:GameLog[[#This Row],[Check]],"?*")-1)</f>
        <v/>
      </c>
      <c r="O2145" s="6" t="str">
        <f>IFERROR(INDEX(Players[New name],MATCH(GameLog[[#This Row],[Player]],Players[Name],0)),GameLog[[#This Row],[Player]])</f>
        <v>Gavin J</v>
      </c>
    </row>
    <row r="2146" spans="1:15" x14ac:dyDescent="0.45">
      <c r="A2146" s="6" t="s">
        <v>57</v>
      </c>
      <c r="B2146" s="6" t="s">
        <v>50</v>
      </c>
      <c r="C2146" s="6">
        <v>3</v>
      </c>
      <c r="D2146" s="6">
        <v>1</v>
      </c>
      <c r="E2146" s="6">
        <v>2</v>
      </c>
      <c r="F2146" s="10">
        <v>46279</v>
      </c>
      <c r="G2146" s="6" t="str">
        <f>_xlfn.TEXTJOIN("|",TRUE,GameLog[[#This Row],[Pod]],TEXT(INT(GameLog[[#This Row],[Round]]),"yyyymmdd"),GameLog[[#This Row],[Date]])</f>
        <v>1|19000102|46279</v>
      </c>
      <c r="H2146" s="6">
        <f>COUNTIF(GameLog[Pod ID],GameLog[[#This Row],[Pod ID]])</f>
        <v>4</v>
      </c>
      <c r="I2146" s="6">
        <f>YEAR(GameLog[[#This Row],[Date]])</f>
        <v>2026</v>
      </c>
      <c r="J2146" s="6">
        <f>MONTH(GameLog[[#This Row],[Date]])</f>
        <v>9</v>
      </c>
      <c r="K2146" s="6" t="str">
        <f>IF(GameLog[[#This Row],[Date]]=MAX(GameLog[Date]),"Current","Previous")</f>
        <v>Previous</v>
      </c>
      <c r="L2146" s="6"/>
      <c r="M21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6" s="6" t="str">
        <f ca="1">IF(GameLog[[#This Row],[Check]]="","",COUNTIF(GameLog[[#Headers],[Check]]:GameLog[[#This Row],[Check]],"?*")-1)</f>
        <v/>
      </c>
      <c r="O2146" s="6" t="str">
        <f>IFERROR(INDEX(Players[New name],MATCH(GameLog[[#This Row],[Player]],Players[Name],0)),GameLog[[#This Row],[Player]])</f>
        <v>AJ W</v>
      </c>
    </row>
    <row r="2147" spans="1:15" x14ac:dyDescent="0.45">
      <c r="A2147" s="6" t="s">
        <v>64</v>
      </c>
      <c r="B2147" s="6" t="s">
        <v>53</v>
      </c>
      <c r="C2147" s="6">
        <v>4</v>
      </c>
      <c r="D2147" s="6">
        <v>1</v>
      </c>
      <c r="E2147" s="6">
        <v>2</v>
      </c>
      <c r="F2147" s="10">
        <v>46279</v>
      </c>
      <c r="G2147" s="6" t="str">
        <f>_xlfn.TEXTJOIN("|",TRUE,GameLog[[#This Row],[Pod]],TEXT(INT(GameLog[[#This Row],[Round]]),"yyyymmdd"),GameLog[[#This Row],[Date]])</f>
        <v>1|19000102|46279</v>
      </c>
      <c r="H2147" s="6">
        <f>COUNTIF(GameLog[Pod ID],GameLog[[#This Row],[Pod ID]])</f>
        <v>4</v>
      </c>
      <c r="I2147" s="6">
        <f>YEAR(GameLog[[#This Row],[Date]])</f>
        <v>2026</v>
      </c>
      <c r="J2147" s="6">
        <f>MONTH(GameLog[[#This Row],[Date]])</f>
        <v>9</v>
      </c>
      <c r="K2147" s="6" t="str">
        <f>IF(GameLog[[#This Row],[Date]]=MAX(GameLog[Date]),"Current","Previous")</f>
        <v>Previous</v>
      </c>
      <c r="L2147" s="6"/>
      <c r="M21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7" s="6" t="str">
        <f ca="1">IF(GameLog[[#This Row],[Check]]="","",COUNTIF(GameLog[[#Headers],[Check]]:GameLog[[#This Row],[Check]],"?*")-1)</f>
        <v/>
      </c>
      <c r="O2147" s="6" t="str">
        <f>IFERROR(INDEX(Players[New name],MATCH(GameLog[[#This Row],[Player]],Players[Name],0)),GameLog[[#This Row],[Player]])</f>
        <v>Tyler B</v>
      </c>
    </row>
    <row r="2148" spans="1:15" x14ac:dyDescent="0.45">
      <c r="A2148" s="6" t="s">
        <v>118</v>
      </c>
      <c r="B2148" s="6" t="s">
        <v>50</v>
      </c>
      <c r="C2148" s="6">
        <v>1</v>
      </c>
      <c r="D2148" s="6">
        <v>2</v>
      </c>
      <c r="E2148" s="6">
        <v>2</v>
      </c>
      <c r="F2148" s="10">
        <v>46279</v>
      </c>
      <c r="G2148" s="6" t="str">
        <f>_xlfn.TEXTJOIN("|",TRUE,GameLog[[#This Row],[Pod]],TEXT(INT(GameLog[[#This Row],[Round]]),"yyyymmdd"),GameLog[[#This Row],[Date]])</f>
        <v>2|19000102|46279</v>
      </c>
      <c r="H2148" s="6">
        <f>COUNTIF(GameLog[Pod ID],GameLog[[#This Row],[Pod ID]])</f>
        <v>4</v>
      </c>
      <c r="I2148" s="6">
        <f>YEAR(GameLog[[#This Row],[Date]])</f>
        <v>2026</v>
      </c>
      <c r="J2148" s="6">
        <f>MONTH(GameLog[[#This Row],[Date]])</f>
        <v>9</v>
      </c>
      <c r="K2148" s="6" t="str">
        <f>IF(GameLog[[#This Row],[Date]]=MAX(GameLog[Date]),"Current","Previous")</f>
        <v>Previous</v>
      </c>
      <c r="L2148" s="6"/>
      <c r="M21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8" s="6" t="str">
        <f ca="1">IF(GameLog[[#This Row],[Check]]="","",COUNTIF(GameLog[[#Headers],[Check]]:GameLog[[#This Row],[Check]],"?*")-1)</f>
        <v/>
      </c>
      <c r="O2148" s="6" t="str">
        <f>IFERROR(INDEX(Players[New name],MATCH(GameLog[[#This Row],[Player]],Players[Name],0)),GameLog[[#This Row],[Player]])</f>
        <v>Eric T</v>
      </c>
    </row>
    <row r="2149" spans="1:15" x14ac:dyDescent="0.45">
      <c r="A2149" s="6" t="s">
        <v>96</v>
      </c>
      <c r="B2149" s="6" t="s">
        <v>53</v>
      </c>
      <c r="C2149" s="6">
        <v>2</v>
      </c>
      <c r="D2149" s="6">
        <v>2</v>
      </c>
      <c r="E2149" s="6">
        <v>2</v>
      </c>
      <c r="F2149" s="10">
        <v>46279</v>
      </c>
      <c r="G2149" s="6" t="str">
        <f>_xlfn.TEXTJOIN("|",TRUE,GameLog[[#This Row],[Pod]],TEXT(INT(GameLog[[#This Row],[Round]]),"yyyymmdd"),GameLog[[#This Row],[Date]])</f>
        <v>2|19000102|46279</v>
      </c>
      <c r="H2149" s="6">
        <f>COUNTIF(GameLog[Pod ID],GameLog[[#This Row],[Pod ID]])</f>
        <v>4</v>
      </c>
      <c r="I2149" s="6">
        <f>YEAR(GameLog[[#This Row],[Date]])</f>
        <v>2026</v>
      </c>
      <c r="J2149" s="6">
        <f>MONTH(GameLog[[#This Row],[Date]])</f>
        <v>9</v>
      </c>
      <c r="K2149" s="6" t="str">
        <f>IF(GameLog[[#This Row],[Date]]=MAX(GameLog[Date]),"Current","Previous")</f>
        <v>Previous</v>
      </c>
      <c r="L2149" s="6"/>
      <c r="M21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49" s="6" t="str">
        <f ca="1">IF(GameLog[[#This Row],[Check]]="","",COUNTIF(GameLog[[#Headers],[Check]]:GameLog[[#This Row],[Check]],"?*")-1)</f>
        <v/>
      </c>
      <c r="O2149" s="6" t="str">
        <f>IFERROR(INDEX(Players[New name],MATCH(GameLog[[#This Row],[Player]],Players[Name],0)),GameLog[[#This Row],[Player]])</f>
        <v>Brandon A</v>
      </c>
    </row>
    <row r="2150" spans="1:15" x14ac:dyDescent="0.45">
      <c r="A2150" s="6" t="s">
        <v>120</v>
      </c>
      <c r="B2150" s="6" t="s">
        <v>53</v>
      </c>
      <c r="C2150" s="6">
        <v>3</v>
      </c>
      <c r="D2150" s="6">
        <v>2</v>
      </c>
      <c r="E2150" s="6">
        <v>2</v>
      </c>
      <c r="F2150" s="10">
        <v>46279</v>
      </c>
      <c r="G2150" s="6" t="str">
        <f>_xlfn.TEXTJOIN("|",TRUE,GameLog[[#This Row],[Pod]],TEXT(INT(GameLog[[#This Row],[Round]]),"yyyymmdd"),GameLog[[#This Row],[Date]])</f>
        <v>2|19000102|46279</v>
      </c>
      <c r="H2150" s="6">
        <f>COUNTIF(GameLog[Pod ID],GameLog[[#This Row],[Pod ID]])</f>
        <v>4</v>
      </c>
      <c r="I2150" s="6">
        <f>YEAR(GameLog[[#This Row],[Date]])</f>
        <v>2026</v>
      </c>
      <c r="J2150" s="6">
        <f>MONTH(GameLog[[#This Row],[Date]])</f>
        <v>9</v>
      </c>
      <c r="K2150" s="6" t="str">
        <f>IF(GameLog[[#This Row],[Date]]=MAX(GameLog[Date]),"Current","Previous")</f>
        <v>Previous</v>
      </c>
      <c r="L2150" s="6"/>
      <c r="M21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0" s="6" t="str">
        <f ca="1">IF(GameLog[[#This Row],[Check]]="","",COUNTIF(GameLog[[#Headers],[Check]]:GameLog[[#This Row],[Check]],"?*")-1)</f>
        <v/>
      </c>
      <c r="O2150" s="6" t="str">
        <f>IFERROR(INDEX(Players[New name],MATCH(GameLog[[#This Row],[Player]],Players[Name],0)),GameLog[[#This Row],[Player]])</f>
        <v>Jonny T</v>
      </c>
    </row>
    <row r="2151" spans="1:15" x14ac:dyDescent="0.45">
      <c r="A2151" s="6" t="s">
        <v>49</v>
      </c>
      <c r="B2151" s="6" t="s">
        <v>53</v>
      </c>
      <c r="C2151" s="6">
        <v>4</v>
      </c>
      <c r="D2151" s="6">
        <v>2</v>
      </c>
      <c r="E2151" s="6">
        <v>2</v>
      </c>
      <c r="F2151" s="10">
        <v>46279</v>
      </c>
      <c r="G2151" s="6" t="str">
        <f>_xlfn.TEXTJOIN("|",TRUE,GameLog[[#This Row],[Pod]],TEXT(INT(GameLog[[#This Row],[Round]]),"yyyymmdd"),GameLog[[#This Row],[Date]])</f>
        <v>2|19000102|46279</v>
      </c>
      <c r="H2151" s="6">
        <f>COUNTIF(GameLog[Pod ID],GameLog[[#This Row],[Pod ID]])</f>
        <v>4</v>
      </c>
      <c r="I2151" s="6">
        <f>YEAR(GameLog[[#This Row],[Date]])</f>
        <v>2026</v>
      </c>
      <c r="J2151" s="6">
        <f>MONTH(GameLog[[#This Row],[Date]])</f>
        <v>9</v>
      </c>
      <c r="K2151" s="6" t="str">
        <f>IF(GameLog[[#This Row],[Date]]=MAX(GameLog[Date]),"Current","Previous")</f>
        <v>Previous</v>
      </c>
      <c r="L2151" s="6"/>
      <c r="M21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1" s="6" t="str">
        <f ca="1">IF(GameLog[[#This Row],[Check]]="","",COUNTIF(GameLog[[#Headers],[Check]]:GameLog[[#This Row],[Check]],"?*")-1)</f>
        <v/>
      </c>
      <c r="O2151" s="6" t="str">
        <f>IFERROR(INDEX(Players[New name],MATCH(GameLog[[#This Row],[Player]],Players[Name],0)),GameLog[[#This Row],[Player]])</f>
        <v>Brett R</v>
      </c>
    </row>
    <row r="2152" spans="1:15" x14ac:dyDescent="0.45">
      <c r="A2152" s="6" t="s">
        <v>61</v>
      </c>
      <c r="B2152" s="6" t="s">
        <v>90</v>
      </c>
      <c r="C2152" s="6">
        <v>1</v>
      </c>
      <c r="D2152" s="6">
        <v>3</v>
      </c>
      <c r="E2152" s="6">
        <v>2</v>
      </c>
      <c r="F2152" s="10">
        <v>46279</v>
      </c>
      <c r="G2152" s="6" t="str">
        <f>_xlfn.TEXTJOIN("|",TRUE,GameLog[[#This Row],[Pod]],TEXT(INT(GameLog[[#This Row],[Round]]),"yyyymmdd"),GameLog[[#This Row],[Date]])</f>
        <v>3|19000102|46279</v>
      </c>
      <c r="H2152" s="6">
        <f>COUNTIF(GameLog[Pod ID],GameLog[[#This Row],[Pod ID]])</f>
        <v>4</v>
      </c>
      <c r="I2152" s="6">
        <f>YEAR(GameLog[[#This Row],[Date]])</f>
        <v>2026</v>
      </c>
      <c r="J2152" s="6">
        <f>MONTH(GameLog[[#This Row],[Date]])</f>
        <v>9</v>
      </c>
      <c r="K2152" s="6" t="str">
        <f>IF(GameLog[[#This Row],[Date]]=MAX(GameLog[Date]),"Current","Previous")</f>
        <v>Previous</v>
      </c>
      <c r="L2152" s="6"/>
      <c r="M21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2" s="6" t="str">
        <f ca="1">IF(GameLog[[#This Row],[Check]]="","",COUNTIF(GameLog[[#Headers],[Check]]:GameLog[[#This Row],[Check]],"?*")-1)</f>
        <v/>
      </c>
      <c r="O2152" s="6" t="str">
        <f>IFERROR(INDEX(Players[New name],MATCH(GameLog[[#This Row],[Player]],Players[Name],0)),GameLog[[#This Row],[Player]])</f>
        <v>Trevor</v>
      </c>
    </row>
    <row r="2153" spans="1:15" x14ac:dyDescent="0.45">
      <c r="A2153" s="6" t="s">
        <v>70</v>
      </c>
      <c r="B2153" s="6" t="s">
        <v>90</v>
      </c>
      <c r="C2153" s="6">
        <v>2</v>
      </c>
      <c r="D2153" s="6">
        <v>3</v>
      </c>
      <c r="E2153" s="6">
        <v>2</v>
      </c>
      <c r="F2153" s="10">
        <v>46279</v>
      </c>
      <c r="G2153" s="6" t="str">
        <f>_xlfn.TEXTJOIN("|",TRUE,GameLog[[#This Row],[Pod]],TEXT(INT(GameLog[[#This Row],[Round]]),"yyyymmdd"),GameLog[[#This Row],[Date]])</f>
        <v>3|19000102|46279</v>
      </c>
      <c r="H2153" s="6">
        <f>COUNTIF(GameLog[Pod ID],GameLog[[#This Row],[Pod ID]])</f>
        <v>4</v>
      </c>
      <c r="I2153" s="6">
        <f>YEAR(GameLog[[#This Row],[Date]])</f>
        <v>2026</v>
      </c>
      <c r="J2153" s="6">
        <f>MONTH(GameLog[[#This Row],[Date]])</f>
        <v>9</v>
      </c>
      <c r="K2153" s="6" t="str">
        <f>IF(GameLog[[#This Row],[Date]]=MAX(GameLog[Date]),"Current","Previous")</f>
        <v>Previous</v>
      </c>
      <c r="L2153" s="6"/>
      <c r="M21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3" s="6" t="str">
        <f ca="1">IF(GameLog[[#This Row],[Check]]="","",COUNTIF(GameLog[[#Headers],[Check]]:GameLog[[#This Row],[Check]],"?*")-1)</f>
        <v/>
      </c>
      <c r="O2153" s="6" t="str">
        <f>IFERROR(INDEX(Players[New name],MATCH(GameLog[[#This Row],[Player]],Players[Name],0)),GameLog[[#This Row],[Player]])</f>
        <v>Brad F</v>
      </c>
    </row>
    <row r="2154" spans="1:15" x14ac:dyDescent="0.45">
      <c r="A2154" s="6" t="s">
        <v>71</v>
      </c>
      <c r="B2154" s="6" t="s">
        <v>90</v>
      </c>
      <c r="C2154" s="6">
        <v>3</v>
      </c>
      <c r="D2154" s="6">
        <v>3</v>
      </c>
      <c r="E2154" s="6">
        <v>2</v>
      </c>
      <c r="F2154" s="10">
        <v>46279</v>
      </c>
      <c r="G2154" s="6" t="str">
        <f>_xlfn.TEXTJOIN("|",TRUE,GameLog[[#This Row],[Pod]],TEXT(INT(GameLog[[#This Row],[Round]]),"yyyymmdd"),GameLog[[#This Row],[Date]])</f>
        <v>3|19000102|46279</v>
      </c>
      <c r="H2154" s="6">
        <f>COUNTIF(GameLog[Pod ID],GameLog[[#This Row],[Pod ID]])</f>
        <v>4</v>
      </c>
      <c r="I2154" s="6">
        <f>YEAR(GameLog[[#This Row],[Date]])</f>
        <v>2026</v>
      </c>
      <c r="J2154" s="6">
        <f>MONTH(GameLog[[#This Row],[Date]])</f>
        <v>9</v>
      </c>
      <c r="K2154" s="6" t="str">
        <f>IF(GameLog[[#This Row],[Date]]=MAX(GameLog[Date]),"Current","Previous")</f>
        <v>Previous</v>
      </c>
      <c r="L2154" s="6"/>
      <c r="M21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4" s="6" t="str">
        <f ca="1">IF(GameLog[[#This Row],[Check]]="","",COUNTIF(GameLog[[#Headers],[Check]]:GameLog[[#This Row],[Check]],"?*")-1)</f>
        <v/>
      </c>
      <c r="O2154" s="6" t="str">
        <f>IFERROR(INDEX(Players[New name],MATCH(GameLog[[#This Row],[Player]],Players[Name],0)),GameLog[[#This Row],[Player]])</f>
        <v>Rodney Y</v>
      </c>
    </row>
    <row r="2155" spans="1:15" x14ac:dyDescent="0.45">
      <c r="A2155" s="6" t="s">
        <v>55</v>
      </c>
      <c r="B2155" s="6" t="s">
        <v>90</v>
      </c>
      <c r="C2155" s="6">
        <v>4</v>
      </c>
      <c r="D2155" s="6">
        <v>3</v>
      </c>
      <c r="E2155" s="6">
        <v>2</v>
      </c>
      <c r="F2155" s="10">
        <v>46279</v>
      </c>
      <c r="G2155" s="6" t="str">
        <f>_xlfn.TEXTJOIN("|",TRUE,GameLog[[#This Row],[Pod]],TEXT(INT(GameLog[[#This Row],[Round]]),"yyyymmdd"),GameLog[[#This Row],[Date]])</f>
        <v>3|19000102|46279</v>
      </c>
      <c r="H2155" s="6">
        <f>COUNTIF(GameLog[Pod ID],GameLog[[#This Row],[Pod ID]])</f>
        <v>4</v>
      </c>
      <c r="I2155" s="6">
        <f>YEAR(GameLog[[#This Row],[Date]])</f>
        <v>2026</v>
      </c>
      <c r="J2155" s="6">
        <f>MONTH(GameLog[[#This Row],[Date]])</f>
        <v>9</v>
      </c>
      <c r="K2155" s="6" t="str">
        <f>IF(GameLog[[#This Row],[Date]]=MAX(GameLog[Date]),"Current","Previous")</f>
        <v>Previous</v>
      </c>
      <c r="L2155" s="6"/>
      <c r="M21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5" s="6" t="str">
        <f ca="1">IF(GameLog[[#This Row],[Check]]="","",COUNTIF(GameLog[[#Headers],[Check]]:GameLog[[#This Row],[Check]],"?*")-1)</f>
        <v/>
      </c>
      <c r="O2155" s="6" t="str">
        <f>IFERROR(INDEX(Players[New name],MATCH(GameLog[[#This Row],[Player]],Players[Name],0)),GameLog[[#This Row],[Player]])</f>
        <v>Bryce C</v>
      </c>
    </row>
    <row r="2156" spans="1:15" x14ac:dyDescent="0.45">
      <c r="A2156" s="6" t="s">
        <v>109</v>
      </c>
      <c r="B2156" s="6" t="s">
        <v>53</v>
      </c>
      <c r="C2156" s="6">
        <v>1</v>
      </c>
      <c r="D2156" s="6">
        <v>4</v>
      </c>
      <c r="E2156" s="6">
        <v>2</v>
      </c>
      <c r="F2156" s="10">
        <v>46279</v>
      </c>
      <c r="G2156" s="6" t="str">
        <f>_xlfn.TEXTJOIN("|",TRUE,GameLog[[#This Row],[Pod]],TEXT(INT(GameLog[[#This Row],[Round]]),"yyyymmdd"),GameLog[[#This Row],[Date]])</f>
        <v>4|19000102|46279</v>
      </c>
      <c r="H2156" s="6">
        <f>COUNTIF(GameLog[Pod ID],GameLog[[#This Row],[Pod ID]])</f>
        <v>3</v>
      </c>
      <c r="I2156" s="6">
        <f>YEAR(GameLog[[#This Row],[Date]])</f>
        <v>2026</v>
      </c>
      <c r="J2156" s="6">
        <f>MONTH(GameLog[[#This Row],[Date]])</f>
        <v>9</v>
      </c>
      <c r="K2156" s="6" t="str">
        <f>IF(GameLog[[#This Row],[Date]]=MAX(GameLog[Date]),"Current","Previous")</f>
        <v>Previous</v>
      </c>
      <c r="L2156" s="6"/>
      <c r="M21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6" s="6" t="str">
        <f ca="1">IF(GameLog[[#This Row],[Check]]="","",COUNTIF(GameLog[[#Headers],[Check]]:GameLog[[#This Row],[Check]],"?*")-1)</f>
        <v/>
      </c>
      <c r="O2156" s="6" t="str">
        <f>IFERROR(INDEX(Players[New name],MATCH(GameLog[[#This Row],[Player]],Players[Name],0)),GameLog[[#This Row],[Player]])</f>
        <v>Taylor C</v>
      </c>
    </row>
    <row r="2157" spans="1:15" x14ac:dyDescent="0.45">
      <c r="A2157" s="6" t="s">
        <v>56</v>
      </c>
      <c r="B2157" s="6" t="s">
        <v>50</v>
      </c>
      <c r="C2157" s="6">
        <v>2</v>
      </c>
      <c r="D2157" s="6">
        <v>4</v>
      </c>
      <c r="E2157" s="6">
        <v>2</v>
      </c>
      <c r="F2157" s="10">
        <v>46279</v>
      </c>
      <c r="G2157" s="6" t="str">
        <f>_xlfn.TEXTJOIN("|",TRUE,GameLog[[#This Row],[Pod]],TEXT(INT(GameLog[[#This Row],[Round]]),"yyyymmdd"),GameLog[[#This Row],[Date]])</f>
        <v>4|19000102|46279</v>
      </c>
      <c r="H2157" s="6">
        <f>COUNTIF(GameLog[Pod ID],GameLog[[#This Row],[Pod ID]])</f>
        <v>3</v>
      </c>
      <c r="I2157" s="6">
        <f>YEAR(GameLog[[#This Row],[Date]])</f>
        <v>2026</v>
      </c>
      <c r="J2157" s="6">
        <f>MONTH(GameLog[[#This Row],[Date]])</f>
        <v>9</v>
      </c>
      <c r="K2157" s="6" t="str">
        <f>IF(GameLog[[#This Row],[Date]]=MAX(GameLog[Date]),"Current","Previous")</f>
        <v>Previous</v>
      </c>
      <c r="L2157" s="6"/>
      <c r="M21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7" s="6" t="str">
        <f ca="1">IF(GameLog[[#This Row],[Check]]="","",COUNTIF(GameLog[[#Headers],[Check]]:GameLog[[#This Row],[Check]],"?*")-1)</f>
        <v/>
      </c>
      <c r="O2157" s="6" t="str">
        <f>IFERROR(INDEX(Players[New name],MATCH(GameLog[[#This Row],[Player]],Players[Name],0)),GameLog[[#This Row],[Player]])</f>
        <v>Mark D</v>
      </c>
    </row>
    <row r="2158" spans="1:15" x14ac:dyDescent="0.45">
      <c r="A2158" s="6" t="s">
        <v>68</v>
      </c>
      <c r="B2158" s="6" t="s">
        <v>53</v>
      </c>
      <c r="C2158" s="6">
        <v>3</v>
      </c>
      <c r="D2158" s="6">
        <v>4</v>
      </c>
      <c r="E2158" s="6">
        <v>2</v>
      </c>
      <c r="F2158" s="10">
        <v>46279</v>
      </c>
      <c r="G2158" s="6" t="str">
        <f>_xlfn.TEXTJOIN("|",TRUE,GameLog[[#This Row],[Pod]],TEXT(INT(GameLog[[#This Row],[Round]]),"yyyymmdd"),GameLog[[#This Row],[Date]])</f>
        <v>4|19000102|46279</v>
      </c>
      <c r="H2158" s="6">
        <f>COUNTIF(GameLog[Pod ID],GameLog[[#This Row],[Pod ID]])</f>
        <v>3</v>
      </c>
      <c r="I2158" s="6">
        <f>YEAR(GameLog[[#This Row],[Date]])</f>
        <v>2026</v>
      </c>
      <c r="J2158" s="6">
        <f>MONTH(GameLog[[#This Row],[Date]])</f>
        <v>9</v>
      </c>
      <c r="K2158" s="6" t="str">
        <f>IF(GameLog[[#This Row],[Date]]=MAX(GameLog[Date]),"Current","Previous")</f>
        <v>Previous</v>
      </c>
      <c r="L2158" s="6"/>
      <c r="M21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8" s="6" t="str">
        <f ca="1">IF(GameLog[[#This Row],[Check]]="","",COUNTIF(GameLog[[#Headers],[Check]]:GameLog[[#This Row],[Check]],"?*")-1)</f>
        <v/>
      </c>
      <c r="O2158" s="6" t="str">
        <f>IFERROR(INDEX(Players[New name],MATCH(GameLog[[#This Row],[Player]],Players[Name],0)),GameLog[[#This Row],[Player]])</f>
        <v>Edwin M</v>
      </c>
    </row>
    <row r="2159" spans="1:15" x14ac:dyDescent="0.45">
      <c r="A2159" s="6" t="s">
        <v>58</v>
      </c>
      <c r="B2159" s="6" t="s">
        <v>90</v>
      </c>
      <c r="C2159" s="6">
        <v>1</v>
      </c>
      <c r="D2159" s="6">
        <v>5</v>
      </c>
      <c r="E2159" s="6">
        <v>2</v>
      </c>
      <c r="F2159" s="10">
        <v>46279</v>
      </c>
      <c r="G2159" s="6" t="str">
        <f>_xlfn.TEXTJOIN("|",TRUE,GameLog[[#This Row],[Pod]],TEXT(INT(GameLog[[#This Row],[Round]]),"yyyymmdd"),GameLog[[#This Row],[Date]])</f>
        <v>5|19000102|46279</v>
      </c>
      <c r="H2159" s="6">
        <f>COUNTIF(GameLog[Pod ID],GameLog[[#This Row],[Pod ID]])</f>
        <v>3</v>
      </c>
      <c r="I2159" s="6">
        <f>YEAR(GameLog[[#This Row],[Date]])</f>
        <v>2026</v>
      </c>
      <c r="J2159" s="6">
        <f>MONTH(GameLog[[#This Row],[Date]])</f>
        <v>9</v>
      </c>
      <c r="K2159" s="6" t="str">
        <f>IF(GameLog[[#This Row],[Date]]=MAX(GameLog[Date]),"Current","Previous")</f>
        <v>Previous</v>
      </c>
      <c r="L2159" s="6"/>
      <c r="M21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59" s="6" t="str">
        <f ca="1">IF(GameLog[[#This Row],[Check]]="","",COUNTIF(GameLog[[#Headers],[Check]]:GameLog[[#This Row],[Check]],"?*")-1)</f>
        <v/>
      </c>
      <c r="O2159" s="6" t="str">
        <f>IFERROR(INDEX(Players[New name],MATCH(GameLog[[#This Row],[Player]],Players[Name],0)),GameLog[[#This Row],[Player]])</f>
        <v>Dakota P</v>
      </c>
    </row>
    <row r="2160" spans="1:15" x14ac:dyDescent="0.45">
      <c r="A2160" s="6" t="s">
        <v>73</v>
      </c>
      <c r="B2160" s="6" t="s">
        <v>90</v>
      </c>
      <c r="C2160" s="6">
        <v>2</v>
      </c>
      <c r="D2160" s="6">
        <v>5</v>
      </c>
      <c r="E2160" s="6">
        <v>2</v>
      </c>
      <c r="F2160" s="10">
        <v>46279</v>
      </c>
      <c r="G2160" s="6" t="str">
        <f>_xlfn.TEXTJOIN("|",TRUE,GameLog[[#This Row],[Pod]],TEXT(INT(GameLog[[#This Row],[Round]]),"yyyymmdd"),GameLog[[#This Row],[Date]])</f>
        <v>5|19000102|46279</v>
      </c>
      <c r="H2160" s="6">
        <f>COUNTIF(GameLog[Pod ID],GameLog[[#This Row],[Pod ID]])</f>
        <v>3</v>
      </c>
      <c r="I2160" s="6">
        <f>YEAR(GameLog[[#This Row],[Date]])</f>
        <v>2026</v>
      </c>
      <c r="J2160" s="6">
        <f>MONTH(GameLog[[#This Row],[Date]])</f>
        <v>9</v>
      </c>
      <c r="K2160" s="6" t="str">
        <f>IF(GameLog[[#This Row],[Date]]=MAX(GameLog[Date]),"Current","Previous")</f>
        <v>Previous</v>
      </c>
      <c r="L2160" s="6"/>
      <c r="M21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0" s="6" t="str">
        <f ca="1">IF(GameLog[[#This Row],[Check]]="","",COUNTIF(GameLog[[#Headers],[Check]]:GameLog[[#This Row],[Check]],"?*")-1)</f>
        <v/>
      </c>
      <c r="O2160" s="6" t="str">
        <f>IFERROR(INDEX(Players[New name],MATCH(GameLog[[#This Row],[Player]],Players[Name],0)),GameLog[[#This Row],[Player]])</f>
        <v>Brandon B</v>
      </c>
    </row>
    <row r="2161" spans="1:15" x14ac:dyDescent="0.45">
      <c r="A2161" s="6" t="s">
        <v>97</v>
      </c>
      <c r="B2161" s="6" t="s">
        <v>90</v>
      </c>
      <c r="C2161" s="6">
        <v>3</v>
      </c>
      <c r="D2161" s="6">
        <v>5</v>
      </c>
      <c r="E2161" s="6">
        <v>2</v>
      </c>
      <c r="F2161" s="10">
        <v>46279</v>
      </c>
      <c r="G2161" s="6" t="str">
        <f>_xlfn.TEXTJOIN("|",TRUE,GameLog[[#This Row],[Pod]],TEXT(INT(GameLog[[#This Row],[Round]]),"yyyymmdd"),GameLog[[#This Row],[Date]])</f>
        <v>5|19000102|46279</v>
      </c>
      <c r="H2161" s="6">
        <f>COUNTIF(GameLog[Pod ID],GameLog[[#This Row],[Pod ID]])</f>
        <v>3</v>
      </c>
      <c r="I2161" s="6">
        <f>YEAR(GameLog[[#This Row],[Date]])</f>
        <v>2026</v>
      </c>
      <c r="J2161" s="6">
        <f>MONTH(GameLog[[#This Row],[Date]])</f>
        <v>9</v>
      </c>
      <c r="K2161" s="6" t="str">
        <f>IF(GameLog[[#This Row],[Date]]=MAX(GameLog[Date]),"Current","Previous")</f>
        <v>Previous</v>
      </c>
      <c r="L2161" s="6"/>
      <c r="M21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1" s="6" t="str">
        <f ca="1">IF(GameLog[[#This Row],[Check]]="","",COUNTIF(GameLog[[#Headers],[Check]]:GameLog[[#This Row],[Check]],"?*")-1)</f>
        <v/>
      </c>
      <c r="O2161" s="6" t="str">
        <f>IFERROR(INDEX(Players[New name],MATCH(GameLog[[#This Row],[Player]],Players[Name],0)),GameLog[[#This Row],[Player]])</f>
        <v>Arman H</v>
      </c>
    </row>
    <row r="2162" spans="1:15" x14ac:dyDescent="0.45">
      <c r="A2162" s="6" t="s">
        <v>109</v>
      </c>
      <c r="B2162" s="6" t="s">
        <v>53</v>
      </c>
      <c r="C2162" s="6">
        <v>1</v>
      </c>
      <c r="D2162" s="6">
        <v>1</v>
      </c>
      <c r="E2162" s="6">
        <v>1</v>
      </c>
      <c r="F2162" s="10">
        <v>46286</v>
      </c>
      <c r="G2162" s="6" t="str">
        <f>_xlfn.TEXTJOIN("|",TRUE,GameLog[[#This Row],[Pod]],TEXT(INT(GameLog[[#This Row],[Round]]),"yyyymmdd"),GameLog[[#This Row],[Date]])</f>
        <v>1|19000101|46286</v>
      </c>
      <c r="H2162" s="6">
        <f>COUNTIF(GameLog[Pod ID],GameLog[[#This Row],[Pod ID]])</f>
        <v>4</v>
      </c>
      <c r="I2162" s="6">
        <f>YEAR(GameLog[[#This Row],[Date]])</f>
        <v>2026</v>
      </c>
      <c r="J2162" s="6">
        <f>MONTH(GameLog[[#This Row],[Date]])</f>
        <v>9</v>
      </c>
      <c r="K2162" s="6" t="str">
        <f>IF(GameLog[[#This Row],[Date]]=MAX(GameLog[Date]),"Current","Previous")</f>
        <v>Previous</v>
      </c>
      <c r="L2162" s="6"/>
      <c r="M21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2" s="6" t="str">
        <f ca="1">IF(GameLog[[#This Row],[Check]]="","",COUNTIF(GameLog[[#Headers],[Check]]:GameLog[[#This Row],[Check]],"?*")-1)</f>
        <v/>
      </c>
      <c r="O2162" s="6" t="str">
        <f>IFERROR(INDEX(Players[New name],MATCH(GameLog[[#This Row],[Player]],Players[Name],0)),GameLog[[#This Row],[Player]])</f>
        <v>Taylor C</v>
      </c>
    </row>
    <row r="2163" spans="1:15" x14ac:dyDescent="0.45">
      <c r="A2163" s="6" t="s">
        <v>56</v>
      </c>
      <c r="B2163" s="6" t="s">
        <v>50</v>
      </c>
      <c r="C2163" s="6">
        <v>2</v>
      </c>
      <c r="D2163" s="6">
        <v>1</v>
      </c>
      <c r="E2163" s="6">
        <v>1</v>
      </c>
      <c r="F2163" s="10">
        <v>46286</v>
      </c>
      <c r="G2163" s="6" t="str">
        <f>_xlfn.TEXTJOIN("|",TRUE,GameLog[[#This Row],[Pod]],TEXT(INT(GameLog[[#This Row],[Round]]),"yyyymmdd"),GameLog[[#This Row],[Date]])</f>
        <v>1|19000101|46286</v>
      </c>
      <c r="H2163" s="6">
        <f>COUNTIF(GameLog[Pod ID],GameLog[[#This Row],[Pod ID]])</f>
        <v>4</v>
      </c>
      <c r="I2163" s="6">
        <f>YEAR(GameLog[[#This Row],[Date]])</f>
        <v>2026</v>
      </c>
      <c r="J2163" s="6">
        <f>MONTH(GameLog[[#This Row],[Date]])</f>
        <v>9</v>
      </c>
      <c r="K2163" s="6" t="str">
        <f>IF(GameLog[[#This Row],[Date]]=MAX(GameLog[Date]),"Current","Previous")</f>
        <v>Previous</v>
      </c>
      <c r="L2163" s="6"/>
      <c r="M21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3" s="6" t="str">
        <f ca="1">IF(GameLog[[#This Row],[Check]]="","",COUNTIF(GameLog[[#Headers],[Check]]:GameLog[[#This Row],[Check]],"?*")-1)</f>
        <v/>
      </c>
      <c r="O2163" s="6" t="str">
        <f>IFERROR(INDEX(Players[New name],MATCH(GameLog[[#This Row],[Player]],Players[Name],0)),GameLog[[#This Row],[Player]])</f>
        <v>Mark D</v>
      </c>
    </row>
    <row r="2164" spans="1:15" x14ac:dyDescent="0.45">
      <c r="A2164" s="6" t="s">
        <v>76</v>
      </c>
      <c r="B2164" s="6" t="s">
        <v>53</v>
      </c>
      <c r="C2164" s="6">
        <v>3</v>
      </c>
      <c r="D2164" s="6">
        <v>1</v>
      </c>
      <c r="E2164" s="6">
        <v>1</v>
      </c>
      <c r="F2164" s="10">
        <v>46286</v>
      </c>
      <c r="G2164" s="6" t="str">
        <f>_xlfn.TEXTJOIN("|",TRUE,GameLog[[#This Row],[Pod]],TEXT(INT(GameLog[[#This Row],[Round]]),"yyyymmdd"),GameLog[[#This Row],[Date]])</f>
        <v>1|19000101|46286</v>
      </c>
      <c r="H2164" s="6">
        <f>COUNTIF(GameLog[Pod ID],GameLog[[#This Row],[Pod ID]])</f>
        <v>4</v>
      </c>
      <c r="I2164" s="6">
        <f>YEAR(GameLog[[#This Row],[Date]])</f>
        <v>2026</v>
      </c>
      <c r="J2164" s="6">
        <f>MONTH(GameLog[[#This Row],[Date]])</f>
        <v>9</v>
      </c>
      <c r="K2164" s="6" t="str">
        <f>IF(GameLog[[#This Row],[Date]]=MAX(GameLog[Date]),"Current","Previous")</f>
        <v>Previous</v>
      </c>
      <c r="L2164" s="6"/>
      <c r="M21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4" s="6" t="str">
        <f ca="1">IF(GameLog[[#This Row],[Check]]="","",COUNTIF(GameLog[[#Headers],[Check]]:GameLog[[#This Row],[Check]],"?*")-1)</f>
        <v/>
      </c>
      <c r="O2164" s="6" t="str">
        <f>IFERROR(INDEX(Players[New name],MATCH(GameLog[[#This Row],[Player]],Players[Name],0)),GameLog[[#This Row],[Player]])</f>
        <v>Jon M</v>
      </c>
    </row>
    <row r="2165" spans="1:15" x14ac:dyDescent="0.45">
      <c r="A2165" s="6" t="s">
        <v>70</v>
      </c>
      <c r="B2165" s="6" t="s">
        <v>53</v>
      </c>
      <c r="C2165" s="6">
        <v>4</v>
      </c>
      <c r="D2165" s="6">
        <v>1</v>
      </c>
      <c r="E2165" s="6">
        <v>1</v>
      </c>
      <c r="F2165" s="10">
        <v>46286</v>
      </c>
      <c r="G2165" s="6" t="str">
        <f>_xlfn.TEXTJOIN("|",TRUE,GameLog[[#This Row],[Pod]],TEXT(INT(GameLog[[#This Row],[Round]]),"yyyymmdd"),GameLog[[#This Row],[Date]])</f>
        <v>1|19000101|46286</v>
      </c>
      <c r="H2165" s="6">
        <f>COUNTIF(GameLog[Pod ID],GameLog[[#This Row],[Pod ID]])</f>
        <v>4</v>
      </c>
      <c r="I2165" s="6">
        <f>YEAR(GameLog[[#This Row],[Date]])</f>
        <v>2026</v>
      </c>
      <c r="J2165" s="6">
        <f>MONTH(GameLog[[#This Row],[Date]])</f>
        <v>9</v>
      </c>
      <c r="K2165" s="6" t="str">
        <f>IF(GameLog[[#This Row],[Date]]=MAX(GameLog[Date]),"Current","Previous")</f>
        <v>Previous</v>
      </c>
      <c r="L2165" s="6"/>
      <c r="M21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5" s="6" t="str">
        <f ca="1">IF(GameLog[[#This Row],[Check]]="","",COUNTIF(GameLog[[#Headers],[Check]]:GameLog[[#This Row],[Check]],"?*")-1)</f>
        <v/>
      </c>
      <c r="O2165" s="6" t="str">
        <f>IFERROR(INDEX(Players[New name],MATCH(GameLog[[#This Row],[Player]],Players[Name],0)),GameLog[[#This Row],[Player]])</f>
        <v>Brad F</v>
      </c>
    </row>
    <row r="2166" spans="1:15" x14ac:dyDescent="0.45">
      <c r="A2166" s="6" t="s">
        <v>97</v>
      </c>
      <c r="B2166" s="6" t="s">
        <v>90</v>
      </c>
      <c r="C2166" s="6">
        <v>1</v>
      </c>
      <c r="D2166" s="6">
        <v>2</v>
      </c>
      <c r="E2166" s="6">
        <v>1</v>
      </c>
      <c r="F2166" s="10">
        <v>46286</v>
      </c>
      <c r="G2166" s="6" t="str">
        <f>_xlfn.TEXTJOIN("|",TRUE,GameLog[[#This Row],[Pod]],TEXT(INT(GameLog[[#This Row],[Round]]),"yyyymmdd"),GameLog[[#This Row],[Date]])</f>
        <v>2|19000101|46286</v>
      </c>
      <c r="H2166" s="6">
        <f>COUNTIF(GameLog[Pod ID],GameLog[[#This Row],[Pod ID]])</f>
        <v>4</v>
      </c>
      <c r="I2166" s="6">
        <f>YEAR(GameLog[[#This Row],[Date]])</f>
        <v>2026</v>
      </c>
      <c r="J2166" s="6">
        <f>MONTH(GameLog[[#This Row],[Date]])</f>
        <v>9</v>
      </c>
      <c r="K2166" s="6" t="str">
        <f>IF(GameLog[[#This Row],[Date]]=MAX(GameLog[Date]),"Current","Previous")</f>
        <v>Previous</v>
      </c>
      <c r="L2166" s="6"/>
      <c r="M21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6" s="6" t="str">
        <f ca="1">IF(GameLog[[#This Row],[Check]]="","",COUNTIF(GameLog[[#Headers],[Check]]:GameLog[[#This Row],[Check]],"?*")-1)</f>
        <v/>
      </c>
      <c r="O2166" s="6" t="str">
        <f>IFERROR(INDEX(Players[New name],MATCH(GameLog[[#This Row],[Player]],Players[Name],0)),GameLog[[#This Row],[Player]])</f>
        <v>Arman H</v>
      </c>
    </row>
    <row r="2167" spans="1:15" x14ac:dyDescent="0.45">
      <c r="A2167" s="6" t="s">
        <v>71</v>
      </c>
      <c r="B2167" s="6" t="s">
        <v>90</v>
      </c>
      <c r="C2167" s="6">
        <v>2</v>
      </c>
      <c r="D2167" s="6">
        <v>2</v>
      </c>
      <c r="E2167" s="6">
        <v>1</v>
      </c>
      <c r="F2167" s="10">
        <v>46286</v>
      </c>
      <c r="G2167" s="6" t="str">
        <f>_xlfn.TEXTJOIN("|",TRUE,GameLog[[#This Row],[Pod]],TEXT(INT(GameLog[[#This Row],[Round]]),"yyyymmdd"),GameLog[[#This Row],[Date]])</f>
        <v>2|19000101|46286</v>
      </c>
      <c r="H2167" s="6">
        <f>COUNTIF(GameLog[Pod ID],GameLog[[#This Row],[Pod ID]])</f>
        <v>4</v>
      </c>
      <c r="I2167" s="6">
        <f>YEAR(GameLog[[#This Row],[Date]])</f>
        <v>2026</v>
      </c>
      <c r="J2167" s="6">
        <f>MONTH(GameLog[[#This Row],[Date]])</f>
        <v>9</v>
      </c>
      <c r="K2167" s="6" t="str">
        <f>IF(GameLog[[#This Row],[Date]]=MAX(GameLog[Date]),"Current","Previous")</f>
        <v>Previous</v>
      </c>
      <c r="L2167" s="6"/>
      <c r="M21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7" s="6" t="str">
        <f ca="1">IF(GameLog[[#This Row],[Check]]="","",COUNTIF(GameLog[[#Headers],[Check]]:GameLog[[#This Row],[Check]],"?*")-1)</f>
        <v/>
      </c>
      <c r="O2167" s="6" t="str">
        <f>IFERROR(INDEX(Players[New name],MATCH(GameLog[[#This Row],[Player]],Players[Name],0)),GameLog[[#This Row],[Player]])</f>
        <v>Rodney Y</v>
      </c>
    </row>
    <row r="2168" spans="1:15" x14ac:dyDescent="0.45">
      <c r="A2168" s="6" t="s">
        <v>120</v>
      </c>
      <c r="B2168" s="6" t="s">
        <v>90</v>
      </c>
      <c r="C2168" s="6">
        <v>3</v>
      </c>
      <c r="D2168" s="6">
        <v>2</v>
      </c>
      <c r="E2168" s="6">
        <v>1</v>
      </c>
      <c r="F2168" s="10">
        <v>46286</v>
      </c>
      <c r="G2168" s="6" t="str">
        <f>_xlfn.TEXTJOIN("|",TRUE,GameLog[[#This Row],[Pod]],TEXT(INT(GameLog[[#This Row],[Round]]),"yyyymmdd"),GameLog[[#This Row],[Date]])</f>
        <v>2|19000101|46286</v>
      </c>
      <c r="H2168" s="6">
        <f>COUNTIF(GameLog[Pod ID],GameLog[[#This Row],[Pod ID]])</f>
        <v>4</v>
      </c>
      <c r="I2168" s="6">
        <f>YEAR(GameLog[[#This Row],[Date]])</f>
        <v>2026</v>
      </c>
      <c r="J2168" s="6">
        <f>MONTH(GameLog[[#This Row],[Date]])</f>
        <v>9</v>
      </c>
      <c r="K2168" s="6" t="str">
        <f>IF(GameLog[[#This Row],[Date]]=MAX(GameLog[Date]),"Current","Previous")</f>
        <v>Previous</v>
      </c>
      <c r="L2168" s="6"/>
      <c r="M21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8" s="6" t="str">
        <f ca="1">IF(GameLog[[#This Row],[Check]]="","",COUNTIF(GameLog[[#Headers],[Check]]:GameLog[[#This Row],[Check]],"?*")-1)</f>
        <v/>
      </c>
      <c r="O2168" s="6" t="str">
        <f>IFERROR(INDEX(Players[New name],MATCH(GameLog[[#This Row],[Player]],Players[Name],0)),GameLog[[#This Row],[Player]])</f>
        <v>Jonny T</v>
      </c>
    </row>
    <row r="2169" spans="1:15" x14ac:dyDescent="0.45">
      <c r="A2169" s="6" t="s">
        <v>102</v>
      </c>
      <c r="B2169" s="6" t="s">
        <v>90</v>
      </c>
      <c r="C2169" s="6">
        <v>4</v>
      </c>
      <c r="D2169" s="6">
        <v>2</v>
      </c>
      <c r="E2169" s="6">
        <v>1</v>
      </c>
      <c r="F2169" s="10">
        <v>46286</v>
      </c>
      <c r="G2169" s="6" t="str">
        <f>_xlfn.TEXTJOIN("|",TRUE,GameLog[[#This Row],[Pod]],TEXT(INT(GameLog[[#This Row],[Round]]),"yyyymmdd"),GameLog[[#This Row],[Date]])</f>
        <v>2|19000101|46286</v>
      </c>
      <c r="H2169" s="6">
        <f>COUNTIF(GameLog[Pod ID],GameLog[[#This Row],[Pod ID]])</f>
        <v>4</v>
      </c>
      <c r="I2169" s="6">
        <f>YEAR(GameLog[[#This Row],[Date]])</f>
        <v>2026</v>
      </c>
      <c r="J2169" s="6">
        <f>MONTH(GameLog[[#This Row],[Date]])</f>
        <v>9</v>
      </c>
      <c r="K2169" s="6" t="str">
        <f>IF(GameLog[[#This Row],[Date]]=MAX(GameLog[Date]),"Current","Previous")</f>
        <v>Previous</v>
      </c>
      <c r="L2169" s="6"/>
      <c r="M21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69" s="6" t="str">
        <f ca="1">IF(GameLog[[#This Row],[Check]]="","",COUNTIF(GameLog[[#Headers],[Check]]:GameLog[[#This Row],[Check]],"?*")-1)</f>
        <v/>
      </c>
      <c r="O2169" s="6" t="str">
        <f>IFERROR(INDEX(Players[New name],MATCH(GameLog[[#This Row],[Player]],Players[Name],0)),GameLog[[#This Row],[Player]])</f>
        <v>Sage</v>
      </c>
    </row>
    <row r="2170" spans="1:15" x14ac:dyDescent="0.45">
      <c r="A2170" s="6" t="s">
        <v>73</v>
      </c>
      <c r="B2170" s="6" t="s">
        <v>53</v>
      </c>
      <c r="C2170" s="6">
        <v>1</v>
      </c>
      <c r="D2170" s="6">
        <v>3</v>
      </c>
      <c r="E2170" s="6">
        <v>1</v>
      </c>
      <c r="F2170" s="10">
        <v>46286</v>
      </c>
      <c r="G2170" s="6" t="str">
        <f>_xlfn.TEXTJOIN("|",TRUE,GameLog[[#This Row],[Pod]],TEXT(INT(GameLog[[#This Row],[Round]]),"yyyymmdd"),GameLog[[#This Row],[Date]])</f>
        <v>3|19000101|46286</v>
      </c>
      <c r="H2170" s="6">
        <f>COUNTIF(GameLog[Pod ID],GameLog[[#This Row],[Pod ID]])</f>
        <v>4</v>
      </c>
      <c r="I2170" s="6">
        <f>YEAR(GameLog[[#This Row],[Date]])</f>
        <v>2026</v>
      </c>
      <c r="J2170" s="6">
        <f>MONTH(GameLog[[#This Row],[Date]])</f>
        <v>9</v>
      </c>
      <c r="K2170" s="6" t="str">
        <f>IF(GameLog[[#This Row],[Date]]=MAX(GameLog[Date]),"Current","Previous")</f>
        <v>Previous</v>
      </c>
      <c r="L2170" s="6"/>
      <c r="M21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0" s="6" t="str">
        <f ca="1">IF(GameLog[[#This Row],[Check]]="","",COUNTIF(GameLog[[#Headers],[Check]]:GameLog[[#This Row],[Check]],"?*")-1)</f>
        <v/>
      </c>
      <c r="O2170" s="6" t="str">
        <f>IFERROR(INDEX(Players[New name],MATCH(GameLog[[#This Row],[Player]],Players[Name],0)),GameLog[[#This Row],[Player]])</f>
        <v>Brandon B</v>
      </c>
    </row>
    <row r="2171" spans="1:15" x14ac:dyDescent="0.45">
      <c r="A2171" s="6" t="s">
        <v>113</v>
      </c>
      <c r="B2171" s="6" t="s">
        <v>50</v>
      </c>
      <c r="C2171" s="6">
        <v>2</v>
      </c>
      <c r="D2171" s="6">
        <v>3</v>
      </c>
      <c r="E2171" s="6">
        <v>1</v>
      </c>
      <c r="F2171" s="10">
        <v>46286</v>
      </c>
      <c r="G2171" s="6" t="str">
        <f>_xlfn.TEXTJOIN("|",TRUE,GameLog[[#This Row],[Pod]],TEXT(INT(GameLog[[#This Row],[Round]]),"yyyymmdd"),GameLog[[#This Row],[Date]])</f>
        <v>3|19000101|46286</v>
      </c>
      <c r="H2171" s="6">
        <f>COUNTIF(GameLog[Pod ID],GameLog[[#This Row],[Pod ID]])</f>
        <v>4</v>
      </c>
      <c r="I2171" s="6">
        <f>YEAR(GameLog[[#This Row],[Date]])</f>
        <v>2026</v>
      </c>
      <c r="J2171" s="6">
        <f>MONTH(GameLog[[#This Row],[Date]])</f>
        <v>9</v>
      </c>
      <c r="K2171" s="6" t="str">
        <f>IF(GameLog[[#This Row],[Date]]=MAX(GameLog[Date]),"Current","Previous")</f>
        <v>Previous</v>
      </c>
      <c r="L2171" s="6"/>
      <c r="M21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1" s="6" t="str">
        <f ca="1">IF(GameLog[[#This Row],[Check]]="","",COUNTIF(GameLog[[#Headers],[Check]]:GameLog[[#This Row],[Check]],"?*")-1)</f>
        <v/>
      </c>
      <c r="O2171" s="6" t="str">
        <f>IFERROR(INDEX(Players[New name],MATCH(GameLog[[#This Row],[Player]],Players[Name],0)),GameLog[[#This Row],[Player]])</f>
        <v>Gavin J</v>
      </c>
    </row>
    <row r="2172" spans="1:15" x14ac:dyDescent="0.45">
      <c r="A2172" s="6" t="s">
        <v>61</v>
      </c>
      <c r="B2172" s="6" t="s">
        <v>53</v>
      </c>
      <c r="C2172" s="6">
        <v>3</v>
      </c>
      <c r="D2172" s="6">
        <v>3</v>
      </c>
      <c r="E2172" s="6">
        <v>1</v>
      </c>
      <c r="F2172" s="10">
        <v>46286</v>
      </c>
      <c r="G2172" s="6" t="str">
        <f>_xlfn.TEXTJOIN("|",TRUE,GameLog[[#This Row],[Pod]],TEXT(INT(GameLog[[#This Row],[Round]]),"yyyymmdd"),GameLog[[#This Row],[Date]])</f>
        <v>3|19000101|46286</v>
      </c>
      <c r="H2172" s="6">
        <f>COUNTIF(GameLog[Pod ID],GameLog[[#This Row],[Pod ID]])</f>
        <v>4</v>
      </c>
      <c r="I2172" s="6">
        <f>YEAR(GameLog[[#This Row],[Date]])</f>
        <v>2026</v>
      </c>
      <c r="J2172" s="6">
        <f>MONTH(GameLog[[#This Row],[Date]])</f>
        <v>9</v>
      </c>
      <c r="K2172" s="6" t="str">
        <f>IF(GameLog[[#This Row],[Date]]=MAX(GameLog[Date]),"Current","Previous")</f>
        <v>Previous</v>
      </c>
      <c r="L2172" s="6"/>
      <c r="M21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2" s="6" t="str">
        <f ca="1">IF(GameLog[[#This Row],[Check]]="","",COUNTIF(GameLog[[#Headers],[Check]]:GameLog[[#This Row],[Check]],"?*")-1)</f>
        <v/>
      </c>
      <c r="O2172" s="6" t="str">
        <f>IFERROR(INDEX(Players[New name],MATCH(GameLog[[#This Row],[Player]],Players[Name],0)),GameLog[[#This Row],[Player]])</f>
        <v>Trevor</v>
      </c>
    </row>
    <row r="2173" spans="1:15" x14ac:dyDescent="0.45">
      <c r="A2173" s="6" t="s">
        <v>96</v>
      </c>
      <c r="B2173" s="6" t="s">
        <v>53</v>
      </c>
      <c r="C2173" s="6">
        <v>4</v>
      </c>
      <c r="D2173" s="6">
        <v>3</v>
      </c>
      <c r="E2173" s="6">
        <v>1</v>
      </c>
      <c r="F2173" s="10">
        <v>46286</v>
      </c>
      <c r="G2173" s="6" t="str">
        <f>_xlfn.TEXTJOIN("|",TRUE,GameLog[[#This Row],[Pod]],TEXT(INT(GameLog[[#This Row],[Round]]),"yyyymmdd"),GameLog[[#This Row],[Date]])</f>
        <v>3|19000101|46286</v>
      </c>
      <c r="H2173" s="6">
        <f>COUNTIF(GameLog[Pod ID],GameLog[[#This Row],[Pod ID]])</f>
        <v>4</v>
      </c>
      <c r="I2173" s="6">
        <f>YEAR(GameLog[[#This Row],[Date]])</f>
        <v>2026</v>
      </c>
      <c r="J2173" s="6">
        <f>MONTH(GameLog[[#This Row],[Date]])</f>
        <v>9</v>
      </c>
      <c r="K2173" s="6" t="str">
        <f>IF(GameLog[[#This Row],[Date]]=MAX(GameLog[Date]),"Current","Previous")</f>
        <v>Previous</v>
      </c>
      <c r="L2173" s="6"/>
      <c r="M21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3" s="6" t="str">
        <f ca="1">IF(GameLog[[#This Row],[Check]]="","",COUNTIF(GameLog[[#Headers],[Check]]:GameLog[[#This Row],[Check]],"?*")-1)</f>
        <v/>
      </c>
      <c r="O2173" s="6" t="str">
        <f>IFERROR(INDEX(Players[New name],MATCH(GameLog[[#This Row],[Player]],Players[Name],0)),GameLog[[#This Row],[Player]])</f>
        <v>Brandon A</v>
      </c>
    </row>
    <row r="2174" spans="1:15" x14ac:dyDescent="0.45">
      <c r="A2174" s="6" t="s">
        <v>118</v>
      </c>
      <c r="B2174" s="6" t="s">
        <v>53</v>
      </c>
      <c r="C2174" s="6">
        <v>1</v>
      </c>
      <c r="D2174" s="6">
        <v>4</v>
      </c>
      <c r="E2174" s="6">
        <v>1</v>
      </c>
      <c r="F2174" s="10">
        <v>46286</v>
      </c>
      <c r="G2174" s="6" t="str">
        <f>_xlfn.TEXTJOIN("|",TRUE,GameLog[[#This Row],[Pod]],TEXT(INT(GameLog[[#This Row],[Round]]),"yyyymmdd"),GameLog[[#This Row],[Date]])</f>
        <v>4|19000101|46286</v>
      </c>
      <c r="H2174" s="6">
        <f>COUNTIF(GameLog[Pod ID],GameLog[[#This Row],[Pod ID]])</f>
        <v>4</v>
      </c>
      <c r="I2174" s="6">
        <f>YEAR(GameLog[[#This Row],[Date]])</f>
        <v>2026</v>
      </c>
      <c r="J2174" s="6">
        <f>MONTH(GameLog[[#This Row],[Date]])</f>
        <v>9</v>
      </c>
      <c r="K2174" s="6" t="str">
        <f>IF(GameLog[[#This Row],[Date]]=MAX(GameLog[Date]),"Current","Previous")</f>
        <v>Previous</v>
      </c>
      <c r="L2174" s="6"/>
      <c r="M21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4" s="6" t="str">
        <f ca="1">IF(GameLog[[#This Row],[Check]]="","",COUNTIF(GameLog[[#Headers],[Check]]:GameLog[[#This Row],[Check]],"?*")-1)</f>
        <v/>
      </c>
      <c r="O2174" s="6" t="str">
        <f>IFERROR(INDEX(Players[New name],MATCH(GameLog[[#This Row],[Player]],Players[Name],0)),GameLog[[#This Row],[Player]])</f>
        <v>Eric T</v>
      </c>
    </row>
    <row r="2175" spans="1:15" x14ac:dyDescent="0.45">
      <c r="A2175" s="6" t="s">
        <v>49</v>
      </c>
      <c r="B2175" s="6" t="s">
        <v>53</v>
      </c>
      <c r="C2175" s="6">
        <v>2</v>
      </c>
      <c r="D2175" s="6">
        <v>4</v>
      </c>
      <c r="E2175" s="6">
        <v>1</v>
      </c>
      <c r="F2175" s="10">
        <v>46286</v>
      </c>
      <c r="G2175" s="6" t="str">
        <f>_xlfn.TEXTJOIN("|",TRUE,GameLog[[#This Row],[Pod]],TEXT(INT(GameLog[[#This Row],[Round]]),"yyyymmdd"),GameLog[[#This Row],[Date]])</f>
        <v>4|19000101|46286</v>
      </c>
      <c r="H2175" s="6">
        <f>COUNTIF(GameLog[Pod ID],GameLog[[#This Row],[Pod ID]])</f>
        <v>4</v>
      </c>
      <c r="I2175" s="6">
        <f>YEAR(GameLog[[#This Row],[Date]])</f>
        <v>2026</v>
      </c>
      <c r="J2175" s="6">
        <f>MONTH(GameLog[[#This Row],[Date]])</f>
        <v>9</v>
      </c>
      <c r="K2175" s="6" t="str">
        <f>IF(GameLog[[#This Row],[Date]]=MAX(GameLog[Date]),"Current","Previous")</f>
        <v>Previous</v>
      </c>
      <c r="L2175" s="6"/>
      <c r="M21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5" s="6" t="str">
        <f ca="1">IF(GameLog[[#This Row],[Check]]="","",COUNTIF(GameLog[[#Headers],[Check]]:GameLog[[#This Row],[Check]],"?*")-1)</f>
        <v/>
      </c>
      <c r="O2175" s="6" t="str">
        <f>IFERROR(INDEX(Players[New name],MATCH(GameLog[[#This Row],[Player]],Players[Name],0)),GameLog[[#This Row],[Player]])</f>
        <v>Brett R</v>
      </c>
    </row>
    <row r="2176" spans="1:15" x14ac:dyDescent="0.45">
      <c r="A2176" s="6" t="s">
        <v>110</v>
      </c>
      <c r="B2176" s="6" t="s">
        <v>53</v>
      </c>
      <c r="C2176" s="6">
        <v>3</v>
      </c>
      <c r="D2176" s="6">
        <v>4</v>
      </c>
      <c r="E2176" s="6">
        <v>1</v>
      </c>
      <c r="F2176" s="10">
        <v>46286</v>
      </c>
      <c r="G2176" s="6" t="str">
        <f>_xlfn.TEXTJOIN("|",TRUE,GameLog[[#This Row],[Pod]],TEXT(INT(GameLog[[#This Row],[Round]]),"yyyymmdd"),GameLog[[#This Row],[Date]])</f>
        <v>4|19000101|46286</v>
      </c>
      <c r="H2176" s="6">
        <f>COUNTIF(GameLog[Pod ID],GameLog[[#This Row],[Pod ID]])</f>
        <v>4</v>
      </c>
      <c r="I2176" s="6">
        <f>YEAR(GameLog[[#This Row],[Date]])</f>
        <v>2026</v>
      </c>
      <c r="J2176" s="6">
        <f>MONTH(GameLog[[#This Row],[Date]])</f>
        <v>9</v>
      </c>
      <c r="K2176" s="6" t="str">
        <f>IF(GameLog[[#This Row],[Date]]=MAX(GameLog[Date]),"Current","Previous")</f>
        <v>Previous</v>
      </c>
      <c r="L2176" s="6"/>
      <c r="M21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6" s="6" t="str">
        <f ca="1">IF(GameLog[[#This Row],[Check]]="","",COUNTIF(GameLog[[#Headers],[Check]]:GameLog[[#This Row],[Check]],"?*")-1)</f>
        <v/>
      </c>
      <c r="O2176" s="6" t="str">
        <f>IFERROR(INDEX(Players[New name],MATCH(GameLog[[#This Row],[Player]],Players[Name],0)),GameLog[[#This Row],[Player]])</f>
        <v>Paul B</v>
      </c>
    </row>
    <row r="2177" spans="1:15" x14ac:dyDescent="0.45">
      <c r="A2177" s="6" t="s">
        <v>57</v>
      </c>
      <c r="B2177" s="6" t="s">
        <v>50</v>
      </c>
      <c r="C2177" s="6">
        <v>4</v>
      </c>
      <c r="D2177" s="6">
        <v>4</v>
      </c>
      <c r="E2177" s="6">
        <v>1</v>
      </c>
      <c r="F2177" s="10">
        <v>46286</v>
      </c>
      <c r="G2177" s="6" t="str">
        <f>_xlfn.TEXTJOIN("|",TRUE,GameLog[[#This Row],[Pod]],TEXT(INT(GameLog[[#This Row],[Round]]),"yyyymmdd"),GameLog[[#This Row],[Date]])</f>
        <v>4|19000101|46286</v>
      </c>
      <c r="H2177" s="6">
        <f>COUNTIF(GameLog[Pod ID],GameLog[[#This Row],[Pod ID]])</f>
        <v>4</v>
      </c>
      <c r="I2177" s="6">
        <f>YEAR(GameLog[[#This Row],[Date]])</f>
        <v>2026</v>
      </c>
      <c r="J2177" s="6">
        <f>MONTH(GameLog[[#This Row],[Date]])</f>
        <v>9</v>
      </c>
      <c r="K2177" s="6" t="str">
        <f>IF(GameLog[[#This Row],[Date]]=MAX(GameLog[Date]),"Current","Previous")</f>
        <v>Previous</v>
      </c>
      <c r="L2177" s="6"/>
      <c r="M21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7" s="6" t="str">
        <f ca="1">IF(GameLog[[#This Row],[Check]]="","",COUNTIF(GameLog[[#Headers],[Check]]:GameLog[[#This Row],[Check]],"?*")-1)</f>
        <v/>
      </c>
      <c r="O2177" s="6" t="str">
        <f>IFERROR(INDEX(Players[New name],MATCH(GameLog[[#This Row],[Player]],Players[Name],0)),GameLog[[#This Row],[Player]])</f>
        <v>AJ W</v>
      </c>
    </row>
    <row r="2178" spans="1:15" x14ac:dyDescent="0.45">
      <c r="A2178" s="6" t="s">
        <v>116</v>
      </c>
      <c r="B2178" s="6" t="s">
        <v>53</v>
      </c>
      <c r="C2178" s="6">
        <v>1</v>
      </c>
      <c r="D2178" s="6">
        <v>5</v>
      </c>
      <c r="E2178" s="6">
        <v>1</v>
      </c>
      <c r="F2178" s="10">
        <v>46286</v>
      </c>
      <c r="G2178" s="6" t="str">
        <f>_xlfn.TEXTJOIN("|",TRUE,GameLog[[#This Row],[Pod]],TEXT(INT(GameLog[[#This Row],[Round]]),"yyyymmdd"),GameLog[[#This Row],[Date]])</f>
        <v>5|19000101|46286</v>
      </c>
      <c r="H2178" s="6">
        <f>COUNTIF(GameLog[Pod ID],GameLog[[#This Row],[Pod ID]])</f>
        <v>4</v>
      </c>
      <c r="I2178" s="6">
        <f>YEAR(GameLog[[#This Row],[Date]])</f>
        <v>2026</v>
      </c>
      <c r="J2178" s="6">
        <f>MONTH(GameLog[[#This Row],[Date]])</f>
        <v>9</v>
      </c>
      <c r="K2178" s="6" t="str">
        <f>IF(GameLog[[#This Row],[Date]]=MAX(GameLog[Date]),"Current","Previous")</f>
        <v>Previous</v>
      </c>
      <c r="L2178" s="6"/>
      <c r="M21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8" s="6" t="str">
        <f ca="1">IF(GameLog[[#This Row],[Check]]="","",COUNTIF(GameLog[[#Headers],[Check]]:GameLog[[#This Row],[Check]],"?*")-1)</f>
        <v/>
      </c>
      <c r="O2178" s="6" t="str">
        <f>IFERROR(INDEX(Players[New name],MATCH(GameLog[[#This Row],[Player]],Players[Name],0)),GameLog[[#This Row],[Player]])</f>
        <v>Matthew W</v>
      </c>
    </row>
    <row r="2179" spans="1:15" x14ac:dyDescent="0.45">
      <c r="A2179" s="6" t="s">
        <v>64</v>
      </c>
      <c r="B2179" s="6" t="s">
        <v>53</v>
      </c>
      <c r="C2179" s="6">
        <v>2</v>
      </c>
      <c r="D2179" s="6">
        <v>5</v>
      </c>
      <c r="E2179" s="6">
        <v>1</v>
      </c>
      <c r="F2179" s="10">
        <v>46286</v>
      </c>
      <c r="G2179" s="6" t="str">
        <f>_xlfn.TEXTJOIN("|",TRUE,GameLog[[#This Row],[Pod]],TEXT(INT(GameLog[[#This Row],[Round]]),"yyyymmdd"),GameLog[[#This Row],[Date]])</f>
        <v>5|19000101|46286</v>
      </c>
      <c r="H2179" s="6">
        <f>COUNTIF(GameLog[Pod ID],GameLog[[#This Row],[Pod ID]])</f>
        <v>4</v>
      </c>
      <c r="I2179" s="6">
        <f>YEAR(GameLog[[#This Row],[Date]])</f>
        <v>2026</v>
      </c>
      <c r="J2179" s="6">
        <f>MONTH(GameLog[[#This Row],[Date]])</f>
        <v>9</v>
      </c>
      <c r="K2179" s="6" t="str">
        <f>IF(GameLog[[#This Row],[Date]]=MAX(GameLog[Date]),"Current","Previous")</f>
        <v>Previous</v>
      </c>
      <c r="L2179" s="6"/>
      <c r="M21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79" s="6" t="str">
        <f ca="1">IF(GameLog[[#This Row],[Check]]="","",COUNTIF(GameLog[[#Headers],[Check]]:GameLog[[#This Row],[Check]],"?*")-1)</f>
        <v/>
      </c>
      <c r="O2179" s="6" t="str">
        <f>IFERROR(INDEX(Players[New name],MATCH(GameLog[[#This Row],[Player]],Players[Name],0)),GameLog[[#This Row],[Player]])</f>
        <v>Tyler B</v>
      </c>
    </row>
    <row r="2180" spans="1:15" x14ac:dyDescent="0.45">
      <c r="A2180" s="6" t="s">
        <v>91</v>
      </c>
      <c r="B2180" s="6" t="s">
        <v>53</v>
      </c>
      <c r="C2180" s="6">
        <v>3</v>
      </c>
      <c r="D2180" s="6">
        <v>5</v>
      </c>
      <c r="E2180" s="6">
        <v>1</v>
      </c>
      <c r="F2180" s="10">
        <v>46286</v>
      </c>
      <c r="G2180" s="6" t="str">
        <f>_xlfn.TEXTJOIN("|",TRUE,GameLog[[#This Row],[Pod]],TEXT(INT(GameLog[[#This Row],[Round]]),"yyyymmdd"),GameLog[[#This Row],[Date]])</f>
        <v>5|19000101|46286</v>
      </c>
      <c r="H2180" s="6">
        <f>COUNTIF(GameLog[Pod ID],GameLog[[#This Row],[Pod ID]])</f>
        <v>4</v>
      </c>
      <c r="I2180" s="6">
        <f>YEAR(GameLog[[#This Row],[Date]])</f>
        <v>2026</v>
      </c>
      <c r="J2180" s="6">
        <f>MONTH(GameLog[[#This Row],[Date]])</f>
        <v>9</v>
      </c>
      <c r="K2180" s="6" t="str">
        <f>IF(GameLog[[#This Row],[Date]]=MAX(GameLog[Date]),"Current","Previous")</f>
        <v>Previous</v>
      </c>
      <c r="L2180" s="6"/>
      <c r="M21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0" s="6" t="str">
        <f ca="1">IF(GameLog[[#This Row],[Check]]="","",COUNTIF(GameLog[[#Headers],[Check]]:GameLog[[#This Row],[Check]],"?*")-1)</f>
        <v/>
      </c>
      <c r="O2180" s="6" t="str">
        <f>IFERROR(INDEX(Players[New name],MATCH(GameLog[[#This Row],[Player]],Players[Name],0)),GameLog[[#This Row],[Player]])</f>
        <v>Isaac B</v>
      </c>
    </row>
    <row r="2181" spans="1:15" x14ac:dyDescent="0.45">
      <c r="A2181" s="6" t="s">
        <v>58</v>
      </c>
      <c r="B2181" s="6" t="s">
        <v>50</v>
      </c>
      <c r="C2181" s="6">
        <v>4</v>
      </c>
      <c r="D2181" s="6">
        <v>5</v>
      </c>
      <c r="E2181" s="6">
        <v>1</v>
      </c>
      <c r="F2181" s="10">
        <v>46286</v>
      </c>
      <c r="G2181" s="6" t="str">
        <f>_xlfn.TEXTJOIN("|",TRUE,GameLog[[#This Row],[Pod]],TEXT(INT(GameLog[[#This Row],[Round]]),"yyyymmdd"),GameLog[[#This Row],[Date]])</f>
        <v>5|19000101|46286</v>
      </c>
      <c r="H2181" s="6">
        <f>COUNTIF(GameLog[Pod ID],GameLog[[#This Row],[Pod ID]])</f>
        <v>4</v>
      </c>
      <c r="I2181" s="6">
        <f>YEAR(GameLog[[#This Row],[Date]])</f>
        <v>2026</v>
      </c>
      <c r="J2181" s="6">
        <f>MONTH(GameLog[[#This Row],[Date]])</f>
        <v>9</v>
      </c>
      <c r="K2181" s="6" t="str">
        <f>IF(GameLog[[#This Row],[Date]]=MAX(GameLog[Date]),"Current","Previous")</f>
        <v>Previous</v>
      </c>
      <c r="L2181" s="6"/>
      <c r="M21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1" s="6" t="str">
        <f ca="1">IF(GameLog[[#This Row],[Check]]="","",COUNTIF(GameLog[[#Headers],[Check]]:GameLog[[#This Row],[Check]],"?*")-1)</f>
        <v/>
      </c>
      <c r="O2181" s="6" t="str">
        <f>IFERROR(INDEX(Players[New name],MATCH(GameLog[[#This Row],[Player]],Players[Name],0)),GameLog[[#This Row],[Player]])</f>
        <v>Dakota P</v>
      </c>
    </row>
    <row r="2182" spans="1:15" x14ac:dyDescent="0.45">
      <c r="A2182" s="6" t="s">
        <v>121</v>
      </c>
      <c r="B2182" s="6" t="s">
        <v>53</v>
      </c>
      <c r="C2182" s="6">
        <v>1</v>
      </c>
      <c r="D2182" s="6">
        <v>6</v>
      </c>
      <c r="E2182" s="6">
        <v>1</v>
      </c>
      <c r="F2182" s="10">
        <v>46286</v>
      </c>
      <c r="G2182" s="6" t="str">
        <f>_xlfn.TEXTJOIN("|",TRUE,GameLog[[#This Row],[Pod]],TEXT(INT(GameLog[[#This Row],[Round]]),"yyyymmdd"),GameLog[[#This Row],[Date]])</f>
        <v>6|19000101|46286</v>
      </c>
      <c r="H2182" s="6">
        <f>COUNTIF(GameLog[Pod ID],GameLog[[#This Row],[Pod ID]])</f>
        <v>3</v>
      </c>
      <c r="I2182" s="6">
        <f>YEAR(GameLog[[#This Row],[Date]])</f>
        <v>2026</v>
      </c>
      <c r="J2182" s="6">
        <f>MONTH(GameLog[[#This Row],[Date]])</f>
        <v>9</v>
      </c>
      <c r="K2182" s="6" t="str">
        <f>IF(GameLog[[#This Row],[Date]]=MAX(GameLog[Date]),"Current","Previous")</f>
        <v>Previous</v>
      </c>
      <c r="L2182" s="6"/>
      <c r="M21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2" s="6" t="str">
        <f ca="1">IF(GameLog[[#This Row],[Check]]="","",COUNTIF(GameLog[[#Headers],[Check]]:GameLog[[#This Row],[Check]],"?*")-1)</f>
        <v/>
      </c>
      <c r="O2182" s="6" t="str">
        <f>IFERROR(INDEX(Players[New name],MATCH(GameLog[[#This Row],[Player]],Players[Name],0)),GameLog[[#This Row],[Player]])</f>
        <v>Randy P</v>
      </c>
    </row>
    <row r="2183" spans="1:15" x14ac:dyDescent="0.45">
      <c r="A2183" s="6" t="s">
        <v>68</v>
      </c>
      <c r="B2183" s="6" t="s">
        <v>53</v>
      </c>
      <c r="C2183" s="6">
        <v>2</v>
      </c>
      <c r="D2183" s="6">
        <v>6</v>
      </c>
      <c r="E2183" s="6">
        <v>1</v>
      </c>
      <c r="F2183" s="10">
        <v>46286</v>
      </c>
      <c r="G2183" s="6" t="str">
        <f>_xlfn.TEXTJOIN("|",TRUE,GameLog[[#This Row],[Pod]],TEXT(INT(GameLog[[#This Row],[Round]]),"yyyymmdd"),GameLog[[#This Row],[Date]])</f>
        <v>6|19000101|46286</v>
      </c>
      <c r="H2183" s="6">
        <f>COUNTIF(GameLog[Pod ID],GameLog[[#This Row],[Pod ID]])</f>
        <v>3</v>
      </c>
      <c r="I2183" s="6">
        <f>YEAR(GameLog[[#This Row],[Date]])</f>
        <v>2026</v>
      </c>
      <c r="J2183" s="6">
        <f>MONTH(GameLog[[#This Row],[Date]])</f>
        <v>9</v>
      </c>
      <c r="K2183" s="6" t="str">
        <f>IF(GameLog[[#This Row],[Date]]=MAX(GameLog[Date]),"Current","Previous")</f>
        <v>Previous</v>
      </c>
      <c r="L2183" s="6"/>
      <c r="M21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3" s="6" t="str">
        <f ca="1">IF(GameLog[[#This Row],[Check]]="","",COUNTIF(GameLog[[#Headers],[Check]]:GameLog[[#This Row],[Check]],"?*")-1)</f>
        <v/>
      </c>
      <c r="O2183" s="6" t="str">
        <f>IFERROR(INDEX(Players[New name],MATCH(GameLog[[#This Row],[Player]],Players[Name],0)),GameLog[[#This Row],[Player]])</f>
        <v>Edwin M</v>
      </c>
    </row>
    <row r="2184" spans="1:15" x14ac:dyDescent="0.45">
      <c r="A2184" s="6" t="s">
        <v>55</v>
      </c>
      <c r="B2184" s="6" t="s">
        <v>50</v>
      </c>
      <c r="C2184" s="6">
        <v>3</v>
      </c>
      <c r="D2184" s="6">
        <v>6</v>
      </c>
      <c r="E2184" s="6">
        <v>1</v>
      </c>
      <c r="F2184" s="10">
        <v>46286</v>
      </c>
      <c r="G2184" s="6" t="str">
        <f>_xlfn.TEXTJOIN("|",TRUE,GameLog[[#This Row],[Pod]],TEXT(INT(GameLog[[#This Row],[Round]]),"yyyymmdd"),GameLog[[#This Row],[Date]])</f>
        <v>6|19000101|46286</v>
      </c>
      <c r="H2184" s="6">
        <f>COUNTIF(GameLog[Pod ID],GameLog[[#This Row],[Pod ID]])</f>
        <v>3</v>
      </c>
      <c r="I2184" s="6">
        <f>YEAR(GameLog[[#This Row],[Date]])</f>
        <v>2026</v>
      </c>
      <c r="J2184" s="6">
        <f>MONTH(GameLog[[#This Row],[Date]])</f>
        <v>9</v>
      </c>
      <c r="K2184" s="6" t="str">
        <f>IF(GameLog[[#This Row],[Date]]=MAX(GameLog[Date]),"Current","Previous")</f>
        <v>Previous</v>
      </c>
      <c r="L2184" s="6"/>
      <c r="M21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4" s="6" t="str">
        <f ca="1">IF(GameLog[[#This Row],[Check]]="","",COUNTIF(GameLog[[#Headers],[Check]]:GameLog[[#This Row],[Check]],"?*")-1)</f>
        <v/>
      </c>
      <c r="O2184" s="6" t="str">
        <f>IFERROR(INDEX(Players[New name],MATCH(GameLog[[#This Row],[Player]],Players[Name],0)),GameLog[[#This Row],[Player]])</f>
        <v>Bryce C</v>
      </c>
    </row>
    <row r="2185" spans="1:15" x14ac:dyDescent="0.45">
      <c r="A2185" s="6" t="s">
        <v>61</v>
      </c>
      <c r="B2185" s="6" t="s">
        <v>90</v>
      </c>
      <c r="C2185" s="6">
        <v>1</v>
      </c>
      <c r="D2185" s="6">
        <v>1</v>
      </c>
      <c r="E2185" s="6">
        <v>2</v>
      </c>
      <c r="F2185" s="10">
        <v>46286</v>
      </c>
      <c r="G2185" s="6" t="str">
        <f>_xlfn.TEXTJOIN("|",TRUE,GameLog[[#This Row],[Pod]],TEXT(INT(GameLog[[#This Row],[Round]]),"yyyymmdd"),GameLog[[#This Row],[Date]])</f>
        <v>1|19000102|46286</v>
      </c>
      <c r="H2185" s="6">
        <f>COUNTIF(GameLog[Pod ID],GameLog[[#This Row],[Pod ID]])</f>
        <v>4</v>
      </c>
      <c r="I2185" s="6">
        <f>YEAR(GameLog[[#This Row],[Date]])</f>
        <v>2026</v>
      </c>
      <c r="J2185" s="6">
        <f>MONTH(GameLog[[#This Row],[Date]])</f>
        <v>9</v>
      </c>
      <c r="K2185" s="6" t="str">
        <f>IF(GameLog[[#This Row],[Date]]=MAX(GameLog[Date]),"Current","Previous")</f>
        <v>Previous</v>
      </c>
      <c r="L2185" s="6"/>
      <c r="M21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5" s="6" t="str">
        <f ca="1">IF(GameLog[[#This Row],[Check]]="","",COUNTIF(GameLog[[#Headers],[Check]]:GameLog[[#This Row],[Check]],"?*")-1)</f>
        <v/>
      </c>
      <c r="O2185" s="6" t="str">
        <f>IFERROR(INDEX(Players[New name],MATCH(GameLog[[#This Row],[Player]],Players[Name],0)),GameLog[[#This Row],[Player]])</f>
        <v>Trevor</v>
      </c>
    </row>
    <row r="2186" spans="1:15" x14ac:dyDescent="0.45">
      <c r="A2186" s="6" t="s">
        <v>110</v>
      </c>
      <c r="B2186" s="6" t="s">
        <v>90</v>
      </c>
      <c r="C2186" s="6">
        <v>2</v>
      </c>
      <c r="D2186" s="6">
        <v>1</v>
      </c>
      <c r="E2186" s="6">
        <v>2</v>
      </c>
      <c r="F2186" s="10">
        <v>46286</v>
      </c>
      <c r="G2186" s="6" t="str">
        <f>_xlfn.TEXTJOIN("|",TRUE,GameLog[[#This Row],[Pod]],TEXT(INT(GameLog[[#This Row],[Round]]),"yyyymmdd"),GameLog[[#This Row],[Date]])</f>
        <v>1|19000102|46286</v>
      </c>
      <c r="H2186" s="6">
        <f>COUNTIF(GameLog[Pod ID],GameLog[[#This Row],[Pod ID]])</f>
        <v>4</v>
      </c>
      <c r="I2186" s="6">
        <f>YEAR(GameLog[[#This Row],[Date]])</f>
        <v>2026</v>
      </c>
      <c r="J2186" s="6">
        <f>MONTH(GameLog[[#This Row],[Date]])</f>
        <v>9</v>
      </c>
      <c r="K2186" s="6" t="str">
        <f>IF(GameLog[[#This Row],[Date]]=MAX(GameLog[Date]),"Current","Previous")</f>
        <v>Previous</v>
      </c>
      <c r="L2186" s="6"/>
      <c r="M21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6" s="6" t="str">
        <f ca="1">IF(GameLog[[#This Row],[Check]]="","",COUNTIF(GameLog[[#Headers],[Check]]:GameLog[[#This Row],[Check]],"?*")-1)</f>
        <v/>
      </c>
      <c r="O2186" s="6" t="str">
        <f>IFERROR(INDEX(Players[New name],MATCH(GameLog[[#This Row],[Player]],Players[Name],0)),GameLog[[#This Row],[Player]])</f>
        <v>Paul B</v>
      </c>
    </row>
    <row r="2187" spans="1:15" x14ac:dyDescent="0.45">
      <c r="A2187" s="6" t="s">
        <v>55</v>
      </c>
      <c r="B2187" s="6" t="s">
        <v>90</v>
      </c>
      <c r="C2187" s="6">
        <v>3</v>
      </c>
      <c r="D2187" s="6">
        <v>1</v>
      </c>
      <c r="E2187" s="6">
        <v>2</v>
      </c>
      <c r="F2187" s="10">
        <v>46286</v>
      </c>
      <c r="G2187" s="6" t="str">
        <f>_xlfn.TEXTJOIN("|",TRUE,GameLog[[#This Row],[Pod]],TEXT(INT(GameLog[[#This Row],[Round]]),"yyyymmdd"),GameLog[[#This Row],[Date]])</f>
        <v>1|19000102|46286</v>
      </c>
      <c r="H2187" s="6">
        <f>COUNTIF(GameLog[Pod ID],GameLog[[#This Row],[Pod ID]])</f>
        <v>4</v>
      </c>
      <c r="I2187" s="6">
        <f>YEAR(GameLog[[#This Row],[Date]])</f>
        <v>2026</v>
      </c>
      <c r="J2187" s="6">
        <f>MONTH(GameLog[[#This Row],[Date]])</f>
        <v>9</v>
      </c>
      <c r="K2187" s="6" t="str">
        <f>IF(GameLog[[#This Row],[Date]]=MAX(GameLog[Date]),"Current","Previous")</f>
        <v>Previous</v>
      </c>
      <c r="L2187" s="6"/>
      <c r="M21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7" s="6" t="str">
        <f ca="1">IF(GameLog[[#This Row],[Check]]="","",COUNTIF(GameLog[[#Headers],[Check]]:GameLog[[#This Row],[Check]],"?*")-1)</f>
        <v/>
      </c>
      <c r="O2187" s="6" t="str">
        <f>IFERROR(INDEX(Players[New name],MATCH(GameLog[[#This Row],[Player]],Players[Name],0)),GameLog[[#This Row],[Player]])</f>
        <v>Bryce C</v>
      </c>
    </row>
    <row r="2188" spans="1:15" x14ac:dyDescent="0.45">
      <c r="A2188" s="6" t="s">
        <v>71</v>
      </c>
      <c r="B2188" s="6" t="s">
        <v>90</v>
      </c>
      <c r="C2188" s="6">
        <v>4</v>
      </c>
      <c r="D2188" s="6">
        <v>1</v>
      </c>
      <c r="E2188" s="6">
        <v>2</v>
      </c>
      <c r="F2188" s="10">
        <v>46286</v>
      </c>
      <c r="G2188" s="6" t="str">
        <f>_xlfn.TEXTJOIN("|",TRUE,GameLog[[#This Row],[Pod]],TEXT(INT(GameLog[[#This Row],[Round]]),"yyyymmdd"),GameLog[[#This Row],[Date]])</f>
        <v>1|19000102|46286</v>
      </c>
      <c r="H2188" s="6">
        <f>COUNTIF(GameLog[Pod ID],GameLog[[#This Row],[Pod ID]])</f>
        <v>4</v>
      </c>
      <c r="I2188" s="6">
        <f>YEAR(GameLog[[#This Row],[Date]])</f>
        <v>2026</v>
      </c>
      <c r="J2188" s="6">
        <f>MONTH(GameLog[[#This Row],[Date]])</f>
        <v>9</v>
      </c>
      <c r="K2188" s="6" t="str">
        <f>IF(GameLog[[#This Row],[Date]]=MAX(GameLog[Date]),"Current","Previous")</f>
        <v>Previous</v>
      </c>
      <c r="L2188" s="6"/>
      <c r="M21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8" s="6" t="str">
        <f ca="1">IF(GameLog[[#This Row],[Check]]="","",COUNTIF(GameLog[[#Headers],[Check]]:GameLog[[#This Row],[Check]],"?*")-1)</f>
        <v/>
      </c>
      <c r="O2188" s="6" t="str">
        <f>IFERROR(INDEX(Players[New name],MATCH(GameLog[[#This Row],[Player]],Players[Name],0)),GameLog[[#This Row],[Player]])</f>
        <v>Rodney Y</v>
      </c>
    </row>
    <row r="2189" spans="1:15" x14ac:dyDescent="0.45">
      <c r="A2189" s="6" t="s">
        <v>68</v>
      </c>
      <c r="B2189" s="6" t="s">
        <v>90</v>
      </c>
      <c r="C2189" s="6">
        <v>1</v>
      </c>
      <c r="D2189" s="6">
        <v>2</v>
      </c>
      <c r="E2189" s="6">
        <v>2</v>
      </c>
      <c r="F2189" s="10">
        <v>46286</v>
      </c>
      <c r="G2189" s="6" t="str">
        <f>_xlfn.TEXTJOIN("|",TRUE,GameLog[[#This Row],[Pod]],TEXT(INT(GameLog[[#This Row],[Round]]),"yyyymmdd"),GameLog[[#This Row],[Date]])</f>
        <v>2|19000102|46286</v>
      </c>
      <c r="H2189" s="6">
        <f>COUNTIF(GameLog[Pod ID],GameLog[[#This Row],[Pod ID]])</f>
        <v>4</v>
      </c>
      <c r="I2189" s="6">
        <f>YEAR(GameLog[[#This Row],[Date]])</f>
        <v>2026</v>
      </c>
      <c r="J2189" s="6">
        <f>MONTH(GameLog[[#This Row],[Date]])</f>
        <v>9</v>
      </c>
      <c r="K2189" s="6" t="str">
        <f>IF(GameLog[[#This Row],[Date]]=MAX(GameLog[Date]),"Current","Previous")</f>
        <v>Previous</v>
      </c>
      <c r="L2189" s="6"/>
      <c r="M21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89" s="6" t="str">
        <f ca="1">IF(GameLog[[#This Row],[Check]]="","",COUNTIF(GameLog[[#Headers],[Check]]:GameLog[[#This Row],[Check]],"?*")-1)</f>
        <v/>
      </c>
      <c r="O2189" s="6" t="str">
        <f>IFERROR(INDEX(Players[New name],MATCH(GameLog[[#This Row],[Player]],Players[Name],0)),GameLog[[#This Row],[Player]])</f>
        <v>Edwin M</v>
      </c>
    </row>
    <row r="2190" spans="1:15" x14ac:dyDescent="0.45">
      <c r="A2190" s="6" t="s">
        <v>64</v>
      </c>
      <c r="B2190" s="6" t="s">
        <v>90</v>
      </c>
      <c r="C2190" s="6">
        <v>2</v>
      </c>
      <c r="D2190" s="6">
        <v>2</v>
      </c>
      <c r="E2190" s="6">
        <v>2</v>
      </c>
      <c r="F2190" s="10">
        <v>46286</v>
      </c>
      <c r="G2190" s="6" t="str">
        <f>_xlfn.TEXTJOIN("|",TRUE,GameLog[[#This Row],[Pod]],TEXT(INT(GameLog[[#This Row],[Round]]),"yyyymmdd"),GameLog[[#This Row],[Date]])</f>
        <v>2|19000102|46286</v>
      </c>
      <c r="H2190" s="6">
        <f>COUNTIF(GameLog[Pod ID],GameLog[[#This Row],[Pod ID]])</f>
        <v>4</v>
      </c>
      <c r="I2190" s="6">
        <f>YEAR(GameLog[[#This Row],[Date]])</f>
        <v>2026</v>
      </c>
      <c r="J2190" s="6">
        <f>MONTH(GameLog[[#This Row],[Date]])</f>
        <v>9</v>
      </c>
      <c r="K2190" s="6" t="str">
        <f>IF(GameLog[[#This Row],[Date]]=MAX(GameLog[Date]),"Current","Previous")</f>
        <v>Previous</v>
      </c>
      <c r="L2190" s="6"/>
      <c r="M21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0" s="6" t="str">
        <f ca="1">IF(GameLog[[#This Row],[Check]]="","",COUNTIF(GameLog[[#Headers],[Check]]:GameLog[[#This Row],[Check]],"?*")-1)</f>
        <v/>
      </c>
      <c r="O2190" s="6" t="str">
        <f>IFERROR(INDEX(Players[New name],MATCH(GameLog[[#This Row],[Player]],Players[Name],0)),GameLog[[#This Row],[Player]])</f>
        <v>Tyler B</v>
      </c>
    </row>
    <row r="2191" spans="1:15" x14ac:dyDescent="0.45">
      <c r="A2191" s="6" t="s">
        <v>56</v>
      </c>
      <c r="B2191" s="6" t="s">
        <v>90</v>
      </c>
      <c r="C2191" s="6">
        <v>3</v>
      </c>
      <c r="D2191" s="6">
        <v>2</v>
      </c>
      <c r="E2191" s="6">
        <v>2</v>
      </c>
      <c r="F2191" s="10">
        <v>46286</v>
      </c>
      <c r="G2191" s="6" t="str">
        <f>_xlfn.TEXTJOIN("|",TRUE,GameLog[[#This Row],[Pod]],TEXT(INT(GameLog[[#This Row],[Round]]),"yyyymmdd"),GameLog[[#This Row],[Date]])</f>
        <v>2|19000102|46286</v>
      </c>
      <c r="H2191" s="6">
        <f>COUNTIF(GameLog[Pod ID],GameLog[[#This Row],[Pod ID]])</f>
        <v>4</v>
      </c>
      <c r="I2191" s="6">
        <f>YEAR(GameLog[[#This Row],[Date]])</f>
        <v>2026</v>
      </c>
      <c r="J2191" s="6">
        <f>MONTH(GameLog[[#This Row],[Date]])</f>
        <v>9</v>
      </c>
      <c r="K2191" s="6" t="str">
        <f>IF(GameLog[[#This Row],[Date]]=MAX(GameLog[Date]),"Current","Previous")</f>
        <v>Previous</v>
      </c>
      <c r="L2191" s="6"/>
      <c r="M21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1" s="6" t="str">
        <f ca="1">IF(GameLog[[#This Row],[Check]]="","",COUNTIF(GameLog[[#Headers],[Check]]:GameLog[[#This Row],[Check]],"?*")-1)</f>
        <v/>
      </c>
      <c r="O2191" s="6" t="str">
        <f>IFERROR(INDEX(Players[New name],MATCH(GameLog[[#This Row],[Player]],Players[Name],0)),GameLog[[#This Row],[Player]])</f>
        <v>Mark D</v>
      </c>
    </row>
    <row r="2192" spans="1:15" x14ac:dyDescent="0.45">
      <c r="A2192" s="6" t="s">
        <v>97</v>
      </c>
      <c r="B2192" s="6" t="s">
        <v>90</v>
      </c>
      <c r="C2192" s="6">
        <v>4</v>
      </c>
      <c r="D2192" s="6">
        <v>2</v>
      </c>
      <c r="E2192" s="6">
        <v>2</v>
      </c>
      <c r="F2192" s="10">
        <v>46286</v>
      </c>
      <c r="G2192" s="6" t="str">
        <f>_xlfn.TEXTJOIN("|",TRUE,GameLog[[#This Row],[Pod]],TEXT(INT(GameLog[[#This Row],[Round]]),"yyyymmdd"),GameLog[[#This Row],[Date]])</f>
        <v>2|19000102|46286</v>
      </c>
      <c r="H2192" s="6">
        <f>COUNTIF(GameLog[Pod ID],GameLog[[#This Row],[Pod ID]])</f>
        <v>4</v>
      </c>
      <c r="I2192" s="6">
        <f>YEAR(GameLog[[#This Row],[Date]])</f>
        <v>2026</v>
      </c>
      <c r="J2192" s="6">
        <f>MONTH(GameLog[[#This Row],[Date]])</f>
        <v>9</v>
      </c>
      <c r="K2192" s="6" t="str">
        <f>IF(GameLog[[#This Row],[Date]]=MAX(GameLog[Date]),"Current","Previous")</f>
        <v>Previous</v>
      </c>
      <c r="L2192" s="6"/>
      <c r="M21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2" s="6" t="str">
        <f ca="1">IF(GameLog[[#This Row],[Check]]="","",COUNTIF(GameLog[[#Headers],[Check]]:GameLog[[#This Row],[Check]],"?*")-1)</f>
        <v/>
      </c>
      <c r="O2192" s="6" t="str">
        <f>IFERROR(INDEX(Players[New name],MATCH(GameLog[[#This Row],[Player]],Players[Name],0)),GameLog[[#This Row],[Player]])</f>
        <v>Arman H</v>
      </c>
    </row>
    <row r="2193" spans="1:15" x14ac:dyDescent="0.45">
      <c r="A2193" s="6" t="s">
        <v>120</v>
      </c>
      <c r="B2193" s="6" t="s">
        <v>90</v>
      </c>
      <c r="C2193" s="6">
        <v>1</v>
      </c>
      <c r="D2193" s="6">
        <v>3</v>
      </c>
      <c r="E2193" s="6">
        <v>2</v>
      </c>
      <c r="F2193" s="10">
        <v>46286</v>
      </c>
      <c r="G2193" s="6" t="str">
        <f>_xlfn.TEXTJOIN("|",TRUE,GameLog[[#This Row],[Pod]],TEXT(INT(GameLog[[#This Row],[Round]]),"yyyymmdd"),GameLog[[#This Row],[Date]])</f>
        <v>3|19000102|46286</v>
      </c>
      <c r="H2193" s="6">
        <f>COUNTIF(GameLog[Pod ID],GameLog[[#This Row],[Pod ID]])</f>
        <v>4</v>
      </c>
      <c r="I2193" s="6">
        <f>YEAR(GameLog[[#This Row],[Date]])</f>
        <v>2026</v>
      </c>
      <c r="J2193" s="6">
        <f>MONTH(GameLog[[#This Row],[Date]])</f>
        <v>9</v>
      </c>
      <c r="K2193" s="6" t="str">
        <f>IF(GameLog[[#This Row],[Date]]=MAX(GameLog[Date]),"Current","Previous")</f>
        <v>Previous</v>
      </c>
      <c r="L2193" s="6"/>
      <c r="M21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3" s="6" t="str">
        <f ca="1">IF(GameLog[[#This Row],[Check]]="","",COUNTIF(GameLog[[#Headers],[Check]]:GameLog[[#This Row],[Check]],"?*")-1)</f>
        <v/>
      </c>
      <c r="O2193" s="6" t="str">
        <f>IFERROR(INDEX(Players[New name],MATCH(GameLog[[#This Row],[Player]],Players[Name],0)),GameLog[[#This Row],[Player]])</f>
        <v>Jonny T</v>
      </c>
    </row>
    <row r="2194" spans="1:15" x14ac:dyDescent="0.45">
      <c r="A2194" s="6" t="s">
        <v>96</v>
      </c>
      <c r="B2194" s="6" t="s">
        <v>90</v>
      </c>
      <c r="C2194" s="6">
        <v>2</v>
      </c>
      <c r="D2194" s="6">
        <v>3</v>
      </c>
      <c r="E2194" s="6">
        <v>2</v>
      </c>
      <c r="F2194" s="10">
        <v>46286</v>
      </c>
      <c r="G2194" s="6" t="str">
        <f>_xlfn.TEXTJOIN("|",TRUE,GameLog[[#This Row],[Pod]],TEXT(INT(GameLog[[#This Row],[Round]]),"yyyymmdd"),GameLog[[#This Row],[Date]])</f>
        <v>3|19000102|46286</v>
      </c>
      <c r="H2194" s="6">
        <f>COUNTIF(GameLog[Pod ID],GameLog[[#This Row],[Pod ID]])</f>
        <v>4</v>
      </c>
      <c r="I2194" s="6">
        <f>YEAR(GameLog[[#This Row],[Date]])</f>
        <v>2026</v>
      </c>
      <c r="J2194" s="6">
        <f>MONTH(GameLog[[#This Row],[Date]])</f>
        <v>9</v>
      </c>
      <c r="K2194" s="6" t="str">
        <f>IF(GameLog[[#This Row],[Date]]=MAX(GameLog[Date]),"Current","Previous")</f>
        <v>Previous</v>
      </c>
      <c r="L2194" s="6"/>
      <c r="M21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4" s="6" t="str">
        <f ca="1">IF(GameLog[[#This Row],[Check]]="","",COUNTIF(GameLog[[#Headers],[Check]]:GameLog[[#This Row],[Check]],"?*")-1)</f>
        <v/>
      </c>
      <c r="O2194" s="6" t="str">
        <f>IFERROR(INDEX(Players[New name],MATCH(GameLog[[#This Row],[Player]],Players[Name],0)),GameLog[[#This Row],[Player]])</f>
        <v>Brandon A</v>
      </c>
    </row>
    <row r="2195" spans="1:15" x14ac:dyDescent="0.45">
      <c r="A2195" s="6" t="s">
        <v>57</v>
      </c>
      <c r="B2195" s="6" t="s">
        <v>90</v>
      </c>
      <c r="C2195" s="6">
        <v>3</v>
      </c>
      <c r="D2195" s="6">
        <v>3</v>
      </c>
      <c r="E2195" s="6">
        <v>2</v>
      </c>
      <c r="F2195" s="10">
        <v>46286</v>
      </c>
      <c r="G2195" s="6" t="str">
        <f>_xlfn.TEXTJOIN("|",TRUE,GameLog[[#This Row],[Pod]],TEXT(INT(GameLog[[#This Row],[Round]]),"yyyymmdd"),GameLog[[#This Row],[Date]])</f>
        <v>3|19000102|46286</v>
      </c>
      <c r="H2195" s="6">
        <f>COUNTIF(GameLog[Pod ID],GameLog[[#This Row],[Pod ID]])</f>
        <v>4</v>
      </c>
      <c r="I2195" s="6">
        <f>YEAR(GameLog[[#This Row],[Date]])</f>
        <v>2026</v>
      </c>
      <c r="J2195" s="6">
        <f>MONTH(GameLog[[#This Row],[Date]])</f>
        <v>9</v>
      </c>
      <c r="K2195" s="6" t="str">
        <f>IF(GameLog[[#This Row],[Date]]=MAX(GameLog[Date]),"Current","Previous")</f>
        <v>Previous</v>
      </c>
      <c r="L2195" s="6"/>
      <c r="M21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5" s="6" t="str">
        <f ca="1">IF(GameLog[[#This Row],[Check]]="","",COUNTIF(GameLog[[#Headers],[Check]]:GameLog[[#This Row],[Check]],"?*")-1)</f>
        <v/>
      </c>
      <c r="O2195" s="6" t="str">
        <f>IFERROR(INDEX(Players[New name],MATCH(GameLog[[#This Row],[Player]],Players[Name],0)),GameLog[[#This Row],[Player]])</f>
        <v>AJ W</v>
      </c>
    </row>
    <row r="2196" spans="1:15" x14ac:dyDescent="0.45">
      <c r="A2196" s="6" t="s">
        <v>121</v>
      </c>
      <c r="B2196" s="6" t="s">
        <v>90</v>
      </c>
      <c r="C2196" s="6">
        <v>4</v>
      </c>
      <c r="D2196" s="6">
        <v>3</v>
      </c>
      <c r="E2196" s="6">
        <v>2</v>
      </c>
      <c r="F2196" s="10">
        <v>46286</v>
      </c>
      <c r="G2196" s="6" t="str">
        <f>_xlfn.TEXTJOIN("|",TRUE,GameLog[[#This Row],[Pod]],TEXT(INT(GameLog[[#This Row],[Round]]),"yyyymmdd"),GameLog[[#This Row],[Date]])</f>
        <v>3|19000102|46286</v>
      </c>
      <c r="H2196" s="6">
        <f>COUNTIF(GameLog[Pod ID],GameLog[[#This Row],[Pod ID]])</f>
        <v>4</v>
      </c>
      <c r="I2196" s="6">
        <f>YEAR(GameLog[[#This Row],[Date]])</f>
        <v>2026</v>
      </c>
      <c r="J2196" s="6">
        <f>MONTH(GameLog[[#This Row],[Date]])</f>
        <v>9</v>
      </c>
      <c r="K2196" s="6" t="str">
        <f>IF(GameLog[[#This Row],[Date]]=MAX(GameLog[Date]),"Current","Previous")</f>
        <v>Previous</v>
      </c>
      <c r="L2196" s="6"/>
      <c r="M21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6" s="6" t="str">
        <f ca="1">IF(GameLog[[#This Row],[Check]]="","",COUNTIF(GameLog[[#Headers],[Check]]:GameLog[[#This Row],[Check]],"?*")-1)</f>
        <v/>
      </c>
      <c r="O2196" s="6" t="str">
        <f>IFERROR(INDEX(Players[New name],MATCH(GameLog[[#This Row],[Player]],Players[Name],0)),GameLog[[#This Row],[Player]])</f>
        <v>Randy P</v>
      </c>
    </row>
    <row r="2197" spans="1:15" x14ac:dyDescent="0.45">
      <c r="A2197" s="6" t="s">
        <v>102</v>
      </c>
      <c r="B2197" s="6" t="s">
        <v>50</v>
      </c>
      <c r="C2197" s="6">
        <v>1</v>
      </c>
      <c r="D2197" s="6">
        <v>4</v>
      </c>
      <c r="E2197" s="6">
        <v>2</v>
      </c>
      <c r="F2197" s="10">
        <v>46286</v>
      </c>
      <c r="G2197" s="6" t="str">
        <f>_xlfn.TEXTJOIN("|",TRUE,GameLog[[#This Row],[Pod]],TEXT(INT(GameLog[[#This Row],[Round]]),"yyyymmdd"),GameLog[[#This Row],[Date]])</f>
        <v>4|19000102|46286</v>
      </c>
      <c r="H2197" s="6">
        <f>COUNTIF(GameLog[Pod ID],GameLog[[#This Row],[Pod ID]])</f>
        <v>4</v>
      </c>
      <c r="I2197" s="6">
        <f>YEAR(GameLog[[#This Row],[Date]])</f>
        <v>2026</v>
      </c>
      <c r="J2197" s="6">
        <f>MONTH(GameLog[[#This Row],[Date]])</f>
        <v>9</v>
      </c>
      <c r="K2197" s="6" t="str">
        <f>IF(GameLog[[#This Row],[Date]]=MAX(GameLog[Date]),"Current","Previous")</f>
        <v>Previous</v>
      </c>
      <c r="L2197" s="6"/>
      <c r="M21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7" s="6" t="str">
        <f ca="1">IF(GameLog[[#This Row],[Check]]="","",COUNTIF(GameLog[[#Headers],[Check]]:GameLog[[#This Row],[Check]],"?*")-1)</f>
        <v/>
      </c>
      <c r="O2197" s="6" t="str">
        <f>IFERROR(INDEX(Players[New name],MATCH(GameLog[[#This Row],[Player]],Players[Name],0)),GameLog[[#This Row],[Player]])</f>
        <v>Sage</v>
      </c>
    </row>
    <row r="2198" spans="1:15" x14ac:dyDescent="0.45">
      <c r="A2198" s="6" t="s">
        <v>70</v>
      </c>
      <c r="B2198" s="6" t="s">
        <v>53</v>
      </c>
      <c r="C2198" s="6">
        <v>2</v>
      </c>
      <c r="D2198" s="6">
        <v>4</v>
      </c>
      <c r="E2198" s="6">
        <v>2</v>
      </c>
      <c r="F2198" s="10">
        <v>46286</v>
      </c>
      <c r="G2198" s="6" t="str">
        <f>_xlfn.TEXTJOIN("|",TRUE,GameLog[[#This Row],[Pod]],TEXT(INT(GameLog[[#This Row],[Round]]),"yyyymmdd"),GameLog[[#This Row],[Date]])</f>
        <v>4|19000102|46286</v>
      </c>
      <c r="H2198" s="6">
        <f>COUNTIF(GameLog[Pod ID],GameLog[[#This Row],[Pod ID]])</f>
        <v>4</v>
      </c>
      <c r="I2198" s="6">
        <f>YEAR(GameLog[[#This Row],[Date]])</f>
        <v>2026</v>
      </c>
      <c r="J2198" s="6">
        <f>MONTH(GameLog[[#This Row],[Date]])</f>
        <v>9</v>
      </c>
      <c r="K2198" s="6" t="str">
        <f>IF(GameLog[[#This Row],[Date]]=MAX(GameLog[Date]),"Current","Previous")</f>
        <v>Previous</v>
      </c>
      <c r="L2198" s="6"/>
      <c r="M21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8" s="6" t="str">
        <f ca="1">IF(GameLog[[#This Row],[Check]]="","",COUNTIF(GameLog[[#Headers],[Check]]:GameLog[[#This Row],[Check]],"?*")-1)</f>
        <v/>
      </c>
      <c r="O2198" s="6" t="str">
        <f>IFERROR(INDEX(Players[New name],MATCH(GameLog[[#This Row],[Player]],Players[Name],0)),GameLog[[#This Row],[Player]])</f>
        <v>Brad F</v>
      </c>
    </row>
    <row r="2199" spans="1:15" x14ac:dyDescent="0.45">
      <c r="A2199" s="6" t="s">
        <v>113</v>
      </c>
      <c r="B2199" s="6" t="s">
        <v>53</v>
      </c>
      <c r="C2199" s="6">
        <v>3</v>
      </c>
      <c r="D2199" s="6">
        <v>4</v>
      </c>
      <c r="E2199" s="6">
        <v>2</v>
      </c>
      <c r="F2199" s="10">
        <v>46286</v>
      </c>
      <c r="G2199" s="6" t="str">
        <f>_xlfn.TEXTJOIN("|",TRUE,GameLog[[#This Row],[Pod]],TEXT(INT(GameLog[[#This Row],[Round]]),"yyyymmdd"),GameLog[[#This Row],[Date]])</f>
        <v>4|19000102|46286</v>
      </c>
      <c r="H2199" s="6">
        <f>COUNTIF(GameLog[Pod ID],GameLog[[#This Row],[Pod ID]])</f>
        <v>4</v>
      </c>
      <c r="I2199" s="6">
        <f>YEAR(GameLog[[#This Row],[Date]])</f>
        <v>2026</v>
      </c>
      <c r="J2199" s="6">
        <f>MONTH(GameLog[[#This Row],[Date]])</f>
        <v>9</v>
      </c>
      <c r="K2199" s="6" t="str">
        <f>IF(GameLog[[#This Row],[Date]]=MAX(GameLog[Date]),"Current","Previous")</f>
        <v>Previous</v>
      </c>
      <c r="L2199" s="6"/>
      <c r="M21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199" s="6" t="str">
        <f ca="1">IF(GameLog[[#This Row],[Check]]="","",COUNTIF(GameLog[[#Headers],[Check]]:GameLog[[#This Row],[Check]],"?*")-1)</f>
        <v/>
      </c>
      <c r="O2199" s="6" t="str">
        <f>IFERROR(INDEX(Players[New name],MATCH(GameLog[[#This Row],[Player]],Players[Name],0)),GameLog[[#This Row],[Player]])</f>
        <v>Gavin J</v>
      </c>
    </row>
    <row r="2200" spans="1:15" x14ac:dyDescent="0.45">
      <c r="A2200" s="6" t="s">
        <v>116</v>
      </c>
      <c r="B2200" s="6" t="s">
        <v>53</v>
      </c>
      <c r="C2200" s="6">
        <v>4</v>
      </c>
      <c r="D2200" s="6">
        <v>4</v>
      </c>
      <c r="E2200" s="6">
        <v>2</v>
      </c>
      <c r="F2200" s="10">
        <v>46286</v>
      </c>
      <c r="G2200" s="6" t="str">
        <f>_xlfn.TEXTJOIN("|",TRUE,GameLog[[#This Row],[Pod]],TEXT(INT(GameLog[[#This Row],[Round]]),"yyyymmdd"),GameLog[[#This Row],[Date]])</f>
        <v>4|19000102|46286</v>
      </c>
      <c r="H2200" s="6">
        <f>COUNTIF(GameLog[Pod ID],GameLog[[#This Row],[Pod ID]])</f>
        <v>4</v>
      </c>
      <c r="I2200" s="6">
        <f>YEAR(GameLog[[#This Row],[Date]])</f>
        <v>2026</v>
      </c>
      <c r="J2200" s="6">
        <f>MONTH(GameLog[[#This Row],[Date]])</f>
        <v>9</v>
      </c>
      <c r="K2200" s="6" t="str">
        <f>IF(GameLog[[#This Row],[Date]]=MAX(GameLog[Date]),"Current","Previous")</f>
        <v>Previous</v>
      </c>
      <c r="L2200" s="6"/>
      <c r="M22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0" s="6" t="str">
        <f ca="1">IF(GameLog[[#This Row],[Check]]="","",COUNTIF(GameLog[[#Headers],[Check]]:GameLog[[#This Row],[Check]],"?*")-1)</f>
        <v/>
      </c>
      <c r="O2200" s="6" t="str">
        <f>IFERROR(INDEX(Players[New name],MATCH(GameLog[[#This Row],[Player]],Players[Name],0)),GameLog[[#This Row],[Player]])</f>
        <v>Matthew W</v>
      </c>
    </row>
    <row r="2201" spans="1:15" x14ac:dyDescent="0.45">
      <c r="A2201" s="6" t="s">
        <v>58</v>
      </c>
      <c r="B2201" s="6" t="s">
        <v>50</v>
      </c>
      <c r="C2201" s="6">
        <v>1</v>
      </c>
      <c r="D2201" s="6">
        <v>5</v>
      </c>
      <c r="E2201" s="6">
        <v>2</v>
      </c>
      <c r="F2201" s="10">
        <v>46286</v>
      </c>
      <c r="G2201" s="6" t="str">
        <f>_xlfn.TEXTJOIN("|",TRUE,GameLog[[#This Row],[Pod]],TEXT(INT(GameLog[[#This Row],[Round]]),"yyyymmdd"),GameLog[[#This Row],[Date]])</f>
        <v>5|19000102|46286</v>
      </c>
      <c r="H2201" s="6">
        <f>COUNTIF(GameLog[Pod ID],GameLog[[#This Row],[Pod ID]])</f>
        <v>4</v>
      </c>
      <c r="I2201" s="6">
        <f>YEAR(GameLog[[#This Row],[Date]])</f>
        <v>2026</v>
      </c>
      <c r="J2201" s="6">
        <f>MONTH(GameLog[[#This Row],[Date]])</f>
        <v>9</v>
      </c>
      <c r="K2201" s="6" t="str">
        <f>IF(GameLog[[#This Row],[Date]]=MAX(GameLog[Date]),"Current","Previous")</f>
        <v>Previous</v>
      </c>
      <c r="L2201" s="6"/>
      <c r="M22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1" s="6" t="str">
        <f ca="1">IF(GameLog[[#This Row],[Check]]="","",COUNTIF(GameLog[[#Headers],[Check]]:GameLog[[#This Row],[Check]],"?*")-1)</f>
        <v/>
      </c>
      <c r="O2201" s="6" t="str">
        <f>IFERROR(INDEX(Players[New name],MATCH(GameLog[[#This Row],[Player]],Players[Name],0)),GameLog[[#This Row],[Player]])</f>
        <v>Dakota P</v>
      </c>
    </row>
    <row r="2202" spans="1:15" x14ac:dyDescent="0.45">
      <c r="A2202" s="6" t="s">
        <v>49</v>
      </c>
      <c r="B2202" s="6" t="s">
        <v>53</v>
      </c>
      <c r="C2202" s="6">
        <v>2</v>
      </c>
      <c r="D2202" s="6">
        <v>5</v>
      </c>
      <c r="E2202" s="6">
        <v>2</v>
      </c>
      <c r="F2202" s="10">
        <v>46286</v>
      </c>
      <c r="G2202" s="6" t="str">
        <f>_xlfn.TEXTJOIN("|",TRUE,GameLog[[#This Row],[Pod]],TEXT(INT(GameLog[[#This Row],[Round]]),"yyyymmdd"),GameLog[[#This Row],[Date]])</f>
        <v>5|19000102|46286</v>
      </c>
      <c r="H2202" s="6">
        <f>COUNTIF(GameLog[Pod ID],GameLog[[#This Row],[Pod ID]])</f>
        <v>4</v>
      </c>
      <c r="I2202" s="6">
        <f>YEAR(GameLog[[#This Row],[Date]])</f>
        <v>2026</v>
      </c>
      <c r="J2202" s="6">
        <f>MONTH(GameLog[[#This Row],[Date]])</f>
        <v>9</v>
      </c>
      <c r="K2202" s="6" t="str">
        <f>IF(GameLog[[#This Row],[Date]]=MAX(GameLog[Date]),"Current","Previous")</f>
        <v>Previous</v>
      </c>
      <c r="L2202" s="6"/>
      <c r="M22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2" s="6" t="str">
        <f ca="1">IF(GameLog[[#This Row],[Check]]="","",COUNTIF(GameLog[[#Headers],[Check]]:GameLog[[#This Row],[Check]],"?*")-1)</f>
        <v/>
      </c>
      <c r="O2202" s="6" t="str">
        <f>IFERROR(INDEX(Players[New name],MATCH(GameLog[[#This Row],[Player]],Players[Name],0)),GameLog[[#This Row],[Player]])</f>
        <v>Brett R</v>
      </c>
    </row>
    <row r="2203" spans="1:15" x14ac:dyDescent="0.45">
      <c r="A2203" s="6" t="s">
        <v>73</v>
      </c>
      <c r="B2203" s="6" t="s">
        <v>53</v>
      </c>
      <c r="C2203" s="6">
        <v>3</v>
      </c>
      <c r="D2203" s="6">
        <v>5</v>
      </c>
      <c r="E2203" s="6">
        <v>2</v>
      </c>
      <c r="F2203" s="10">
        <v>46286</v>
      </c>
      <c r="G2203" s="6" t="str">
        <f>_xlfn.TEXTJOIN("|",TRUE,GameLog[[#This Row],[Pod]],TEXT(INT(GameLog[[#This Row],[Round]]),"yyyymmdd"),GameLog[[#This Row],[Date]])</f>
        <v>5|19000102|46286</v>
      </c>
      <c r="H2203" s="6">
        <f>COUNTIF(GameLog[Pod ID],GameLog[[#This Row],[Pod ID]])</f>
        <v>4</v>
      </c>
      <c r="I2203" s="6">
        <f>YEAR(GameLog[[#This Row],[Date]])</f>
        <v>2026</v>
      </c>
      <c r="J2203" s="6">
        <f>MONTH(GameLog[[#This Row],[Date]])</f>
        <v>9</v>
      </c>
      <c r="K2203" s="6" t="str">
        <f>IF(GameLog[[#This Row],[Date]]=MAX(GameLog[Date]),"Current","Previous")</f>
        <v>Previous</v>
      </c>
      <c r="L2203" s="6"/>
      <c r="M22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3" s="6" t="str">
        <f ca="1">IF(GameLog[[#This Row],[Check]]="","",COUNTIF(GameLog[[#Headers],[Check]]:GameLog[[#This Row],[Check]],"?*")-1)</f>
        <v/>
      </c>
      <c r="O2203" s="6" t="str">
        <f>IFERROR(INDEX(Players[New name],MATCH(GameLog[[#This Row],[Player]],Players[Name],0)),GameLog[[#This Row],[Player]])</f>
        <v>Brandon B</v>
      </c>
    </row>
    <row r="2204" spans="1:15" x14ac:dyDescent="0.45">
      <c r="A2204" s="6" t="s">
        <v>109</v>
      </c>
      <c r="B2204" s="6" t="s">
        <v>53</v>
      </c>
      <c r="C2204" s="6">
        <v>4</v>
      </c>
      <c r="D2204" s="6">
        <v>5</v>
      </c>
      <c r="E2204" s="6">
        <v>2</v>
      </c>
      <c r="F2204" s="10">
        <v>46286</v>
      </c>
      <c r="G2204" s="6" t="str">
        <f>_xlfn.TEXTJOIN("|",TRUE,GameLog[[#This Row],[Pod]],TEXT(INT(GameLog[[#This Row],[Round]]),"yyyymmdd"),GameLog[[#This Row],[Date]])</f>
        <v>5|19000102|46286</v>
      </c>
      <c r="H2204" s="6">
        <f>COUNTIF(GameLog[Pod ID],GameLog[[#This Row],[Pod ID]])</f>
        <v>4</v>
      </c>
      <c r="I2204" s="6">
        <f>YEAR(GameLog[[#This Row],[Date]])</f>
        <v>2026</v>
      </c>
      <c r="J2204" s="6">
        <f>MONTH(GameLog[[#This Row],[Date]])</f>
        <v>9</v>
      </c>
      <c r="K2204" s="6" t="str">
        <f>IF(GameLog[[#This Row],[Date]]=MAX(GameLog[Date]),"Current","Previous")</f>
        <v>Previous</v>
      </c>
      <c r="L2204" s="6"/>
      <c r="M22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4" s="6" t="str">
        <f ca="1">IF(GameLog[[#This Row],[Check]]="","",COUNTIF(GameLog[[#Headers],[Check]]:GameLog[[#This Row],[Check]],"?*")-1)</f>
        <v/>
      </c>
      <c r="O2204" s="6" t="str">
        <f>IFERROR(INDEX(Players[New name],MATCH(GameLog[[#This Row],[Player]],Players[Name],0)),GameLog[[#This Row],[Player]])</f>
        <v>Taylor C</v>
      </c>
    </row>
    <row r="2205" spans="1:15" x14ac:dyDescent="0.45">
      <c r="A2205" s="6" t="s">
        <v>91</v>
      </c>
      <c r="B2205" s="6" t="s">
        <v>53</v>
      </c>
      <c r="C2205" s="6">
        <v>1</v>
      </c>
      <c r="D2205" s="6">
        <v>6</v>
      </c>
      <c r="E2205" s="6">
        <v>2</v>
      </c>
      <c r="F2205" s="10">
        <v>46286</v>
      </c>
      <c r="G2205" s="6" t="str">
        <f>_xlfn.TEXTJOIN("|",TRUE,GameLog[[#This Row],[Pod]],TEXT(INT(GameLog[[#This Row],[Round]]),"yyyymmdd"),GameLog[[#This Row],[Date]])</f>
        <v>6|19000102|46286</v>
      </c>
      <c r="H2205" s="6">
        <f>COUNTIF(GameLog[Pod ID],GameLog[[#This Row],[Pod ID]])</f>
        <v>3</v>
      </c>
      <c r="I2205" s="6">
        <f>YEAR(GameLog[[#This Row],[Date]])</f>
        <v>2026</v>
      </c>
      <c r="J2205" s="6">
        <f>MONTH(GameLog[[#This Row],[Date]])</f>
        <v>9</v>
      </c>
      <c r="K2205" s="6" t="str">
        <f>IF(GameLog[[#This Row],[Date]]=MAX(GameLog[Date]),"Current","Previous")</f>
        <v>Previous</v>
      </c>
      <c r="L2205" s="6"/>
      <c r="M22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5" s="6" t="str">
        <f ca="1">IF(GameLog[[#This Row],[Check]]="","",COUNTIF(GameLog[[#Headers],[Check]]:GameLog[[#This Row],[Check]],"?*")-1)</f>
        <v/>
      </c>
      <c r="O2205" s="6" t="str">
        <f>IFERROR(INDEX(Players[New name],MATCH(GameLog[[#This Row],[Player]],Players[Name],0)),GameLog[[#This Row],[Player]])</f>
        <v>Isaac B</v>
      </c>
    </row>
    <row r="2206" spans="1:15" x14ac:dyDescent="0.45">
      <c r="A2206" s="6" t="s">
        <v>76</v>
      </c>
      <c r="B2206" s="6" t="s">
        <v>50</v>
      </c>
      <c r="C2206" s="6">
        <v>2</v>
      </c>
      <c r="D2206" s="6">
        <v>6</v>
      </c>
      <c r="E2206" s="6">
        <v>2</v>
      </c>
      <c r="F2206" s="10">
        <v>46286</v>
      </c>
      <c r="G2206" s="6" t="str">
        <f>_xlfn.TEXTJOIN("|",TRUE,GameLog[[#This Row],[Pod]],TEXT(INT(GameLog[[#This Row],[Round]]),"yyyymmdd"),GameLog[[#This Row],[Date]])</f>
        <v>6|19000102|46286</v>
      </c>
      <c r="H2206" s="6">
        <f>COUNTIF(GameLog[Pod ID],GameLog[[#This Row],[Pod ID]])</f>
        <v>3</v>
      </c>
      <c r="I2206" s="6">
        <f>YEAR(GameLog[[#This Row],[Date]])</f>
        <v>2026</v>
      </c>
      <c r="J2206" s="6">
        <f>MONTH(GameLog[[#This Row],[Date]])</f>
        <v>9</v>
      </c>
      <c r="K2206" s="6" t="str">
        <f>IF(GameLog[[#This Row],[Date]]=MAX(GameLog[Date]),"Current","Previous")</f>
        <v>Previous</v>
      </c>
      <c r="L2206" s="6"/>
      <c r="M22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6" s="6" t="str">
        <f ca="1">IF(GameLog[[#This Row],[Check]]="","",COUNTIF(GameLog[[#Headers],[Check]]:GameLog[[#This Row],[Check]],"?*")-1)</f>
        <v/>
      </c>
      <c r="O2206" s="6" t="str">
        <f>IFERROR(INDEX(Players[New name],MATCH(GameLog[[#This Row],[Player]],Players[Name],0)),GameLog[[#This Row],[Player]])</f>
        <v>Jon M</v>
      </c>
    </row>
    <row r="2207" spans="1:15" x14ac:dyDescent="0.45">
      <c r="A2207" s="6" t="s">
        <v>118</v>
      </c>
      <c r="B2207" s="6" t="s">
        <v>53</v>
      </c>
      <c r="C2207" s="6">
        <v>3</v>
      </c>
      <c r="D2207" s="6">
        <v>6</v>
      </c>
      <c r="E2207" s="6">
        <v>2</v>
      </c>
      <c r="F2207" s="10">
        <v>46286</v>
      </c>
      <c r="G2207" s="6" t="str">
        <f>_xlfn.TEXTJOIN("|",TRUE,GameLog[[#This Row],[Pod]],TEXT(INT(GameLog[[#This Row],[Round]]),"yyyymmdd"),GameLog[[#This Row],[Date]])</f>
        <v>6|19000102|46286</v>
      </c>
      <c r="H2207" s="6">
        <f>COUNTIF(GameLog[Pod ID],GameLog[[#This Row],[Pod ID]])</f>
        <v>3</v>
      </c>
      <c r="I2207" s="6">
        <f>YEAR(GameLog[[#This Row],[Date]])</f>
        <v>2026</v>
      </c>
      <c r="J2207" s="6">
        <f>MONTH(GameLog[[#This Row],[Date]])</f>
        <v>9</v>
      </c>
      <c r="K2207" s="6" t="str">
        <f>IF(GameLog[[#This Row],[Date]]=MAX(GameLog[Date]),"Current","Previous")</f>
        <v>Previous</v>
      </c>
      <c r="L2207" s="6"/>
      <c r="M22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7" s="6" t="str">
        <f ca="1">IF(GameLog[[#This Row],[Check]]="","",COUNTIF(GameLog[[#Headers],[Check]]:GameLog[[#This Row],[Check]],"?*")-1)</f>
        <v/>
      </c>
      <c r="O2207" s="6" t="str">
        <f>IFERROR(INDEX(Players[New name],MATCH(GameLog[[#This Row],[Player]],Players[Name],0)),GameLog[[#This Row],[Player]])</f>
        <v>Eric T</v>
      </c>
    </row>
    <row r="2208" spans="1:15" x14ac:dyDescent="0.45">
      <c r="A2208" s="6" t="s">
        <v>74</v>
      </c>
      <c r="B2208" s="6" t="s">
        <v>90</v>
      </c>
      <c r="C2208" s="6">
        <v>1</v>
      </c>
      <c r="D2208" s="6">
        <v>1</v>
      </c>
      <c r="E2208" s="6">
        <v>1</v>
      </c>
      <c r="F2208" s="10">
        <v>46293</v>
      </c>
      <c r="G2208" s="6" t="str">
        <f>_xlfn.TEXTJOIN("|",TRUE,GameLog[[#This Row],[Pod]],TEXT(INT(GameLog[[#This Row],[Round]]),"yyyymmdd"),GameLog[[#This Row],[Date]])</f>
        <v>1|19000101|46293</v>
      </c>
      <c r="H2208" s="6">
        <f>COUNTIF(GameLog[Pod ID],GameLog[[#This Row],[Pod ID]])</f>
        <v>4</v>
      </c>
      <c r="I2208" s="6">
        <f>YEAR(GameLog[[#This Row],[Date]])</f>
        <v>2026</v>
      </c>
      <c r="J2208" s="6">
        <f>MONTH(GameLog[[#This Row],[Date]])</f>
        <v>9</v>
      </c>
      <c r="K2208" s="6" t="str">
        <f>IF(GameLog[[#This Row],[Date]]=MAX(GameLog[Date]),"Current","Previous")</f>
        <v>Previous</v>
      </c>
      <c r="L2208" s="6"/>
      <c r="M22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8" s="6" t="str">
        <f ca="1">IF(GameLog[[#This Row],[Check]]="","",COUNTIF(GameLog[[#Headers],[Check]]:GameLog[[#This Row],[Check]],"?*")-1)</f>
        <v/>
      </c>
      <c r="O2208" s="6" t="str">
        <f>IFERROR(INDEX(Players[New name],MATCH(GameLog[[#This Row],[Player]],Players[Name],0)),GameLog[[#This Row],[Player]])</f>
        <v>Jarrod O</v>
      </c>
    </row>
    <row r="2209" spans="1:15" x14ac:dyDescent="0.45">
      <c r="A2209" s="6" t="s">
        <v>68</v>
      </c>
      <c r="B2209" s="6" t="s">
        <v>90</v>
      </c>
      <c r="C2209" s="6">
        <v>2</v>
      </c>
      <c r="D2209" s="6">
        <v>1</v>
      </c>
      <c r="E2209" s="6">
        <v>1</v>
      </c>
      <c r="F2209" s="10">
        <v>46293</v>
      </c>
      <c r="G2209" s="6" t="str">
        <f>_xlfn.TEXTJOIN("|",TRUE,GameLog[[#This Row],[Pod]],TEXT(INT(GameLog[[#This Row],[Round]]),"yyyymmdd"),GameLog[[#This Row],[Date]])</f>
        <v>1|19000101|46293</v>
      </c>
      <c r="H2209" s="6">
        <f>COUNTIF(GameLog[Pod ID],GameLog[[#This Row],[Pod ID]])</f>
        <v>4</v>
      </c>
      <c r="I2209" s="6">
        <f>YEAR(GameLog[[#This Row],[Date]])</f>
        <v>2026</v>
      </c>
      <c r="J2209" s="6">
        <f>MONTH(GameLog[[#This Row],[Date]])</f>
        <v>9</v>
      </c>
      <c r="K2209" s="6" t="str">
        <f>IF(GameLog[[#This Row],[Date]]=MAX(GameLog[Date]),"Current","Previous")</f>
        <v>Previous</v>
      </c>
      <c r="L2209" s="6"/>
      <c r="M22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09" s="6" t="str">
        <f ca="1">IF(GameLog[[#This Row],[Check]]="","",COUNTIF(GameLog[[#Headers],[Check]]:GameLog[[#This Row],[Check]],"?*")-1)</f>
        <v/>
      </c>
      <c r="O2209" s="6" t="str">
        <f>IFERROR(INDEX(Players[New name],MATCH(GameLog[[#This Row],[Player]],Players[Name],0)),GameLog[[#This Row],[Player]])</f>
        <v>Edwin M</v>
      </c>
    </row>
    <row r="2210" spans="1:15" x14ac:dyDescent="0.45">
      <c r="A2210" s="6" t="s">
        <v>75</v>
      </c>
      <c r="B2210" s="6" t="s">
        <v>90</v>
      </c>
      <c r="C2210" s="6">
        <v>3</v>
      </c>
      <c r="D2210" s="6">
        <v>1</v>
      </c>
      <c r="E2210" s="6">
        <v>1</v>
      </c>
      <c r="F2210" s="10">
        <v>46293</v>
      </c>
      <c r="G2210" s="6" t="str">
        <f>_xlfn.TEXTJOIN("|",TRUE,GameLog[[#This Row],[Pod]],TEXT(INT(GameLog[[#This Row],[Round]]),"yyyymmdd"),GameLog[[#This Row],[Date]])</f>
        <v>1|19000101|46293</v>
      </c>
      <c r="H2210" s="6">
        <f>COUNTIF(GameLog[Pod ID],GameLog[[#This Row],[Pod ID]])</f>
        <v>4</v>
      </c>
      <c r="I2210" s="6">
        <f>YEAR(GameLog[[#This Row],[Date]])</f>
        <v>2026</v>
      </c>
      <c r="J2210" s="6">
        <f>MONTH(GameLog[[#This Row],[Date]])</f>
        <v>9</v>
      </c>
      <c r="K2210" s="6" t="str">
        <f>IF(GameLog[[#This Row],[Date]]=MAX(GameLog[Date]),"Current","Previous")</f>
        <v>Previous</v>
      </c>
      <c r="L2210" s="6"/>
      <c r="M22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0" s="6" t="str">
        <f ca="1">IF(GameLog[[#This Row],[Check]]="","",COUNTIF(GameLog[[#Headers],[Check]]:GameLog[[#This Row],[Check]],"?*")-1)</f>
        <v/>
      </c>
      <c r="O2210" s="6" t="str">
        <f>IFERROR(INDEX(Players[New name],MATCH(GameLog[[#This Row],[Player]],Players[Name],0)),GameLog[[#This Row],[Player]])</f>
        <v>Eli T</v>
      </c>
    </row>
    <row r="2211" spans="1:15" x14ac:dyDescent="0.45">
      <c r="A2211" s="6" t="s">
        <v>56</v>
      </c>
      <c r="B2211" s="6" t="s">
        <v>90</v>
      </c>
      <c r="C2211" s="6">
        <v>4</v>
      </c>
      <c r="D2211" s="6">
        <v>1</v>
      </c>
      <c r="E2211" s="6">
        <v>1</v>
      </c>
      <c r="F2211" s="10">
        <v>46293</v>
      </c>
      <c r="G2211" s="6" t="str">
        <f>_xlfn.TEXTJOIN("|",TRUE,GameLog[[#This Row],[Pod]],TEXT(INT(GameLog[[#This Row],[Round]]),"yyyymmdd"),GameLog[[#This Row],[Date]])</f>
        <v>1|19000101|46293</v>
      </c>
      <c r="H2211" s="6">
        <f>COUNTIF(GameLog[Pod ID],GameLog[[#This Row],[Pod ID]])</f>
        <v>4</v>
      </c>
      <c r="I2211" s="6">
        <f>YEAR(GameLog[[#This Row],[Date]])</f>
        <v>2026</v>
      </c>
      <c r="J2211" s="6">
        <f>MONTH(GameLog[[#This Row],[Date]])</f>
        <v>9</v>
      </c>
      <c r="K2211" s="6" t="str">
        <f>IF(GameLog[[#This Row],[Date]]=MAX(GameLog[Date]),"Current","Previous")</f>
        <v>Previous</v>
      </c>
      <c r="L2211" s="6"/>
      <c r="M22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1" s="6" t="str">
        <f ca="1">IF(GameLog[[#This Row],[Check]]="","",COUNTIF(GameLog[[#Headers],[Check]]:GameLog[[#This Row],[Check]],"?*")-1)</f>
        <v/>
      </c>
      <c r="O2211" s="6" t="str">
        <f>IFERROR(INDEX(Players[New name],MATCH(GameLog[[#This Row],[Player]],Players[Name],0)),GameLog[[#This Row],[Player]])</f>
        <v>Mark D</v>
      </c>
    </row>
    <row r="2212" spans="1:15" x14ac:dyDescent="0.45">
      <c r="A2212" s="6" t="s">
        <v>73</v>
      </c>
      <c r="B2212" s="6" t="s">
        <v>50</v>
      </c>
      <c r="C2212" s="6">
        <v>1</v>
      </c>
      <c r="D2212" s="6">
        <v>2</v>
      </c>
      <c r="E2212" s="6">
        <v>1</v>
      </c>
      <c r="F2212" s="10">
        <v>46293</v>
      </c>
      <c r="G2212" s="6" t="str">
        <f>_xlfn.TEXTJOIN("|",TRUE,GameLog[[#This Row],[Pod]],TEXT(INT(GameLog[[#This Row],[Round]]),"yyyymmdd"),GameLog[[#This Row],[Date]])</f>
        <v>2|19000101|46293</v>
      </c>
      <c r="H2212" s="6">
        <f>COUNTIF(GameLog[Pod ID],GameLog[[#This Row],[Pod ID]])</f>
        <v>4</v>
      </c>
      <c r="I2212" s="6">
        <f>YEAR(GameLog[[#This Row],[Date]])</f>
        <v>2026</v>
      </c>
      <c r="J2212" s="6">
        <f>MONTH(GameLog[[#This Row],[Date]])</f>
        <v>9</v>
      </c>
      <c r="K2212" s="6" t="str">
        <f>IF(GameLog[[#This Row],[Date]]=MAX(GameLog[Date]),"Current","Previous")</f>
        <v>Previous</v>
      </c>
      <c r="L2212" s="6"/>
      <c r="M22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2" s="6" t="str">
        <f ca="1">IF(GameLog[[#This Row],[Check]]="","",COUNTIF(GameLog[[#Headers],[Check]]:GameLog[[#This Row],[Check]],"?*")-1)</f>
        <v/>
      </c>
      <c r="O2212" s="6" t="str">
        <f>IFERROR(INDEX(Players[New name],MATCH(GameLog[[#This Row],[Player]],Players[Name],0)),GameLog[[#This Row],[Player]])</f>
        <v>Brandon B</v>
      </c>
    </row>
    <row r="2213" spans="1:15" x14ac:dyDescent="0.45">
      <c r="A2213" s="6" t="s">
        <v>76</v>
      </c>
      <c r="B2213" s="6" t="s">
        <v>53</v>
      </c>
      <c r="C2213" s="6">
        <v>2</v>
      </c>
      <c r="D2213" s="6">
        <v>2</v>
      </c>
      <c r="E2213" s="6">
        <v>1</v>
      </c>
      <c r="F2213" s="10">
        <v>46293</v>
      </c>
      <c r="G2213" s="6" t="str">
        <f>_xlfn.TEXTJOIN("|",TRUE,GameLog[[#This Row],[Pod]],TEXT(INT(GameLog[[#This Row],[Round]]),"yyyymmdd"),GameLog[[#This Row],[Date]])</f>
        <v>2|19000101|46293</v>
      </c>
      <c r="H2213" s="6">
        <f>COUNTIF(GameLog[Pod ID],GameLog[[#This Row],[Pod ID]])</f>
        <v>4</v>
      </c>
      <c r="I2213" s="6">
        <f>YEAR(GameLog[[#This Row],[Date]])</f>
        <v>2026</v>
      </c>
      <c r="J2213" s="6">
        <f>MONTH(GameLog[[#This Row],[Date]])</f>
        <v>9</v>
      </c>
      <c r="K2213" s="6" t="str">
        <f>IF(GameLog[[#This Row],[Date]]=MAX(GameLog[Date]),"Current","Previous")</f>
        <v>Previous</v>
      </c>
      <c r="L2213" s="6"/>
      <c r="M22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3" s="6" t="str">
        <f ca="1">IF(GameLog[[#This Row],[Check]]="","",COUNTIF(GameLog[[#Headers],[Check]]:GameLog[[#This Row],[Check]],"?*")-1)</f>
        <v/>
      </c>
      <c r="O2213" s="6" t="str">
        <f>IFERROR(INDEX(Players[New name],MATCH(GameLog[[#This Row],[Player]],Players[Name],0)),GameLog[[#This Row],[Player]])</f>
        <v>Jon M</v>
      </c>
    </row>
    <row r="2214" spans="1:15" x14ac:dyDescent="0.45">
      <c r="A2214" s="6" t="s">
        <v>121</v>
      </c>
      <c r="B2214" s="6" t="s">
        <v>53</v>
      </c>
      <c r="C2214" s="6">
        <v>3</v>
      </c>
      <c r="D2214" s="6">
        <v>2</v>
      </c>
      <c r="E2214" s="6">
        <v>1</v>
      </c>
      <c r="F2214" s="10">
        <v>46293</v>
      </c>
      <c r="G2214" s="6" t="str">
        <f>_xlfn.TEXTJOIN("|",TRUE,GameLog[[#This Row],[Pod]],TEXT(INT(GameLog[[#This Row],[Round]]),"yyyymmdd"),GameLog[[#This Row],[Date]])</f>
        <v>2|19000101|46293</v>
      </c>
      <c r="H2214" s="6">
        <f>COUNTIF(GameLog[Pod ID],GameLog[[#This Row],[Pod ID]])</f>
        <v>4</v>
      </c>
      <c r="I2214" s="6">
        <f>YEAR(GameLog[[#This Row],[Date]])</f>
        <v>2026</v>
      </c>
      <c r="J2214" s="6">
        <f>MONTH(GameLog[[#This Row],[Date]])</f>
        <v>9</v>
      </c>
      <c r="K2214" s="6" t="str">
        <f>IF(GameLog[[#This Row],[Date]]=MAX(GameLog[Date]),"Current","Previous")</f>
        <v>Previous</v>
      </c>
      <c r="L2214" s="6"/>
      <c r="M22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4" s="6" t="str">
        <f ca="1">IF(GameLog[[#This Row],[Check]]="","",COUNTIF(GameLog[[#Headers],[Check]]:GameLog[[#This Row],[Check]],"?*")-1)</f>
        <v/>
      </c>
      <c r="O2214" s="6" t="str">
        <f>IFERROR(INDEX(Players[New name],MATCH(GameLog[[#This Row],[Player]],Players[Name],0)),GameLog[[#This Row],[Player]])</f>
        <v>Randy P</v>
      </c>
    </row>
    <row r="2215" spans="1:15" x14ac:dyDescent="0.45">
      <c r="A2215" s="6" t="s">
        <v>59</v>
      </c>
      <c r="B2215" s="6" t="s">
        <v>53</v>
      </c>
      <c r="C2215" s="6">
        <v>4</v>
      </c>
      <c r="D2215" s="6">
        <v>2</v>
      </c>
      <c r="E2215" s="6">
        <v>1</v>
      </c>
      <c r="F2215" s="10">
        <v>46293</v>
      </c>
      <c r="G2215" s="6" t="str">
        <f>_xlfn.TEXTJOIN("|",TRUE,GameLog[[#This Row],[Pod]],TEXT(INT(GameLog[[#This Row],[Round]]),"yyyymmdd"),GameLog[[#This Row],[Date]])</f>
        <v>2|19000101|46293</v>
      </c>
      <c r="H2215" s="6">
        <f>COUNTIF(GameLog[Pod ID],GameLog[[#This Row],[Pod ID]])</f>
        <v>4</v>
      </c>
      <c r="I2215" s="6">
        <f>YEAR(GameLog[[#This Row],[Date]])</f>
        <v>2026</v>
      </c>
      <c r="J2215" s="6">
        <f>MONTH(GameLog[[#This Row],[Date]])</f>
        <v>9</v>
      </c>
      <c r="K2215" s="6" t="str">
        <f>IF(GameLog[[#This Row],[Date]]=MAX(GameLog[Date]),"Current","Previous")</f>
        <v>Previous</v>
      </c>
      <c r="L2215" s="6"/>
      <c r="M22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5" s="6" t="str">
        <f ca="1">IF(GameLog[[#This Row],[Check]]="","",COUNTIF(GameLog[[#Headers],[Check]]:GameLog[[#This Row],[Check]],"?*")-1)</f>
        <v/>
      </c>
      <c r="O2215" s="6" t="str">
        <f>IFERROR(INDEX(Players[New name],MATCH(GameLog[[#This Row],[Player]],Players[Name],0)),GameLog[[#This Row],[Player]])</f>
        <v>Zack B</v>
      </c>
    </row>
    <row r="2216" spans="1:15" x14ac:dyDescent="0.45">
      <c r="A2216" s="6" t="s">
        <v>70</v>
      </c>
      <c r="B2216" s="6" t="s">
        <v>90</v>
      </c>
      <c r="C2216" s="6">
        <v>1</v>
      </c>
      <c r="D2216" s="6">
        <v>3</v>
      </c>
      <c r="E2216" s="6">
        <v>1</v>
      </c>
      <c r="F2216" s="10">
        <v>46293</v>
      </c>
      <c r="G2216" s="6" t="str">
        <f>_xlfn.TEXTJOIN("|",TRUE,GameLog[[#This Row],[Pod]],TEXT(INT(GameLog[[#This Row],[Round]]),"yyyymmdd"),GameLog[[#This Row],[Date]])</f>
        <v>3|19000101|46293</v>
      </c>
      <c r="H2216" s="6">
        <f>COUNTIF(GameLog[Pod ID],GameLog[[#This Row],[Pod ID]])</f>
        <v>4</v>
      </c>
      <c r="I2216" s="6">
        <f>YEAR(GameLog[[#This Row],[Date]])</f>
        <v>2026</v>
      </c>
      <c r="J2216" s="6">
        <f>MONTH(GameLog[[#This Row],[Date]])</f>
        <v>9</v>
      </c>
      <c r="K2216" s="6" t="str">
        <f>IF(GameLog[[#This Row],[Date]]=MAX(GameLog[Date]),"Current","Previous")</f>
        <v>Previous</v>
      </c>
      <c r="L2216" s="6"/>
      <c r="M22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6" s="6" t="str">
        <f ca="1">IF(GameLog[[#This Row],[Check]]="","",COUNTIF(GameLog[[#Headers],[Check]]:GameLog[[#This Row],[Check]],"?*")-1)</f>
        <v/>
      </c>
      <c r="O2216" s="6" t="str">
        <f>IFERROR(INDEX(Players[New name],MATCH(GameLog[[#This Row],[Player]],Players[Name],0)),GameLog[[#This Row],[Player]])</f>
        <v>Brad F</v>
      </c>
    </row>
    <row r="2217" spans="1:15" x14ac:dyDescent="0.45">
      <c r="A2217" s="6" t="s">
        <v>55</v>
      </c>
      <c r="B2217" s="6" t="s">
        <v>90</v>
      </c>
      <c r="C2217" s="6">
        <v>2</v>
      </c>
      <c r="D2217" s="6">
        <v>3</v>
      </c>
      <c r="E2217" s="6">
        <v>1</v>
      </c>
      <c r="F2217" s="10">
        <v>46293</v>
      </c>
      <c r="G2217" s="6" t="str">
        <f>_xlfn.TEXTJOIN("|",TRUE,GameLog[[#This Row],[Pod]],TEXT(INT(GameLog[[#This Row],[Round]]),"yyyymmdd"),GameLog[[#This Row],[Date]])</f>
        <v>3|19000101|46293</v>
      </c>
      <c r="H2217" s="6">
        <f>COUNTIF(GameLog[Pod ID],GameLog[[#This Row],[Pod ID]])</f>
        <v>4</v>
      </c>
      <c r="I2217" s="6">
        <f>YEAR(GameLog[[#This Row],[Date]])</f>
        <v>2026</v>
      </c>
      <c r="J2217" s="6">
        <f>MONTH(GameLog[[#This Row],[Date]])</f>
        <v>9</v>
      </c>
      <c r="K2217" s="6" t="str">
        <f>IF(GameLog[[#This Row],[Date]]=MAX(GameLog[Date]),"Current","Previous")</f>
        <v>Previous</v>
      </c>
      <c r="L2217" s="6"/>
      <c r="M22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7" s="6" t="str">
        <f ca="1">IF(GameLog[[#This Row],[Check]]="","",COUNTIF(GameLog[[#Headers],[Check]]:GameLog[[#This Row],[Check]],"?*")-1)</f>
        <v/>
      </c>
      <c r="O2217" s="6" t="str">
        <f>IFERROR(INDEX(Players[New name],MATCH(GameLog[[#This Row],[Player]],Players[Name],0)),GameLog[[#This Row],[Player]])</f>
        <v>Bryce C</v>
      </c>
    </row>
    <row r="2218" spans="1:15" x14ac:dyDescent="0.45">
      <c r="A2218" s="6" t="s">
        <v>104</v>
      </c>
      <c r="B2218" s="6" t="s">
        <v>90</v>
      </c>
      <c r="C2218" s="6">
        <v>3</v>
      </c>
      <c r="D2218" s="6">
        <v>3</v>
      </c>
      <c r="E2218" s="6">
        <v>1</v>
      </c>
      <c r="F2218" s="10">
        <v>46293</v>
      </c>
      <c r="G2218" s="6" t="str">
        <f>_xlfn.TEXTJOIN("|",TRUE,GameLog[[#This Row],[Pod]],TEXT(INT(GameLog[[#This Row],[Round]]),"yyyymmdd"),GameLog[[#This Row],[Date]])</f>
        <v>3|19000101|46293</v>
      </c>
      <c r="H2218" s="6">
        <f>COUNTIF(GameLog[Pod ID],GameLog[[#This Row],[Pod ID]])</f>
        <v>4</v>
      </c>
      <c r="I2218" s="6">
        <f>YEAR(GameLog[[#This Row],[Date]])</f>
        <v>2026</v>
      </c>
      <c r="J2218" s="6">
        <f>MONTH(GameLog[[#This Row],[Date]])</f>
        <v>9</v>
      </c>
      <c r="K2218" s="6" t="str">
        <f>IF(GameLog[[#This Row],[Date]]=MAX(GameLog[Date]),"Current","Previous")</f>
        <v>Previous</v>
      </c>
      <c r="L2218" s="6"/>
      <c r="M22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8" s="6" t="str">
        <f ca="1">IF(GameLog[[#This Row],[Check]]="","",COUNTIF(GameLog[[#Headers],[Check]]:GameLog[[#This Row],[Check]],"?*")-1)</f>
        <v/>
      </c>
      <c r="O2218" s="6" t="str">
        <f>IFERROR(INDEX(Players[New name],MATCH(GameLog[[#This Row],[Player]],Players[Name],0)),GameLog[[#This Row],[Player]])</f>
        <v>Eric E</v>
      </c>
    </row>
    <row r="2219" spans="1:15" x14ac:dyDescent="0.45">
      <c r="A2219" s="6" t="s">
        <v>57</v>
      </c>
      <c r="B2219" s="6" t="s">
        <v>90</v>
      </c>
      <c r="C2219" s="6">
        <v>4</v>
      </c>
      <c r="D2219" s="6">
        <v>3</v>
      </c>
      <c r="E2219" s="6">
        <v>1</v>
      </c>
      <c r="F2219" s="10">
        <v>46293</v>
      </c>
      <c r="G2219" s="6" t="str">
        <f>_xlfn.TEXTJOIN("|",TRUE,GameLog[[#This Row],[Pod]],TEXT(INT(GameLog[[#This Row],[Round]]),"yyyymmdd"),GameLog[[#This Row],[Date]])</f>
        <v>3|19000101|46293</v>
      </c>
      <c r="H2219" s="6">
        <f>COUNTIF(GameLog[Pod ID],GameLog[[#This Row],[Pod ID]])</f>
        <v>4</v>
      </c>
      <c r="I2219" s="6">
        <f>YEAR(GameLog[[#This Row],[Date]])</f>
        <v>2026</v>
      </c>
      <c r="J2219" s="6">
        <f>MONTH(GameLog[[#This Row],[Date]])</f>
        <v>9</v>
      </c>
      <c r="K2219" s="6" t="str">
        <f>IF(GameLog[[#This Row],[Date]]=MAX(GameLog[Date]),"Current","Previous")</f>
        <v>Previous</v>
      </c>
      <c r="L2219" s="6"/>
      <c r="M22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19" s="6" t="str">
        <f ca="1">IF(GameLog[[#This Row],[Check]]="","",COUNTIF(GameLog[[#Headers],[Check]]:GameLog[[#This Row],[Check]],"?*")-1)</f>
        <v/>
      </c>
      <c r="O2219" s="6" t="str">
        <f>IFERROR(INDEX(Players[New name],MATCH(GameLog[[#This Row],[Player]],Players[Name],0)),GameLog[[#This Row],[Player]])</f>
        <v>AJ W</v>
      </c>
    </row>
    <row r="2220" spans="1:15" x14ac:dyDescent="0.45">
      <c r="A2220" s="6" t="s">
        <v>97</v>
      </c>
      <c r="B2220" s="6" t="s">
        <v>50</v>
      </c>
      <c r="C2220" s="6">
        <v>1</v>
      </c>
      <c r="D2220" s="6">
        <v>4</v>
      </c>
      <c r="E2220" s="6">
        <v>1</v>
      </c>
      <c r="F2220" s="10">
        <v>46293</v>
      </c>
      <c r="G2220" s="6" t="str">
        <f>_xlfn.TEXTJOIN("|",TRUE,GameLog[[#This Row],[Pod]],TEXT(INT(GameLog[[#This Row],[Round]]),"yyyymmdd"),GameLog[[#This Row],[Date]])</f>
        <v>4|19000101|46293</v>
      </c>
      <c r="H2220" s="6">
        <f>COUNTIF(GameLog[Pod ID],GameLog[[#This Row],[Pod ID]])</f>
        <v>3</v>
      </c>
      <c r="I2220" s="6">
        <f>YEAR(GameLog[[#This Row],[Date]])</f>
        <v>2026</v>
      </c>
      <c r="J2220" s="6">
        <f>MONTH(GameLog[[#This Row],[Date]])</f>
        <v>9</v>
      </c>
      <c r="K2220" s="6" t="str">
        <f>IF(GameLog[[#This Row],[Date]]=MAX(GameLog[Date]),"Current","Previous")</f>
        <v>Previous</v>
      </c>
      <c r="L2220" s="6"/>
      <c r="M22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0" s="6" t="str">
        <f ca="1">IF(GameLog[[#This Row],[Check]]="","",COUNTIF(GameLog[[#Headers],[Check]]:GameLog[[#This Row],[Check]],"?*")-1)</f>
        <v/>
      </c>
      <c r="O2220" s="6" t="str">
        <f>IFERROR(INDEX(Players[New name],MATCH(GameLog[[#This Row],[Player]],Players[Name],0)),GameLog[[#This Row],[Player]])</f>
        <v>Arman H</v>
      </c>
    </row>
    <row r="2221" spans="1:15" x14ac:dyDescent="0.45">
      <c r="A2221" s="6" t="s">
        <v>61</v>
      </c>
      <c r="B2221" s="6" t="s">
        <v>53</v>
      </c>
      <c r="C2221" s="6">
        <v>2</v>
      </c>
      <c r="D2221" s="6">
        <v>4</v>
      </c>
      <c r="E2221" s="6">
        <v>1</v>
      </c>
      <c r="F2221" s="10">
        <v>46293</v>
      </c>
      <c r="G2221" s="6" t="str">
        <f>_xlfn.TEXTJOIN("|",TRUE,GameLog[[#This Row],[Pod]],TEXT(INT(GameLog[[#This Row],[Round]]),"yyyymmdd"),GameLog[[#This Row],[Date]])</f>
        <v>4|19000101|46293</v>
      </c>
      <c r="H2221" s="6">
        <f>COUNTIF(GameLog[Pod ID],GameLog[[#This Row],[Pod ID]])</f>
        <v>3</v>
      </c>
      <c r="I2221" s="6">
        <f>YEAR(GameLog[[#This Row],[Date]])</f>
        <v>2026</v>
      </c>
      <c r="J2221" s="6">
        <f>MONTH(GameLog[[#This Row],[Date]])</f>
        <v>9</v>
      </c>
      <c r="K2221" s="6" t="str">
        <f>IF(GameLog[[#This Row],[Date]]=MAX(GameLog[Date]),"Current","Previous")</f>
        <v>Previous</v>
      </c>
      <c r="L2221" s="6"/>
      <c r="M22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1" s="6" t="str">
        <f ca="1">IF(GameLog[[#This Row],[Check]]="","",COUNTIF(GameLog[[#Headers],[Check]]:GameLog[[#This Row],[Check]],"?*")-1)</f>
        <v/>
      </c>
      <c r="O2221" s="6" t="str">
        <f>IFERROR(INDEX(Players[New name],MATCH(GameLog[[#This Row],[Player]],Players[Name],0)),GameLog[[#This Row],[Player]])</f>
        <v>Trevor</v>
      </c>
    </row>
    <row r="2222" spans="1:15" x14ac:dyDescent="0.45">
      <c r="A2222" s="6" t="s">
        <v>120</v>
      </c>
      <c r="B2222" s="6" t="s">
        <v>53</v>
      </c>
      <c r="C2222" s="6">
        <v>3</v>
      </c>
      <c r="D2222" s="6">
        <v>4</v>
      </c>
      <c r="E2222" s="6">
        <v>1</v>
      </c>
      <c r="F2222" s="10">
        <v>46293</v>
      </c>
      <c r="G2222" s="6" t="str">
        <f>_xlfn.TEXTJOIN("|",TRUE,GameLog[[#This Row],[Pod]],TEXT(INT(GameLog[[#This Row],[Round]]),"yyyymmdd"),GameLog[[#This Row],[Date]])</f>
        <v>4|19000101|46293</v>
      </c>
      <c r="H2222" s="6">
        <f>COUNTIF(GameLog[Pod ID],GameLog[[#This Row],[Pod ID]])</f>
        <v>3</v>
      </c>
      <c r="I2222" s="6">
        <f>YEAR(GameLog[[#This Row],[Date]])</f>
        <v>2026</v>
      </c>
      <c r="J2222" s="6">
        <f>MONTH(GameLog[[#This Row],[Date]])</f>
        <v>9</v>
      </c>
      <c r="K2222" s="6" t="str">
        <f>IF(GameLog[[#This Row],[Date]]=MAX(GameLog[Date]),"Current","Previous")</f>
        <v>Previous</v>
      </c>
      <c r="L2222" s="6"/>
      <c r="M22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2" s="6" t="str">
        <f ca="1">IF(GameLog[[#This Row],[Check]]="","",COUNTIF(GameLog[[#Headers],[Check]]:GameLog[[#This Row],[Check]],"?*")-1)</f>
        <v/>
      </c>
      <c r="O2222" s="6" t="str">
        <f>IFERROR(INDEX(Players[New name],MATCH(GameLog[[#This Row],[Player]],Players[Name],0)),GameLog[[#This Row],[Player]])</f>
        <v>Jonny T</v>
      </c>
    </row>
    <row r="2223" spans="1:15" x14ac:dyDescent="0.45">
      <c r="A2223" s="6" t="s">
        <v>57</v>
      </c>
      <c r="B2223" s="6" t="s">
        <v>50</v>
      </c>
      <c r="C2223" s="6">
        <v>1</v>
      </c>
      <c r="D2223" s="6">
        <v>1</v>
      </c>
      <c r="E2223" s="6">
        <v>2</v>
      </c>
      <c r="F2223" s="10">
        <v>46293</v>
      </c>
      <c r="G2223" s="6" t="str">
        <f>_xlfn.TEXTJOIN("|",TRUE,GameLog[[#This Row],[Pod]],TEXT(INT(GameLog[[#This Row],[Round]]),"yyyymmdd"),GameLog[[#This Row],[Date]])</f>
        <v>1|19000102|46293</v>
      </c>
      <c r="H2223" s="6">
        <f>COUNTIF(GameLog[Pod ID],GameLog[[#This Row],[Pod ID]])</f>
        <v>4</v>
      </c>
      <c r="I2223" s="6">
        <f>YEAR(GameLog[[#This Row],[Date]])</f>
        <v>2026</v>
      </c>
      <c r="J2223" s="6">
        <f>MONTH(GameLog[[#This Row],[Date]])</f>
        <v>9</v>
      </c>
      <c r="K2223" s="6" t="str">
        <f>IF(GameLog[[#This Row],[Date]]=MAX(GameLog[Date]),"Current","Previous")</f>
        <v>Previous</v>
      </c>
      <c r="L2223" s="6"/>
      <c r="M22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3" s="6" t="str">
        <f ca="1">IF(GameLog[[#This Row],[Check]]="","",COUNTIF(GameLog[[#Headers],[Check]]:GameLog[[#This Row],[Check]],"?*")-1)</f>
        <v/>
      </c>
      <c r="O2223" s="6" t="str">
        <f>IFERROR(INDEX(Players[New name],MATCH(GameLog[[#This Row],[Player]],Players[Name],0)),GameLog[[#This Row],[Player]])</f>
        <v>AJ W</v>
      </c>
    </row>
    <row r="2224" spans="1:15" x14ac:dyDescent="0.45">
      <c r="A2224" s="6" t="s">
        <v>73</v>
      </c>
      <c r="B2224" s="6" t="s">
        <v>53</v>
      </c>
      <c r="C2224" s="6">
        <v>2</v>
      </c>
      <c r="D2224" s="6">
        <v>1</v>
      </c>
      <c r="E2224" s="6">
        <v>2</v>
      </c>
      <c r="F2224" s="10">
        <v>46293</v>
      </c>
      <c r="G2224" s="6" t="str">
        <f>_xlfn.TEXTJOIN("|",TRUE,GameLog[[#This Row],[Pod]],TEXT(INT(GameLog[[#This Row],[Round]]),"yyyymmdd"),GameLog[[#This Row],[Date]])</f>
        <v>1|19000102|46293</v>
      </c>
      <c r="H2224" s="6">
        <f>COUNTIF(GameLog[Pod ID],GameLog[[#This Row],[Pod ID]])</f>
        <v>4</v>
      </c>
      <c r="I2224" s="6">
        <f>YEAR(GameLog[[#This Row],[Date]])</f>
        <v>2026</v>
      </c>
      <c r="J2224" s="6">
        <f>MONTH(GameLog[[#This Row],[Date]])</f>
        <v>9</v>
      </c>
      <c r="K2224" s="6" t="str">
        <f>IF(GameLog[[#This Row],[Date]]=MAX(GameLog[Date]),"Current","Previous")</f>
        <v>Previous</v>
      </c>
      <c r="L2224" s="6"/>
      <c r="M22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4" s="6" t="str">
        <f ca="1">IF(GameLog[[#This Row],[Check]]="","",COUNTIF(GameLog[[#Headers],[Check]]:GameLog[[#This Row],[Check]],"?*")-1)</f>
        <v/>
      </c>
      <c r="O2224" s="6" t="str">
        <f>IFERROR(INDEX(Players[New name],MATCH(GameLog[[#This Row],[Player]],Players[Name],0)),GameLog[[#This Row],[Player]])</f>
        <v>Brandon B</v>
      </c>
    </row>
    <row r="2225" spans="1:15" x14ac:dyDescent="0.45">
      <c r="A2225" s="6" t="s">
        <v>97</v>
      </c>
      <c r="B2225" s="6" t="s">
        <v>53</v>
      </c>
      <c r="C2225" s="6">
        <v>3</v>
      </c>
      <c r="D2225" s="6">
        <v>1</v>
      </c>
      <c r="E2225" s="6">
        <v>2</v>
      </c>
      <c r="F2225" s="10">
        <v>46293</v>
      </c>
      <c r="G2225" s="6" t="str">
        <f>_xlfn.TEXTJOIN("|",TRUE,GameLog[[#This Row],[Pod]],TEXT(INT(GameLog[[#This Row],[Round]]),"yyyymmdd"),GameLog[[#This Row],[Date]])</f>
        <v>1|19000102|46293</v>
      </c>
      <c r="H2225" s="6">
        <f>COUNTIF(GameLog[Pod ID],GameLog[[#This Row],[Pod ID]])</f>
        <v>4</v>
      </c>
      <c r="I2225" s="6">
        <f>YEAR(GameLog[[#This Row],[Date]])</f>
        <v>2026</v>
      </c>
      <c r="J2225" s="6">
        <f>MONTH(GameLog[[#This Row],[Date]])</f>
        <v>9</v>
      </c>
      <c r="K2225" s="6" t="str">
        <f>IF(GameLog[[#This Row],[Date]]=MAX(GameLog[Date]),"Current","Previous")</f>
        <v>Previous</v>
      </c>
      <c r="L2225" s="6"/>
      <c r="M22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5" s="6" t="str">
        <f ca="1">IF(GameLog[[#This Row],[Check]]="","",COUNTIF(GameLog[[#Headers],[Check]]:GameLog[[#This Row],[Check]],"?*")-1)</f>
        <v/>
      </c>
      <c r="O2225" s="6" t="str">
        <f>IFERROR(INDEX(Players[New name],MATCH(GameLog[[#This Row],[Player]],Players[Name],0)),GameLog[[#This Row],[Player]])</f>
        <v>Arman H</v>
      </c>
    </row>
    <row r="2226" spans="1:15" x14ac:dyDescent="0.45">
      <c r="A2226" s="6" t="s">
        <v>74</v>
      </c>
      <c r="B2226" s="6" t="s">
        <v>53</v>
      </c>
      <c r="C2226" s="6">
        <v>4</v>
      </c>
      <c r="D2226" s="6">
        <v>1</v>
      </c>
      <c r="E2226" s="6">
        <v>2</v>
      </c>
      <c r="F2226" s="10">
        <v>46293</v>
      </c>
      <c r="G2226" s="6" t="str">
        <f>_xlfn.TEXTJOIN("|",TRUE,GameLog[[#This Row],[Pod]],TEXT(INT(GameLog[[#This Row],[Round]]),"yyyymmdd"),GameLog[[#This Row],[Date]])</f>
        <v>1|19000102|46293</v>
      </c>
      <c r="H2226" s="6">
        <f>COUNTIF(GameLog[Pod ID],GameLog[[#This Row],[Pod ID]])</f>
        <v>4</v>
      </c>
      <c r="I2226" s="6">
        <f>YEAR(GameLog[[#This Row],[Date]])</f>
        <v>2026</v>
      </c>
      <c r="J2226" s="6">
        <f>MONTH(GameLog[[#This Row],[Date]])</f>
        <v>9</v>
      </c>
      <c r="K2226" s="6" t="str">
        <f>IF(GameLog[[#This Row],[Date]]=MAX(GameLog[Date]),"Current","Previous")</f>
        <v>Previous</v>
      </c>
      <c r="L2226" s="6"/>
      <c r="M22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6" s="6" t="str">
        <f ca="1">IF(GameLog[[#This Row],[Check]]="","",COUNTIF(GameLog[[#Headers],[Check]]:GameLog[[#This Row],[Check]],"?*")-1)</f>
        <v/>
      </c>
      <c r="O2226" s="6" t="str">
        <f>IFERROR(INDEX(Players[New name],MATCH(GameLog[[#This Row],[Player]],Players[Name],0)),GameLog[[#This Row],[Player]])</f>
        <v>Jarrod O</v>
      </c>
    </row>
    <row r="2227" spans="1:15" x14ac:dyDescent="0.45">
      <c r="A2227" s="6" t="s">
        <v>56</v>
      </c>
      <c r="B2227" s="6" t="s">
        <v>50</v>
      </c>
      <c r="C2227" s="6">
        <v>1</v>
      </c>
      <c r="D2227" s="6">
        <v>2</v>
      </c>
      <c r="E2227" s="6">
        <v>2</v>
      </c>
      <c r="F2227" s="10">
        <v>46293</v>
      </c>
      <c r="G2227" s="6" t="str">
        <f>_xlfn.TEXTJOIN("|",TRUE,GameLog[[#This Row],[Pod]],TEXT(INT(GameLog[[#This Row],[Round]]),"yyyymmdd"),GameLog[[#This Row],[Date]])</f>
        <v>2|19000102|46293</v>
      </c>
      <c r="H2227" s="6">
        <f>COUNTIF(GameLog[Pod ID],GameLog[[#This Row],[Pod ID]])</f>
        <v>4</v>
      </c>
      <c r="I2227" s="6">
        <f>YEAR(GameLog[[#This Row],[Date]])</f>
        <v>2026</v>
      </c>
      <c r="J2227" s="6">
        <f>MONTH(GameLog[[#This Row],[Date]])</f>
        <v>9</v>
      </c>
      <c r="K2227" s="6" t="str">
        <f>IF(GameLog[[#This Row],[Date]]=MAX(GameLog[Date]),"Current","Previous")</f>
        <v>Previous</v>
      </c>
      <c r="L2227" s="6"/>
      <c r="M22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7" s="6" t="str">
        <f ca="1">IF(GameLog[[#This Row],[Check]]="","",COUNTIF(GameLog[[#Headers],[Check]]:GameLog[[#This Row],[Check]],"?*")-1)</f>
        <v/>
      </c>
      <c r="O2227" s="6" t="str">
        <f>IFERROR(INDEX(Players[New name],MATCH(GameLog[[#This Row],[Player]],Players[Name],0)),GameLog[[#This Row],[Player]])</f>
        <v>Mark D</v>
      </c>
    </row>
    <row r="2228" spans="1:15" x14ac:dyDescent="0.45">
      <c r="A2228" s="6" t="s">
        <v>120</v>
      </c>
      <c r="B2228" s="6" t="s">
        <v>53</v>
      </c>
      <c r="C2228" s="6">
        <v>2</v>
      </c>
      <c r="D2228" s="6">
        <v>2</v>
      </c>
      <c r="E2228" s="6">
        <v>2</v>
      </c>
      <c r="F2228" s="10">
        <v>46293</v>
      </c>
      <c r="G2228" s="6" t="str">
        <f>_xlfn.TEXTJOIN("|",TRUE,GameLog[[#This Row],[Pod]],TEXT(INT(GameLog[[#This Row],[Round]]),"yyyymmdd"),GameLog[[#This Row],[Date]])</f>
        <v>2|19000102|46293</v>
      </c>
      <c r="H2228" s="6">
        <f>COUNTIF(GameLog[Pod ID],GameLog[[#This Row],[Pod ID]])</f>
        <v>4</v>
      </c>
      <c r="I2228" s="6">
        <f>YEAR(GameLog[[#This Row],[Date]])</f>
        <v>2026</v>
      </c>
      <c r="J2228" s="6">
        <f>MONTH(GameLog[[#This Row],[Date]])</f>
        <v>9</v>
      </c>
      <c r="K2228" s="6" t="str">
        <f>IF(GameLog[[#This Row],[Date]]=MAX(GameLog[Date]),"Current","Previous")</f>
        <v>Previous</v>
      </c>
      <c r="L2228" s="6"/>
      <c r="M22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8" s="6" t="str">
        <f ca="1">IF(GameLog[[#This Row],[Check]]="","",COUNTIF(GameLog[[#Headers],[Check]]:GameLog[[#This Row],[Check]],"?*")-1)</f>
        <v/>
      </c>
      <c r="O2228" s="6" t="str">
        <f>IFERROR(INDEX(Players[New name],MATCH(GameLog[[#This Row],[Player]],Players[Name],0)),GameLog[[#This Row],[Player]])</f>
        <v>Jonny T</v>
      </c>
    </row>
    <row r="2229" spans="1:15" x14ac:dyDescent="0.45">
      <c r="A2229" s="6" t="s">
        <v>76</v>
      </c>
      <c r="B2229" s="6" t="s">
        <v>53</v>
      </c>
      <c r="C2229" s="6">
        <v>3</v>
      </c>
      <c r="D2229" s="6">
        <v>2</v>
      </c>
      <c r="E2229" s="6">
        <v>2</v>
      </c>
      <c r="F2229" s="10">
        <v>46293</v>
      </c>
      <c r="G2229" s="6" t="str">
        <f>_xlfn.TEXTJOIN("|",TRUE,GameLog[[#This Row],[Pod]],TEXT(INT(GameLog[[#This Row],[Round]]),"yyyymmdd"),GameLog[[#This Row],[Date]])</f>
        <v>2|19000102|46293</v>
      </c>
      <c r="H2229" s="6">
        <f>COUNTIF(GameLog[Pod ID],GameLog[[#This Row],[Pod ID]])</f>
        <v>4</v>
      </c>
      <c r="I2229" s="6">
        <f>YEAR(GameLog[[#This Row],[Date]])</f>
        <v>2026</v>
      </c>
      <c r="J2229" s="6">
        <f>MONTH(GameLog[[#This Row],[Date]])</f>
        <v>9</v>
      </c>
      <c r="K2229" s="6" t="str">
        <f>IF(GameLog[[#This Row],[Date]]=MAX(GameLog[Date]),"Current","Previous")</f>
        <v>Previous</v>
      </c>
      <c r="L2229" s="6"/>
      <c r="M22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29" s="6" t="str">
        <f ca="1">IF(GameLog[[#This Row],[Check]]="","",COUNTIF(GameLog[[#Headers],[Check]]:GameLog[[#This Row],[Check]],"?*")-1)</f>
        <v/>
      </c>
      <c r="O2229" s="6" t="str">
        <f>IFERROR(INDEX(Players[New name],MATCH(GameLog[[#This Row],[Player]],Players[Name],0)),GameLog[[#This Row],[Player]])</f>
        <v>Jon M</v>
      </c>
    </row>
    <row r="2230" spans="1:15" x14ac:dyDescent="0.45">
      <c r="A2230" s="6" t="s">
        <v>70</v>
      </c>
      <c r="B2230" s="6" t="s">
        <v>53</v>
      </c>
      <c r="C2230" s="6">
        <v>4</v>
      </c>
      <c r="D2230" s="6">
        <v>2</v>
      </c>
      <c r="E2230" s="6">
        <v>2</v>
      </c>
      <c r="F2230" s="10">
        <v>46293</v>
      </c>
      <c r="G2230" s="6" t="str">
        <f>_xlfn.TEXTJOIN("|",TRUE,GameLog[[#This Row],[Pod]],TEXT(INT(GameLog[[#This Row],[Round]]),"yyyymmdd"),GameLog[[#This Row],[Date]])</f>
        <v>2|19000102|46293</v>
      </c>
      <c r="H2230" s="6">
        <f>COUNTIF(GameLog[Pod ID],GameLog[[#This Row],[Pod ID]])</f>
        <v>4</v>
      </c>
      <c r="I2230" s="6">
        <f>YEAR(GameLog[[#This Row],[Date]])</f>
        <v>2026</v>
      </c>
      <c r="J2230" s="6">
        <f>MONTH(GameLog[[#This Row],[Date]])</f>
        <v>9</v>
      </c>
      <c r="K2230" s="6" t="str">
        <f>IF(GameLog[[#This Row],[Date]]=MAX(GameLog[Date]),"Current","Previous")</f>
        <v>Previous</v>
      </c>
      <c r="L2230" s="6"/>
      <c r="M223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0" s="6" t="str">
        <f ca="1">IF(GameLog[[#This Row],[Check]]="","",COUNTIF(GameLog[[#Headers],[Check]]:GameLog[[#This Row],[Check]],"?*")-1)</f>
        <v/>
      </c>
      <c r="O2230" s="6" t="str">
        <f>IFERROR(INDEX(Players[New name],MATCH(GameLog[[#This Row],[Player]],Players[Name],0)),GameLog[[#This Row],[Player]])</f>
        <v>Brad F</v>
      </c>
    </row>
    <row r="2231" spans="1:15" x14ac:dyDescent="0.45">
      <c r="A2231" s="6" t="s">
        <v>68</v>
      </c>
      <c r="B2231" s="6" t="s">
        <v>90</v>
      </c>
      <c r="C2231" s="6">
        <v>1</v>
      </c>
      <c r="D2231" s="6">
        <v>3</v>
      </c>
      <c r="E2231" s="6">
        <v>2</v>
      </c>
      <c r="F2231" s="10">
        <v>46293</v>
      </c>
      <c r="G2231" s="6" t="str">
        <f>_xlfn.TEXTJOIN("|",TRUE,GameLog[[#This Row],[Pod]],TEXT(INT(GameLog[[#This Row],[Round]]),"yyyymmdd"),GameLog[[#This Row],[Date]])</f>
        <v>3|19000102|46293</v>
      </c>
      <c r="H2231" s="6">
        <f>COUNTIF(GameLog[Pod ID],GameLog[[#This Row],[Pod ID]])</f>
        <v>4</v>
      </c>
      <c r="I2231" s="6">
        <f>YEAR(GameLog[[#This Row],[Date]])</f>
        <v>2026</v>
      </c>
      <c r="J2231" s="6">
        <f>MONTH(GameLog[[#This Row],[Date]])</f>
        <v>9</v>
      </c>
      <c r="K2231" s="6" t="str">
        <f>IF(GameLog[[#This Row],[Date]]=MAX(GameLog[Date]),"Current","Previous")</f>
        <v>Previous</v>
      </c>
      <c r="L2231" s="6"/>
      <c r="M223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1" s="6" t="str">
        <f ca="1">IF(GameLog[[#This Row],[Check]]="","",COUNTIF(GameLog[[#Headers],[Check]]:GameLog[[#This Row],[Check]],"?*")-1)</f>
        <v/>
      </c>
      <c r="O2231" s="6" t="str">
        <f>IFERROR(INDEX(Players[New name],MATCH(GameLog[[#This Row],[Player]],Players[Name],0)),GameLog[[#This Row],[Player]])</f>
        <v>Edwin M</v>
      </c>
    </row>
    <row r="2232" spans="1:15" x14ac:dyDescent="0.45">
      <c r="A2232" s="6" t="s">
        <v>104</v>
      </c>
      <c r="B2232" s="6" t="s">
        <v>90</v>
      </c>
      <c r="C2232" s="6">
        <v>2</v>
      </c>
      <c r="D2232" s="6">
        <v>3</v>
      </c>
      <c r="E2232" s="6">
        <v>2</v>
      </c>
      <c r="F2232" s="10">
        <v>46293</v>
      </c>
      <c r="G2232" s="6" t="str">
        <f>_xlfn.TEXTJOIN("|",TRUE,GameLog[[#This Row],[Pod]],TEXT(INT(GameLog[[#This Row],[Round]]),"yyyymmdd"),GameLog[[#This Row],[Date]])</f>
        <v>3|19000102|46293</v>
      </c>
      <c r="H2232" s="6">
        <f>COUNTIF(GameLog[Pod ID],GameLog[[#This Row],[Pod ID]])</f>
        <v>4</v>
      </c>
      <c r="I2232" s="6">
        <f>YEAR(GameLog[[#This Row],[Date]])</f>
        <v>2026</v>
      </c>
      <c r="J2232" s="6">
        <f>MONTH(GameLog[[#This Row],[Date]])</f>
        <v>9</v>
      </c>
      <c r="K2232" s="6" t="str">
        <f>IF(GameLog[[#This Row],[Date]]=MAX(GameLog[Date]),"Current","Previous")</f>
        <v>Previous</v>
      </c>
      <c r="L2232" s="6"/>
      <c r="M223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2" s="6" t="str">
        <f ca="1">IF(GameLog[[#This Row],[Check]]="","",COUNTIF(GameLog[[#Headers],[Check]]:GameLog[[#This Row],[Check]],"?*")-1)</f>
        <v/>
      </c>
      <c r="O2232" s="6" t="str">
        <f>IFERROR(INDEX(Players[New name],MATCH(GameLog[[#This Row],[Player]],Players[Name],0)),GameLog[[#This Row],[Player]])</f>
        <v>Eric E</v>
      </c>
    </row>
    <row r="2233" spans="1:15" x14ac:dyDescent="0.45">
      <c r="A2233" s="6" t="s">
        <v>61</v>
      </c>
      <c r="B2233" s="6" t="s">
        <v>90</v>
      </c>
      <c r="C2233" s="6">
        <v>3</v>
      </c>
      <c r="D2233" s="6">
        <v>3</v>
      </c>
      <c r="E2233" s="6">
        <v>2</v>
      </c>
      <c r="F2233" s="10">
        <v>46293</v>
      </c>
      <c r="G2233" s="6" t="str">
        <f>_xlfn.TEXTJOIN("|",TRUE,GameLog[[#This Row],[Pod]],TEXT(INT(GameLog[[#This Row],[Round]]),"yyyymmdd"),GameLog[[#This Row],[Date]])</f>
        <v>3|19000102|46293</v>
      </c>
      <c r="H2233" s="6">
        <f>COUNTIF(GameLog[Pod ID],GameLog[[#This Row],[Pod ID]])</f>
        <v>4</v>
      </c>
      <c r="I2233" s="6">
        <f>YEAR(GameLog[[#This Row],[Date]])</f>
        <v>2026</v>
      </c>
      <c r="J2233" s="6">
        <f>MONTH(GameLog[[#This Row],[Date]])</f>
        <v>9</v>
      </c>
      <c r="K2233" s="6" t="str">
        <f>IF(GameLog[[#This Row],[Date]]=MAX(GameLog[Date]),"Current","Previous")</f>
        <v>Previous</v>
      </c>
      <c r="L2233" s="6"/>
      <c r="M223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3" s="6" t="str">
        <f ca="1">IF(GameLog[[#This Row],[Check]]="","",COUNTIF(GameLog[[#Headers],[Check]]:GameLog[[#This Row],[Check]],"?*")-1)</f>
        <v/>
      </c>
      <c r="O2233" s="6" t="str">
        <f>IFERROR(INDEX(Players[New name],MATCH(GameLog[[#This Row],[Player]],Players[Name],0)),GameLog[[#This Row],[Player]])</f>
        <v>Trevor</v>
      </c>
    </row>
    <row r="2234" spans="1:15" x14ac:dyDescent="0.45">
      <c r="A2234" s="6" t="s">
        <v>121</v>
      </c>
      <c r="B2234" s="6" t="s">
        <v>90</v>
      </c>
      <c r="C2234" s="6">
        <v>4</v>
      </c>
      <c r="D2234" s="6">
        <v>3</v>
      </c>
      <c r="E2234" s="6">
        <v>2</v>
      </c>
      <c r="F2234" s="10">
        <v>46293</v>
      </c>
      <c r="G2234" s="6" t="str">
        <f>_xlfn.TEXTJOIN("|",TRUE,GameLog[[#This Row],[Pod]],TEXT(INT(GameLog[[#This Row],[Round]]),"yyyymmdd"),GameLog[[#This Row],[Date]])</f>
        <v>3|19000102|46293</v>
      </c>
      <c r="H2234" s="6">
        <f>COUNTIF(GameLog[Pod ID],GameLog[[#This Row],[Pod ID]])</f>
        <v>4</v>
      </c>
      <c r="I2234" s="6">
        <f>YEAR(GameLog[[#This Row],[Date]])</f>
        <v>2026</v>
      </c>
      <c r="J2234" s="6">
        <f>MONTH(GameLog[[#This Row],[Date]])</f>
        <v>9</v>
      </c>
      <c r="K2234" s="6" t="str">
        <f>IF(GameLog[[#This Row],[Date]]=MAX(GameLog[Date]),"Current","Previous")</f>
        <v>Previous</v>
      </c>
      <c r="L2234" s="6"/>
      <c r="M223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4" s="6" t="str">
        <f ca="1">IF(GameLog[[#This Row],[Check]]="","",COUNTIF(GameLog[[#Headers],[Check]]:GameLog[[#This Row],[Check]],"?*")-1)</f>
        <v/>
      </c>
      <c r="O2234" s="6" t="str">
        <f>IFERROR(INDEX(Players[New name],MATCH(GameLog[[#This Row],[Player]],Players[Name],0)),GameLog[[#This Row],[Player]])</f>
        <v>Randy P</v>
      </c>
    </row>
    <row r="2235" spans="1:15" x14ac:dyDescent="0.45">
      <c r="A2235" s="6" t="s">
        <v>59</v>
      </c>
      <c r="B2235" s="6" t="s">
        <v>53</v>
      </c>
      <c r="C2235" s="6">
        <v>1</v>
      </c>
      <c r="D2235" s="6">
        <v>4</v>
      </c>
      <c r="E2235" s="6">
        <v>2</v>
      </c>
      <c r="F2235" s="10">
        <v>46293</v>
      </c>
      <c r="G2235" s="6" t="str">
        <f>_xlfn.TEXTJOIN("|",TRUE,GameLog[[#This Row],[Pod]],TEXT(INT(GameLog[[#This Row],[Round]]),"yyyymmdd"),GameLog[[#This Row],[Date]])</f>
        <v>4|19000102|46293</v>
      </c>
      <c r="H2235" s="6">
        <f>COUNTIF(GameLog[Pod ID],GameLog[[#This Row],[Pod ID]])</f>
        <v>3</v>
      </c>
      <c r="I2235" s="6">
        <f>YEAR(GameLog[[#This Row],[Date]])</f>
        <v>2026</v>
      </c>
      <c r="J2235" s="6">
        <f>MONTH(GameLog[[#This Row],[Date]])</f>
        <v>9</v>
      </c>
      <c r="K2235" s="6" t="str">
        <f>IF(GameLog[[#This Row],[Date]]=MAX(GameLog[Date]),"Current","Previous")</f>
        <v>Previous</v>
      </c>
      <c r="L2235" s="6"/>
      <c r="M223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5" s="6" t="str">
        <f ca="1">IF(GameLog[[#This Row],[Check]]="","",COUNTIF(GameLog[[#Headers],[Check]]:GameLog[[#This Row],[Check]],"?*")-1)</f>
        <v/>
      </c>
      <c r="O2235" s="6" t="str">
        <f>IFERROR(INDEX(Players[New name],MATCH(GameLog[[#This Row],[Player]],Players[Name],0)),GameLog[[#This Row],[Player]])</f>
        <v>Zack B</v>
      </c>
    </row>
    <row r="2236" spans="1:15" x14ac:dyDescent="0.45">
      <c r="A2236" s="6" t="s">
        <v>55</v>
      </c>
      <c r="B2236" s="6" t="s">
        <v>50</v>
      </c>
      <c r="C2236" s="6">
        <v>2</v>
      </c>
      <c r="D2236" s="6">
        <v>4</v>
      </c>
      <c r="E2236" s="6">
        <v>2</v>
      </c>
      <c r="F2236" s="10">
        <v>46293</v>
      </c>
      <c r="G2236" s="6" t="str">
        <f>_xlfn.TEXTJOIN("|",TRUE,GameLog[[#This Row],[Pod]],TEXT(INT(GameLog[[#This Row],[Round]]),"yyyymmdd"),GameLog[[#This Row],[Date]])</f>
        <v>4|19000102|46293</v>
      </c>
      <c r="H2236" s="6">
        <f>COUNTIF(GameLog[Pod ID],GameLog[[#This Row],[Pod ID]])</f>
        <v>3</v>
      </c>
      <c r="I2236" s="6">
        <f>YEAR(GameLog[[#This Row],[Date]])</f>
        <v>2026</v>
      </c>
      <c r="J2236" s="6">
        <f>MONTH(GameLog[[#This Row],[Date]])</f>
        <v>9</v>
      </c>
      <c r="K2236" s="6" t="str">
        <f>IF(GameLog[[#This Row],[Date]]=MAX(GameLog[Date]),"Current","Previous")</f>
        <v>Previous</v>
      </c>
      <c r="L2236" s="6"/>
      <c r="M223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6" s="6" t="str">
        <f ca="1">IF(GameLog[[#This Row],[Check]]="","",COUNTIF(GameLog[[#Headers],[Check]]:GameLog[[#This Row],[Check]],"?*")-1)</f>
        <v/>
      </c>
      <c r="O2236" s="6" t="str">
        <f>IFERROR(INDEX(Players[New name],MATCH(GameLog[[#This Row],[Player]],Players[Name],0)),GameLog[[#This Row],[Player]])</f>
        <v>Bryce C</v>
      </c>
    </row>
    <row r="2237" spans="1:15" x14ac:dyDescent="0.45">
      <c r="A2237" s="6" t="s">
        <v>75</v>
      </c>
      <c r="B2237" s="6" t="s">
        <v>53</v>
      </c>
      <c r="C2237" s="6">
        <v>3</v>
      </c>
      <c r="D2237" s="6">
        <v>4</v>
      </c>
      <c r="E2237" s="6">
        <v>2</v>
      </c>
      <c r="F2237" s="10">
        <v>46293</v>
      </c>
      <c r="G2237" s="6" t="str">
        <f>_xlfn.TEXTJOIN("|",TRUE,GameLog[[#This Row],[Pod]],TEXT(INT(GameLog[[#This Row],[Round]]),"yyyymmdd"),GameLog[[#This Row],[Date]])</f>
        <v>4|19000102|46293</v>
      </c>
      <c r="H2237" s="6">
        <f>COUNTIF(GameLog[Pod ID],GameLog[[#This Row],[Pod ID]])</f>
        <v>3</v>
      </c>
      <c r="I2237" s="6">
        <f>YEAR(GameLog[[#This Row],[Date]])</f>
        <v>2026</v>
      </c>
      <c r="J2237" s="6">
        <f>MONTH(GameLog[[#This Row],[Date]])</f>
        <v>9</v>
      </c>
      <c r="K2237" s="6" t="str">
        <f>IF(GameLog[[#This Row],[Date]]=MAX(GameLog[Date]),"Current","Previous")</f>
        <v>Previous</v>
      </c>
      <c r="L2237" s="6"/>
      <c r="M223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7" s="6" t="str">
        <f ca="1">IF(GameLog[[#This Row],[Check]]="","",COUNTIF(GameLog[[#Headers],[Check]]:GameLog[[#This Row],[Check]],"?*")-1)</f>
        <v/>
      </c>
      <c r="O2237" s="6" t="str">
        <f>IFERROR(INDEX(Players[New name],MATCH(GameLog[[#This Row],[Player]],Players[Name],0)),GameLog[[#This Row],[Player]])</f>
        <v>Eli T</v>
      </c>
    </row>
    <row r="2238" spans="1:15" x14ac:dyDescent="0.45">
      <c r="A2238" s="6" t="s">
        <v>102</v>
      </c>
      <c r="B2238" s="6" t="s">
        <v>90</v>
      </c>
      <c r="C2238" s="6">
        <v>1</v>
      </c>
      <c r="D2238" s="6">
        <v>1</v>
      </c>
      <c r="E2238" s="6">
        <v>1</v>
      </c>
      <c r="F2238" s="10">
        <v>46300</v>
      </c>
      <c r="G2238" s="6" t="str">
        <f>_xlfn.TEXTJOIN("|",TRUE,GameLog[[#This Row],[Pod]],TEXT(INT(GameLog[[#This Row],[Round]]),"yyyymmdd"),GameLog[[#This Row],[Date]])</f>
        <v>1|19000101|46300</v>
      </c>
      <c r="H2238" s="6">
        <f>COUNTIF(GameLog[Pod ID],GameLog[[#This Row],[Pod ID]])</f>
        <v>4</v>
      </c>
      <c r="I2238" s="6">
        <f>YEAR(GameLog[[#This Row],[Date]])</f>
        <v>2026</v>
      </c>
      <c r="J2238" s="6">
        <f>MONTH(GameLog[[#This Row],[Date]])</f>
        <v>10</v>
      </c>
      <c r="K2238" s="6" t="str">
        <f>IF(GameLog[[#This Row],[Date]]=MAX(GameLog[Date]),"Current","Previous")</f>
        <v>Previous</v>
      </c>
      <c r="L2238" s="6"/>
      <c r="M223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8" s="6" t="str">
        <f ca="1">IF(GameLog[[#This Row],[Check]]="","",COUNTIF(GameLog[[#Headers],[Check]]:GameLog[[#This Row],[Check]],"?*")-1)</f>
        <v/>
      </c>
      <c r="O2238" s="6" t="str">
        <f>IFERROR(INDEX(Players[New name],MATCH(GameLog[[#This Row],[Player]],Players[Name],0)),GameLog[[#This Row],[Player]])</f>
        <v>Sage</v>
      </c>
    </row>
    <row r="2239" spans="1:15" x14ac:dyDescent="0.45">
      <c r="A2239" s="6" t="s">
        <v>119</v>
      </c>
      <c r="B2239" s="6" t="s">
        <v>90</v>
      </c>
      <c r="C2239" s="6">
        <v>2</v>
      </c>
      <c r="D2239" s="6">
        <v>1</v>
      </c>
      <c r="E2239" s="6">
        <v>1</v>
      </c>
      <c r="F2239" s="10">
        <v>46300</v>
      </c>
      <c r="G2239" s="6" t="str">
        <f>_xlfn.TEXTJOIN("|",TRUE,GameLog[[#This Row],[Pod]],TEXT(INT(GameLog[[#This Row],[Round]]),"yyyymmdd"),GameLog[[#This Row],[Date]])</f>
        <v>1|19000101|46300</v>
      </c>
      <c r="H2239" s="6">
        <f>COUNTIF(GameLog[Pod ID],GameLog[[#This Row],[Pod ID]])</f>
        <v>4</v>
      </c>
      <c r="I2239" s="6">
        <f>YEAR(GameLog[[#This Row],[Date]])</f>
        <v>2026</v>
      </c>
      <c r="J2239" s="6">
        <f>MONTH(GameLog[[#This Row],[Date]])</f>
        <v>10</v>
      </c>
      <c r="K2239" s="6" t="str">
        <f>IF(GameLog[[#This Row],[Date]]=MAX(GameLog[Date]),"Current","Previous")</f>
        <v>Previous</v>
      </c>
      <c r="L2239" s="6"/>
      <c r="M223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39" s="6" t="str">
        <f ca="1">IF(GameLog[[#This Row],[Check]]="","",COUNTIF(GameLog[[#Headers],[Check]]:GameLog[[#This Row],[Check]],"?*")-1)</f>
        <v/>
      </c>
      <c r="O2239" s="6" t="str">
        <f>IFERROR(INDEX(Players[New name],MATCH(GameLog[[#This Row],[Player]],Players[Name],0)),GameLog[[#This Row],[Player]])</f>
        <v>Cristian S</v>
      </c>
    </row>
    <row r="2240" spans="1:15" x14ac:dyDescent="0.45">
      <c r="A2240" s="6" t="s">
        <v>76</v>
      </c>
      <c r="B2240" s="6" t="s">
        <v>90</v>
      </c>
      <c r="C2240" s="6">
        <v>3</v>
      </c>
      <c r="D2240" s="6">
        <v>1</v>
      </c>
      <c r="E2240" s="6">
        <v>1</v>
      </c>
      <c r="F2240" s="10">
        <v>46300</v>
      </c>
      <c r="G2240" s="6" t="str">
        <f>_xlfn.TEXTJOIN("|",TRUE,GameLog[[#This Row],[Pod]],TEXT(INT(GameLog[[#This Row],[Round]]),"yyyymmdd"),GameLog[[#This Row],[Date]])</f>
        <v>1|19000101|46300</v>
      </c>
      <c r="H2240" s="6">
        <f>COUNTIF(GameLog[Pod ID],GameLog[[#This Row],[Pod ID]])</f>
        <v>4</v>
      </c>
      <c r="I2240" s="6">
        <f>YEAR(GameLog[[#This Row],[Date]])</f>
        <v>2026</v>
      </c>
      <c r="J2240" s="6">
        <f>MONTH(GameLog[[#This Row],[Date]])</f>
        <v>10</v>
      </c>
      <c r="K2240" s="6" t="str">
        <f>IF(GameLog[[#This Row],[Date]]=MAX(GameLog[Date]),"Current","Previous")</f>
        <v>Previous</v>
      </c>
      <c r="L2240" s="6"/>
      <c r="M224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0" s="6" t="str">
        <f ca="1">IF(GameLog[[#This Row],[Check]]="","",COUNTIF(GameLog[[#Headers],[Check]]:GameLog[[#This Row],[Check]],"?*")-1)</f>
        <v/>
      </c>
      <c r="O2240" s="6" t="str">
        <f>IFERROR(INDEX(Players[New name],MATCH(GameLog[[#This Row],[Player]],Players[Name],0)),GameLog[[#This Row],[Player]])</f>
        <v>Jon M</v>
      </c>
    </row>
    <row r="2241" spans="1:15" x14ac:dyDescent="0.45">
      <c r="A2241" s="6" t="s">
        <v>55</v>
      </c>
      <c r="B2241" s="6" t="s">
        <v>90</v>
      </c>
      <c r="C2241" s="6">
        <v>4</v>
      </c>
      <c r="D2241" s="6">
        <v>1</v>
      </c>
      <c r="E2241" s="6">
        <v>1</v>
      </c>
      <c r="F2241" s="10">
        <v>46300</v>
      </c>
      <c r="G2241" s="6" t="str">
        <f>_xlfn.TEXTJOIN("|",TRUE,GameLog[[#This Row],[Pod]],TEXT(INT(GameLog[[#This Row],[Round]]),"yyyymmdd"),GameLog[[#This Row],[Date]])</f>
        <v>1|19000101|46300</v>
      </c>
      <c r="H2241" s="6">
        <f>COUNTIF(GameLog[Pod ID],GameLog[[#This Row],[Pod ID]])</f>
        <v>4</v>
      </c>
      <c r="I2241" s="6">
        <f>YEAR(GameLog[[#This Row],[Date]])</f>
        <v>2026</v>
      </c>
      <c r="J2241" s="6">
        <f>MONTH(GameLog[[#This Row],[Date]])</f>
        <v>10</v>
      </c>
      <c r="K2241" s="6" t="str">
        <f>IF(GameLog[[#This Row],[Date]]=MAX(GameLog[Date]),"Current","Previous")</f>
        <v>Previous</v>
      </c>
      <c r="L2241" s="6"/>
      <c r="M224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1" s="6" t="str">
        <f ca="1">IF(GameLog[[#This Row],[Check]]="","",COUNTIF(GameLog[[#Headers],[Check]]:GameLog[[#This Row],[Check]],"?*")-1)</f>
        <v/>
      </c>
      <c r="O2241" s="6" t="str">
        <f>IFERROR(INDEX(Players[New name],MATCH(GameLog[[#This Row],[Player]],Players[Name],0)),GameLog[[#This Row],[Player]])</f>
        <v>Bryce C</v>
      </c>
    </row>
    <row r="2242" spans="1:15" x14ac:dyDescent="0.45">
      <c r="A2242" s="6" t="s">
        <v>73</v>
      </c>
      <c r="B2242" s="6" t="s">
        <v>90</v>
      </c>
      <c r="C2242" s="6">
        <v>1</v>
      </c>
      <c r="D2242" s="6">
        <v>2</v>
      </c>
      <c r="E2242" s="6">
        <v>1</v>
      </c>
      <c r="F2242" s="10">
        <v>46300</v>
      </c>
      <c r="G2242" s="6" t="str">
        <f>_xlfn.TEXTJOIN("|",TRUE,GameLog[[#This Row],[Pod]],TEXT(INT(GameLog[[#This Row],[Round]]),"yyyymmdd"),GameLog[[#This Row],[Date]])</f>
        <v>2|19000101|46300</v>
      </c>
      <c r="H2242" s="6">
        <f>COUNTIF(GameLog[Pod ID],GameLog[[#This Row],[Pod ID]])</f>
        <v>4</v>
      </c>
      <c r="I2242" s="6">
        <f>YEAR(GameLog[[#This Row],[Date]])</f>
        <v>2026</v>
      </c>
      <c r="J2242" s="6">
        <f>MONTH(GameLog[[#This Row],[Date]])</f>
        <v>10</v>
      </c>
      <c r="K2242" s="6" t="str">
        <f>IF(GameLog[[#This Row],[Date]]=MAX(GameLog[Date]),"Current","Previous")</f>
        <v>Previous</v>
      </c>
      <c r="L2242" s="6"/>
      <c r="M224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2" s="6" t="str">
        <f ca="1">IF(GameLog[[#This Row],[Check]]="","",COUNTIF(GameLog[[#Headers],[Check]]:GameLog[[#This Row],[Check]],"?*")-1)</f>
        <v/>
      </c>
      <c r="O2242" s="6" t="str">
        <f>IFERROR(INDEX(Players[New name],MATCH(GameLog[[#This Row],[Player]],Players[Name],0)),GameLog[[#This Row],[Player]])</f>
        <v>Brandon B</v>
      </c>
    </row>
    <row r="2243" spans="1:15" x14ac:dyDescent="0.45">
      <c r="A2243" s="6" t="s">
        <v>97</v>
      </c>
      <c r="B2243" s="6" t="s">
        <v>90</v>
      </c>
      <c r="C2243" s="6">
        <v>2</v>
      </c>
      <c r="D2243" s="6">
        <v>2</v>
      </c>
      <c r="E2243" s="6">
        <v>1</v>
      </c>
      <c r="F2243" s="10">
        <v>46300</v>
      </c>
      <c r="G2243" s="6" t="str">
        <f>_xlfn.TEXTJOIN("|",TRUE,GameLog[[#This Row],[Pod]],TEXT(INT(GameLog[[#This Row],[Round]]),"yyyymmdd"),GameLog[[#This Row],[Date]])</f>
        <v>2|19000101|46300</v>
      </c>
      <c r="H2243" s="6">
        <f>COUNTIF(GameLog[Pod ID],GameLog[[#This Row],[Pod ID]])</f>
        <v>4</v>
      </c>
      <c r="I2243" s="6">
        <f>YEAR(GameLog[[#This Row],[Date]])</f>
        <v>2026</v>
      </c>
      <c r="J2243" s="6">
        <f>MONTH(GameLog[[#This Row],[Date]])</f>
        <v>10</v>
      </c>
      <c r="K2243" s="6" t="str">
        <f>IF(GameLog[[#This Row],[Date]]=MAX(GameLog[Date]),"Current","Previous")</f>
        <v>Previous</v>
      </c>
      <c r="L2243" s="6"/>
      <c r="M224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3" s="6" t="str">
        <f ca="1">IF(GameLog[[#This Row],[Check]]="","",COUNTIF(GameLog[[#Headers],[Check]]:GameLog[[#This Row],[Check]],"?*")-1)</f>
        <v/>
      </c>
      <c r="O2243" s="6" t="str">
        <f>IFERROR(INDEX(Players[New name],MATCH(GameLog[[#This Row],[Player]],Players[Name],0)),GameLog[[#This Row],[Player]])</f>
        <v>Arman H</v>
      </c>
    </row>
    <row r="2244" spans="1:15" x14ac:dyDescent="0.45">
      <c r="A2244" s="6" t="s">
        <v>61</v>
      </c>
      <c r="B2244" s="6" t="s">
        <v>90</v>
      </c>
      <c r="C2244" s="6">
        <v>3</v>
      </c>
      <c r="D2244" s="6">
        <v>2</v>
      </c>
      <c r="E2244" s="6">
        <v>1</v>
      </c>
      <c r="F2244" s="10">
        <v>46300</v>
      </c>
      <c r="G2244" s="6" t="str">
        <f>_xlfn.TEXTJOIN("|",TRUE,GameLog[[#This Row],[Pod]],TEXT(INT(GameLog[[#This Row],[Round]]),"yyyymmdd"),GameLog[[#This Row],[Date]])</f>
        <v>2|19000101|46300</v>
      </c>
      <c r="H2244" s="6">
        <f>COUNTIF(GameLog[Pod ID],GameLog[[#This Row],[Pod ID]])</f>
        <v>4</v>
      </c>
      <c r="I2244" s="6">
        <f>YEAR(GameLog[[#This Row],[Date]])</f>
        <v>2026</v>
      </c>
      <c r="J2244" s="6">
        <f>MONTH(GameLog[[#This Row],[Date]])</f>
        <v>10</v>
      </c>
      <c r="K2244" s="6" t="str">
        <f>IF(GameLog[[#This Row],[Date]]=MAX(GameLog[Date]),"Current","Previous")</f>
        <v>Previous</v>
      </c>
      <c r="L2244" s="6"/>
      <c r="M224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4" s="6" t="str">
        <f ca="1">IF(GameLog[[#This Row],[Check]]="","",COUNTIF(GameLog[[#Headers],[Check]]:GameLog[[#This Row],[Check]],"?*")-1)</f>
        <v/>
      </c>
      <c r="O2244" s="6" t="str">
        <f>IFERROR(INDEX(Players[New name],MATCH(GameLog[[#This Row],[Player]],Players[Name],0)),GameLog[[#This Row],[Player]])</f>
        <v>Trevor</v>
      </c>
    </row>
    <row r="2245" spans="1:15" x14ac:dyDescent="0.45">
      <c r="A2245" s="6" t="s">
        <v>64</v>
      </c>
      <c r="B2245" s="6" t="s">
        <v>90</v>
      </c>
      <c r="C2245" s="6">
        <v>4</v>
      </c>
      <c r="D2245" s="6">
        <v>2</v>
      </c>
      <c r="E2245" s="6">
        <v>1</v>
      </c>
      <c r="F2245" s="10">
        <v>46300</v>
      </c>
      <c r="G2245" s="6" t="str">
        <f>_xlfn.TEXTJOIN("|",TRUE,GameLog[[#This Row],[Pod]],TEXT(INT(GameLog[[#This Row],[Round]]),"yyyymmdd"),GameLog[[#This Row],[Date]])</f>
        <v>2|19000101|46300</v>
      </c>
      <c r="H2245" s="6">
        <f>COUNTIF(GameLog[Pod ID],GameLog[[#This Row],[Pod ID]])</f>
        <v>4</v>
      </c>
      <c r="I2245" s="6">
        <f>YEAR(GameLog[[#This Row],[Date]])</f>
        <v>2026</v>
      </c>
      <c r="J2245" s="6">
        <f>MONTH(GameLog[[#This Row],[Date]])</f>
        <v>10</v>
      </c>
      <c r="K2245" s="6" t="str">
        <f>IF(GameLog[[#This Row],[Date]]=MAX(GameLog[Date]),"Current","Previous")</f>
        <v>Previous</v>
      </c>
      <c r="L2245" s="6"/>
      <c r="M224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5" s="6" t="str">
        <f ca="1">IF(GameLog[[#This Row],[Check]]="","",COUNTIF(GameLog[[#Headers],[Check]]:GameLog[[#This Row],[Check]],"?*")-1)</f>
        <v/>
      </c>
      <c r="O2245" s="6" t="str">
        <f>IFERROR(INDEX(Players[New name],MATCH(GameLog[[#This Row],[Player]],Players[Name],0)),GameLog[[#This Row],[Player]])</f>
        <v>Tyler B</v>
      </c>
    </row>
    <row r="2246" spans="1:15" x14ac:dyDescent="0.45">
      <c r="A2246" s="6" t="s">
        <v>74</v>
      </c>
      <c r="B2246" s="6" t="s">
        <v>53</v>
      </c>
      <c r="C2246" s="6">
        <v>1</v>
      </c>
      <c r="D2246" s="6">
        <v>3</v>
      </c>
      <c r="E2246" s="6">
        <v>1</v>
      </c>
      <c r="F2246" s="10">
        <v>46300</v>
      </c>
      <c r="G2246" s="6" t="str">
        <f>_xlfn.TEXTJOIN("|",TRUE,GameLog[[#This Row],[Pod]],TEXT(INT(GameLog[[#This Row],[Round]]),"yyyymmdd"),GameLog[[#This Row],[Date]])</f>
        <v>3|19000101|46300</v>
      </c>
      <c r="H2246" s="6">
        <f>COUNTIF(GameLog[Pod ID],GameLog[[#This Row],[Pod ID]])</f>
        <v>4</v>
      </c>
      <c r="I2246" s="6">
        <f>YEAR(GameLog[[#This Row],[Date]])</f>
        <v>2026</v>
      </c>
      <c r="J2246" s="6">
        <f>MONTH(GameLog[[#This Row],[Date]])</f>
        <v>10</v>
      </c>
      <c r="K2246" s="6" t="str">
        <f>IF(GameLog[[#This Row],[Date]]=MAX(GameLog[Date]),"Current","Previous")</f>
        <v>Previous</v>
      </c>
      <c r="L2246" s="6"/>
      <c r="M224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6" s="6" t="str">
        <f ca="1">IF(GameLog[[#This Row],[Check]]="","",COUNTIF(GameLog[[#Headers],[Check]]:GameLog[[#This Row],[Check]],"?*")-1)</f>
        <v/>
      </c>
      <c r="O2246" s="6" t="str">
        <f>IFERROR(INDEX(Players[New name],MATCH(GameLog[[#This Row],[Player]],Players[Name],0)),GameLog[[#This Row],[Player]])</f>
        <v>Jarrod O</v>
      </c>
    </row>
    <row r="2247" spans="1:15" x14ac:dyDescent="0.45">
      <c r="A2247" s="6" t="s">
        <v>70</v>
      </c>
      <c r="B2247" s="6" t="s">
        <v>53</v>
      </c>
      <c r="C2247" s="6">
        <v>2</v>
      </c>
      <c r="D2247" s="6">
        <v>3</v>
      </c>
      <c r="E2247" s="6">
        <v>1</v>
      </c>
      <c r="F2247" s="10">
        <v>46300</v>
      </c>
      <c r="G2247" s="6" t="str">
        <f>_xlfn.TEXTJOIN("|",TRUE,GameLog[[#This Row],[Pod]],TEXT(INT(GameLog[[#This Row],[Round]]),"yyyymmdd"),GameLog[[#This Row],[Date]])</f>
        <v>3|19000101|46300</v>
      </c>
      <c r="H2247" s="6">
        <f>COUNTIF(GameLog[Pod ID],GameLog[[#This Row],[Pod ID]])</f>
        <v>4</v>
      </c>
      <c r="I2247" s="6">
        <f>YEAR(GameLog[[#This Row],[Date]])</f>
        <v>2026</v>
      </c>
      <c r="J2247" s="6">
        <f>MONTH(GameLog[[#This Row],[Date]])</f>
        <v>10</v>
      </c>
      <c r="K2247" s="6" t="str">
        <f>IF(GameLog[[#This Row],[Date]]=MAX(GameLog[Date]),"Current","Previous")</f>
        <v>Previous</v>
      </c>
      <c r="L2247" s="6"/>
      <c r="M224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7" s="6" t="str">
        <f ca="1">IF(GameLog[[#This Row],[Check]]="","",COUNTIF(GameLog[[#Headers],[Check]]:GameLog[[#This Row],[Check]],"?*")-1)</f>
        <v/>
      </c>
      <c r="O2247" s="6" t="str">
        <f>IFERROR(INDEX(Players[New name],MATCH(GameLog[[#This Row],[Player]],Players[Name],0)),GameLog[[#This Row],[Player]])</f>
        <v>Brad F</v>
      </c>
    </row>
    <row r="2248" spans="1:15" x14ac:dyDescent="0.45">
      <c r="A2248" s="6" t="s">
        <v>57</v>
      </c>
      <c r="B2248" s="6" t="s">
        <v>50</v>
      </c>
      <c r="C2248" s="6">
        <v>3</v>
      </c>
      <c r="D2248" s="6">
        <v>3</v>
      </c>
      <c r="E2248" s="6">
        <v>1</v>
      </c>
      <c r="F2248" s="10">
        <v>46300</v>
      </c>
      <c r="G2248" s="6" t="str">
        <f>_xlfn.TEXTJOIN("|",TRUE,GameLog[[#This Row],[Pod]],TEXT(INT(GameLog[[#This Row],[Round]]),"yyyymmdd"),GameLog[[#This Row],[Date]])</f>
        <v>3|19000101|46300</v>
      </c>
      <c r="H2248" s="6">
        <f>COUNTIF(GameLog[Pod ID],GameLog[[#This Row],[Pod ID]])</f>
        <v>4</v>
      </c>
      <c r="I2248" s="6">
        <f>YEAR(GameLog[[#This Row],[Date]])</f>
        <v>2026</v>
      </c>
      <c r="J2248" s="6">
        <f>MONTH(GameLog[[#This Row],[Date]])</f>
        <v>10</v>
      </c>
      <c r="K2248" s="6" t="str">
        <f>IF(GameLog[[#This Row],[Date]]=MAX(GameLog[Date]),"Current","Previous")</f>
        <v>Previous</v>
      </c>
      <c r="L2248" s="6"/>
      <c r="M224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8" s="6" t="str">
        <f ca="1">IF(GameLog[[#This Row],[Check]]="","",COUNTIF(GameLog[[#Headers],[Check]]:GameLog[[#This Row],[Check]],"?*")-1)</f>
        <v/>
      </c>
      <c r="O2248" s="6" t="str">
        <f>IFERROR(INDEX(Players[New name],MATCH(GameLog[[#This Row],[Player]],Players[Name],0)),GameLog[[#This Row],[Player]])</f>
        <v>AJ W</v>
      </c>
    </row>
    <row r="2249" spans="1:15" x14ac:dyDescent="0.45">
      <c r="A2249" s="6" t="s">
        <v>118</v>
      </c>
      <c r="B2249" s="6" t="s">
        <v>53</v>
      </c>
      <c r="C2249" s="6">
        <v>4</v>
      </c>
      <c r="D2249" s="6">
        <v>3</v>
      </c>
      <c r="E2249" s="6">
        <v>1</v>
      </c>
      <c r="F2249" s="10">
        <v>46300</v>
      </c>
      <c r="G2249" s="6" t="str">
        <f>_xlfn.TEXTJOIN("|",TRUE,GameLog[[#This Row],[Pod]],TEXT(INT(GameLog[[#This Row],[Round]]),"yyyymmdd"),GameLog[[#This Row],[Date]])</f>
        <v>3|19000101|46300</v>
      </c>
      <c r="H2249" s="6">
        <f>COUNTIF(GameLog[Pod ID],GameLog[[#This Row],[Pod ID]])</f>
        <v>4</v>
      </c>
      <c r="I2249" s="6">
        <f>YEAR(GameLog[[#This Row],[Date]])</f>
        <v>2026</v>
      </c>
      <c r="J2249" s="6">
        <f>MONTH(GameLog[[#This Row],[Date]])</f>
        <v>10</v>
      </c>
      <c r="K2249" s="6" t="str">
        <f>IF(GameLog[[#This Row],[Date]]=MAX(GameLog[Date]),"Current","Previous")</f>
        <v>Previous</v>
      </c>
      <c r="L2249" s="6"/>
      <c r="M224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49" s="6" t="str">
        <f ca="1">IF(GameLog[[#This Row],[Check]]="","",COUNTIF(GameLog[[#Headers],[Check]]:GameLog[[#This Row],[Check]],"?*")-1)</f>
        <v/>
      </c>
      <c r="O2249" s="6" t="str">
        <f>IFERROR(INDEX(Players[New name],MATCH(GameLog[[#This Row],[Player]],Players[Name],0)),GameLog[[#This Row],[Player]])</f>
        <v>Eric T</v>
      </c>
    </row>
    <row r="2250" spans="1:15" x14ac:dyDescent="0.45">
      <c r="A2250" s="6" t="s">
        <v>113</v>
      </c>
      <c r="B2250" s="6" t="s">
        <v>50</v>
      </c>
      <c r="C2250" s="6">
        <v>1</v>
      </c>
      <c r="D2250" s="6">
        <v>4</v>
      </c>
      <c r="E2250" s="6">
        <v>1</v>
      </c>
      <c r="F2250" s="10">
        <v>46300</v>
      </c>
      <c r="G2250" s="6" t="str">
        <f>_xlfn.TEXTJOIN("|",TRUE,GameLog[[#This Row],[Pod]],TEXT(INT(GameLog[[#This Row],[Round]]),"yyyymmdd"),GameLog[[#This Row],[Date]])</f>
        <v>4|19000101|46300</v>
      </c>
      <c r="H2250" s="6">
        <f>COUNTIF(GameLog[Pod ID],GameLog[[#This Row],[Pod ID]])</f>
        <v>4</v>
      </c>
      <c r="I2250" s="6">
        <f>YEAR(GameLog[[#This Row],[Date]])</f>
        <v>2026</v>
      </c>
      <c r="J2250" s="6">
        <f>MONTH(GameLog[[#This Row],[Date]])</f>
        <v>10</v>
      </c>
      <c r="K2250" s="6" t="str">
        <f>IF(GameLog[[#This Row],[Date]]=MAX(GameLog[Date]),"Current","Previous")</f>
        <v>Previous</v>
      </c>
      <c r="L2250" s="6"/>
      <c r="M225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0" s="6" t="str">
        <f ca="1">IF(GameLog[[#This Row],[Check]]="","",COUNTIF(GameLog[[#Headers],[Check]]:GameLog[[#This Row],[Check]],"?*")-1)</f>
        <v/>
      </c>
      <c r="O2250" s="6" t="str">
        <f>IFERROR(INDEX(Players[New name],MATCH(GameLog[[#This Row],[Player]],Players[Name],0)),GameLog[[#This Row],[Player]])</f>
        <v>Gavin J</v>
      </c>
    </row>
    <row r="2251" spans="1:15" x14ac:dyDescent="0.45">
      <c r="A2251" s="6" t="s">
        <v>109</v>
      </c>
      <c r="B2251" s="6" t="s">
        <v>53</v>
      </c>
      <c r="C2251" s="6">
        <v>2</v>
      </c>
      <c r="D2251" s="6">
        <v>4</v>
      </c>
      <c r="E2251" s="6">
        <v>1</v>
      </c>
      <c r="F2251" s="10">
        <v>46300</v>
      </c>
      <c r="G2251" s="6" t="str">
        <f>_xlfn.TEXTJOIN("|",TRUE,GameLog[[#This Row],[Pod]],TEXT(INT(GameLog[[#This Row],[Round]]),"yyyymmdd"),GameLog[[#This Row],[Date]])</f>
        <v>4|19000101|46300</v>
      </c>
      <c r="H2251" s="6">
        <f>COUNTIF(GameLog[Pod ID],GameLog[[#This Row],[Pod ID]])</f>
        <v>4</v>
      </c>
      <c r="I2251" s="6">
        <f>YEAR(GameLog[[#This Row],[Date]])</f>
        <v>2026</v>
      </c>
      <c r="J2251" s="6">
        <f>MONTH(GameLog[[#This Row],[Date]])</f>
        <v>10</v>
      </c>
      <c r="K2251" s="6" t="str">
        <f>IF(GameLog[[#This Row],[Date]]=MAX(GameLog[Date]),"Current","Previous")</f>
        <v>Previous</v>
      </c>
      <c r="L2251" s="6"/>
      <c r="M225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1" s="6" t="str">
        <f ca="1">IF(GameLog[[#This Row],[Check]]="","",COUNTIF(GameLog[[#Headers],[Check]]:GameLog[[#This Row],[Check]],"?*")-1)</f>
        <v/>
      </c>
      <c r="O2251" s="6" t="str">
        <f>IFERROR(INDEX(Players[New name],MATCH(GameLog[[#This Row],[Player]],Players[Name],0)),GameLog[[#This Row],[Player]])</f>
        <v>Taylor C</v>
      </c>
    </row>
    <row r="2252" spans="1:15" x14ac:dyDescent="0.45">
      <c r="A2252" s="6" t="s">
        <v>75</v>
      </c>
      <c r="B2252" s="6" t="s">
        <v>53</v>
      </c>
      <c r="C2252" s="6">
        <v>3</v>
      </c>
      <c r="D2252" s="6">
        <v>4</v>
      </c>
      <c r="E2252" s="6">
        <v>1</v>
      </c>
      <c r="F2252" s="10">
        <v>46300</v>
      </c>
      <c r="G2252" s="6" t="str">
        <f>_xlfn.TEXTJOIN("|",TRUE,GameLog[[#This Row],[Pod]],TEXT(INT(GameLog[[#This Row],[Round]]),"yyyymmdd"),GameLog[[#This Row],[Date]])</f>
        <v>4|19000101|46300</v>
      </c>
      <c r="H2252" s="6">
        <f>COUNTIF(GameLog[Pod ID],GameLog[[#This Row],[Pod ID]])</f>
        <v>4</v>
      </c>
      <c r="I2252" s="6">
        <f>YEAR(GameLog[[#This Row],[Date]])</f>
        <v>2026</v>
      </c>
      <c r="J2252" s="6">
        <f>MONTH(GameLog[[#This Row],[Date]])</f>
        <v>10</v>
      </c>
      <c r="K2252" s="6" t="str">
        <f>IF(GameLog[[#This Row],[Date]]=MAX(GameLog[Date]),"Current","Previous")</f>
        <v>Previous</v>
      </c>
      <c r="L2252" s="6"/>
      <c r="M225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2" s="6" t="str">
        <f ca="1">IF(GameLog[[#This Row],[Check]]="","",COUNTIF(GameLog[[#Headers],[Check]]:GameLog[[#This Row],[Check]],"?*")-1)</f>
        <v/>
      </c>
      <c r="O2252" s="6" t="str">
        <f>IFERROR(INDEX(Players[New name],MATCH(GameLog[[#This Row],[Player]],Players[Name],0)),GameLog[[#This Row],[Player]])</f>
        <v>Eli T</v>
      </c>
    </row>
    <row r="2253" spans="1:15" x14ac:dyDescent="0.45">
      <c r="A2253" s="6" t="s">
        <v>63</v>
      </c>
      <c r="B2253" s="6" t="s">
        <v>53</v>
      </c>
      <c r="C2253" s="6">
        <v>4</v>
      </c>
      <c r="D2253" s="6">
        <v>4</v>
      </c>
      <c r="E2253" s="6">
        <v>1</v>
      </c>
      <c r="F2253" s="10">
        <v>46300</v>
      </c>
      <c r="G2253" s="6" t="str">
        <f>_xlfn.TEXTJOIN("|",TRUE,GameLog[[#This Row],[Pod]],TEXT(INT(GameLog[[#This Row],[Round]]),"yyyymmdd"),GameLog[[#This Row],[Date]])</f>
        <v>4|19000101|46300</v>
      </c>
      <c r="H2253" s="6">
        <f>COUNTIF(GameLog[Pod ID],GameLog[[#This Row],[Pod ID]])</f>
        <v>4</v>
      </c>
      <c r="I2253" s="6">
        <f>YEAR(GameLog[[#This Row],[Date]])</f>
        <v>2026</v>
      </c>
      <c r="J2253" s="6">
        <f>MONTH(GameLog[[#This Row],[Date]])</f>
        <v>10</v>
      </c>
      <c r="K2253" s="6" t="str">
        <f>IF(GameLog[[#This Row],[Date]]=MAX(GameLog[Date]),"Current","Previous")</f>
        <v>Previous</v>
      </c>
      <c r="L2253" s="6"/>
      <c r="M225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3" s="6" t="str">
        <f ca="1">IF(GameLog[[#This Row],[Check]]="","",COUNTIF(GameLog[[#Headers],[Check]]:GameLog[[#This Row],[Check]],"?*")-1)</f>
        <v/>
      </c>
      <c r="O2253" s="6" t="str">
        <f>IFERROR(INDEX(Players[New name],MATCH(GameLog[[#This Row],[Player]],Players[Name],0)),GameLog[[#This Row],[Player]])</f>
        <v>Jake D</v>
      </c>
    </row>
    <row r="2254" spans="1:15" x14ac:dyDescent="0.45">
      <c r="A2254" s="6" t="s">
        <v>68</v>
      </c>
      <c r="B2254" s="6" t="s">
        <v>90</v>
      </c>
      <c r="C2254" s="6">
        <v>1</v>
      </c>
      <c r="D2254" s="6">
        <v>5</v>
      </c>
      <c r="E2254" s="6">
        <v>1</v>
      </c>
      <c r="F2254" s="10">
        <v>46300</v>
      </c>
      <c r="G2254" s="6" t="str">
        <f>_xlfn.TEXTJOIN("|",TRUE,GameLog[[#This Row],[Pod]],TEXT(INT(GameLog[[#This Row],[Round]]),"yyyymmdd"),GameLog[[#This Row],[Date]])</f>
        <v>5|19000101|46300</v>
      </c>
      <c r="H2254" s="6">
        <f>COUNTIF(GameLog[Pod ID],GameLog[[#This Row],[Pod ID]])</f>
        <v>4</v>
      </c>
      <c r="I2254" s="6">
        <f>YEAR(GameLog[[#This Row],[Date]])</f>
        <v>2026</v>
      </c>
      <c r="J2254" s="6">
        <f>MONTH(GameLog[[#This Row],[Date]])</f>
        <v>10</v>
      </c>
      <c r="K2254" s="6" t="str">
        <f>IF(GameLog[[#This Row],[Date]]=MAX(GameLog[Date]),"Current","Previous")</f>
        <v>Previous</v>
      </c>
      <c r="L2254" s="6"/>
      <c r="M225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4" s="6" t="str">
        <f ca="1">IF(GameLog[[#This Row],[Check]]="","",COUNTIF(GameLog[[#Headers],[Check]]:GameLog[[#This Row],[Check]],"?*")-1)</f>
        <v/>
      </c>
      <c r="O2254" s="6" t="str">
        <f>IFERROR(INDEX(Players[New name],MATCH(GameLog[[#This Row],[Player]],Players[Name],0)),GameLog[[#This Row],[Player]])</f>
        <v>Edwin M</v>
      </c>
    </row>
    <row r="2255" spans="1:15" x14ac:dyDescent="0.45">
      <c r="A2255" s="6" t="s">
        <v>58</v>
      </c>
      <c r="B2255" s="6" t="s">
        <v>90</v>
      </c>
      <c r="C2255" s="6">
        <v>2</v>
      </c>
      <c r="D2255" s="6">
        <v>5</v>
      </c>
      <c r="E2255" s="6">
        <v>1</v>
      </c>
      <c r="F2255" s="10">
        <v>46300</v>
      </c>
      <c r="G2255" s="6" t="str">
        <f>_xlfn.TEXTJOIN("|",TRUE,GameLog[[#This Row],[Pod]],TEXT(INT(GameLog[[#This Row],[Round]]),"yyyymmdd"),GameLog[[#This Row],[Date]])</f>
        <v>5|19000101|46300</v>
      </c>
      <c r="H2255" s="6">
        <f>COUNTIF(GameLog[Pod ID],GameLog[[#This Row],[Pod ID]])</f>
        <v>4</v>
      </c>
      <c r="I2255" s="6">
        <f>YEAR(GameLog[[#This Row],[Date]])</f>
        <v>2026</v>
      </c>
      <c r="J2255" s="6">
        <f>MONTH(GameLog[[#This Row],[Date]])</f>
        <v>10</v>
      </c>
      <c r="K2255" s="6" t="str">
        <f>IF(GameLog[[#This Row],[Date]]=MAX(GameLog[Date]),"Current","Previous")</f>
        <v>Previous</v>
      </c>
      <c r="L2255" s="6"/>
      <c r="M225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5" s="6" t="str">
        <f ca="1">IF(GameLog[[#This Row],[Check]]="","",COUNTIF(GameLog[[#Headers],[Check]]:GameLog[[#This Row],[Check]],"?*")-1)</f>
        <v/>
      </c>
      <c r="O2255" s="6" t="str">
        <f>IFERROR(INDEX(Players[New name],MATCH(GameLog[[#This Row],[Player]],Players[Name],0)),GameLog[[#This Row],[Player]])</f>
        <v>Dakota P</v>
      </c>
    </row>
    <row r="2256" spans="1:15" x14ac:dyDescent="0.45">
      <c r="A2256" s="6" t="s">
        <v>56</v>
      </c>
      <c r="B2256" s="6" t="s">
        <v>90</v>
      </c>
      <c r="C2256" s="6">
        <v>3</v>
      </c>
      <c r="D2256" s="6">
        <v>5</v>
      </c>
      <c r="E2256" s="6">
        <v>1</v>
      </c>
      <c r="F2256" s="10">
        <v>46300</v>
      </c>
      <c r="G2256" s="6" t="str">
        <f>_xlfn.TEXTJOIN("|",TRUE,GameLog[[#This Row],[Pod]],TEXT(INT(GameLog[[#This Row],[Round]]),"yyyymmdd"),GameLog[[#This Row],[Date]])</f>
        <v>5|19000101|46300</v>
      </c>
      <c r="H2256" s="6">
        <f>COUNTIF(GameLog[Pod ID],GameLog[[#This Row],[Pod ID]])</f>
        <v>4</v>
      </c>
      <c r="I2256" s="6">
        <f>YEAR(GameLog[[#This Row],[Date]])</f>
        <v>2026</v>
      </c>
      <c r="J2256" s="6">
        <f>MONTH(GameLog[[#This Row],[Date]])</f>
        <v>10</v>
      </c>
      <c r="K2256" s="6" t="str">
        <f>IF(GameLog[[#This Row],[Date]]=MAX(GameLog[Date]),"Current","Previous")</f>
        <v>Previous</v>
      </c>
      <c r="L2256" s="6"/>
      <c r="M225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6" s="6" t="str">
        <f ca="1">IF(GameLog[[#This Row],[Check]]="","",COUNTIF(GameLog[[#Headers],[Check]]:GameLog[[#This Row],[Check]],"?*")-1)</f>
        <v/>
      </c>
      <c r="O2256" s="6" t="str">
        <f>IFERROR(INDEX(Players[New name],MATCH(GameLog[[#This Row],[Player]],Players[Name],0)),GameLog[[#This Row],[Player]])</f>
        <v>Mark D</v>
      </c>
    </row>
    <row r="2257" spans="1:15" x14ac:dyDescent="0.45">
      <c r="A2257" s="6" t="s">
        <v>71</v>
      </c>
      <c r="B2257" s="6" t="s">
        <v>90</v>
      </c>
      <c r="C2257" s="6">
        <v>4</v>
      </c>
      <c r="D2257" s="6">
        <v>5</v>
      </c>
      <c r="E2257" s="6">
        <v>1</v>
      </c>
      <c r="F2257" s="10">
        <v>46300</v>
      </c>
      <c r="G2257" s="6" t="str">
        <f>_xlfn.TEXTJOIN("|",TRUE,GameLog[[#This Row],[Pod]],TEXT(INT(GameLog[[#This Row],[Round]]),"yyyymmdd"),GameLog[[#This Row],[Date]])</f>
        <v>5|19000101|46300</v>
      </c>
      <c r="H2257" s="6">
        <f>COUNTIF(GameLog[Pod ID],GameLog[[#This Row],[Pod ID]])</f>
        <v>4</v>
      </c>
      <c r="I2257" s="6">
        <f>YEAR(GameLog[[#This Row],[Date]])</f>
        <v>2026</v>
      </c>
      <c r="J2257" s="6">
        <f>MONTH(GameLog[[#This Row],[Date]])</f>
        <v>10</v>
      </c>
      <c r="K2257" s="6" t="str">
        <f>IF(GameLog[[#This Row],[Date]]=MAX(GameLog[Date]),"Current","Previous")</f>
        <v>Previous</v>
      </c>
      <c r="L2257" s="6"/>
      <c r="M225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7" s="6" t="str">
        <f ca="1">IF(GameLog[[#This Row],[Check]]="","",COUNTIF(GameLog[[#Headers],[Check]]:GameLog[[#This Row],[Check]],"?*")-1)</f>
        <v/>
      </c>
      <c r="O2257" s="6" t="str">
        <f>IFERROR(INDEX(Players[New name],MATCH(GameLog[[#This Row],[Player]],Players[Name],0)),GameLog[[#This Row],[Player]])</f>
        <v>Rodney Y</v>
      </c>
    </row>
    <row r="2258" spans="1:15" x14ac:dyDescent="0.45">
      <c r="A2258" s="6" t="s">
        <v>104</v>
      </c>
      <c r="B2258" s="6" t="s">
        <v>50</v>
      </c>
      <c r="C2258" s="6">
        <v>1</v>
      </c>
      <c r="D2258" s="6">
        <v>6</v>
      </c>
      <c r="E2258" s="6">
        <v>1</v>
      </c>
      <c r="F2258" s="10">
        <v>46300</v>
      </c>
      <c r="G2258" s="6" t="str">
        <f>_xlfn.TEXTJOIN("|",TRUE,GameLog[[#This Row],[Pod]],TEXT(INT(GameLog[[#This Row],[Round]]),"yyyymmdd"),GameLog[[#This Row],[Date]])</f>
        <v>6|19000101|46300</v>
      </c>
      <c r="H2258" s="6">
        <f>COUNTIF(GameLog[Pod ID],GameLog[[#This Row],[Pod ID]])</f>
        <v>4</v>
      </c>
      <c r="I2258" s="6">
        <f>YEAR(GameLog[[#This Row],[Date]])</f>
        <v>2026</v>
      </c>
      <c r="J2258" s="6">
        <f>MONTH(GameLog[[#This Row],[Date]])</f>
        <v>10</v>
      </c>
      <c r="K2258" s="6" t="str">
        <f>IF(GameLog[[#This Row],[Date]]=MAX(GameLog[Date]),"Current","Previous")</f>
        <v>Previous</v>
      </c>
      <c r="L2258" s="6"/>
      <c r="M225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8" s="6" t="str">
        <f ca="1">IF(GameLog[[#This Row],[Check]]="","",COUNTIF(GameLog[[#Headers],[Check]]:GameLog[[#This Row],[Check]],"?*")-1)</f>
        <v/>
      </c>
      <c r="O2258" s="6" t="str">
        <f>IFERROR(INDEX(Players[New name],MATCH(GameLog[[#This Row],[Player]],Players[Name],0)),GameLog[[#This Row],[Player]])</f>
        <v>Eric E</v>
      </c>
    </row>
    <row r="2259" spans="1:15" x14ac:dyDescent="0.45">
      <c r="A2259" s="6" t="s">
        <v>112</v>
      </c>
      <c r="B2259" s="6" t="s">
        <v>53</v>
      </c>
      <c r="C2259" s="6">
        <v>2</v>
      </c>
      <c r="D2259" s="6">
        <v>6</v>
      </c>
      <c r="E2259" s="6">
        <v>1</v>
      </c>
      <c r="F2259" s="10">
        <v>46300</v>
      </c>
      <c r="G2259" s="6" t="str">
        <f>_xlfn.TEXTJOIN("|",TRUE,GameLog[[#This Row],[Pod]],TEXT(INT(GameLog[[#This Row],[Round]]),"yyyymmdd"),GameLog[[#This Row],[Date]])</f>
        <v>6|19000101|46300</v>
      </c>
      <c r="H2259" s="6">
        <f>COUNTIF(GameLog[Pod ID],GameLog[[#This Row],[Pod ID]])</f>
        <v>4</v>
      </c>
      <c r="I2259" s="6">
        <f>YEAR(GameLog[[#This Row],[Date]])</f>
        <v>2026</v>
      </c>
      <c r="J2259" s="6">
        <f>MONTH(GameLog[[#This Row],[Date]])</f>
        <v>10</v>
      </c>
      <c r="K2259" s="6" t="str">
        <f>IF(GameLog[[#This Row],[Date]]=MAX(GameLog[Date]),"Current","Previous")</f>
        <v>Previous</v>
      </c>
      <c r="L2259" s="6"/>
      <c r="M225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59" s="6" t="str">
        <f ca="1">IF(GameLog[[#This Row],[Check]]="","",COUNTIF(GameLog[[#Headers],[Check]]:GameLog[[#This Row],[Check]],"?*")-1)</f>
        <v/>
      </c>
      <c r="O2259" s="6" t="str">
        <f>IFERROR(INDEX(Players[New name],MATCH(GameLog[[#This Row],[Player]],Players[Name],0)),GameLog[[#This Row],[Player]])</f>
        <v>Savi</v>
      </c>
    </row>
    <row r="2260" spans="1:15" x14ac:dyDescent="0.45">
      <c r="A2260" s="6" t="s">
        <v>49</v>
      </c>
      <c r="B2260" s="6" t="s">
        <v>53</v>
      </c>
      <c r="C2260" s="6">
        <v>3</v>
      </c>
      <c r="D2260" s="6">
        <v>6</v>
      </c>
      <c r="E2260" s="6">
        <v>1</v>
      </c>
      <c r="F2260" s="10">
        <v>46300</v>
      </c>
      <c r="G2260" s="6" t="str">
        <f>_xlfn.TEXTJOIN("|",TRUE,GameLog[[#This Row],[Pod]],TEXT(INT(GameLog[[#This Row],[Round]]),"yyyymmdd"),GameLog[[#This Row],[Date]])</f>
        <v>6|19000101|46300</v>
      </c>
      <c r="H2260" s="6">
        <f>COUNTIF(GameLog[Pod ID],GameLog[[#This Row],[Pod ID]])</f>
        <v>4</v>
      </c>
      <c r="I2260" s="6">
        <f>YEAR(GameLog[[#This Row],[Date]])</f>
        <v>2026</v>
      </c>
      <c r="J2260" s="6">
        <f>MONTH(GameLog[[#This Row],[Date]])</f>
        <v>10</v>
      </c>
      <c r="K2260" s="6" t="str">
        <f>IF(GameLog[[#This Row],[Date]]=MAX(GameLog[Date]),"Current","Previous")</f>
        <v>Previous</v>
      </c>
      <c r="L2260" s="6"/>
      <c r="M226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0" s="6" t="str">
        <f ca="1">IF(GameLog[[#This Row],[Check]]="","",COUNTIF(GameLog[[#Headers],[Check]]:GameLog[[#This Row],[Check]],"?*")-1)</f>
        <v/>
      </c>
      <c r="O2260" s="6" t="str">
        <f>IFERROR(INDEX(Players[New name],MATCH(GameLog[[#This Row],[Player]],Players[Name],0)),GameLog[[#This Row],[Player]])</f>
        <v>Brett R</v>
      </c>
    </row>
    <row r="2261" spans="1:15" x14ac:dyDescent="0.45">
      <c r="A2261" s="6" t="s">
        <v>121</v>
      </c>
      <c r="B2261" s="6" t="s">
        <v>53</v>
      </c>
      <c r="C2261" s="6">
        <v>4</v>
      </c>
      <c r="D2261" s="6">
        <v>6</v>
      </c>
      <c r="E2261" s="6">
        <v>1</v>
      </c>
      <c r="F2261" s="10">
        <v>46300</v>
      </c>
      <c r="G2261" s="6" t="str">
        <f>_xlfn.TEXTJOIN("|",TRUE,GameLog[[#This Row],[Pod]],TEXT(INT(GameLog[[#This Row],[Round]]),"yyyymmdd"),GameLog[[#This Row],[Date]])</f>
        <v>6|19000101|46300</v>
      </c>
      <c r="H2261" s="6">
        <f>COUNTIF(GameLog[Pod ID],GameLog[[#This Row],[Pod ID]])</f>
        <v>4</v>
      </c>
      <c r="I2261" s="6">
        <f>YEAR(GameLog[[#This Row],[Date]])</f>
        <v>2026</v>
      </c>
      <c r="J2261" s="6">
        <f>MONTH(GameLog[[#This Row],[Date]])</f>
        <v>10</v>
      </c>
      <c r="K2261" s="6" t="str">
        <f>IF(GameLog[[#This Row],[Date]]=MAX(GameLog[Date]),"Current","Previous")</f>
        <v>Previous</v>
      </c>
      <c r="L2261" s="6"/>
      <c r="M226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1" s="6" t="str">
        <f ca="1">IF(GameLog[[#This Row],[Check]]="","",COUNTIF(GameLog[[#Headers],[Check]]:GameLog[[#This Row],[Check]],"?*")-1)</f>
        <v/>
      </c>
      <c r="O2261" s="6" t="str">
        <f>IFERROR(INDEX(Players[New name],MATCH(GameLog[[#This Row],[Player]],Players[Name],0)),GameLog[[#This Row],[Player]])</f>
        <v>Randy P</v>
      </c>
    </row>
    <row r="2262" spans="1:15" x14ac:dyDescent="0.45">
      <c r="A2262" s="6" t="s">
        <v>76</v>
      </c>
      <c r="B2262" s="6" t="s">
        <v>50</v>
      </c>
      <c r="C2262" s="6">
        <v>1</v>
      </c>
      <c r="D2262" s="6">
        <v>1</v>
      </c>
      <c r="E2262" s="6">
        <v>2</v>
      </c>
      <c r="F2262" s="10">
        <v>46300</v>
      </c>
      <c r="G2262" s="6" t="str">
        <f>_xlfn.TEXTJOIN("|",TRUE,GameLog[[#This Row],[Pod]],TEXT(INT(GameLog[[#This Row],[Round]]),"yyyymmdd"),GameLog[[#This Row],[Date]])</f>
        <v>1|19000102|46300</v>
      </c>
      <c r="H2262" s="6">
        <f>COUNTIF(GameLog[Pod ID],GameLog[[#This Row],[Pod ID]])</f>
        <v>4</v>
      </c>
      <c r="I2262" s="6">
        <f>YEAR(GameLog[[#This Row],[Date]])</f>
        <v>2026</v>
      </c>
      <c r="J2262" s="6">
        <f>MONTH(GameLog[[#This Row],[Date]])</f>
        <v>10</v>
      </c>
      <c r="K2262" s="6" t="str">
        <f>IF(GameLog[[#This Row],[Date]]=MAX(GameLog[Date]),"Current","Previous")</f>
        <v>Previous</v>
      </c>
      <c r="L2262" s="6"/>
      <c r="M226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2" s="6" t="str">
        <f ca="1">IF(GameLog[[#This Row],[Check]]="","",COUNTIF(GameLog[[#Headers],[Check]]:GameLog[[#This Row],[Check]],"?*")-1)</f>
        <v/>
      </c>
      <c r="O2262" s="6" t="str">
        <f>IFERROR(INDEX(Players[New name],MATCH(GameLog[[#This Row],[Player]],Players[Name],0)),GameLog[[#This Row],[Player]])</f>
        <v>Jon M</v>
      </c>
    </row>
    <row r="2263" spans="1:15" x14ac:dyDescent="0.45">
      <c r="A2263" s="6" t="s">
        <v>104</v>
      </c>
      <c r="B2263" s="6" t="s">
        <v>53</v>
      </c>
      <c r="C2263" s="6">
        <v>2</v>
      </c>
      <c r="D2263" s="6">
        <v>1</v>
      </c>
      <c r="E2263" s="6">
        <v>2</v>
      </c>
      <c r="F2263" s="10">
        <v>46300</v>
      </c>
      <c r="G2263" s="6" t="str">
        <f>_xlfn.TEXTJOIN("|",TRUE,GameLog[[#This Row],[Pod]],TEXT(INT(GameLog[[#This Row],[Round]]),"yyyymmdd"),GameLog[[#This Row],[Date]])</f>
        <v>1|19000102|46300</v>
      </c>
      <c r="H2263" s="6">
        <f>COUNTIF(GameLog[Pod ID],GameLog[[#This Row],[Pod ID]])</f>
        <v>4</v>
      </c>
      <c r="I2263" s="6">
        <f>YEAR(GameLog[[#This Row],[Date]])</f>
        <v>2026</v>
      </c>
      <c r="J2263" s="6">
        <f>MONTH(GameLog[[#This Row],[Date]])</f>
        <v>10</v>
      </c>
      <c r="K2263" s="6" t="str">
        <f>IF(GameLog[[#This Row],[Date]]=MAX(GameLog[Date]),"Current","Previous")</f>
        <v>Previous</v>
      </c>
      <c r="L2263" s="6"/>
      <c r="M226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3" s="6" t="str">
        <f ca="1">IF(GameLog[[#This Row],[Check]]="","",COUNTIF(GameLog[[#Headers],[Check]]:GameLog[[#This Row],[Check]],"?*")-1)</f>
        <v/>
      </c>
      <c r="O2263" s="6" t="str">
        <f>IFERROR(INDEX(Players[New name],MATCH(GameLog[[#This Row],[Player]],Players[Name],0)),GameLog[[#This Row],[Player]])</f>
        <v>Eric E</v>
      </c>
    </row>
    <row r="2264" spans="1:15" x14ac:dyDescent="0.45">
      <c r="A2264" s="6" t="s">
        <v>61</v>
      </c>
      <c r="B2264" s="6" t="s">
        <v>53</v>
      </c>
      <c r="C2264" s="6">
        <v>3</v>
      </c>
      <c r="D2264" s="6">
        <v>1</v>
      </c>
      <c r="E2264" s="6">
        <v>2</v>
      </c>
      <c r="F2264" s="10">
        <v>46300</v>
      </c>
      <c r="G2264" s="6" t="str">
        <f>_xlfn.TEXTJOIN("|",TRUE,GameLog[[#This Row],[Pod]],TEXT(INT(GameLog[[#This Row],[Round]]),"yyyymmdd"),GameLog[[#This Row],[Date]])</f>
        <v>1|19000102|46300</v>
      </c>
      <c r="H2264" s="6">
        <f>COUNTIF(GameLog[Pod ID],GameLog[[#This Row],[Pod ID]])</f>
        <v>4</v>
      </c>
      <c r="I2264" s="6">
        <f>YEAR(GameLog[[#This Row],[Date]])</f>
        <v>2026</v>
      </c>
      <c r="J2264" s="6">
        <f>MONTH(GameLog[[#This Row],[Date]])</f>
        <v>10</v>
      </c>
      <c r="K2264" s="6" t="str">
        <f>IF(GameLog[[#This Row],[Date]]=MAX(GameLog[Date]),"Current","Previous")</f>
        <v>Previous</v>
      </c>
      <c r="L2264" s="6"/>
      <c r="M226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4" s="6" t="str">
        <f ca="1">IF(GameLog[[#This Row],[Check]]="","",COUNTIF(GameLog[[#Headers],[Check]]:GameLog[[#This Row],[Check]],"?*")-1)</f>
        <v/>
      </c>
      <c r="O2264" s="6" t="str">
        <f>IFERROR(INDEX(Players[New name],MATCH(GameLog[[#This Row],[Player]],Players[Name],0)),GameLog[[#This Row],[Player]])</f>
        <v>Trevor</v>
      </c>
    </row>
    <row r="2265" spans="1:15" x14ac:dyDescent="0.45">
      <c r="A2265" s="6" t="s">
        <v>58</v>
      </c>
      <c r="B2265" s="6" t="s">
        <v>53</v>
      </c>
      <c r="C2265" s="6">
        <v>4</v>
      </c>
      <c r="D2265" s="6">
        <v>1</v>
      </c>
      <c r="E2265" s="6">
        <v>2</v>
      </c>
      <c r="F2265" s="10">
        <v>46300</v>
      </c>
      <c r="G2265" s="6" t="str">
        <f>_xlfn.TEXTJOIN("|",TRUE,GameLog[[#This Row],[Pod]],TEXT(INT(GameLog[[#This Row],[Round]]),"yyyymmdd"),GameLog[[#This Row],[Date]])</f>
        <v>1|19000102|46300</v>
      </c>
      <c r="H2265" s="6">
        <f>COUNTIF(GameLog[Pod ID],GameLog[[#This Row],[Pod ID]])</f>
        <v>4</v>
      </c>
      <c r="I2265" s="6">
        <f>YEAR(GameLog[[#This Row],[Date]])</f>
        <v>2026</v>
      </c>
      <c r="J2265" s="6">
        <f>MONTH(GameLog[[#This Row],[Date]])</f>
        <v>10</v>
      </c>
      <c r="K2265" s="6" t="str">
        <f>IF(GameLog[[#This Row],[Date]]=MAX(GameLog[Date]),"Current","Previous")</f>
        <v>Previous</v>
      </c>
      <c r="L2265" s="6"/>
      <c r="M226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5" s="6" t="str">
        <f ca="1">IF(GameLog[[#This Row],[Check]]="","",COUNTIF(GameLog[[#Headers],[Check]]:GameLog[[#This Row],[Check]],"?*")-1)</f>
        <v/>
      </c>
      <c r="O2265" s="6" t="str">
        <f>IFERROR(INDEX(Players[New name],MATCH(GameLog[[#This Row],[Player]],Players[Name],0)),GameLog[[#This Row],[Player]])</f>
        <v>Dakota P</v>
      </c>
    </row>
    <row r="2266" spans="1:15" x14ac:dyDescent="0.45">
      <c r="A2266" s="6" t="s">
        <v>68</v>
      </c>
      <c r="B2266" s="6" t="s">
        <v>50</v>
      </c>
      <c r="C2266" s="6">
        <v>1</v>
      </c>
      <c r="D2266" s="6">
        <v>2</v>
      </c>
      <c r="E2266" s="6">
        <v>2</v>
      </c>
      <c r="F2266" s="10">
        <v>46300</v>
      </c>
      <c r="G2266" s="6" t="str">
        <f>_xlfn.TEXTJOIN("|",TRUE,GameLog[[#This Row],[Pod]],TEXT(INT(GameLog[[#This Row],[Round]]),"yyyymmdd"),GameLog[[#This Row],[Date]])</f>
        <v>2|19000102|46300</v>
      </c>
      <c r="H2266" s="6">
        <f>COUNTIF(GameLog[Pod ID],GameLog[[#This Row],[Pod ID]])</f>
        <v>4</v>
      </c>
      <c r="I2266" s="6">
        <f>YEAR(GameLog[[#This Row],[Date]])</f>
        <v>2026</v>
      </c>
      <c r="J2266" s="6">
        <f>MONTH(GameLog[[#This Row],[Date]])</f>
        <v>10</v>
      </c>
      <c r="K2266" s="6" t="str">
        <f>IF(GameLog[[#This Row],[Date]]=MAX(GameLog[Date]),"Current","Previous")</f>
        <v>Previous</v>
      </c>
      <c r="L2266" s="6"/>
      <c r="M226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6" s="6" t="str">
        <f ca="1">IF(GameLog[[#This Row],[Check]]="","",COUNTIF(GameLog[[#Headers],[Check]]:GameLog[[#This Row],[Check]],"?*")-1)</f>
        <v/>
      </c>
      <c r="O2266" s="6" t="str">
        <f>IFERROR(INDEX(Players[New name],MATCH(GameLog[[#This Row],[Player]],Players[Name],0)),GameLog[[#This Row],[Player]])</f>
        <v>Edwin M</v>
      </c>
    </row>
    <row r="2267" spans="1:15" x14ac:dyDescent="0.45">
      <c r="A2267" s="6" t="s">
        <v>113</v>
      </c>
      <c r="B2267" s="6" t="s">
        <v>53</v>
      </c>
      <c r="C2267" s="6">
        <v>2</v>
      </c>
      <c r="D2267" s="6">
        <v>2</v>
      </c>
      <c r="E2267" s="6">
        <v>2</v>
      </c>
      <c r="F2267" s="10">
        <v>46300</v>
      </c>
      <c r="G2267" s="6" t="str">
        <f>_xlfn.TEXTJOIN("|",TRUE,GameLog[[#This Row],[Pod]],TEXT(INT(GameLog[[#This Row],[Round]]),"yyyymmdd"),GameLog[[#This Row],[Date]])</f>
        <v>2|19000102|46300</v>
      </c>
      <c r="H2267" s="6">
        <f>COUNTIF(GameLog[Pod ID],GameLog[[#This Row],[Pod ID]])</f>
        <v>4</v>
      </c>
      <c r="I2267" s="6">
        <f>YEAR(GameLog[[#This Row],[Date]])</f>
        <v>2026</v>
      </c>
      <c r="J2267" s="6">
        <f>MONTH(GameLog[[#This Row],[Date]])</f>
        <v>10</v>
      </c>
      <c r="K2267" s="6" t="str">
        <f>IF(GameLog[[#This Row],[Date]]=MAX(GameLog[Date]),"Current","Previous")</f>
        <v>Previous</v>
      </c>
      <c r="L2267" s="6"/>
      <c r="M226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7" s="6" t="str">
        <f ca="1">IF(GameLog[[#This Row],[Check]]="","",COUNTIF(GameLog[[#Headers],[Check]]:GameLog[[#This Row],[Check]],"?*")-1)</f>
        <v/>
      </c>
      <c r="O2267" s="6" t="str">
        <f>IFERROR(INDEX(Players[New name],MATCH(GameLog[[#This Row],[Player]],Players[Name],0)),GameLog[[#This Row],[Player]])</f>
        <v>Gavin J</v>
      </c>
    </row>
    <row r="2268" spans="1:15" x14ac:dyDescent="0.45">
      <c r="A2268" s="6" t="s">
        <v>64</v>
      </c>
      <c r="B2268" s="6" t="s">
        <v>53</v>
      </c>
      <c r="C2268" s="6">
        <v>3</v>
      </c>
      <c r="D2268" s="6">
        <v>2</v>
      </c>
      <c r="E2268" s="6">
        <v>2</v>
      </c>
      <c r="F2268" s="10">
        <v>46300</v>
      </c>
      <c r="G2268" s="6" t="str">
        <f>_xlfn.TEXTJOIN("|",TRUE,GameLog[[#This Row],[Pod]],TEXT(INT(GameLog[[#This Row],[Round]]),"yyyymmdd"),GameLog[[#This Row],[Date]])</f>
        <v>2|19000102|46300</v>
      </c>
      <c r="H2268" s="6">
        <f>COUNTIF(GameLog[Pod ID],GameLog[[#This Row],[Pod ID]])</f>
        <v>4</v>
      </c>
      <c r="I2268" s="6">
        <f>YEAR(GameLog[[#This Row],[Date]])</f>
        <v>2026</v>
      </c>
      <c r="J2268" s="6">
        <f>MONTH(GameLog[[#This Row],[Date]])</f>
        <v>10</v>
      </c>
      <c r="K2268" s="6" t="str">
        <f>IF(GameLog[[#This Row],[Date]]=MAX(GameLog[Date]),"Current","Previous")</f>
        <v>Previous</v>
      </c>
      <c r="L2268" s="6"/>
      <c r="M226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8" s="6" t="str">
        <f ca="1">IF(GameLog[[#This Row],[Check]]="","",COUNTIF(GameLog[[#Headers],[Check]]:GameLog[[#This Row],[Check]],"?*")-1)</f>
        <v/>
      </c>
      <c r="O2268" s="6" t="str">
        <f>IFERROR(INDEX(Players[New name],MATCH(GameLog[[#This Row],[Player]],Players[Name],0)),GameLog[[#This Row],[Player]])</f>
        <v>Tyler B</v>
      </c>
    </row>
    <row r="2269" spans="1:15" x14ac:dyDescent="0.45">
      <c r="A2269" s="6" t="s">
        <v>55</v>
      </c>
      <c r="B2269" s="6" t="s">
        <v>53</v>
      </c>
      <c r="C2269" s="6">
        <v>4</v>
      </c>
      <c r="D2269" s="6">
        <v>2</v>
      </c>
      <c r="E2269" s="6">
        <v>2</v>
      </c>
      <c r="F2269" s="10">
        <v>46300</v>
      </c>
      <c r="G2269" s="6" t="str">
        <f>_xlfn.TEXTJOIN("|",TRUE,GameLog[[#This Row],[Pod]],TEXT(INT(GameLog[[#This Row],[Round]]),"yyyymmdd"),GameLog[[#This Row],[Date]])</f>
        <v>2|19000102|46300</v>
      </c>
      <c r="H2269" s="6">
        <f>COUNTIF(GameLog[Pod ID],GameLog[[#This Row],[Pod ID]])</f>
        <v>4</v>
      </c>
      <c r="I2269" s="6">
        <f>YEAR(GameLog[[#This Row],[Date]])</f>
        <v>2026</v>
      </c>
      <c r="J2269" s="6">
        <f>MONTH(GameLog[[#This Row],[Date]])</f>
        <v>10</v>
      </c>
      <c r="K2269" s="6" t="str">
        <f>IF(GameLog[[#This Row],[Date]]=MAX(GameLog[Date]),"Current","Previous")</f>
        <v>Previous</v>
      </c>
      <c r="L2269" s="6"/>
      <c r="M226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69" s="6" t="str">
        <f ca="1">IF(GameLog[[#This Row],[Check]]="","",COUNTIF(GameLog[[#Headers],[Check]]:GameLog[[#This Row],[Check]],"?*")-1)</f>
        <v/>
      </c>
      <c r="O2269" s="6" t="str">
        <f>IFERROR(INDEX(Players[New name],MATCH(GameLog[[#This Row],[Player]],Players[Name],0)),GameLog[[#This Row],[Player]])</f>
        <v>Bryce C</v>
      </c>
    </row>
    <row r="2270" spans="1:15" x14ac:dyDescent="0.45">
      <c r="A2270" s="6" t="s">
        <v>71</v>
      </c>
      <c r="B2270" s="6" t="s">
        <v>50</v>
      </c>
      <c r="C2270" s="6">
        <v>1</v>
      </c>
      <c r="D2270" s="6">
        <v>3</v>
      </c>
      <c r="E2270" s="6">
        <v>2</v>
      </c>
      <c r="F2270" s="10">
        <v>46300</v>
      </c>
      <c r="G2270" s="6" t="str">
        <f>_xlfn.TEXTJOIN("|",TRUE,GameLog[[#This Row],[Pod]],TEXT(INT(GameLog[[#This Row],[Round]]),"yyyymmdd"),GameLog[[#This Row],[Date]])</f>
        <v>3|19000102|46300</v>
      </c>
      <c r="H2270" s="6">
        <f>COUNTIF(GameLog[Pod ID],GameLog[[#This Row],[Pod ID]])</f>
        <v>4</v>
      </c>
      <c r="I2270" s="6">
        <f>YEAR(GameLog[[#This Row],[Date]])</f>
        <v>2026</v>
      </c>
      <c r="J2270" s="6">
        <f>MONTH(GameLog[[#This Row],[Date]])</f>
        <v>10</v>
      </c>
      <c r="K2270" s="6" t="str">
        <f>IF(GameLog[[#This Row],[Date]]=MAX(GameLog[Date]),"Current","Previous")</f>
        <v>Previous</v>
      </c>
      <c r="L2270" s="6"/>
      <c r="M227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0" s="6" t="str">
        <f ca="1">IF(GameLog[[#This Row],[Check]]="","",COUNTIF(GameLog[[#Headers],[Check]]:GameLog[[#This Row],[Check]],"?*")-1)</f>
        <v/>
      </c>
      <c r="O2270" s="6" t="str">
        <f>IFERROR(INDEX(Players[New name],MATCH(GameLog[[#This Row],[Player]],Players[Name],0)),GameLog[[#This Row],[Player]])</f>
        <v>Rodney Y</v>
      </c>
    </row>
    <row r="2271" spans="1:15" x14ac:dyDescent="0.45">
      <c r="A2271" s="6" t="s">
        <v>57</v>
      </c>
      <c r="B2271" s="6" t="s">
        <v>53</v>
      </c>
      <c r="C2271" s="6">
        <v>2</v>
      </c>
      <c r="D2271" s="6">
        <v>3</v>
      </c>
      <c r="E2271" s="6">
        <v>2</v>
      </c>
      <c r="F2271" s="10">
        <v>46300</v>
      </c>
      <c r="G2271" s="6" t="str">
        <f>_xlfn.TEXTJOIN("|",TRUE,GameLog[[#This Row],[Pod]],TEXT(INT(GameLog[[#This Row],[Round]]),"yyyymmdd"),GameLog[[#This Row],[Date]])</f>
        <v>3|19000102|46300</v>
      </c>
      <c r="H2271" s="6">
        <f>COUNTIF(GameLog[Pod ID],GameLog[[#This Row],[Pod ID]])</f>
        <v>4</v>
      </c>
      <c r="I2271" s="6">
        <f>YEAR(GameLog[[#This Row],[Date]])</f>
        <v>2026</v>
      </c>
      <c r="J2271" s="6">
        <f>MONTH(GameLog[[#This Row],[Date]])</f>
        <v>10</v>
      </c>
      <c r="K2271" s="6" t="str">
        <f>IF(GameLog[[#This Row],[Date]]=MAX(GameLog[Date]),"Current","Previous")</f>
        <v>Previous</v>
      </c>
      <c r="L2271" s="6"/>
      <c r="M227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1" s="6" t="str">
        <f ca="1">IF(GameLog[[#This Row],[Check]]="","",COUNTIF(GameLog[[#Headers],[Check]]:GameLog[[#This Row],[Check]],"?*")-1)</f>
        <v/>
      </c>
      <c r="O2271" s="6" t="str">
        <f>IFERROR(INDEX(Players[New name],MATCH(GameLog[[#This Row],[Player]],Players[Name],0)),GameLog[[#This Row],[Player]])</f>
        <v>AJ W</v>
      </c>
    </row>
    <row r="2272" spans="1:15" x14ac:dyDescent="0.45">
      <c r="A2272" s="6" t="s">
        <v>102</v>
      </c>
      <c r="B2272" s="6" t="s">
        <v>53</v>
      </c>
      <c r="C2272" s="6">
        <v>3</v>
      </c>
      <c r="D2272" s="6">
        <v>3</v>
      </c>
      <c r="E2272" s="6">
        <v>2</v>
      </c>
      <c r="F2272" s="10">
        <v>46300</v>
      </c>
      <c r="G2272" s="6" t="str">
        <f>_xlfn.TEXTJOIN("|",TRUE,GameLog[[#This Row],[Pod]],TEXT(INT(GameLog[[#This Row],[Round]]),"yyyymmdd"),GameLog[[#This Row],[Date]])</f>
        <v>3|19000102|46300</v>
      </c>
      <c r="H2272" s="6">
        <f>COUNTIF(GameLog[Pod ID],GameLog[[#This Row],[Pod ID]])</f>
        <v>4</v>
      </c>
      <c r="I2272" s="6">
        <f>YEAR(GameLog[[#This Row],[Date]])</f>
        <v>2026</v>
      </c>
      <c r="J2272" s="6">
        <f>MONTH(GameLog[[#This Row],[Date]])</f>
        <v>10</v>
      </c>
      <c r="K2272" s="6" t="str">
        <f>IF(GameLog[[#This Row],[Date]]=MAX(GameLog[Date]),"Current","Previous")</f>
        <v>Previous</v>
      </c>
      <c r="L2272" s="6"/>
      <c r="M227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2" s="6" t="str">
        <f ca="1">IF(GameLog[[#This Row],[Check]]="","",COUNTIF(GameLog[[#Headers],[Check]]:GameLog[[#This Row],[Check]],"?*")-1)</f>
        <v/>
      </c>
      <c r="O2272" s="6" t="str">
        <f>IFERROR(INDEX(Players[New name],MATCH(GameLog[[#This Row],[Player]],Players[Name],0)),GameLog[[#This Row],[Player]])</f>
        <v>Sage</v>
      </c>
    </row>
    <row r="2273" spans="1:15" x14ac:dyDescent="0.45">
      <c r="A2273" s="6" t="s">
        <v>73</v>
      </c>
      <c r="B2273" s="6" t="s">
        <v>53</v>
      </c>
      <c r="C2273" s="6">
        <v>4</v>
      </c>
      <c r="D2273" s="6">
        <v>3</v>
      </c>
      <c r="E2273" s="6">
        <v>2</v>
      </c>
      <c r="F2273" s="10">
        <v>46300</v>
      </c>
      <c r="G2273" s="6" t="str">
        <f>_xlfn.TEXTJOIN("|",TRUE,GameLog[[#This Row],[Pod]],TEXT(INT(GameLog[[#This Row],[Round]]),"yyyymmdd"),GameLog[[#This Row],[Date]])</f>
        <v>3|19000102|46300</v>
      </c>
      <c r="H2273" s="6">
        <f>COUNTIF(GameLog[Pod ID],GameLog[[#This Row],[Pod ID]])</f>
        <v>4</v>
      </c>
      <c r="I2273" s="6">
        <f>YEAR(GameLog[[#This Row],[Date]])</f>
        <v>2026</v>
      </c>
      <c r="J2273" s="6">
        <f>MONTH(GameLog[[#This Row],[Date]])</f>
        <v>10</v>
      </c>
      <c r="K2273" s="6" t="str">
        <f>IF(GameLog[[#This Row],[Date]]=MAX(GameLog[Date]),"Current","Previous")</f>
        <v>Previous</v>
      </c>
      <c r="L2273" s="6"/>
      <c r="M227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3" s="6" t="str">
        <f ca="1">IF(GameLog[[#This Row],[Check]]="","",COUNTIF(GameLog[[#Headers],[Check]]:GameLog[[#This Row],[Check]],"?*")-1)</f>
        <v/>
      </c>
      <c r="O2273" s="6" t="str">
        <f>IFERROR(INDEX(Players[New name],MATCH(GameLog[[#This Row],[Player]],Players[Name],0)),GameLog[[#This Row],[Player]])</f>
        <v>Brandon B</v>
      </c>
    </row>
    <row r="2274" spans="1:15" x14ac:dyDescent="0.45">
      <c r="A2274" s="6" t="s">
        <v>56</v>
      </c>
      <c r="B2274" s="6" t="s">
        <v>50</v>
      </c>
      <c r="C2274" s="6">
        <v>1</v>
      </c>
      <c r="D2274" s="6">
        <v>4</v>
      </c>
      <c r="E2274" s="6">
        <v>2</v>
      </c>
      <c r="F2274" s="10">
        <v>46300</v>
      </c>
      <c r="G2274" s="6" t="str">
        <f>_xlfn.TEXTJOIN("|",TRUE,GameLog[[#This Row],[Pod]],TEXT(INT(GameLog[[#This Row],[Round]]),"yyyymmdd"),GameLog[[#This Row],[Date]])</f>
        <v>4|19000102|46300</v>
      </c>
      <c r="H2274" s="6">
        <f>COUNTIF(GameLog[Pod ID],GameLog[[#This Row],[Pod ID]])</f>
        <v>4</v>
      </c>
      <c r="I2274" s="6">
        <f>YEAR(GameLog[[#This Row],[Date]])</f>
        <v>2026</v>
      </c>
      <c r="J2274" s="6">
        <f>MONTH(GameLog[[#This Row],[Date]])</f>
        <v>10</v>
      </c>
      <c r="K2274" s="6" t="str">
        <f>IF(GameLog[[#This Row],[Date]]=MAX(GameLog[Date]),"Current","Previous")</f>
        <v>Previous</v>
      </c>
      <c r="L2274" s="6"/>
      <c r="M227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4" s="6" t="str">
        <f ca="1">IF(GameLog[[#This Row],[Check]]="","",COUNTIF(GameLog[[#Headers],[Check]]:GameLog[[#This Row],[Check]],"?*")-1)</f>
        <v/>
      </c>
      <c r="O2274" s="6" t="str">
        <f>IFERROR(INDEX(Players[New name],MATCH(GameLog[[#This Row],[Player]],Players[Name],0)),GameLog[[#This Row],[Player]])</f>
        <v>Mark D</v>
      </c>
    </row>
    <row r="2275" spans="1:15" x14ac:dyDescent="0.45">
      <c r="A2275" s="6" t="s">
        <v>109</v>
      </c>
      <c r="B2275" s="6" t="s">
        <v>53</v>
      </c>
      <c r="C2275" s="6">
        <v>2</v>
      </c>
      <c r="D2275" s="6">
        <v>4</v>
      </c>
      <c r="E2275" s="6">
        <v>2</v>
      </c>
      <c r="F2275" s="10">
        <v>46300</v>
      </c>
      <c r="G2275" s="6" t="str">
        <f>_xlfn.TEXTJOIN("|",TRUE,GameLog[[#This Row],[Pod]],TEXT(INT(GameLog[[#This Row],[Round]]),"yyyymmdd"),GameLog[[#This Row],[Date]])</f>
        <v>4|19000102|46300</v>
      </c>
      <c r="H2275" s="6">
        <f>COUNTIF(GameLog[Pod ID],GameLog[[#This Row],[Pod ID]])</f>
        <v>4</v>
      </c>
      <c r="I2275" s="6">
        <f>YEAR(GameLog[[#This Row],[Date]])</f>
        <v>2026</v>
      </c>
      <c r="J2275" s="6">
        <f>MONTH(GameLog[[#This Row],[Date]])</f>
        <v>10</v>
      </c>
      <c r="K2275" s="6" t="str">
        <f>IF(GameLog[[#This Row],[Date]]=MAX(GameLog[Date]),"Current","Previous")</f>
        <v>Previous</v>
      </c>
      <c r="L2275" s="6"/>
      <c r="M227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5" s="6" t="str">
        <f ca="1">IF(GameLog[[#This Row],[Check]]="","",COUNTIF(GameLog[[#Headers],[Check]]:GameLog[[#This Row],[Check]],"?*")-1)</f>
        <v/>
      </c>
      <c r="O2275" s="6" t="str">
        <f>IFERROR(INDEX(Players[New name],MATCH(GameLog[[#This Row],[Player]],Players[Name],0)),GameLog[[#This Row],[Player]])</f>
        <v>Taylor C</v>
      </c>
    </row>
    <row r="2276" spans="1:15" x14ac:dyDescent="0.45">
      <c r="A2276" s="6" t="s">
        <v>97</v>
      </c>
      <c r="B2276" s="6" t="s">
        <v>53</v>
      </c>
      <c r="C2276" s="6">
        <v>3</v>
      </c>
      <c r="D2276" s="6">
        <v>4</v>
      </c>
      <c r="E2276" s="6">
        <v>2</v>
      </c>
      <c r="F2276" s="10">
        <v>46300</v>
      </c>
      <c r="G2276" s="6" t="str">
        <f>_xlfn.TEXTJOIN("|",TRUE,GameLog[[#This Row],[Pod]],TEXT(INT(GameLog[[#This Row],[Round]]),"yyyymmdd"),GameLog[[#This Row],[Date]])</f>
        <v>4|19000102|46300</v>
      </c>
      <c r="H2276" s="6">
        <f>COUNTIF(GameLog[Pod ID],GameLog[[#This Row],[Pod ID]])</f>
        <v>4</v>
      </c>
      <c r="I2276" s="6">
        <f>YEAR(GameLog[[#This Row],[Date]])</f>
        <v>2026</v>
      </c>
      <c r="J2276" s="6">
        <f>MONTH(GameLog[[#This Row],[Date]])</f>
        <v>10</v>
      </c>
      <c r="K2276" s="6" t="str">
        <f>IF(GameLog[[#This Row],[Date]]=MAX(GameLog[Date]),"Current","Previous")</f>
        <v>Previous</v>
      </c>
      <c r="L2276" s="6"/>
      <c r="M227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6" s="6" t="str">
        <f ca="1">IF(GameLog[[#This Row],[Check]]="","",COUNTIF(GameLog[[#Headers],[Check]]:GameLog[[#This Row],[Check]],"?*")-1)</f>
        <v/>
      </c>
      <c r="O2276" s="6" t="str">
        <f>IFERROR(INDEX(Players[New name],MATCH(GameLog[[#This Row],[Player]],Players[Name],0)),GameLog[[#This Row],[Player]])</f>
        <v>Arman H</v>
      </c>
    </row>
    <row r="2277" spans="1:15" x14ac:dyDescent="0.45">
      <c r="A2277" s="6" t="s">
        <v>119</v>
      </c>
      <c r="B2277" s="6" t="s">
        <v>53</v>
      </c>
      <c r="C2277" s="6">
        <v>4</v>
      </c>
      <c r="D2277" s="6">
        <v>4</v>
      </c>
      <c r="E2277" s="6">
        <v>2</v>
      </c>
      <c r="F2277" s="10">
        <v>46300</v>
      </c>
      <c r="G2277" s="6" t="str">
        <f>_xlfn.TEXTJOIN("|",TRUE,GameLog[[#This Row],[Pod]],TEXT(INT(GameLog[[#This Row],[Round]]),"yyyymmdd"),GameLog[[#This Row],[Date]])</f>
        <v>4|19000102|46300</v>
      </c>
      <c r="H2277" s="6">
        <f>COUNTIF(GameLog[Pod ID],GameLog[[#This Row],[Pod ID]])</f>
        <v>4</v>
      </c>
      <c r="I2277" s="6">
        <f>YEAR(GameLog[[#This Row],[Date]])</f>
        <v>2026</v>
      </c>
      <c r="J2277" s="6">
        <f>MONTH(GameLog[[#This Row],[Date]])</f>
        <v>10</v>
      </c>
      <c r="K2277" s="6" t="str">
        <f>IF(GameLog[[#This Row],[Date]]=MAX(GameLog[Date]),"Current","Previous")</f>
        <v>Previous</v>
      </c>
      <c r="L2277" s="6"/>
      <c r="M227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7" s="6" t="str">
        <f ca="1">IF(GameLog[[#This Row],[Check]]="","",COUNTIF(GameLog[[#Headers],[Check]]:GameLog[[#This Row],[Check]],"?*")-1)</f>
        <v/>
      </c>
      <c r="O2277" s="6" t="str">
        <f>IFERROR(INDEX(Players[New name],MATCH(GameLog[[#This Row],[Player]],Players[Name],0)),GameLog[[#This Row],[Player]])</f>
        <v>Cristian S</v>
      </c>
    </row>
    <row r="2278" spans="1:15" x14ac:dyDescent="0.45">
      <c r="A2278" s="6" t="s">
        <v>63</v>
      </c>
      <c r="B2278" s="6" t="s">
        <v>53</v>
      </c>
      <c r="C2278" s="6">
        <v>1</v>
      </c>
      <c r="D2278" s="6">
        <v>5</v>
      </c>
      <c r="E2278" s="6">
        <v>2</v>
      </c>
      <c r="F2278" s="10">
        <v>46300</v>
      </c>
      <c r="G2278" s="6" t="str">
        <f>_xlfn.TEXTJOIN("|",TRUE,GameLog[[#This Row],[Pod]],TEXT(INT(GameLog[[#This Row],[Round]]),"yyyymmdd"),GameLog[[#This Row],[Date]])</f>
        <v>5|19000102|46300</v>
      </c>
      <c r="H2278" s="6">
        <f>COUNTIF(GameLog[Pod ID],GameLog[[#This Row],[Pod ID]])</f>
        <v>4</v>
      </c>
      <c r="I2278" s="6">
        <f>YEAR(GameLog[[#This Row],[Date]])</f>
        <v>2026</v>
      </c>
      <c r="J2278" s="6">
        <f>MONTH(GameLog[[#This Row],[Date]])</f>
        <v>10</v>
      </c>
      <c r="K2278" s="6" t="str">
        <f>IF(GameLog[[#This Row],[Date]]=MAX(GameLog[Date]),"Current","Previous")</f>
        <v>Previous</v>
      </c>
      <c r="L2278" s="6"/>
      <c r="M227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8" s="6" t="str">
        <f ca="1">IF(GameLog[[#This Row],[Check]]="","",COUNTIF(GameLog[[#Headers],[Check]]:GameLog[[#This Row],[Check]],"?*")-1)</f>
        <v/>
      </c>
      <c r="O2278" s="6" t="str">
        <f>IFERROR(INDEX(Players[New name],MATCH(GameLog[[#This Row],[Player]],Players[Name],0)),GameLog[[#This Row],[Player]])</f>
        <v>Jake D</v>
      </c>
    </row>
    <row r="2279" spans="1:15" x14ac:dyDescent="0.45">
      <c r="A2279" s="6" t="s">
        <v>49</v>
      </c>
      <c r="B2279" s="6" t="s">
        <v>53</v>
      </c>
      <c r="C2279" s="6">
        <v>2</v>
      </c>
      <c r="D2279" s="6">
        <v>5</v>
      </c>
      <c r="E2279" s="6">
        <v>2</v>
      </c>
      <c r="F2279" s="10">
        <v>46300</v>
      </c>
      <c r="G2279" s="6" t="str">
        <f>_xlfn.TEXTJOIN("|",TRUE,GameLog[[#This Row],[Pod]],TEXT(INT(GameLog[[#This Row],[Round]]),"yyyymmdd"),GameLog[[#This Row],[Date]])</f>
        <v>5|19000102|46300</v>
      </c>
      <c r="H2279" s="6">
        <f>COUNTIF(GameLog[Pod ID],GameLog[[#This Row],[Pod ID]])</f>
        <v>4</v>
      </c>
      <c r="I2279" s="6">
        <f>YEAR(GameLog[[#This Row],[Date]])</f>
        <v>2026</v>
      </c>
      <c r="J2279" s="6">
        <f>MONTH(GameLog[[#This Row],[Date]])</f>
        <v>10</v>
      </c>
      <c r="K2279" s="6" t="str">
        <f>IF(GameLog[[#This Row],[Date]]=MAX(GameLog[Date]),"Current","Previous")</f>
        <v>Previous</v>
      </c>
      <c r="L2279" s="6"/>
      <c r="M227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79" s="6" t="str">
        <f ca="1">IF(GameLog[[#This Row],[Check]]="","",COUNTIF(GameLog[[#Headers],[Check]]:GameLog[[#This Row],[Check]],"?*")-1)</f>
        <v/>
      </c>
      <c r="O2279" s="6" t="str">
        <f>IFERROR(INDEX(Players[New name],MATCH(GameLog[[#This Row],[Player]],Players[Name],0)),GameLog[[#This Row],[Player]])</f>
        <v>Brett R</v>
      </c>
    </row>
    <row r="2280" spans="1:15" x14ac:dyDescent="0.45">
      <c r="A2280" s="6" t="s">
        <v>70</v>
      </c>
      <c r="B2280" s="6" t="s">
        <v>50</v>
      </c>
      <c r="C2280" s="6">
        <v>3</v>
      </c>
      <c r="D2280" s="6">
        <v>5</v>
      </c>
      <c r="E2280" s="6">
        <v>2</v>
      </c>
      <c r="F2280" s="10">
        <v>46300</v>
      </c>
      <c r="G2280" s="6" t="str">
        <f>_xlfn.TEXTJOIN("|",TRUE,GameLog[[#This Row],[Pod]],TEXT(INT(GameLog[[#This Row],[Round]]),"yyyymmdd"),GameLog[[#This Row],[Date]])</f>
        <v>5|19000102|46300</v>
      </c>
      <c r="H2280" s="6">
        <f>COUNTIF(GameLog[Pod ID],GameLog[[#This Row],[Pod ID]])</f>
        <v>4</v>
      </c>
      <c r="I2280" s="6">
        <f>YEAR(GameLog[[#This Row],[Date]])</f>
        <v>2026</v>
      </c>
      <c r="J2280" s="6">
        <f>MONTH(GameLog[[#This Row],[Date]])</f>
        <v>10</v>
      </c>
      <c r="K2280" s="6" t="str">
        <f>IF(GameLog[[#This Row],[Date]]=MAX(GameLog[Date]),"Current","Previous")</f>
        <v>Previous</v>
      </c>
      <c r="L2280" s="6"/>
      <c r="M228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0" s="6" t="str">
        <f ca="1">IF(GameLog[[#This Row],[Check]]="","",COUNTIF(GameLog[[#Headers],[Check]]:GameLog[[#This Row],[Check]],"?*")-1)</f>
        <v/>
      </c>
      <c r="O2280" s="6" t="str">
        <f>IFERROR(INDEX(Players[New name],MATCH(GameLog[[#This Row],[Player]],Players[Name],0)),GameLog[[#This Row],[Player]])</f>
        <v>Brad F</v>
      </c>
    </row>
    <row r="2281" spans="1:15" x14ac:dyDescent="0.45">
      <c r="A2281" s="6" t="s">
        <v>112</v>
      </c>
      <c r="B2281" s="6" t="s">
        <v>53</v>
      </c>
      <c r="C2281" s="6">
        <v>4</v>
      </c>
      <c r="D2281" s="6">
        <v>5</v>
      </c>
      <c r="E2281" s="6">
        <v>2</v>
      </c>
      <c r="F2281" s="10">
        <v>46300</v>
      </c>
      <c r="G2281" s="6" t="str">
        <f>_xlfn.TEXTJOIN("|",TRUE,GameLog[[#This Row],[Pod]],TEXT(INT(GameLog[[#This Row],[Round]]),"yyyymmdd"),GameLog[[#This Row],[Date]])</f>
        <v>5|19000102|46300</v>
      </c>
      <c r="H2281" s="6">
        <f>COUNTIF(GameLog[Pod ID],GameLog[[#This Row],[Pod ID]])</f>
        <v>4</v>
      </c>
      <c r="I2281" s="6">
        <f>YEAR(GameLog[[#This Row],[Date]])</f>
        <v>2026</v>
      </c>
      <c r="J2281" s="6">
        <f>MONTH(GameLog[[#This Row],[Date]])</f>
        <v>10</v>
      </c>
      <c r="K2281" s="6" t="str">
        <f>IF(GameLog[[#This Row],[Date]]=MAX(GameLog[Date]),"Current","Previous")</f>
        <v>Previous</v>
      </c>
      <c r="L2281" s="6"/>
      <c r="M228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1" s="6" t="str">
        <f ca="1">IF(GameLog[[#This Row],[Check]]="","",COUNTIF(GameLog[[#Headers],[Check]]:GameLog[[#This Row],[Check]],"?*")-1)</f>
        <v/>
      </c>
      <c r="O2281" s="6" t="str">
        <f>IFERROR(INDEX(Players[New name],MATCH(GameLog[[#This Row],[Player]],Players[Name],0)),GameLog[[#This Row],[Player]])</f>
        <v>Savi</v>
      </c>
    </row>
    <row r="2282" spans="1:15" x14ac:dyDescent="0.45">
      <c r="A2282" s="6" t="s">
        <v>75</v>
      </c>
      <c r="B2282" s="6" t="s">
        <v>53</v>
      </c>
      <c r="C2282" s="6">
        <v>1</v>
      </c>
      <c r="D2282" s="6">
        <v>6</v>
      </c>
      <c r="E2282" s="6">
        <v>2</v>
      </c>
      <c r="F2282" s="10">
        <v>46300</v>
      </c>
      <c r="G2282" s="6" t="str">
        <f>_xlfn.TEXTJOIN("|",TRUE,GameLog[[#This Row],[Pod]],TEXT(INT(GameLog[[#This Row],[Round]]),"yyyymmdd"),GameLog[[#This Row],[Date]])</f>
        <v>6|19000102|46300</v>
      </c>
      <c r="H2282" s="6">
        <f>COUNTIF(GameLog[Pod ID],GameLog[[#This Row],[Pod ID]])</f>
        <v>4</v>
      </c>
      <c r="I2282" s="6">
        <f>YEAR(GameLog[[#This Row],[Date]])</f>
        <v>2026</v>
      </c>
      <c r="J2282" s="6">
        <f>MONTH(GameLog[[#This Row],[Date]])</f>
        <v>10</v>
      </c>
      <c r="K2282" s="6" t="str">
        <f>IF(GameLog[[#This Row],[Date]]=MAX(GameLog[Date]),"Current","Previous")</f>
        <v>Previous</v>
      </c>
      <c r="L2282" s="6"/>
      <c r="M228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2" s="6" t="str">
        <f ca="1">IF(GameLog[[#This Row],[Check]]="","",COUNTIF(GameLog[[#Headers],[Check]]:GameLog[[#This Row],[Check]],"?*")-1)</f>
        <v/>
      </c>
      <c r="O2282" s="6" t="str">
        <f>IFERROR(INDEX(Players[New name],MATCH(GameLog[[#This Row],[Player]],Players[Name],0)),GameLog[[#This Row],[Player]])</f>
        <v>Eli T</v>
      </c>
    </row>
    <row r="2283" spans="1:15" x14ac:dyDescent="0.45">
      <c r="A2283" s="6" t="s">
        <v>118</v>
      </c>
      <c r="B2283" s="6" t="s">
        <v>50</v>
      </c>
      <c r="C2283" s="6">
        <v>2</v>
      </c>
      <c r="D2283" s="6">
        <v>6</v>
      </c>
      <c r="E2283" s="6">
        <v>2</v>
      </c>
      <c r="F2283" s="10">
        <v>46300</v>
      </c>
      <c r="G2283" s="6" t="str">
        <f>_xlfn.TEXTJOIN("|",TRUE,GameLog[[#This Row],[Pod]],TEXT(INT(GameLog[[#This Row],[Round]]),"yyyymmdd"),GameLog[[#This Row],[Date]])</f>
        <v>6|19000102|46300</v>
      </c>
      <c r="H2283" s="6">
        <f>COUNTIF(GameLog[Pod ID],GameLog[[#This Row],[Pod ID]])</f>
        <v>4</v>
      </c>
      <c r="I2283" s="6">
        <f>YEAR(GameLog[[#This Row],[Date]])</f>
        <v>2026</v>
      </c>
      <c r="J2283" s="6">
        <f>MONTH(GameLog[[#This Row],[Date]])</f>
        <v>10</v>
      </c>
      <c r="K2283" s="6" t="str">
        <f>IF(GameLog[[#This Row],[Date]]=MAX(GameLog[Date]),"Current","Previous")</f>
        <v>Previous</v>
      </c>
      <c r="L2283" s="6"/>
      <c r="M228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3" s="6" t="str">
        <f ca="1">IF(GameLog[[#This Row],[Check]]="","",COUNTIF(GameLog[[#Headers],[Check]]:GameLog[[#This Row],[Check]],"?*")-1)</f>
        <v/>
      </c>
      <c r="O2283" s="6" t="str">
        <f>IFERROR(INDEX(Players[New name],MATCH(GameLog[[#This Row],[Player]],Players[Name],0)),GameLog[[#This Row],[Player]])</f>
        <v>Eric T</v>
      </c>
    </row>
    <row r="2284" spans="1:15" x14ac:dyDescent="0.45">
      <c r="A2284" s="6" t="s">
        <v>121</v>
      </c>
      <c r="B2284" s="6" t="s">
        <v>53</v>
      </c>
      <c r="C2284" s="6">
        <v>3</v>
      </c>
      <c r="D2284" s="6">
        <v>6</v>
      </c>
      <c r="E2284" s="6">
        <v>2</v>
      </c>
      <c r="F2284" s="10">
        <v>46300</v>
      </c>
      <c r="G2284" s="6" t="str">
        <f>_xlfn.TEXTJOIN("|",TRUE,GameLog[[#This Row],[Pod]],TEXT(INT(GameLog[[#This Row],[Round]]),"yyyymmdd"),GameLog[[#This Row],[Date]])</f>
        <v>6|19000102|46300</v>
      </c>
      <c r="H2284" s="6">
        <f>COUNTIF(GameLog[Pod ID],GameLog[[#This Row],[Pod ID]])</f>
        <v>4</v>
      </c>
      <c r="I2284" s="6">
        <f>YEAR(GameLog[[#This Row],[Date]])</f>
        <v>2026</v>
      </c>
      <c r="J2284" s="6">
        <f>MONTH(GameLog[[#This Row],[Date]])</f>
        <v>10</v>
      </c>
      <c r="K2284" s="6" t="str">
        <f>IF(GameLog[[#This Row],[Date]]=MAX(GameLog[Date]),"Current","Previous")</f>
        <v>Previous</v>
      </c>
      <c r="L2284" s="6"/>
      <c r="M228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4" s="6" t="str">
        <f ca="1">IF(GameLog[[#This Row],[Check]]="","",COUNTIF(GameLog[[#Headers],[Check]]:GameLog[[#This Row],[Check]],"?*")-1)</f>
        <v/>
      </c>
      <c r="O2284" s="6" t="str">
        <f>IFERROR(INDEX(Players[New name],MATCH(GameLog[[#This Row],[Player]],Players[Name],0)),GameLog[[#This Row],[Player]])</f>
        <v>Randy P</v>
      </c>
    </row>
    <row r="2285" spans="1:15" x14ac:dyDescent="0.45">
      <c r="A2285" s="6" t="s">
        <v>74</v>
      </c>
      <c r="B2285" s="6" t="s">
        <v>53</v>
      </c>
      <c r="C2285" s="6">
        <v>4</v>
      </c>
      <c r="D2285" s="6">
        <v>6</v>
      </c>
      <c r="E2285" s="6">
        <v>2</v>
      </c>
      <c r="F2285" s="10">
        <v>46300</v>
      </c>
      <c r="G2285" s="6" t="str">
        <f>_xlfn.TEXTJOIN("|",TRUE,GameLog[[#This Row],[Pod]],TEXT(INT(GameLog[[#This Row],[Round]]),"yyyymmdd"),GameLog[[#This Row],[Date]])</f>
        <v>6|19000102|46300</v>
      </c>
      <c r="H2285" s="6">
        <f>COUNTIF(GameLog[Pod ID],GameLog[[#This Row],[Pod ID]])</f>
        <v>4</v>
      </c>
      <c r="I2285" s="6">
        <f>YEAR(GameLog[[#This Row],[Date]])</f>
        <v>2026</v>
      </c>
      <c r="J2285" s="6">
        <f>MONTH(GameLog[[#This Row],[Date]])</f>
        <v>10</v>
      </c>
      <c r="K2285" s="6" t="str">
        <f>IF(GameLog[[#This Row],[Date]]=MAX(GameLog[Date]),"Current","Previous")</f>
        <v>Previous</v>
      </c>
      <c r="L2285" s="6"/>
      <c r="M228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5" s="6" t="str">
        <f ca="1">IF(GameLog[[#This Row],[Check]]="","",COUNTIF(GameLog[[#Headers],[Check]]:GameLog[[#This Row],[Check]],"?*")-1)</f>
        <v/>
      </c>
      <c r="O2285" s="6" t="str">
        <f>IFERROR(INDEX(Players[New name],MATCH(GameLog[[#This Row],[Player]],Players[Name],0)),GameLog[[#This Row],[Player]])</f>
        <v>Jarrod O</v>
      </c>
    </row>
    <row r="2286" spans="1:15" x14ac:dyDescent="0.45">
      <c r="A2286" s="6" t="s">
        <v>110</v>
      </c>
      <c r="B2286" s="6" t="s">
        <v>53</v>
      </c>
      <c r="C2286" s="6">
        <v>1</v>
      </c>
      <c r="D2286" s="6">
        <v>1</v>
      </c>
      <c r="E2286" s="6">
        <v>1</v>
      </c>
      <c r="F2286" s="10">
        <v>46307</v>
      </c>
      <c r="G2286" s="6" t="str">
        <f>_xlfn.TEXTJOIN("|",TRUE,GameLog[[#This Row],[Pod]],TEXT(INT(GameLog[[#This Row],[Round]]),"yyyymmdd"),GameLog[[#This Row],[Date]])</f>
        <v>1|19000101|46307</v>
      </c>
      <c r="H2286" s="6">
        <f>COUNTIF(GameLog[Pod ID],GameLog[[#This Row],[Pod ID]])</f>
        <v>4</v>
      </c>
      <c r="I2286" s="6">
        <f>YEAR(GameLog[[#This Row],[Date]])</f>
        <v>2026</v>
      </c>
      <c r="J2286" s="6">
        <f>MONTH(GameLog[[#This Row],[Date]])</f>
        <v>10</v>
      </c>
      <c r="K2286" s="6" t="str">
        <f>IF(GameLog[[#This Row],[Date]]=MAX(GameLog[Date]),"Current","Previous")</f>
        <v>Current</v>
      </c>
      <c r="L2286" s="6"/>
      <c r="M228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6" s="6" t="str">
        <f ca="1">IF(GameLog[[#This Row],[Check]]="","",COUNTIF(GameLog[[#Headers],[Check]]:GameLog[[#This Row],[Check]],"?*")-1)</f>
        <v/>
      </c>
      <c r="O2286" s="6" t="str">
        <f>IFERROR(INDEX(Players[New name],MATCH(GameLog[[#This Row],[Player]],Players[Name],0)),GameLog[[#This Row],[Player]])</f>
        <v>Paul B</v>
      </c>
    </row>
    <row r="2287" spans="1:15" x14ac:dyDescent="0.45">
      <c r="A2287" s="6" t="s">
        <v>71</v>
      </c>
      <c r="B2287" s="6" t="s">
        <v>50</v>
      </c>
      <c r="C2287" s="6">
        <v>2</v>
      </c>
      <c r="D2287" s="6">
        <v>1</v>
      </c>
      <c r="E2287" s="6">
        <v>1</v>
      </c>
      <c r="F2287" s="10">
        <v>46307</v>
      </c>
      <c r="G2287" s="6" t="str">
        <f>_xlfn.TEXTJOIN("|",TRUE,GameLog[[#This Row],[Pod]],TEXT(INT(GameLog[[#This Row],[Round]]),"yyyymmdd"),GameLog[[#This Row],[Date]])</f>
        <v>1|19000101|46307</v>
      </c>
      <c r="H2287" s="6">
        <f>COUNTIF(GameLog[Pod ID],GameLog[[#This Row],[Pod ID]])</f>
        <v>4</v>
      </c>
      <c r="I2287" s="6">
        <f>YEAR(GameLog[[#This Row],[Date]])</f>
        <v>2026</v>
      </c>
      <c r="J2287" s="6">
        <f>MONTH(GameLog[[#This Row],[Date]])</f>
        <v>10</v>
      </c>
      <c r="K2287" s="6" t="str">
        <f>IF(GameLog[[#This Row],[Date]]=MAX(GameLog[Date]),"Current","Previous")</f>
        <v>Current</v>
      </c>
      <c r="L2287" s="6"/>
      <c r="M228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7" s="6" t="str">
        <f ca="1">IF(GameLog[[#This Row],[Check]]="","",COUNTIF(GameLog[[#Headers],[Check]]:GameLog[[#This Row],[Check]],"?*")-1)</f>
        <v/>
      </c>
      <c r="O2287" s="6" t="str">
        <f>IFERROR(INDEX(Players[New name],MATCH(GameLog[[#This Row],[Player]],Players[Name],0)),GameLog[[#This Row],[Player]])</f>
        <v>Rodney Y</v>
      </c>
    </row>
    <row r="2288" spans="1:15" x14ac:dyDescent="0.45">
      <c r="A2288" s="6" t="s">
        <v>88</v>
      </c>
      <c r="B2288" s="6" t="s">
        <v>53</v>
      </c>
      <c r="C2288" s="6">
        <v>3</v>
      </c>
      <c r="D2288" s="6">
        <v>1</v>
      </c>
      <c r="E2288" s="6">
        <v>1</v>
      </c>
      <c r="F2288" s="10">
        <v>46307</v>
      </c>
      <c r="G2288" s="6" t="str">
        <f>_xlfn.TEXTJOIN("|",TRUE,GameLog[[#This Row],[Pod]],TEXT(INT(GameLog[[#This Row],[Round]]),"yyyymmdd"),GameLog[[#This Row],[Date]])</f>
        <v>1|19000101|46307</v>
      </c>
      <c r="H2288" s="6">
        <f>COUNTIF(GameLog[Pod ID],GameLog[[#This Row],[Pod ID]])</f>
        <v>4</v>
      </c>
      <c r="I2288" s="6">
        <f>YEAR(GameLog[[#This Row],[Date]])</f>
        <v>2026</v>
      </c>
      <c r="J2288" s="6">
        <f>MONTH(GameLog[[#This Row],[Date]])</f>
        <v>10</v>
      </c>
      <c r="K2288" s="6" t="str">
        <f>IF(GameLog[[#This Row],[Date]]=MAX(GameLog[Date]),"Current","Previous")</f>
        <v>Current</v>
      </c>
      <c r="L2288" s="6"/>
      <c r="M228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8" s="6" t="str">
        <f ca="1">IF(GameLog[[#This Row],[Check]]="","",COUNTIF(GameLog[[#Headers],[Check]]:GameLog[[#This Row],[Check]],"?*")-1)</f>
        <v/>
      </c>
      <c r="O2288" s="6" t="str">
        <f>IFERROR(INDEX(Players[New name],MATCH(GameLog[[#This Row],[Player]],Players[Name],0)),GameLog[[#This Row],[Player]])</f>
        <v>Andrew R</v>
      </c>
    </row>
    <row r="2289" spans="1:15" x14ac:dyDescent="0.45">
      <c r="A2289" s="6" t="s">
        <v>102</v>
      </c>
      <c r="B2289" s="6" t="s">
        <v>53</v>
      </c>
      <c r="C2289" s="6">
        <v>4</v>
      </c>
      <c r="D2289" s="6">
        <v>1</v>
      </c>
      <c r="E2289" s="6">
        <v>1</v>
      </c>
      <c r="F2289" s="10">
        <v>46307</v>
      </c>
      <c r="G2289" s="6" t="str">
        <f>_xlfn.TEXTJOIN("|",TRUE,GameLog[[#This Row],[Pod]],TEXT(INT(GameLog[[#This Row],[Round]]),"yyyymmdd"),GameLog[[#This Row],[Date]])</f>
        <v>1|19000101|46307</v>
      </c>
      <c r="H2289" s="6">
        <f>COUNTIF(GameLog[Pod ID],GameLog[[#This Row],[Pod ID]])</f>
        <v>4</v>
      </c>
      <c r="I2289" s="6">
        <f>YEAR(GameLog[[#This Row],[Date]])</f>
        <v>2026</v>
      </c>
      <c r="J2289" s="6">
        <f>MONTH(GameLog[[#This Row],[Date]])</f>
        <v>10</v>
      </c>
      <c r="K2289" s="6" t="str">
        <f>IF(GameLog[[#This Row],[Date]]=MAX(GameLog[Date]),"Current","Previous")</f>
        <v>Current</v>
      </c>
      <c r="L2289" s="6"/>
      <c r="M228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89" s="6" t="str">
        <f ca="1">IF(GameLog[[#This Row],[Check]]="","",COUNTIF(GameLog[[#Headers],[Check]]:GameLog[[#This Row],[Check]],"?*")-1)</f>
        <v/>
      </c>
      <c r="O2289" s="6" t="str">
        <f>IFERROR(INDEX(Players[New name],MATCH(GameLog[[#This Row],[Player]],Players[Name],0)),GameLog[[#This Row],[Player]])</f>
        <v>Sage</v>
      </c>
    </row>
    <row r="2290" spans="1:15" x14ac:dyDescent="0.45">
      <c r="A2290" s="6" t="s">
        <v>109</v>
      </c>
      <c r="B2290" s="6" t="s">
        <v>53</v>
      </c>
      <c r="C2290" s="6">
        <v>1</v>
      </c>
      <c r="D2290" s="6">
        <v>2</v>
      </c>
      <c r="E2290" s="6">
        <v>1</v>
      </c>
      <c r="F2290" s="10">
        <v>46307</v>
      </c>
      <c r="G2290" s="6" t="str">
        <f>_xlfn.TEXTJOIN("|",TRUE,GameLog[[#This Row],[Pod]],TEXT(INT(GameLog[[#This Row],[Round]]),"yyyymmdd"),GameLog[[#This Row],[Date]])</f>
        <v>2|19000101|46307</v>
      </c>
      <c r="H2290" s="6">
        <f>COUNTIF(GameLog[Pod ID],GameLog[[#This Row],[Pod ID]])</f>
        <v>4</v>
      </c>
      <c r="I2290" s="6">
        <f>YEAR(GameLog[[#This Row],[Date]])</f>
        <v>2026</v>
      </c>
      <c r="J2290" s="6">
        <f>MONTH(GameLog[[#This Row],[Date]])</f>
        <v>10</v>
      </c>
      <c r="K2290" s="6" t="str">
        <f>IF(GameLog[[#This Row],[Date]]=MAX(GameLog[Date]),"Current","Previous")</f>
        <v>Current</v>
      </c>
      <c r="L2290" s="6"/>
      <c r="M229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0" s="6" t="str">
        <f ca="1">IF(GameLog[[#This Row],[Check]]="","",COUNTIF(GameLog[[#Headers],[Check]]:GameLog[[#This Row],[Check]],"?*")-1)</f>
        <v/>
      </c>
      <c r="O2290" s="6" t="str">
        <f>IFERROR(INDEX(Players[New name],MATCH(GameLog[[#This Row],[Player]],Players[Name],0)),GameLog[[#This Row],[Player]])</f>
        <v>Taylor C</v>
      </c>
    </row>
    <row r="2291" spans="1:15" x14ac:dyDescent="0.45">
      <c r="A2291" s="6" t="s">
        <v>96</v>
      </c>
      <c r="B2291" s="6" t="s">
        <v>53</v>
      </c>
      <c r="C2291" s="6">
        <v>2</v>
      </c>
      <c r="D2291" s="6">
        <v>2</v>
      </c>
      <c r="E2291" s="6">
        <v>1</v>
      </c>
      <c r="F2291" s="10">
        <v>46307</v>
      </c>
      <c r="G2291" s="6" t="str">
        <f>_xlfn.TEXTJOIN("|",TRUE,GameLog[[#This Row],[Pod]],TEXT(INT(GameLog[[#This Row],[Round]]),"yyyymmdd"),GameLog[[#This Row],[Date]])</f>
        <v>2|19000101|46307</v>
      </c>
      <c r="H2291" s="6">
        <f>COUNTIF(GameLog[Pod ID],GameLog[[#This Row],[Pod ID]])</f>
        <v>4</v>
      </c>
      <c r="I2291" s="6">
        <f>YEAR(GameLog[[#This Row],[Date]])</f>
        <v>2026</v>
      </c>
      <c r="J2291" s="6">
        <f>MONTH(GameLog[[#This Row],[Date]])</f>
        <v>10</v>
      </c>
      <c r="K2291" s="6" t="str">
        <f>IF(GameLog[[#This Row],[Date]]=MAX(GameLog[Date]),"Current","Previous")</f>
        <v>Current</v>
      </c>
      <c r="L2291" s="6"/>
      <c r="M229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1" s="6" t="str">
        <f ca="1">IF(GameLog[[#This Row],[Check]]="","",COUNTIF(GameLog[[#Headers],[Check]]:GameLog[[#This Row],[Check]],"?*")-1)</f>
        <v/>
      </c>
      <c r="O2291" s="6" t="str">
        <f>IFERROR(INDEX(Players[New name],MATCH(GameLog[[#This Row],[Player]],Players[Name],0)),GameLog[[#This Row],[Player]])</f>
        <v>Brandon A</v>
      </c>
    </row>
    <row r="2292" spans="1:15" x14ac:dyDescent="0.45">
      <c r="A2292" s="6" t="s">
        <v>55</v>
      </c>
      <c r="B2292" s="6" t="s">
        <v>53</v>
      </c>
      <c r="C2292" s="6">
        <v>3</v>
      </c>
      <c r="D2292" s="6">
        <v>2</v>
      </c>
      <c r="E2292" s="6">
        <v>1</v>
      </c>
      <c r="F2292" s="10">
        <v>46307</v>
      </c>
      <c r="G2292" s="6" t="str">
        <f>_xlfn.TEXTJOIN("|",TRUE,GameLog[[#This Row],[Pod]],TEXT(INT(GameLog[[#This Row],[Round]]),"yyyymmdd"),GameLog[[#This Row],[Date]])</f>
        <v>2|19000101|46307</v>
      </c>
      <c r="H2292" s="6">
        <f>COUNTIF(GameLog[Pod ID],GameLog[[#This Row],[Pod ID]])</f>
        <v>4</v>
      </c>
      <c r="I2292" s="6">
        <f>YEAR(GameLog[[#This Row],[Date]])</f>
        <v>2026</v>
      </c>
      <c r="J2292" s="6">
        <f>MONTH(GameLog[[#This Row],[Date]])</f>
        <v>10</v>
      </c>
      <c r="K2292" s="6" t="str">
        <f>IF(GameLog[[#This Row],[Date]]=MAX(GameLog[Date]),"Current","Previous")</f>
        <v>Current</v>
      </c>
      <c r="L2292" s="6"/>
      <c r="M229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2" s="6" t="str">
        <f ca="1">IF(GameLog[[#This Row],[Check]]="","",COUNTIF(GameLog[[#Headers],[Check]]:GameLog[[#This Row],[Check]],"?*")-1)</f>
        <v/>
      </c>
      <c r="O2292" s="6" t="str">
        <f>IFERROR(INDEX(Players[New name],MATCH(GameLog[[#This Row],[Player]],Players[Name],0)),GameLog[[#This Row],[Player]])</f>
        <v>Bryce C</v>
      </c>
    </row>
    <row r="2293" spans="1:15" x14ac:dyDescent="0.45">
      <c r="A2293" s="6" t="s">
        <v>68</v>
      </c>
      <c r="B2293" s="6" t="s">
        <v>50</v>
      </c>
      <c r="C2293" s="6">
        <v>4</v>
      </c>
      <c r="D2293" s="6">
        <v>2</v>
      </c>
      <c r="E2293" s="6">
        <v>1</v>
      </c>
      <c r="F2293" s="10">
        <v>46307</v>
      </c>
      <c r="G2293" s="6" t="str">
        <f>_xlfn.TEXTJOIN("|",TRUE,GameLog[[#This Row],[Pod]],TEXT(INT(GameLog[[#This Row],[Round]]),"yyyymmdd"),GameLog[[#This Row],[Date]])</f>
        <v>2|19000101|46307</v>
      </c>
      <c r="H2293" s="6">
        <f>COUNTIF(GameLog[Pod ID],GameLog[[#This Row],[Pod ID]])</f>
        <v>4</v>
      </c>
      <c r="I2293" s="6">
        <f>YEAR(GameLog[[#This Row],[Date]])</f>
        <v>2026</v>
      </c>
      <c r="J2293" s="6">
        <f>MONTH(GameLog[[#This Row],[Date]])</f>
        <v>10</v>
      </c>
      <c r="K2293" s="6" t="str">
        <f>IF(GameLog[[#This Row],[Date]]=MAX(GameLog[Date]),"Current","Previous")</f>
        <v>Current</v>
      </c>
      <c r="L2293" s="6"/>
      <c r="M229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3" s="6" t="str">
        <f ca="1">IF(GameLog[[#This Row],[Check]]="","",COUNTIF(GameLog[[#Headers],[Check]]:GameLog[[#This Row],[Check]],"?*")-1)</f>
        <v/>
      </c>
      <c r="O2293" s="6" t="str">
        <f>IFERROR(INDEX(Players[New name],MATCH(GameLog[[#This Row],[Player]],Players[Name],0)),GameLog[[#This Row],[Player]])</f>
        <v>Edwin M</v>
      </c>
    </row>
    <row r="2294" spans="1:15" x14ac:dyDescent="0.45">
      <c r="A2294" s="6" t="s">
        <v>49</v>
      </c>
      <c r="B2294" s="6" t="s">
        <v>53</v>
      </c>
      <c r="C2294" s="6">
        <v>1</v>
      </c>
      <c r="D2294" s="6">
        <v>3</v>
      </c>
      <c r="E2294" s="6">
        <v>1</v>
      </c>
      <c r="F2294" s="10">
        <v>46307</v>
      </c>
      <c r="G2294" s="6" t="str">
        <f>_xlfn.TEXTJOIN("|",TRUE,GameLog[[#This Row],[Pod]],TEXT(INT(GameLog[[#This Row],[Round]]),"yyyymmdd"),GameLog[[#This Row],[Date]])</f>
        <v>3|19000101|46307</v>
      </c>
      <c r="H2294" s="6">
        <f>COUNTIF(GameLog[Pod ID],GameLog[[#This Row],[Pod ID]])</f>
        <v>4</v>
      </c>
      <c r="I2294" s="6">
        <f>YEAR(GameLog[[#This Row],[Date]])</f>
        <v>2026</v>
      </c>
      <c r="J2294" s="6">
        <f>MONTH(GameLog[[#This Row],[Date]])</f>
        <v>10</v>
      </c>
      <c r="K2294" s="6" t="str">
        <f>IF(GameLog[[#This Row],[Date]]=MAX(GameLog[Date]),"Current","Previous")</f>
        <v>Current</v>
      </c>
      <c r="L2294" s="6"/>
      <c r="M229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4" s="6" t="str">
        <f ca="1">IF(GameLog[[#This Row],[Check]]="","",COUNTIF(GameLog[[#Headers],[Check]]:GameLog[[#This Row],[Check]],"?*")-1)</f>
        <v/>
      </c>
      <c r="O2294" s="6" t="str">
        <f>IFERROR(INDEX(Players[New name],MATCH(GameLog[[#This Row],[Player]],Players[Name],0)),GameLog[[#This Row],[Player]])</f>
        <v>Brett R</v>
      </c>
    </row>
    <row r="2295" spans="1:15" x14ac:dyDescent="0.45">
      <c r="A2295" s="6" t="s">
        <v>119</v>
      </c>
      <c r="B2295" s="6" t="s">
        <v>53</v>
      </c>
      <c r="C2295" s="6">
        <v>2</v>
      </c>
      <c r="D2295" s="6">
        <v>3</v>
      </c>
      <c r="E2295" s="6">
        <v>1</v>
      </c>
      <c r="F2295" s="10">
        <v>46307</v>
      </c>
      <c r="G2295" s="6" t="str">
        <f>_xlfn.TEXTJOIN("|",TRUE,GameLog[[#This Row],[Pod]],TEXT(INT(GameLog[[#This Row],[Round]]),"yyyymmdd"),GameLog[[#This Row],[Date]])</f>
        <v>3|19000101|46307</v>
      </c>
      <c r="H2295" s="6">
        <f>COUNTIF(GameLog[Pod ID],GameLog[[#This Row],[Pod ID]])</f>
        <v>4</v>
      </c>
      <c r="I2295" s="6">
        <f>YEAR(GameLog[[#This Row],[Date]])</f>
        <v>2026</v>
      </c>
      <c r="J2295" s="6">
        <f>MONTH(GameLog[[#This Row],[Date]])</f>
        <v>10</v>
      </c>
      <c r="K2295" s="6" t="str">
        <f>IF(GameLog[[#This Row],[Date]]=MAX(GameLog[Date]),"Current","Previous")</f>
        <v>Current</v>
      </c>
      <c r="L2295" s="6"/>
      <c r="M229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5" s="6" t="str">
        <f ca="1">IF(GameLog[[#This Row],[Check]]="","",COUNTIF(GameLog[[#Headers],[Check]]:GameLog[[#This Row],[Check]],"?*")-1)</f>
        <v/>
      </c>
      <c r="O2295" s="6" t="str">
        <f>IFERROR(INDEX(Players[New name],MATCH(GameLog[[#This Row],[Player]],Players[Name],0)),GameLog[[#This Row],[Player]])</f>
        <v>Cristian S</v>
      </c>
    </row>
    <row r="2296" spans="1:15" x14ac:dyDescent="0.45">
      <c r="A2296" s="6" t="s">
        <v>74</v>
      </c>
      <c r="B2296" s="6" t="s">
        <v>53</v>
      </c>
      <c r="C2296" s="6">
        <v>3</v>
      </c>
      <c r="D2296" s="6">
        <v>3</v>
      </c>
      <c r="E2296" s="6">
        <v>1</v>
      </c>
      <c r="F2296" s="10">
        <v>46307</v>
      </c>
      <c r="G2296" s="6" t="str">
        <f>_xlfn.TEXTJOIN("|",TRUE,GameLog[[#This Row],[Pod]],TEXT(INT(GameLog[[#This Row],[Round]]),"yyyymmdd"),GameLog[[#This Row],[Date]])</f>
        <v>3|19000101|46307</v>
      </c>
      <c r="H2296" s="6">
        <f>COUNTIF(GameLog[Pod ID],GameLog[[#This Row],[Pod ID]])</f>
        <v>4</v>
      </c>
      <c r="I2296" s="6">
        <f>YEAR(GameLog[[#This Row],[Date]])</f>
        <v>2026</v>
      </c>
      <c r="J2296" s="6">
        <f>MONTH(GameLog[[#This Row],[Date]])</f>
        <v>10</v>
      </c>
      <c r="K2296" s="6" t="str">
        <f>IF(GameLog[[#This Row],[Date]]=MAX(GameLog[Date]),"Current","Previous")</f>
        <v>Current</v>
      </c>
      <c r="L2296" s="6"/>
      <c r="M229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6" s="6" t="str">
        <f ca="1">IF(GameLog[[#This Row],[Check]]="","",COUNTIF(GameLog[[#Headers],[Check]]:GameLog[[#This Row],[Check]],"?*")-1)</f>
        <v/>
      </c>
      <c r="O2296" s="6" t="str">
        <f>IFERROR(INDEX(Players[New name],MATCH(GameLog[[#This Row],[Player]],Players[Name],0)),GameLog[[#This Row],[Player]])</f>
        <v>Jarrod O</v>
      </c>
    </row>
    <row r="2297" spans="1:15" x14ac:dyDescent="0.45">
      <c r="A2297" s="6" t="s">
        <v>56</v>
      </c>
      <c r="B2297" s="6" t="s">
        <v>50</v>
      </c>
      <c r="C2297" s="6">
        <v>4</v>
      </c>
      <c r="D2297" s="6">
        <v>3</v>
      </c>
      <c r="E2297" s="6">
        <v>1</v>
      </c>
      <c r="F2297" s="10">
        <v>46307</v>
      </c>
      <c r="G2297" s="6" t="str">
        <f>_xlfn.TEXTJOIN("|",TRUE,GameLog[[#This Row],[Pod]],TEXT(INT(GameLog[[#This Row],[Round]]),"yyyymmdd"),GameLog[[#This Row],[Date]])</f>
        <v>3|19000101|46307</v>
      </c>
      <c r="H2297" s="6">
        <f>COUNTIF(GameLog[Pod ID],GameLog[[#This Row],[Pod ID]])</f>
        <v>4</v>
      </c>
      <c r="I2297" s="6">
        <f>YEAR(GameLog[[#This Row],[Date]])</f>
        <v>2026</v>
      </c>
      <c r="J2297" s="6">
        <f>MONTH(GameLog[[#This Row],[Date]])</f>
        <v>10</v>
      </c>
      <c r="K2297" s="6" t="str">
        <f>IF(GameLog[[#This Row],[Date]]=MAX(GameLog[Date]),"Current","Previous")</f>
        <v>Current</v>
      </c>
      <c r="L2297" s="6"/>
      <c r="M229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7" s="6" t="str">
        <f ca="1">IF(GameLog[[#This Row],[Check]]="","",COUNTIF(GameLog[[#Headers],[Check]]:GameLog[[#This Row],[Check]],"?*")-1)</f>
        <v/>
      </c>
      <c r="O2297" s="6" t="str">
        <f>IFERROR(INDEX(Players[New name],MATCH(GameLog[[#This Row],[Player]],Players[Name],0)),GameLog[[#This Row],[Player]])</f>
        <v>Mark D</v>
      </c>
    </row>
    <row r="2298" spans="1:15" x14ac:dyDescent="0.45">
      <c r="A2298" s="6" t="s">
        <v>118</v>
      </c>
      <c r="B2298" s="6" t="s">
        <v>53</v>
      </c>
      <c r="C2298" s="6">
        <v>1</v>
      </c>
      <c r="D2298" s="6">
        <v>4</v>
      </c>
      <c r="E2298" s="6">
        <v>1</v>
      </c>
      <c r="F2298" s="10">
        <v>46307</v>
      </c>
      <c r="G2298" s="6" t="str">
        <f>_xlfn.TEXTJOIN("|",TRUE,GameLog[[#This Row],[Pod]],TEXT(INT(GameLog[[#This Row],[Round]]),"yyyymmdd"),GameLog[[#This Row],[Date]])</f>
        <v>4|19000101|46307</v>
      </c>
      <c r="H2298" s="6">
        <f>COUNTIF(GameLog[Pod ID],GameLog[[#This Row],[Pod ID]])</f>
        <v>4</v>
      </c>
      <c r="I2298" s="6">
        <f>YEAR(GameLog[[#This Row],[Date]])</f>
        <v>2026</v>
      </c>
      <c r="J2298" s="6">
        <f>MONTH(GameLog[[#This Row],[Date]])</f>
        <v>10</v>
      </c>
      <c r="K2298" s="6" t="str">
        <f>IF(GameLog[[#This Row],[Date]]=MAX(GameLog[Date]),"Current","Previous")</f>
        <v>Current</v>
      </c>
      <c r="L2298" s="6"/>
      <c r="M229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8" s="6" t="str">
        <f ca="1">IF(GameLog[[#This Row],[Check]]="","",COUNTIF(GameLog[[#Headers],[Check]]:GameLog[[#This Row],[Check]],"?*")-1)</f>
        <v/>
      </c>
      <c r="O2298" s="6" t="str">
        <f>IFERROR(INDEX(Players[New name],MATCH(GameLog[[#This Row],[Player]],Players[Name],0)),GameLog[[#This Row],[Player]])</f>
        <v>Eric T</v>
      </c>
    </row>
    <row r="2299" spans="1:15" x14ac:dyDescent="0.45">
      <c r="A2299" s="6" t="s">
        <v>63</v>
      </c>
      <c r="B2299" s="6" t="s">
        <v>50</v>
      </c>
      <c r="C2299" s="6">
        <v>2</v>
      </c>
      <c r="D2299" s="6">
        <v>4</v>
      </c>
      <c r="E2299" s="6">
        <v>1</v>
      </c>
      <c r="F2299" s="10">
        <v>46307</v>
      </c>
      <c r="G2299" s="6" t="str">
        <f>_xlfn.TEXTJOIN("|",TRUE,GameLog[[#This Row],[Pod]],TEXT(INT(GameLog[[#This Row],[Round]]),"yyyymmdd"),GameLog[[#This Row],[Date]])</f>
        <v>4|19000101|46307</v>
      </c>
      <c r="H2299" s="6">
        <f>COUNTIF(GameLog[Pod ID],GameLog[[#This Row],[Pod ID]])</f>
        <v>4</v>
      </c>
      <c r="I2299" s="6">
        <f>YEAR(GameLog[[#This Row],[Date]])</f>
        <v>2026</v>
      </c>
      <c r="J2299" s="6">
        <f>MONTH(GameLog[[#This Row],[Date]])</f>
        <v>10</v>
      </c>
      <c r="K2299" s="6" t="str">
        <f>IF(GameLog[[#This Row],[Date]]=MAX(GameLog[Date]),"Current","Previous")</f>
        <v>Current</v>
      </c>
      <c r="L2299" s="6"/>
      <c r="M229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299" s="6" t="str">
        <f ca="1">IF(GameLog[[#This Row],[Check]]="","",COUNTIF(GameLog[[#Headers],[Check]]:GameLog[[#This Row],[Check]],"?*")-1)</f>
        <v/>
      </c>
      <c r="O2299" s="6" t="str">
        <f>IFERROR(INDEX(Players[New name],MATCH(GameLog[[#This Row],[Player]],Players[Name],0)),GameLog[[#This Row],[Player]])</f>
        <v>Jake D</v>
      </c>
    </row>
    <row r="2300" spans="1:15" x14ac:dyDescent="0.45">
      <c r="A2300" s="6" t="s">
        <v>58</v>
      </c>
      <c r="B2300" s="6" t="s">
        <v>53</v>
      </c>
      <c r="C2300" s="6">
        <v>3</v>
      </c>
      <c r="D2300" s="6">
        <v>4</v>
      </c>
      <c r="E2300" s="6">
        <v>1</v>
      </c>
      <c r="F2300" s="10">
        <v>46307</v>
      </c>
      <c r="G2300" s="6" t="str">
        <f>_xlfn.TEXTJOIN("|",TRUE,GameLog[[#This Row],[Pod]],TEXT(INT(GameLog[[#This Row],[Round]]),"yyyymmdd"),GameLog[[#This Row],[Date]])</f>
        <v>4|19000101|46307</v>
      </c>
      <c r="H2300" s="6">
        <f>COUNTIF(GameLog[Pod ID],GameLog[[#This Row],[Pod ID]])</f>
        <v>4</v>
      </c>
      <c r="I2300" s="6">
        <f>YEAR(GameLog[[#This Row],[Date]])</f>
        <v>2026</v>
      </c>
      <c r="J2300" s="6">
        <f>MONTH(GameLog[[#This Row],[Date]])</f>
        <v>10</v>
      </c>
      <c r="K2300" s="6" t="str">
        <f>IF(GameLog[[#This Row],[Date]]=MAX(GameLog[Date]),"Current","Previous")</f>
        <v>Current</v>
      </c>
      <c r="L2300" s="6"/>
      <c r="M230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0" s="6" t="str">
        <f ca="1">IF(GameLog[[#This Row],[Check]]="","",COUNTIF(GameLog[[#Headers],[Check]]:GameLog[[#This Row],[Check]],"?*")-1)</f>
        <v/>
      </c>
      <c r="O2300" s="6" t="str">
        <f>IFERROR(INDEX(Players[New name],MATCH(GameLog[[#This Row],[Player]],Players[Name],0)),GameLog[[#This Row],[Player]])</f>
        <v>Dakota P</v>
      </c>
    </row>
    <row r="2301" spans="1:15" x14ac:dyDescent="0.45">
      <c r="A2301" s="6" t="s">
        <v>57</v>
      </c>
      <c r="B2301" s="6" t="s">
        <v>53</v>
      </c>
      <c r="C2301" s="6">
        <v>4</v>
      </c>
      <c r="D2301" s="6">
        <v>4</v>
      </c>
      <c r="E2301" s="6">
        <v>1</v>
      </c>
      <c r="F2301" s="10">
        <v>46307</v>
      </c>
      <c r="G2301" s="6" t="str">
        <f>_xlfn.TEXTJOIN("|",TRUE,GameLog[[#This Row],[Pod]],TEXT(INT(GameLog[[#This Row],[Round]]),"yyyymmdd"),GameLog[[#This Row],[Date]])</f>
        <v>4|19000101|46307</v>
      </c>
      <c r="H2301" s="6">
        <f>COUNTIF(GameLog[Pod ID],GameLog[[#This Row],[Pod ID]])</f>
        <v>4</v>
      </c>
      <c r="I2301" s="6">
        <f>YEAR(GameLog[[#This Row],[Date]])</f>
        <v>2026</v>
      </c>
      <c r="J2301" s="6">
        <f>MONTH(GameLog[[#This Row],[Date]])</f>
        <v>10</v>
      </c>
      <c r="K2301" s="6" t="str">
        <f>IF(GameLog[[#This Row],[Date]]=MAX(GameLog[Date]),"Current","Previous")</f>
        <v>Current</v>
      </c>
      <c r="L2301" s="6"/>
      <c r="M230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1" s="6" t="str">
        <f ca="1">IF(GameLog[[#This Row],[Check]]="","",COUNTIF(GameLog[[#Headers],[Check]]:GameLog[[#This Row],[Check]],"?*")-1)</f>
        <v/>
      </c>
      <c r="O2301" s="6" t="str">
        <f>IFERROR(INDEX(Players[New name],MATCH(GameLog[[#This Row],[Player]],Players[Name],0)),GameLog[[#This Row],[Player]])</f>
        <v>AJ W</v>
      </c>
    </row>
    <row r="2302" spans="1:15" x14ac:dyDescent="0.45">
      <c r="A2302" s="6" t="s">
        <v>97</v>
      </c>
      <c r="B2302" s="6" t="s">
        <v>53</v>
      </c>
      <c r="C2302" s="6">
        <v>1</v>
      </c>
      <c r="D2302" s="6">
        <v>5</v>
      </c>
      <c r="E2302" s="6">
        <v>1</v>
      </c>
      <c r="F2302" s="10">
        <v>46307</v>
      </c>
      <c r="G2302" s="6" t="str">
        <f>_xlfn.TEXTJOIN("|",TRUE,GameLog[[#This Row],[Pod]],TEXT(INT(GameLog[[#This Row],[Round]]),"yyyymmdd"),GameLog[[#This Row],[Date]])</f>
        <v>5|19000101|46307</v>
      </c>
      <c r="H2302" s="6">
        <f>COUNTIF(GameLog[Pod ID],GameLog[[#This Row],[Pod ID]])</f>
        <v>3</v>
      </c>
      <c r="I2302" s="6">
        <f>YEAR(GameLog[[#This Row],[Date]])</f>
        <v>2026</v>
      </c>
      <c r="J2302" s="6">
        <f>MONTH(GameLog[[#This Row],[Date]])</f>
        <v>10</v>
      </c>
      <c r="K2302" s="6" t="str">
        <f>IF(GameLog[[#This Row],[Date]]=MAX(GameLog[Date]),"Current","Previous")</f>
        <v>Current</v>
      </c>
      <c r="L2302" s="6"/>
      <c r="M230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2" s="6" t="str">
        <f ca="1">IF(GameLog[[#This Row],[Check]]="","",COUNTIF(GameLog[[#Headers],[Check]]:GameLog[[#This Row],[Check]],"?*")-1)</f>
        <v/>
      </c>
      <c r="O2302" s="6" t="str">
        <f>IFERROR(INDEX(Players[New name],MATCH(GameLog[[#This Row],[Player]],Players[Name],0)),GameLog[[#This Row],[Player]])</f>
        <v>Arman H</v>
      </c>
    </row>
    <row r="2303" spans="1:15" x14ac:dyDescent="0.45">
      <c r="A2303" s="6" t="s">
        <v>104</v>
      </c>
      <c r="B2303" s="6" t="s">
        <v>53</v>
      </c>
      <c r="C2303" s="6">
        <v>2</v>
      </c>
      <c r="D2303" s="6">
        <v>5</v>
      </c>
      <c r="E2303" s="6">
        <v>1</v>
      </c>
      <c r="F2303" s="10">
        <v>46307</v>
      </c>
      <c r="G2303" s="6" t="str">
        <f>_xlfn.TEXTJOIN("|",TRUE,GameLog[[#This Row],[Pod]],TEXT(INT(GameLog[[#This Row],[Round]]),"yyyymmdd"),GameLog[[#This Row],[Date]])</f>
        <v>5|19000101|46307</v>
      </c>
      <c r="H2303" s="6">
        <f>COUNTIF(GameLog[Pod ID],GameLog[[#This Row],[Pod ID]])</f>
        <v>3</v>
      </c>
      <c r="I2303" s="6">
        <f>YEAR(GameLog[[#This Row],[Date]])</f>
        <v>2026</v>
      </c>
      <c r="J2303" s="6">
        <f>MONTH(GameLog[[#This Row],[Date]])</f>
        <v>10</v>
      </c>
      <c r="K2303" s="6" t="str">
        <f>IF(GameLog[[#This Row],[Date]]=MAX(GameLog[Date]),"Current","Previous")</f>
        <v>Current</v>
      </c>
      <c r="L2303" s="6"/>
      <c r="M230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3" s="6" t="str">
        <f ca="1">IF(GameLog[[#This Row],[Check]]="","",COUNTIF(GameLog[[#Headers],[Check]]:GameLog[[#This Row],[Check]],"?*")-1)</f>
        <v/>
      </c>
      <c r="O2303" s="6" t="str">
        <f>IFERROR(INDEX(Players[New name],MATCH(GameLog[[#This Row],[Player]],Players[Name],0)),GameLog[[#This Row],[Player]])</f>
        <v>Eric E</v>
      </c>
    </row>
    <row r="2304" spans="1:15" x14ac:dyDescent="0.45">
      <c r="A2304" s="6" t="s">
        <v>73</v>
      </c>
      <c r="B2304" s="6" t="s">
        <v>50</v>
      </c>
      <c r="C2304" s="6">
        <v>3</v>
      </c>
      <c r="D2304" s="6">
        <v>5</v>
      </c>
      <c r="E2304" s="6">
        <v>1</v>
      </c>
      <c r="F2304" s="10">
        <v>46307</v>
      </c>
      <c r="G2304" s="6" t="str">
        <f>_xlfn.TEXTJOIN("|",TRUE,GameLog[[#This Row],[Pod]],TEXT(INT(GameLog[[#This Row],[Round]]),"yyyymmdd"),GameLog[[#This Row],[Date]])</f>
        <v>5|19000101|46307</v>
      </c>
      <c r="H2304" s="6">
        <f>COUNTIF(GameLog[Pod ID],GameLog[[#This Row],[Pod ID]])</f>
        <v>3</v>
      </c>
      <c r="I2304" s="6">
        <f>YEAR(GameLog[[#This Row],[Date]])</f>
        <v>2026</v>
      </c>
      <c r="J2304" s="6">
        <f>MONTH(GameLog[[#This Row],[Date]])</f>
        <v>10</v>
      </c>
      <c r="K2304" s="6" t="str">
        <f>IF(GameLog[[#This Row],[Date]]=MAX(GameLog[Date]),"Current","Previous")</f>
        <v>Current</v>
      </c>
      <c r="L2304" s="6"/>
      <c r="M230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4" s="6" t="str">
        <f ca="1">IF(GameLog[[#This Row],[Check]]="","",COUNTIF(GameLog[[#Headers],[Check]]:GameLog[[#This Row],[Check]],"?*")-1)</f>
        <v/>
      </c>
      <c r="O2304" s="6" t="str">
        <f>IFERROR(INDEX(Players[New name],MATCH(GameLog[[#This Row],[Player]],Players[Name],0)),GameLog[[#This Row],[Player]])</f>
        <v>Brandon B</v>
      </c>
    </row>
    <row r="2305" spans="1:15" x14ac:dyDescent="0.45">
      <c r="A2305" s="6" t="s">
        <v>64</v>
      </c>
      <c r="B2305" s="6" t="s">
        <v>90</v>
      </c>
      <c r="C2305" s="6">
        <v>1</v>
      </c>
      <c r="D2305" s="6">
        <v>6</v>
      </c>
      <c r="E2305" s="6">
        <v>1</v>
      </c>
      <c r="F2305" s="10">
        <v>46307</v>
      </c>
      <c r="G2305" s="6" t="str">
        <f>_xlfn.TEXTJOIN("|",TRUE,GameLog[[#This Row],[Pod]],TEXT(INT(GameLog[[#This Row],[Round]]),"yyyymmdd"),GameLog[[#This Row],[Date]])</f>
        <v>6|19000101|46307</v>
      </c>
      <c r="H2305" s="6">
        <f>COUNTIF(GameLog[Pod ID],GameLog[[#This Row],[Pod ID]])</f>
        <v>3</v>
      </c>
      <c r="I2305" s="6">
        <f>YEAR(GameLog[[#This Row],[Date]])</f>
        <v>2026</v>
      </c>
      <c r="J2305" s="6">
        <f>MONTH(GameLog[[#This Row],[Date]])</f>
        <v>10</v>
      </c>
      <c r="K2305" s="6" t="str">
        <f>IF(GameLog[[#This Row],[Date]]=MAX(GameLog[Date]),"Current","Previous")</f>
        <v>Current</v>
      </c>
      <c r="L2305" s="6"/>
      <c r="M230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5" s="6" t="str">
        <f ca="1">IF(GameLog[[#This Row],[Check]]="","",COUNTIF(GameLog[[#Headers],[Check]]:GameLog[[#This Row],[Check]],"?*")-1)</f>
        <v/>
      </c>
      <c r="O2305" s="6" t="str">
        <f>IFERROR(INDEX(Players[New name],MATCH(GameLog[[#This Row],[Player]],Players[Name],0)),GameLog[[#This Row],[Player]])</f>
        <v>Tyler B</v>
      </c>
    </row>
    <row r="2306" spans="1:15" x14ac:dyDescent="0.45">
      <c r="A2306" s="6" t="s">
        <v>113</v>
      </c>
      <c r="B2306" s="6" t="s">
        <v>90</v>
      </c>
      <c r="C2306" s="6">
        <v>2</v>
      </c>
      <c r="D2306" s="6">
        <v>6</v>
      </c>
      <c r="E2306" s="6">
        <v>1</v>
      </c>
      <c r="F2306" s="10">
        <v>46307</v>
      </c>
      <c r="G2306" s="6" t="str">
        <f>_xlfn.TEXTJOIN("|",TRUE,GameLog[[#This Row],[Pod]],TEXT(INT(GameLog[[#This Row],[Round]]),"yyyymmdd"),GameLog[[#This Row],[Date]])</f>
        <v>6|19000101|46307</v>
      </c>
      <c r="H2306" s="6">
        <f>COUNTIF(GameLog[Pod ID],GameLog[[#This Row],[Pod ID]])</f>
        <v>3</v>
      </c>
      <c r="I2306" s="6">
        <f>YEAR(GameLog[[#This Row],[Date]])</f>
        <v>2026</v>
      </c>
      <c r="J2306" s="6">
        <f>MONTH(GameLog[[#This Row],[Date]])</f>
        <v>10</v>
      </c>
      <c r="K2306" s="6" t="str">
        <f>IF(GameLog[[#This Row],[Date]]=MAX(GameLog[Date]),"Current","Previous")</f>
        <v>Current</v>
      </c>
      <c r="L2306" s="6"/>
      <c r="M230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6" s="6" t="str">
        <f ca="1">IF(GameLog[[#This Row],[Check]]="","",COUNTIF(GameLog[[#Headers],[Check]]:GameLog[[#This Row],[Check]],"?*")-1)</f>
        <v/>
      </c>
      <c r="O2306" s="6" t="str">
        <f>IFERROR(INDEX(Players[New name],MATCH(GameLog[[#This Row],[Player]],Players[Name],0)),GameLog[[#This Row],[Player]])</f>
        <v>Gavin J</v>
      </c>
    </row>
    <row r="2307" spans="1:15" x14ac:dyDescent="0.45">
      <c r="A2307" s="6" t="s">
        <v>75</v>
      </c>
      <c r="B2307" s="6" t="s">
        <v>90</v>
      </c>
      <c r="C2307" s="6">
        <v>3</v>
      </c>
      <c r="D2307" s="6">
        <v>6</v>
      </c>
      <c r="E2307" s="6">
        <v>1</v>
      </c>
      <c r="F2307" s="10">
        <v>46307</v>
      </c>
      <c r="G2307" s="6" t="str">
        <f>_xlfn.TEXTJOIN("|",TRUE,GameLog[[#This Row],[Pod]],TEXT(INT(GameLog[[#This Row],[Round]]),"yyyymmdd"),GameLog[[#This Row],[Date]])</f>
        <v>6|19000101|46307</v>
      </c>
      <c r="H2307" s="6">
        <f>COUNTIF(GameLog[Pod ID],GameLog[[#This Row],[Pod ID]])</f>
        <v>3</v>
      </c>
      <c r="I2307" s="6">
        <f>YEAR(GameLog[[#This Row],[Date]])</f>
        <v>2026</v>
      </c>
      <c r="J2307" s="6">
        <f>MONTH(GameLog[[#This Row],[Date]])</f>
        <v>10</v>
      </c>
      <c r="K2307" s="6" t="str">
        <f>IF(GameLog[[#This Row],[Date]]=MAX(GameLog[Date]),"Current","Previous")</f>
        <v>Current</v>
      </c>
      <c r="L2307" s="6"/>
      <c r="M230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7" s="6" t="str">
        <f ca="1">IF(GameLog[[#This Row],[Check]]="","",COUNTIF(GameLog[[#Headers],[Check]]:GameLog[[#This Row],[Check]],"?*")-1)</f>
        <v/>
      </c>
      <c r="O2307" s="6" t="str">
        <f>IFERROR(INDEX(Players[New name],MATCH(GameLog[[#This Row],[Player]],Players[Name],0)),GameLog[[#This Row],[Player]])</f>
        <v>Eli T</v>
      </c>
    </row>
    <row r="2308" spans="1:15" x14ac:dyDescent="0.45">
      <c r="A2308" s="6" t="s">
        <v>74</v>
      </c>
      <c r="B2308" s="6" t="s">
        <v>53</v>
      </c>
      <c r="C2308" s="6">
        <v>1</v>
      </c>
      <c r="D2308" s="6">
        <v>1</v>
      </c>
      <c r="E2308" s="6">
        <v>2</v>
      </c>
      <c r="F2308" s="10">
        <v>46307</v>
      </c>
      <c r="G2308" s="6" t="str">
        <f>_xlfn.TEXTJOIN("|",TRUE,GameLog[[#This Row],[Pod]],TEXT(INT(GameLog[[#This Row],[Round]]),"yyyymmdd"),GameLog[[#This Row],[Date]])</f>
        <v>1|19000102|46307</v>
      </c>
      <c r="H2308" s="6">
        <f>COUNTIF(GameLog[Pod ID],GameLog[[#This Row],[Pod ID]])</f>
        <v>4</v>
      </c>
      <c r="I2308" s="6">
        <f>YEAR(GameLog[[#This Row],[Date]])</f>
        <v>2026</v>
      </c>
      <c r="J2308" s="6">
        <f>MONTH(GameLog[[#This Row],[Date]])</f>
        <v>10</v>
      </c>
      <c r="K2308" s="6" t="str">
        <f>IF(GameLog[[#This Row],[Date]]=MAX(GameLog[Date]),"Current","Previous")</f>
        <v>Current</v>
      </c>
      <c r="L2308" s="6"/>
      <c r="M230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8" s="6" t="str">
        <f ca="1">IF(GameLog[[#This Row],[Check]]="","",COUNTIF(GameLog[[#Headers],[Check]]:GameLog[[#This Row],[Check]],"?*")-1)</f>
        <v/>
      </c>
      <c r="O2308" s="6" t="str">
        <f>IFERROR(INDEX(Players[New name],MATCH(GameLog[[#This Row],[Player]],Players[Name],0)),GameLog[[#This Row],[Player]])</f>
        <v>Jarrod O</v>
      </c>
    </row>
    <row r="2309" spans="1:15" x14ac:dyDescent="0.45">
      <c r="A2309" s="6" t="s">
        <v>73</v>
      </c>
      <c r="B2309" s="6" t="s">
        <v>53</v>
      </c>
      <c r="C2309" s="6">
        <v>2</v>
      </c>
      <c r="D2309" s="6">
        <v>1</v>
      </c>
      <c r="E2309" s="6">
        <v>2</v>
      </c>
      <c r="F2309" s="10">
        <v>46307</v>
      </c>
      <c r="G2309" s="6" t="str">
        <f>_xlfn.TEXTJOIN("|",TRUE,GameLog[[#This Row],[Pod]],TEXT(INT(GameLog[[#This Row],[Round]]),"yyyymmdd"),GameLog[[#This Row],[Date]])</f>
        <v>1|19000102|46307</v>
      </c>
      <c r="H2309" s="6">
        <f>COUNTIF(GameLog[Pod ID],GameLog[[#This Row],[Pod ID]])</f>
        <v>4</v>
      </c>
      <c r="I2309" s="6">
        <f>YEAR(GameLog[[#This Row],[Date]])</f>
        <v>2026</v>
      </c>
      <c r="J2309" s="6">
        <f>MONTH(GameLog[[#This Row],[Date]])</f>
        <v>10</v>
      </c>
      <c r="K2309" s="6" t="str">
        <f>IF(GameLog[[#This Row],[Date]]=MAX(GameLog[Date]),"Current","Previous")</f>
        <v>Current</v>
      </c>
      <c r="L2309" s="6"/>
      <c r="M230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09" s="6" t="str">
        <f ca="1">IF(GameLog[[#This Row],[Check]]="","",COUNTIF(GameLog[[#Headers],[Check]]:GameLog[[#This Row],[Check]],"?*")-1)</f>
        <v/>
      </c>
      <c r="O2309" s="6" t="str">
        <f>IFERROR(INDEX(Players[New name],MATCH(GameLog[[#This Row],[Player]],Players[Name],0)),GameLog[[#This Row],[Player]])</f>
        <v>Brandon B</v>
      </c>
    </row>
    <row r="2310" spans="1:15" x14ac:dyDescent="0.45">
      <c r="A2310" s="6" t="s">
        <v>88</v>
      </c>
      <c r="B2310" s="6" t="s">
        <v>53</v>
      </c>
      <c r="C2310" s="6">
        <v>3</v>
      </c>
      <c r="D2310" s="6">
        <v>1</v>
      </c>
      <c r="E2310" s="6">
        <v>2</v>
      </c>
      <c r="F2310" s="10">
        <v>46307</v>
      </c>
      <c r="G2310" s="6" t="str">
        <f>_xlfn.TEXTJOIN("|",TRUE,GameLog[[#This Row],[Pod]],TEXT(INT(GameLog[[#This Row],[Round]]),"yyyymmdd"),GameLog[[#This Row],[Date]])</f>
        <v>1|19000102|46307</v>
      </c>
      <c r="H2310" s="6">
        <f>COUNTIF(GameLog[Pod ID],GameLog[[#This Row],[Pod ID]])</f>
        <v>4</v>
      </c>
      <c r="I2310" s="6">
        <f>YEAR(GameLog[[#This Row],[Date]])</f>
        <v>2026</v>
      </c>
      <c r="J2310" s="6">
        <f>MONTH(GameLog[[#This Row],[Date]])</f>
        <v>10</v>
      </c>
      <c r="K2310" s="6" t="str">
        <f>IF(GameLog[[#This Row],[Date]]=MAX(GameLog[Date]),"Current","Previous")</f>
        <v>Current</v>
      </c>
      <c r="L2310" s="6"/>
      <c r="M231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0" s="6" t="str">
        <f ca="1">IF(GameLog[[#This Row],[Check]]="","",COUNTIF(GameLog[[#Headers],[Check]]:GameLog[[#This Row],[Check]],"?*")-1)</f>
        <v/>
      </c>
      <c r="O2310" s="6" t="str">
        <f>IFERROR(INDEX(Players[New name],MATCH(GameLog[[#This Row],[Player]],Players[Name],0)),GameLog[[#This Row],[Player]])</f>
        <v>Andrew R</v>
      </c>
    </row>
    <row r="2311" spans="1:15" x14ac:dyDescent="0.45">
      <c r="A2311" s="6" t="s">
        <v>64</v>
      </c>
      <c r="B2311" s="6" t="s">
        <v>50</v>
      </c>
      <c r="C2311" s="6">
        <v>4</v>
      </c>
      <c r="D2311" s="6">
        <v>1</v>
      </c>
      <c r="E2311" s="6">
        <v>2</v>
      </c>
      <c r="F2311" s="10">
        <v>46307</v>
      </c>
      <c r="G2311" s="6" t="str">
        <f>_xlfn.TEXTJOIN("|",TRUE,GameLog[[#This Row],[Pod]],TEXT(INT(GameLog[[#This Row],[Round]]),"yyyymmdd"),GameLog[[#This Row],[Date]])</f>
        <v>1|19000102|46307</v>
      </c>
      <c r="H2311" s="6">
        <f>COUNTIF(GameLog[Pod ID],GameLog[[#This Row],[Pod ID]])</f>
        <v>4</v>
      </c>
      <c r="I2311" s="6">
        <f>YEAR(GameLog[[#This Row],[Date]])</f>
        <v>2026</v>
      </c>
      <c r="J2311" s="6">
        <f>MONTH(GameLog[[#This Row],[Date]])</f>
        <v>10</v>
      </c>
      <c r="K2311" s="6" t="str">
        <f>IF(GameLog[[#This Row],[Date]]=MAX(GameLog[Date]),"Current","Previous")</f>
        <v>Current</v>
      </c>
      <c r="L2311" s="6"/>
      <c r="M231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1" s="6" t="str">
        <f ca="1">IF(GameLog[[#This Row],[Check]]="","",COUNTIF(GameLog[[#Headers],[Check]]:GameLog[[#This Row],[Check]],"?*")-1)</f>
        <v/>
      </c>
      <c r="O2311" s="6" t="str">
        <f>IFERROR(INDEX(Players[New name],MATCH(GameLog[[#This Row],[Player]],Players[Name],0)),GameLog[[#This Row],[Player]])</f>
        <v>Tyler B</v>
      </c>
    </row>
    <row r="2312" spans="1:15" x14ac:dyDescent="0.45">
      <c r="A2312" s="6" t="s">
        <v>97</v>
      </c>
      <c r="B2312" s="6" t="s">
        <v>53</v>
      </c>
      <c r="C2312" s="6">
        <v>1</v>
      </c>
      <c r="D2312" s="6">
        <v>2</v>
      </c>
      <c r="E2312" s="6">
        <v>2</v>
      </c>
      <c r="F2312" s="10">
        <v>46307</v>
      </c>
      <c r="G2312" s="6" t="str">
        <f>_xlfn.TEXTJOIN("|",TRUE,GameLog[[#This Row],[Pod]],TEXT(INT(GameLog[[#This Row],[Round]]),"yyyymmdd"),GameLog[[#This Row],[Date]])</f>
        <v>2|19000102|46307</v>
      </c>
      <c r="H2312" s="6">
        <f>COUNTIF(GameLog[Pod ID],GameLog[[#This Row],[Pod ID]])</f>
        <v>4</v>
      </c>
      <c r="I2312" s="6">
        <f>YEAR(GameLog[[#This Row],[Date]])</f>
        <v>2026</v>
      </c>
      <c r="J2312" s="6">
        <f>MONTH(GameLog[[#This Row],[Date]])</f>
        <v>10</v>
      </c>
      <c r="K2312" s="6" t="str">
        <f>IF(GameLog[[#This Row],[Date]]=MAX(GameLog[Date]),"Current","Previous")</f>
        <v>Current</v>
      </c>
      <c r="L2312" s="6"/>
      <c r="M231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2" s="6" t="str">
        <f ca="1">IF(GameLog[[#This Row],[Check]]="","",COUNTIF(GameLog[[#Headers],[Check]]:GameLog[[#This Row],[Check]],"?*")-1)</f>
        <v/>
      </c>
      <c r="O2312" s="6" t="str">
        <f>IFERROR(INDEX(Players[New name],MATCH(GameLog[[#This Row],[Player]],Players[Name],0)),GameLog[[#This Row],[Player]])</f>
        <v>Arman H</v>
      </c>
    </row>
    <row r="2313" spans="1:15" x14ac:dyDescent="0.45">
      <c r="A2313" s="6" t="s">
        <v>68</v>
      </c>
      <c r="B2313" s="6" t="s">
        <v>53</v>
      </c>
      <c r="C2313" s="6">
        <v>2</v>
      </c>
      <c r="D2313" s="6">
        <v>2</v>
      </c>
      <c r="E2313" s="6">
        <v>2</v>
      </c>
      <c r="F2313" s="10">
        <v>46307</v>
      </c>
      <c r="G2313" s="6" t="str">
        <f>_xlfn.TEXTJOIN("|",TRUE,GameLog[[#This Row],[Pod]],TEXT(INT(GameLog[[#This Row],[Round]]),"yyyymmdd"),GameLog[[#This Row],[Date]])</f>
        <v>2|19000102|46307</v>
      </c>
      <c r="H2313" s="6">
        <f>COUNTIF(GameLog[Pod ID],GameLog[[#This Row],[Pod ID]])</f>
        <v>4</v>
      </c>
      <c r="I2313" s="6">
        <f>YEAR(GameLog[[#This Row],[Date]])</f>
        <v>2026</v>
      </c>
      <c r="J2313" s="6">
        <f>MONTH(GameLog[[#This Row],[Date]])</f>
        <v>10</v>
      </c>
      <c r="K2313" s="6" t="str">
        <f>IF(GameLog[[#This Row],[Date]]=MAX(GameLog[Date]),"Current","Previous")</f>
        <v>Current</v>
      </c>
      <c r="L2313" s="6"/>
      <c r="M231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3" s="6" t="str">
        <f ca="1">IF(GameLog[[#This Row],[Check]]="","",COUNTIF(GameLog[[#Headers],[Check]]:GameLog[[#This Row],[Check]],"?*")-1)</f>
        <v/>
      </c>
      <c r="O2313" s="6" t="str">
        <f>IFERROR(INDEX(Players[New name],MATCH(GameLog[[#This Row],[Player]],Players[Name],0)),GameLog[[#This Row],[Player]])</f>
        <v>Edwin M</v>
      </c>
    </row>
    <row r="2314" spans="1:15" x14ac:dyDescent="0.45">
      <c r="A2314" s="6" t="s">
        <v>113</v>
      </c>
      <c r="B2314" s="6" t="s">
        <v>50</v>
      </c>
      <c r="C2314" s="6">
        <v>3</v>
      </c>
      <c r="D2314" s="6">
        <v>2</v>
      </c>
      <c r="E2314" s="6">
        <v>2</v>
      </c>
      <c r="F2314" s="10">
        <v>46307</v>
      </c>
      <c r="G2314" s="6" t="str">
        <f>_xlfn.TEXTJOIN("|",TRUE,GameLog[[#This Row],[Pod]],TEXT(INT(GameLog[[#This Row],[Round]]),"yyyymmdd"),GameLog[[#This Row],[Date]])</f>
        <v>2|19000102|46307</v>
      </c>
      <c r="H2314" s="6">
        <f>COUNTIF(GameLog[Pod ID],GameLog[[#This Row],[Pod ID]])</f>
        <v>4</v>
      </c>
      <c r="I2314" s="6">
        <f>YEAR(GameLog[[#This Row],[Date]])</f>
        <v>2026</v>
      </c>
      <c r="J2314" s="6">
        <f>MONTH(GameLog[[#This Row],[Date]])</f>
        <v>10</v>
      </c>
      <c r="K2314" s="6" t="str">
        <f>IF(GameLog[[#This Row],[Date]]=MAX(GameLog[Date]),"Current","Previous")</f>
        <v>Current</v>
      </c>
      <c r="L2314" s="6"/>
      <c r="M231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4" s="6" t="str">
        <f ca="1">IF(GameLog[[#This Row],[Check]]="","",COUNTIF(GameLog[[#Headers],[Check]]:GameLog[[#This Row],[Check]],"?*")-1)</f>
        <v/>
      </c>
      <c r="O2314" s="6" t="str">
        <f>IFERROR(INDEX(Players[New name],MATCH(GameLog[[#This Row],[Player]],Players[Name],0)),GameLog[[#This Row],[Player]])</f>
        <v>Gavin J</v>
      </c>
    </row>
    <row r="2315" spans="1:15" x14ac:dyDescent="0.45">
      <c r="A2315" s="6" t="s">
        <v>49</v>
      </c>
      <c r="B2315" s="6" t="s">
        <v>53</v>
      </c>
      <c r="C2315" s="6">
        <v>4</v>
      </c>
      <c r="D2315" s="6">
        <v>2</v>
      </c>
      <c r="E2315" s="6">
        <v>2</v>
      </c>
      <c r="F2315" s="10">
        <v>46307</v>
      </c>
      <c r="G2315" s="6" t="str">
        <f>_xlfn.TEXTJOIN("|",TRUE,GameLog[[#This Row],[Pod]],TEXT(INT(GameLog[[#This Row],[Round]]),"yyyymmdd"),GameLog[[#This Row],[Date]])</f>
        <v>2|19000102|46307</v>
      </c>
      <c r="H2315" s="6">
        <f>COUNTIF(GameLog[Pod ID],GameLog[[#This Row],[Pod ID]])</f>
        <v>4</v>
      </c>
      <c r="I2315" s="6">
        <f>YEAR(GameLog[[#This Row],[Date]])</f>
        <v>2026</v>
      </c>
      <c r="J2315" s="6">
        <f>MONTH(GameLog[[#This Row],[Date]])</f>
        <v>10</v>
      </c>
      <c r="K2315" s="6" t="str">
        <f>IF(GameLog[[#This Row],[Date]]=MAX(GameLog[Date]),"Current","Previous")</f>
        <v>Current</v>
      </c>
      <c r="L2315" s="6"/>
      <c r="M231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5" s="6" t="str">
        <f ca="1">IF(GameLog[[#This Row],[Check]]="","",COUNTIF(GameLog[[#Headers],[Check]]:GameLog[[#This Row],[Check]],"?*")-1)</f>
        <v/>
      </c>
      <c r="O2315" s="6" t="str">
        <f>IFERROR(INDEX(Players[New name],MATCH(GameLog[[#This Row],[Player]],Players[Name],0)),GameLog[[#This Row],[Player]])</f>
        <v>Brett R</v>
      </c>
    </row>
    <row r="2316" spans="1:15" x14ac:dyDescent="0.45">
      <c r="A2316" s="6" t="s">
        <v>75</v>
      </c>
      <c r="B2316" s="6" t="s">
        <v>50</v>
      </c>
      <c r="C2316" s="6">
        <v>1</v>
      </c>
      <c r="D2316" s="6">
        <v>3</v>
      </c>
      <c r="E2316" s="6">
        <v>2</v>
      </c>
      <c r="F2316" s="10">
        <v>46307</v>
      </c>
      <c r="G2316" s="6" t="str">
        <f>_xlfn.TEXTJOIN("|",TRUE,GameLog[[#This Row],[Pod]],TEXT(INT(GameLog[[#This Row],[Round]]),"yyyymmdd"),GameLog[[#This Row],[Date]])</f>
        <v>3|19000102|46307</v>
      </c>
      <c r="H2316" s="6">
        <f>COUNTIF(GameLog[Pod ID],GameLog[[#This Row],[Pod ID]])</f>
        <v>4</v>
      </c>
      <c r="I2316" s="6">
        <f>YEAR(GameLog[[#This Row],[Date]])</f>
        <v>2026</v>
      </c>
      <c r="J2316" s="6">
        <f>MONTH(GameLog[[#This Row],[Date]])</f>
        <v>10</v>
      </c>
      <c r="K2316" s="6" t="str">
        <f>IF(GameLog[[#This Row],[Date]]=MAX(GameLog[Date]),"Current","Previous")</f>
        <v>Current</v>
      </c>
      <c r="L2316" s="6"/>
      <c r="M231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6" s="6" t="str">
        <f ca="1">IF(GameLog[[#This Row],[Check]]="","",COUNTIF(GameLog[[#Headers],[Check]]:GameLog[[#This Row],[Check]],"?*")-1)</f>
        <v/>
      </c>
      <c r="O2316" s="6" t="str">
        <f>IFERROR(INDEX(Players[New name],MATCH(GameLog[[#This Row],[Player]],Players[Name],0)),GameLog[[#This Row],[Player]])</f>
        <v>Eli T</v>
      </c>
    </row>
    <row r="2317" spans="1:15" x14ac:dyDescent="0.45">
      <c r="A2317" s="6" t="s">
        <v>109</v>
      </c>
      <c r="B2317" s="6" t="s">
        <v>53</v>
      </c>
      <c r="C2317" s="6">
        <v>2</v>
      </c>
      <c r="D2317" s="6">
        <v>3</v>
      </c>
      <c r="E2317" s="6">
        <v>2</v>
      </c>
      <c r="F2317" s="10">
        <v>46307</v>
      </c>
      <c r="G2317" s="6" t="str">
        <f>_xlfn.TEXTJOIN("|",TRUE,GameLog[[#This Row],[Pod]],TEXT(INT(GameLog[[#This Row],[Round]]),"yyyymmdd"),GameLog[[#This Row],[Date]])</f>
        <v>3|19000102|46307</v>
      </c>
      <c r="H2317" s="6">
        <f>COUNTIF(GameLog[Pod ID],GameLog[[#This Row],[Pod ID]])</f>
        <v>4</v>
      </c>
      <c r="I2317" s="6">
        <f>YEAR(GameLog[[#This Row],[Date]])</f>
        <v>2026</v>
      </c>
      <c r="J2317" s="6">
        <f>MONTH(GameLog[[#This Row],[Date]])</f>
        <v>10</v>
      </c>
      <c r="K2317" s="6" t="str">
        <f>IF(GameLog[[#This Row],[Date]]=MAX(GameLog[Date]),"Current","Previous")</f>
        <v>Current</v>
      </c>
      <c r="L2317" s="6"/>
      <c r="M231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7" s="6" t="str">
        <f ca="1">IF(GameLog[[#This Row],[Check]]="","",COUNTIF(GameLog[[#Headers],[Check]]:GameLog[[#This Row],[Check]],"?*")-1)</f>
        <v/>
      </c>
      <c r="O2317" s="6" t="str">
        <f>IFERROR(INDEX(Players[New name],MATCH(GameLog[[#This Row],[Player]],Players[Name],0)),GameLog[[#This Row],[Player]])</f>
        <v>Taylor C</v>
      </c>
    </row>
    <row r="2318" spans="1:15" x14ac:dyDescent="0.45">
      <c r="A2318" s="6" t="s">
        <v>63</v>
      </c>
      <c r="B2318" s="6" t="s">
        <v>53</v>
      </c>
      <c r="C2318" s="6">
        <v>3</v>
      </c>
      <c r="D2318" s="6">
        <v>3</v>
      </c>
      <c r="E2318" s="6">
        <v>2</v>
      </c>
      <c r="F2318" s="10">
        <v>46307</v>
      </c>
      <c r="G2318" s="6" t="str">
        <f>_xlfn.TEXTJOIN("|",TRUE,GameLog[[#This Row],[Pod]],TEXT(INT(GameLog[[#This Row],[Round]]),"yyyymmdd"),GameLog[[#This Row],[Date]])</f>
        <v>3|19000102|46307</v>
      </c>
      <c r="H2318" s="6">
        <f>COUNTIF(GameLog[Pod ID],GameLog[[#This Row],[Pod ID]])</f>
        <v>4</v>
      </c>
      <c r="I2318" s="6">
        <f>YEAR(GameLog[[#This Row],[Date]])</f>
        <v>2026</v>
      </c>
      <c r="J2318" s="6">
        <f>MONTH(GameLog[[#This Row],[Date]])</f>
        <v>10</v>
      </c>
      <c r="K2318" s="6" t="str">
        <f>IF(GameLog[[#This Row],[Date]]=MAX(GameLog[Date]),"Current","Previous")</f>
        <v>Current</v>
      </c>
      <c r="L2318" s="6"/>
      <c r="M231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8" s="6" t="str">
        <f ca="1">IF(GameLog[[#This Row],[Check]]="","",COUNTIF(GameLog[[#Headers],[Check]]:GameLog[[#This Row],[Check]],"?*")-1)</f>
        <v/>
      </c>
      <c r="O2318" s="6" t="str">
        <f>IFERROR(INDEX(Players[New name],MATCH(GameLog[[#This Row],[Player]],Players[Name],0)),GameLog[[#This Row],[Player]])</f>
        <v>Jake D</v>
      </c>
    </row>
    <row r="2319" spans="1:15" x14ac:dyDescent="0.45">
      <c r="A2319" s="6" t="s">
        <v>104</v>
      </c>
      <c r="B2319" s="6" t="s">
        <v>53</v>
      </c>
      <c r="C2319" s="6">
        <v>4</v>
      </c>
      <c r="D2319" s="6">
        <v>3</v>
      </c>
      <c r="E2319" s="6">
        <v>2</v>
      </c>
      <c r="F2319" s="10">
        <v>46307</v>
      </c>
      <c r="G2319" s="6" t="str">
        <f>_xlfn.TEXTJOIN("|",TRUE,GameLog[[#This Row],[Pod]],TEXT(INT(GameLog[[#This Row],[Round]]),"yyyymmdd"),GameLog[[#This Row],[Date]])</f>
        <v>3|19000102|46307</v>
      </c>
      <c r="H2319" s="6">
        <f>COUNTIF(GameLog[Pod ID],GameLog[[#This Row],[Pod ID]])</f>
        <v>4</v>
      </c>
      <c r="I2319" s="6">
        <f>YEAR(GameLog[[#This Row],[Date]])</f>
        <v>2026</v>
      </c>
      <c r="J2319" s="6">
        <f>MONTH(GameLog[[#This Row],[Date]])</f>
        <v>10</v>
      </c>
      <c r="K2319" s="6" t="str">
        <f>IF(GameLog[[#This Row],[Date]]=MAX(GameLog[Date]),"Current","Previous")</f>
        <v>Current</v>
      </c>
      <c r="L2319" s="6"/>
      <c r="M231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19" s="6" t="str">
        <f ca="1">IF(GameLog[[#This Row],[Check]]="","",COUNTIF(GameLog[[#Headers],[Check]]:GameLog[[#This Row],[Check]],"?*")-1)</f>
        <v/>
      </c>
      <c r="O2319" s="6" t="str">
        <f>IFERROR(INDEX(Players[New name],MATCH(GameLog[[#This Row],[Player]],Players[Name],0)),GameLog[[#This Row],[Player]])</f>
        <v>Eric E</v>
      </c>
    </row>
    <row r="2320" spans="1:15" x14ac:dyDescent="0.45">
      <c r="A2320" s="6" t="s">
        <v>56</v>
      </c>
      <c r="B2320" s="6" t="s">
        <v>90</v>
      </c>
      <c r="C2320" s="6">
        <v>1</v>
      </c>
      <c r="D2320" s="6">
        <v>4</v>
      </c>
      <c r="E2320" s="6">
        <v>2</v>
      </c>
      <c r="F2320" s="10">
        <v>46307</v>
      </c>
      <c r="G2320" s="6" t="str">
        <f>_xlfn.TEXTJOIN("|",TRUE,GameLog[[#This Row],[Pod]],TEXT(INT(GameLog[[#This Row],[Round]]),"yyyymmdd"),GameLog[[#This Row],[Date]])</f>
        <v>4|19000102|46307</v>
      </c>
      <c r="H2320" s="6">
        <f>COUNTIF(GameLog[Pod ID],GameLog[[#This Row],[Pod ID]])</f>
        <v>4</v>
      </c>
      <c r="I2320" s="6">
        <f>YEAR(GameLog[[#This Row],[Date]])</f>
        <v>2026</v>
      </c>
      <c r="J2320" s="6">
        <f>MONTH(GameLog[[#This Row],[Date]])</f>
        <v>10</v>
      </c>
      <c r="K2320" s="6" t="str">
        <f>IF(GameLog[[#This Row],[Date]]=MAX(GameLog[Date]),"Current","Previous")</f>
        <v>Current</v>
      </c>
      <c r="L2320" s="6"/>
      <c r="M2320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0" s="6" t="str">
        <f ca="1">IF(GameLog[[#This Row],[Check]]="","",COUNTIF(GameLog[[#Headers],[Check]]:GameLog[[#This Row],[Check]],"?*")-1)</f>
        <v/>
      </c>
      <c r="O2320" s="6" t="str">
        <f>IFERROR(INDEX(Players[New name],MATCH(GameLog[[#This Row],[Player]],Players[Name],0)),GameLog[[#This Row],[Player]])</f>
        <v>Mark D</v>
      </c>
    </row>
    <row r="2321" spans="1:15" x14ac:dyDescent="0.45">
      <c r="A2321" s="6" t="s">
        <v>57</v>
      </c>
      <c r="B2321" s="6" t="s">
        <v>90</v>
      </c>
      <c r="C2321" s="6">
        <v>2</v>
      </c>
      <c r="D2321" s="6">
        <v>4</v>
      </c>
      <c r="E2321" s="6">
        <v>2</v>
      </c>
      <c r="F2321" s="10">
        <v>46307</v>
      </c>
      <c r="G2321" s="6" t="str">
        <f>_xlfn.TEXTJOIN("|",TRUE,GameLog[[#This Row],[Pod]],TEXT(INT(GameLog[[#This Row],[Round]]),"yyyymmdd"),GameLog[[#This Row],[Date]])</f>
        <v>4|19000102|46307</v>
      </c>
      <c r="H2321" s="6">
        <f>COUNTIF(GameLog[Pod ID],GameLog[[#This Row],[Pod ID]])</f>
        <v>4</v>
      </c>
      <c r="I2321" s="6">
        <f>YEAR(GameLog[[#This Row],[Date]])</f>
        <v>2026</v>
      </c>
      <c r="J2321" s="6">
        <f>MONTH(GameLog[[#This Row],[Date]])</f>
        <v>10</v>
      </c>
      <c r="K2321" s="6" t="str">
        <f>IF(GameLog[[#This Row],[Date]]=MAX(GameLog[Date]),"Current","Previous")</f>
        <v>Current</v>
      </c>
      <c r="L2321" s="6"/>
      <c r="M2321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1" s="6" t="str">
        <f ca="1">IF(GameLog[[#This Row],[Check]]="","",COUNTIF(GameLog[[#Headers],[Check]]:GameLog[[#This Row],[Check]],"?*")-1)</f>
        <v/>
      </c>
      <c r="O2321" s="6" t="str">
        <f>IFERROR(INDEX(Players[New name],MATCH(GameLog[[#This Row],[Player]],Players[Name],0)),GameLog[[#This Row],[Player]])</f>
        <v>AJ W</v>
      </c>
    </row>
    <row r="2322" spans="1:15" x14ac:dyDescent="0.45">
      <c r="A2322" s="6" t="s">
        <v>96</v>
      </c>
      <c r="B2322" s="6" t="s">
        <v>90</v>
      </c>
      <c r="C2322" s="6">
        <v>3</v>
      </c>
      <c r="D2322" s="6">
        <v>4</v>
      </c>
      <c r="E2322" s="6">
        <v>2</v>
      </c>
      <c r="F2322" s="10">
        <v>46307</v>
      </c>
      <c r="G2322" s="6" t="str">
        <f>_xlfn.TEXTJOIN("|",TRUE,GameLog[[#This Row],[Pod]],TEXT(INT(GameLog[[#This Row],[Round]]),"yyyymmdd"),GameLog[[#This Row],[Date]])</f>
        <v>4|19000102|46307</v>
      </c>
      <c r="H2322" s="6">
        <f>COUNTIF(GameLog[Pod ID],GameLog[[#This Row],[Pod ID]])</f>
        <v>4</v>
      </c>
      <c r="I2322" s="6">
        <f>YEAR(GameLog[[#This Row],[Date]])</f>
        <v>2026</v>
      </c>
      <c r="J2322" s="6">
        <f>MONTH(GameLog[[#This Row],[Date]])</f>
        <v>10</v>
      </c>
      <c r="K2322" s="6" t="str">
        <f>IF(GameLog[[#This Row],[Date]]=MAX(GameLog[Date]),"Current","Previous")</f>
        <v>Current</v>
      </c>
      <c r="L2322" s="6"/>
      <c r="M2322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2" s="6" t="str">
        <f ca="1">IF(GameLog[[#This Row],[Check]]="","",COUNTIF(GameLog[[#Headers],[Check]]:GameLog[[#This Row],[Check]],"?*")-1)</f>
        <v/>
      </c>
      <c r="O2322" s="6" t="str">
        <f>IFERROR(INDEX(Players[New name],MATCH(GameLog[[#This Row],[Player]],Players[Name],0)),GameLog[[#This Row],[Player]])</f>
        <v>Brandon A</v>
      </c>
    </row>
    <row r="2323" spans="1:15" x14ac:dyDescent="0.45">
      <c r="A2323" s="6" t="s">
        <v>110</v>
      </c>
      <c r="B2323" s="6" t="s">
        <v>90</v>
      </c>
      <c r="C2323" s="6">
        <v>4</v>
      </c>
      <c r="D2323" s="6">
        <v>4</v>
      </c>
      <c r="E2323" s="6">
        <v>2</v>
      </c>
      <c r="F2323" s="10">
        <v>46307</v>
      </c>
      <c r="G2323" s="6" t="str">
        <f>_xlfn.TEXTJOIN("|",TRUE,GameLog[[#This Row],[Pod]],TEXT(INT(GameLog[[#This Row],[Round]]),"yyyymmdd"),GameLog[[#This Row],[Date]])</f>
        <v>4|19000102|46307</v>
      </c>
      <c r="H2323" s="6">
        <f>COUNTIF(GameLog[Pod ID],GameLog[[#This Row],[Pod ID]])</f>
        <v>4</v>
      </c>
      <c r="I2323" s="6">
        <f>YEAR(GameLog[[#This Row],[Date]])</f>
        <v>2026</v>
      </c>
      <c r="J2323" s="6">
        <f>MONTH(GameLog[[#This Row],[Date]])</f>
        <v>10</v>
      </c>
      <c r="K2323" s="6" t="str">
        <f>IF(GameLog[[#This Row],[Date]]=MAX(GameLog[Date]),"Current","Previous")</f>
        <v>Current</v>
      </c>
      <c r="L2323" s="6"/>
      <c r="M2323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3" s="6" t="str">
        <f ca="1">IF(GameLog[[#This Row],[Check]]="","",COUNTIF(GameLog[[#Headers],[Check]]:GameLog[[#This Row],[Check]],"?*")-1)</f>
        <v/>
      </c>
      <c r="O2323" s="6" t="str">
        <f>IFERROR(INDEX(Players[New name],MATCH(GameLog[[#This Row],[Player]],Players[Name],0)),GameLog[[#This Row],[Player]])</f>
        <v>Paul B</v>
      </c>
    </row>
    <row r="2324" spans="1:15" x14ac:dyDescent="0.45">
      <c r="A2324" s="6" t="s">
        <v>119</v>
      </c>
      <c r="B2324" s="6" t="s">
        <v>90</v>
      </c>
      <c r="C2324" s="6">
        <v>1</v>
      </c>
      <c r="D2324" s="6">
        <v>5</v>
      </c>
      <c r="E2324" s="6">
        <v>2</v>
      </c>
      <c r="F2324" s="10">
        <v>46307</v>
      </c>
      <c r="G2324" s="6" t="str">
        <f>_xlfn.TEXTJOIN("|",TRUE,GameLog[[#This Row],[Pod]],TEXT(INT(GameLog[[#This Row],[Round]]),"yyyymmdd"),GameLog[[#This Row],[Date]])</f>
        <v>5|19000102|46307</v>
      </c>
      <c r="H2324" s="6">
        <f>COUNTIF(GameLog[Pod ID],GameLog[[#This Row],[Pod ID]])</f>
        <v>3</v>
      </c>
      <c r="I2324" s="6">
        <f>YEAR(GameLog[[#This Row],[Date]])</f>
        <v>2026</v>
      </c>
      <c r="J2324" s="6">
        <f>MONTH(GameLog[[#This Row],[Date]])</f>
        <v>10</v>
      </c>
      <c r="K2324" s="6" t="str">
        <f>IF(GameLog[[#This Row],[Date]]=MAX(GameLog[Date]),"Current","Previous")</f>
        <v>Current</v>
      </c>
      <c r="L2324" s="6"/>
      <c r="M2324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4" s="6" t="str">
        <f ca="1">IF(GameLog[[#This Row],[Check]]="","",COUNTIF(GameLog[[#Headers],[Check]]:GameLog[[#This Row],[Check]],"?*")-1)</f>
        <v/>
      </c>
      <c r="O2324" s="6" t="str">
        <f>IFERROR(INDEX(Players[New name],MATCH(GameLog[[#This Row],[Player]],Players[Name],0)),GameLog[[#This Row],[Player]])</f>
        <v>Cristian S</v>
      </c>
    </row>
    <row r="2325" spans="1:15" x14ac:dyDescent="0.45">
      <c r="A2325" s="6" t="s">
        <v>71</v>
      </c>
      <c r="B2325" s="6" t="s">
        <v>90</v>
      </c>
      <c r="C2325" s="6">
        <v>2</v>
      </c>
      <c r="D2325" s="6">
        <v>5</v>
      </c>
      <c r="E2325" s="6">
        <v>2</v>
      </c>
      <c r="F2325" s="10">
        <v>46307</v>
      </c>
      <c r="G2325" s="6" t="str">
        <f>_xlfn.TEXTJOIN("|",TRUE,GameLog[[#This Row],[Pod]],TEXT(INT(GameLog[[#This Row],[Round]]),"yyyymmdd"),GameLog[[#This Row],[Date]])</f>
        <v>5|19000102|46307</v>
      </c>
      <c r="H2325" s="6">
        <f>COUNTIF(GameLog[Pod ID],GameLog[[#This Row],[Pod ID]])</f>
        <v>3</v>
      </c>
      <c r="I2325" s="6">
        <f>YEAR(GameLog[[#This Row],[Date]])</f>
        <v>2026</v>
      </c>
      <c r="J2325" s="6">
        <f>MONTH(GameLog[[#This Row],[Date]])</f>
        <v>10</v>
      </c>
      <c r="K2325" s="6" t="str">
        <f>IF(GameLog[[#This Row],[Date]]=MAX(GameLog[Date]),"Current","Previous")</f>
        <v>Current</v>
      </c>
      <c r="L2325" s="6"/>
      <c r="M2325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5" s="6" t="str">
        <f ca="1">IF(GameLog[[#This Row],[Check]]="","",COUNTIF(GameLog[[#Headers],[Check]]:GameLog[[#This Row],[Check]],"?*")-1)</f>
        <v/>
      </c>
      <c r="O2325" s="6" t="str">
        <f>IFERROR(INDEX(Players[New name],MATCH(GameLog[[#This Row],[Player]],Players[Name],0)),GameLog[[#This Row],[Player]])</f>
        <v>Rodney Y</v>
      </c>
    </row>
    <row r="2326" spans="1:15" x14ac:dyDescent="0.45">
      <c r="A2326" s="6" t="s">
        <v>118</v>
      </c>
      <c r="B2326" s="6" t="s">
        <v>90</v>
      </c>
      <c r="C2326" s="6">
        <v>3</v>
      </c>
      <c r="D2326" s="6">
        <v>5</v>
      </c>
      <c r="E2326" s="6">
        <v>2</v>
      </c>
      <c r="F2326" s="10">
        <v>46307</v>
      </c>
      <c r="G2326" s="6" t="str">
        <f>_xlfn.TEXTJOIN("|",TRUE,GameLog[[#This Row],[Pod]],TEXT(INT(GameLog[[#This Row],[Round]]),"yyyymmdd"),GameLog[[#This Row],[Date]])</f>
        <v>5|19000102|46307</v>
      </c>
      <c r="H2326" s="6">
        <f>COUNTIF(GameLog[Pod ID],GameLog[[#This Row],[Pod ID]])</f>
        <v>3</v>
      </c>
      <c r="I2326" s="6">
        <f>YEAR(GameLog[[#This Row],[Date]])</f>
        <v>2026</v>
      </c>
      <c r="J2326" s="6">
        <f>MONTH(GameLog[[#This Row],[Date]])</f>
        <v>10</v>
      </c>
      <c r="K2326" s="6" t="str">
        <f>IF(GameLog[[#This Row],[Date]]=MAX(GameLog[Date]),"Current","Previous")</f>
        <v>Current</v>
      </c>
      <c r="L2326" s="6"/>
      <c r="M2326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6" s="6" t="str">
        <f ca="1">IF(GameLog[[#This Row],[Check]]="","",COUNTIF(GameLog[[#Headers],[Check]]:GameLog[[#This Row],[Check]],"?*")-1)</f>
        <v/>
      </c>
      <c r="O2326" s="6" t="str">
        <f>IFERROR(INDEX(Players[New name],MATCH(GameLog[[#This Row],[Player]],Players[Name],0)),GameLog[[#This Row],[Player]])</f>
        <v>Eric T</v>
      </c>
    </row>
    <row r="2327" spans="1:15" x14ac:dyDescent="0.45">
      <c r="A2327" s="6" t="s">
        <v>55</v>
      </c>
      <c r="B2327" s="6" t="s">
        <v>50</v>
      </c>
      <c r="C2327" s="6">
        <v>1</v>
      </c>
      <c r="D2327" s="6">
        <v>6</v>
      </c>
      <c r="E2327" s="6">
        <v>2</v>
      </c>
      <c r="F2327" s="10">
        <v>46307</v>
      </c>
      <c r="G2327" s="6" t="str">
        <f>_xlfn.TEXTJOIN("|",TRUE,GameLog[[#This Row],[Pod]],TEXT(INT(GameLog[[#This Row],[Round]]),"yyyymmdd"),GameLog[[#This Row],[Date]])</f>
        <v>6|19000102|46307</v>
      </c>
      <c r="H2327" s="6">
        <f>COUNTIF(GameLog[Pod ID],GameLog[[#This Row],[Pod ID]])</f>
        <v>3</v>
      </c>
      <c r="I2327" s="6">
        <f>YEAR(GameLog[[#This Row],[Date]])</f>
        <v>2026</v>
      </c>
      <c r="J2327" s="6">
        <f>MONTH(GameLog[[#This Row],[Date]])</f>
        <v>10</v>
      </c>
      <c r="K2327" s="6" t="str">
        <f>IF(GameLog[[#This Row],[Date]]=MAX(GameLog[Date]),"Current","Previous")</f>
        <v>Current</v>
      </c>
      <c r="L2327" s="6"/>
      <c r="M2327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7" s="6" t="str">
        <f ca="1">IF(GameLog[[#This Row],[Check]]="","",COUNTIF(GameLog[[#Headers],[Check]]:GameLog[[#This Row],[Check]],"?*")-1)</f>
        <v/>
      </c>
      <c r="O2327" s="6" t="str">
        <f>IFERROR(INDEX(Players[New name],MATCH(GameLog[[#This Row],[Player]],Players[Name],0)),GameLog[[#This Row],[Player]])</f>
        <v>Bryce C</v>
      </c>
    </row>
    <row r="2328" spans="1:15" x14ac:dyDescent="0.45">
      <c r="A2328" s="6" t="s">
        <v>102</v>
      </c>
      <c r="B2328" s="6" t="s">
        <v>53</v>
      </c>
      <c r="C2328" s="6">
        <v>2</v>
      </c>
      <c r="D2328" s="6">
        <v>6</v>
      </c>
      <c r="E2328" s="6">
        <v>2</v>
      </c>
      <c r="F2328" s="10">
        <v>46307</v>
      </c>
      <c r="G2328" s="6" t="str">
        <f>_xlfn.TEXTJOIN("|",TRUE,GameLog[[#This Row],[Pod]],TEXT(INT(GameLog[[#This Row],[Round]]),"yyyymmdd"),GameLog[[#This Row],[Date]])</f>
        <v>6|19000102|46307</v>
      </c>
      <c r="H2328" s="6">
        <f>COUNTIF(GameLog[Pod ID],GameLog[[#This Row],[Pod ID]])</f>
        <v>3</v>
      </c>
      <c r="I2328" s="6">
        <f>YEAR(GameLog[[#This Row],[Date]])</f>
        <v>2026</v>
      </c>
      <c r="J2328" s="6">
        <f>MONTH(GameLog[[#This Row],[Date]])</f>
        <v>10</v>
      </c>
      <c r="K2328" s="6" t="str">
        <f>IF(GameLog[[#This Row],[Date]]=MAX(GameLog[Date]),"Current","Previous")</f>
        <v>Current</v>
      </c>
      <c r="L2328" s="6"/>
      <c r="M2328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8" s="6" t="str">
        <f ca="1">IF(GameLog[[#This Row],[Check]]="","",COUNTIF(GameLog[[#Headers],[Check]]:GameLog[[#This Row],[Check]],"?*")-1)</f>
        <v/>
      </c>
      <c r="O2328" s="6" t="str">
        <f>IFERROR(INDEX(Players[New name],MATCH(GameLog[[#This Row],[Player]],Players[Name],0)),GameLog[[#This Row],[Player]])</f>
        <v>Sage</v>
      </c>
    </row>
    <row r="2329" spans="1:15" x14ac:dyDescent="0.45">
      <c r="A2329" s="6" t="s">
        <v>58</v>
      </c>
      <c r="B2329" s="6" t="s">
        <v>53</v>
      </c>
      <c r="C2329" s="6">
        <v>3</v>
      </c>
      <c r="D2329" s="6">
        <v>6</v>
      </c>
      <c r="E2329" s="6">
        <v>2</v>
      </c>
      <c r="F2329" s="10">
        <v>46307</v>
      </c>
      <c r="G2329" s="6" t="str">
        <f>_xlfn.TEXTJOIN("|",TRUE,GameLog[[#This Row],[Pod]],TEXT(INT(GameLog[[#This Row],[Round]]),"yyyymmdd"),GameLog[[#This Row],[Date]])</f>
        <v>6|19000102|46307</v>
      </c>
      <c r="H2329" s="6">
        <f>COUNTIF(GameLog[Pod ID],GameLog[[#This Row],[Pod ID]])</f>
        <v>3</v>
      </c>
      <c r="I2329" s="6">
        <f>YEAR(GameLog[[#This Row],[Date]])</f>
        <v>2026</v>
      </c>
      <c r="J2329" s="6">
        <f>MONTH(GameLog[[#This Row],[Date]])</f>
        <v>10</v>
      </c>
      <c r="K2329" s="6" t="str">
        <f>IF(GameLog[[#This Row],[Date]]=MAX(GameLog[Date]),"Current","Previous")</f>
        <v>Current</v>
      </c>
      <c r="L2329" s="6"/>
      <c r="M2329" s="6" t="str">
        <f ca="1">IF(GameLog[[#This Row],[Reviewed]]&lt;&gt;"","",_xlfn.TEXTJOIN("; ",TRUE,IF(TRIM(GameLog[[#This Row],[Player]])="","Name blank",IF(GameLog[[#This Row],[Player]]&lt;&gt;TRIM(GameLog[[#This Row],[Player]]),"Extra space in name",IF(SUMPRODUCT(--EXACT(Players[Name],GameLog[[#This Row],[Player]]))=0,"Name not in Players list",""))),IF(ISNUMBER(MATCH(GameLog[[#This Row],[Result]],{"Win","Loss","Draw"},0)),"","Result must be Win/Loss/Draw"),IF(GameLog[[#This Row],[Seat]]="","Seat missing",IF(OR(NOT(ISNUMBER(GameLog[[#This Row],[Seat]])),GameLog[[#This Row],[Seat]]&lt;1,GameLog[[#This Row],[Seat]]&gt;GameLog[[#This Row],[Pod Size]]),"Seat out of range",IF(COUNTIFS(GameLog[Pod ID],GameLog[[#This Row],[Pod ID]],GameLog[Seat],GameLog[[#This Row],[Seat]])&gt;1,"Duplicate seat in pod",""))),IF(COUNTIFS(GameLog[Pod ID],GameLog[[#This Row],[Pod ID]],GameLog[Result],"Draw")=0,IF(COUNTIFS(GameLog[Pod ID],GameLog[[#This Row],[Pod ID]],GameLog[Result],"Win")=1,"",IF(COUNTIFS(GameLog[Pod ID],GameLog[[#This Row],[Pod ID]],GameLog[Result],"Win")=0,"No winner in pod","Multiple winners in pod ("&amp;COUNTIFS(GameLog[Pod ID],GameLog[[#This Row],[Pod ID]],GameLog[Result],"Win")&amp;")")),IF(COUNTIFS(GameLog[Pod ID],GameLog[[#This Row],[Pod ID]],GameLog[Result],"Draw")&lt;GameLog[[#This Row],[Pod Size]],"Pod mixes draws and non-draws","")),IF(OR(GameLog[[#This Row],[Pod Size]]&lt;Pod_Min,GameLog[[#This Row],[Pod Size]]&gt;Pod_Max),"Pod size outside "&amp;Pod_Min&amp;"-"&amp;Pod_Max&amp;" ("&amp;GameLog[[#This Row],[Pod Size]]&amp;")",""),IF(GameLog[[#This Row],[Player]]="Unknown","",IF(COUNTIFS(GameLog[Pod ID],GameLog[[#This Row],[Pod ID]],GameLog[Player],GameLog[[#This Row],[Player]])&gt;1,"Player listed twice in pod",IF(COUNTIFS(GameLog[Date],GameLog[[#This Row],[Date]],GameLog[Round],GameLog[[#This Row],[Round]],GameLog[Player],GameLog[[#This Row],[Player]])&gt;1,"Player in 2 pods this round",""))),IF(NOT(ISNUMBER(GameLog[[#This Row],[Date]])),"Date invalid",IF(GameLog[[#This Row],[Date]]&gt;TODAY(),"Date in future",IF(WEEKDAY(GameLog[[#This Row],[Date]],2)&lt;&gt;Game_Day,"Not a "&amp;INDEX({"Monday","Tuesday","Wednesday","Thursday","Friday","Saturday","Sunday"},Game_Day)&amp;" ("&amp;TEXT(GameLog[[#This Row],[Date]],"ddd")&amp;")",""))),IF(OR(NOT(ISNUMBER(GameLog[[#This Row],[Round]])),GameLog[[#This Row],[Round]]&lt;1,GameLog[[#This Row],[Round]]&gt;Round_Max),"Round out of range",""),IF(OR(NOT(ISNUMBER(GameLog[[#This Row],[Pod]])),GameLog[[#This Row],[Pod]]&lt;1),"Pod # invalid","")))</f>
        <v/>
      </c>
      <c r="N2329" s="6" t="str">
        <f ca="1">IF(GameLog[[#This Row],[Check]]="","",COUNTIF(GameLog[[#Headers],[Check]]:GameLog[[#This Row],[Check]],"?*")-1)</f>
        <v/>
      </c>
      <c r="O2329" s="6" t="str">
        <f>IFERROR(INDEX(Players[New name],MATCH(GameLog[[#This Row],[Player]],Players[Name],0)),GameLog[[#This Row],[Player]])</f>
        <v>Dakota P</v>
      </c>
    </row>
  </sheetData>
  <conditionalFormatting sqref="A2:O5044">
    <cfRule type="expression" dxfId="14" priority="2">
      <formula>$M2&lt;&gt;""</formula>
    </cfRule>
  </conditionalFormatting>
  <conditionalFormatting sqref="O2:O5044">
    <cfRule type="expression" dxfId="13" priority="1">
      <formula>AND($O2&lt;&gt;"",$O2&lt;&gt;$A2)</formula>
    </cfRule>
  </conditionalFormatting>
  <dataValidations count="6">
    <dataValidation type="list" errorStyle="warning" allowBlank="1" showErrorMessage="1" errorTitle="Name not on Players list" error="That name isn't on the Players sheet. Typo? Click No to retype, Yes to keep it (then add it to Players)." sqref="A2:A5044" xr:uid="{00000000-0002-0000-0100-000000000000}">
      <formula1>PlayerList</formula1>
    </dataValidation>
    <dataValidation type="list" allowBlank="1" showErrorMessage="1" errorTitle="Result" error="Use Win, Loss or Draw." sqref="B2:B5044" xr:uid="{00000000-0002-0000-0100-000001000000}">
      <formula1>"Win,Loss,Draw"</formula1>
    </dataValidation>
    <dataValidation type="whole" allowBlank="1" showErrorMessage="1" errorTitle="Seat" error="Seat must be a whole number from 1 to the max pod size." sqref="C2:C5044" xr:uid="{00000000-0002-0000-0100-000002000000}">
      <formula1>1</formula1>
      <formula2>Pod_Max</formula2>
    </dataValidation>
    <dataValidation type="whole" allowBlank="1" showErrorMessage="1" errorTitle="Pod" error="Pod must be a whole number (1, 2, 3 ...)." sqref="D2:D5044" xr:uid="{00000000-0002-0000-0100-000003000000}">
      <formula1>1</formula1>
      <formula2>20</formula2>
    </dataValidation>
    <dataValidation type="whole" allowBlank="1" showErrorMessage="1" errorTitle="Round" error="Round must be a whole number from 1 to the highest round." sqref="E2:E5044" xr:uid="{00000000-0002-0000-0100-000004000000}">
      <formula1>1</formula1>
      <formula2>Round_Max</formula2>
    </dataValidation>
    <dataValidation type="date" allowBlank="1" showErrorMessage="1" errorTitle="Date" error="Enter a real date that isn't in the future." sqref="F2:F5044" xr:uid="{00000000-0002-0000-0100-000005000000}">
      <formula1>DATE(2025,1,1)</formula1>
      <formula2>TODAY()</formula2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70"/>
  <sheetViews>
    <sheetView workbookViewId="0">
      <pane xSplit="1" ySplit="1" topLeftCell="B3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8" customWidth="1"/>
    <col min="2" max="2" width="8" customWidth="1"/>
    <col min="3" max="4" width="12" customWidth="1"/>
    <col min="5" max="5" width="20" customWidth="1"/>
    <col min="6" max="7" width="18" customWidth="1"/>
    <col min="8" max="8" width="46" customWidth="1"/>
    <col min="9" max="9" width="3" customWidth="1"/>
    <col min="10" max="10" width="120" customWidth="1"/>
  </cols>
  <sheetData>
    <row r="1" spans="1:10" x14ac:dyDescent="0.45">
      <c r="A1" s="12" t="s">
        <v>122</v>
      </c>
      <c r="B1" s="12" t="s">
        <v>123</v>
      </c>
      <c r="C1" s="12" t="s">
        <v>124</v>
      </c>
      <c r="D1" s="12" t="s">
        <v>125</v>
      </c>
      <c r="E1" s="12" t="s">
        <v>126</v>
      </c>
      <c r="F1" s="12" t="s">
        <v>127</v>
      </c>
      <c r="G1" s="12" t="s">
        <v>128</v>
      </c>
      <c r="H1" s="12" t="s">
        <v>129</v>
      </c>
      <c r="J1" s="4" t="s">
        <v>130</v>
      </c>
    </row>
    <row r="2" spans="1:10" x14ac:dyDescent="0.45">
      <c r="A2" s="6" t="s">
        <v>57</v>
      </c>
      <c r="B2" s="6">
        <f>COUNTIF(GameLog[Player],Players[[#This Row],[Name]])</f>
        <v>124</v>
      </c>
      <c r="C2" s="10">
        <f>IF(Players[[#This Row],[Games]]=0,"",_xlfn.MINIFS(GameLog[Date],GameLog[Player],Players[[#This Row],[Name]]))</f>
        <v>45859</v>
      </c>
      <c r="D2" s="10">
        <f>IF(Players[[#This Row],[Games]]=0,"",_xlfn.MAXIFS(GameLog[Date],GameLog[Player],Players[[#This Row],[Name]]))</f>
        <v>46307</v>
      </c>
      <c r="E2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" s="9"/>
      <c r="G2" s="6" t="str">
        <f>IF(TRIM(Players[[#This Row],[Rename to]])="",Players[[#This Row],[Name]],TRIM(Players[[#This Row],[Rename to]]))</f>
        <v>AJ W</v>
      </c>
      <c r="H2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  <c r="J2" s="13" t="s">
        <v>131</v>
      </c>
    </row>
    <row r="3" spans="1:10" x14ac:dyDescent="0.45">
      <c r="A3" s="6" t="s">
        <v>108</v>
      </c>
      <c r="B3" s="6">
        <f>COUNTIF(GameLog[Player],Players[[#This Row],[Name]])</f>
        <v>4</v>
      </c>
      <c r="C3" s="10">
        <f>IF(Players[[#This Row],[Games]]=0,"",_xlfn.MINIFS(GameLog[Date],GameLog[Player],Players[[#This Row],[Name]]))</f>
        <v>46118</v>
      </c>
      <c r="D3" s="10">
        <f>IF(Players[[#This Row],[Games]]=0,"",_xlfn.MAXIFS(GameLog[Date],GameLog[Player],Players[[#This Row],[Name]]))</f>
        <v>46244</v>
      </c>
      <c r="E3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3" s="9"/>
      <c r="G3" s="6" t="str">
        <f>IF(TRIM(Players[[#This Row],[Rename to]])="",Players[[#This Row],[Name]],TRIM(Players[[#This Row],[Rename to]]))</f>
        <v>Alexander D</v>
      </c>
      <c r="H3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  <c r="J3" s="13" t="s">
        <v>132</v>
      </c>
    </row>
    <row r="4" spans="1:10" x14ac:dyDescent="0.45">
      <c r="A4" s="6" t="s">
        <v>95</v>
      </c>
      <c r="B4" s="6">
        <f>COUNTIF(GameLog[Player],Players[[#This Row],[Name]])</f>
        <v>4</v>
      </c>
      <c r="C4" s="10">
        <f>IF(Players[[#This Row],[Games]]=0,"",_xlfn.MINIFS(GameLog[Date],GameLog[Player],Players[[#This Row],[Name]]))</f>
        <v>46048</v>
      </c>
      <c r="D4" s="10">
        <f>IF(Players[[#This Row],[Games]]=0,"",_xlfn.MAXIFS(GameLog[Date],GameLog[Player],Players[[#This Row],[Name]]))</f>
        <v>46174</v>
      </c>
      <c r="E4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4" s="9"/>
      <c r="G4" s="6" t="str">
        <f>IF(TRIM(Players[[#This Row],[Rename to]])="",Players[[#This Row],[Name]],TRIM(Players[[#This Row],[Rename to]]))</f>
        <v>Andrew M</v>
      </c>
      <c r="H4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  <c r="J4" s="13" t="s">
        <v>133</v>
      </c>
    </row>
    <row r="5" spans="1:10" x14ac:dyDescent="0.45">
      <c r="A5" s="6" t="s">
        <v>88</v>
      </c>
      <c r="B5" s="6">
        <f>COUNTIF(GameLog[Player],Players[[#This Row],[Name]])</f>
        <v>9</v>
      </c>
      <c r="C5" s="10">
        <f>IF(Players[[#This Row],[Games]]=0,"",_xlfn.MINIFS(GameLog[Date],GameLog[Player],Players[[#This Row],[Name]]))</f>
        <v>45950</v>
      </c>
      <c r="D5" s="10">
        <f>IF(Players[[#This Row],[Games]]=0,"",_xlfn.MAXIFS(GameLog[Date],GameLog[Player],Players[[#This Row],[Name]]))</f>
        <v>46307</v>
      </c>
      <c r="E5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5" s="9"/>
      <c r="G5" s="6" t="str">
        <f>IF(TRIM(Players[[#This Row],[Rename to]])="",Players[[#This Row],[Name]],TRIM(Players[[#This Row],[Rename to]]))</f>
        <v>Andrew R</v>
      </c>
      <c r="H5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  <c r="J5" s="13" t="s">
        <v>134</v>
      </c>
    </row>
    <row r="6" spans="1:10" x14ac:dyDescent="0.45">
      <c r="A6" s="6" t="s">
        <v>97</v>
      </c>
      <c r="B6" s="6">
        <f>COUNTIF(GameLog[Player],Players[[#This Row],[Name]])</f>
        <v>56</v>
      </c>
      <c r="C6" s="10">
        <f>IF(Players[[#This Row],[Games]]=0,"",_xlfn.MINIFS(GameLog[Date],GameLog[Player],Players[[#This Row],[Name]]))</f>
        <v>46062</v>
      </c>
      <c r="D6" s="10">
        <f>IF(Players[[#This Row],[Games]]=0,"",_xlfn.MAXIFS(GameLog[Date],GameLog[Player],Players[[#This Row],[Name]]))</f>
        <v>46307</v>
      </c>
      <c r="E6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6" s="9"/>
      <c r="G6" s="6" t="str">
        <f>IF(TRIM(Players[[#This Row],[Rename to]])="",Players[[#This Row],[Name]],TRIM(Players[[#This Row],[Rename to]]))</f>
        <v>Arman H</v>
      </c>
      <c r="H6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  <c r="J6" s="13" t="s">
        <v>135</v>
      </c>
    </row>
    <row r="7" spans="1:10" x14ac:dyDescent="0.45">
      <c r="A7" s="6" t="s">
        <v>94</v>
      </c>
      <c r="B7" s="6">
        <f>COUNTIF(GameLog[Player],Players[[#This Row],[Name]])</f>
        <v>10</v>
      </c>
      <c r="C7" s="10">
        <f>IF(Players[[#This Row],[Games]]=0,"",_xlfn.MINIFS(GameLog[Date],GameLog[Player],Players[[#This Row],[Name]]))</f>
        <v>46048</v>
      </c>
      <c r="D7" s="10">
        <f>IF(Players[[#This Row],[Games]]=0,"",_xlfn.MAXIFS(GameLog[Date],GameLog[Player],Players[[#This Row],[Name]]))</f>
        <v>46118</v>
      </c>
      <c r="E7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7" s="9"/>
      <c r="G7" s="6" t="str">
        <f>IF(TRIM(Players[[#This Row],[Rename to]])="",Players[[#This Row],[Name]],TRIM(Players[[#This Row],[Rename to]]))</f>
        <v>Austin D</v>
      </c>
      <c r="H7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  <c r="J7" s="13" t="s">
        <v>136</v>
      </c>
    </row>
    <row r="8" spans="1:10" x14ac:dyDescent="0.45">
      <c r="A8" s="6" t="s">
        <v>72</v>
      </c>
      <c r="B8" s="6">
        <f>COUNTIF(GameLog[Player],Players[[#This Row],[Name]])</f>
        <v>14</v>
      </c>
      <c r="C8" s="10">
        <f>IF(Players[[#This Row],[Games]]=0,"",_xlfn.MINIFS(GameLog[Date],GameLog[Player],Players[[#This Row],[Name]]))</f>
        <v>45887</v>
      </c>
      <c r="D8" s="10">
        <f>IF(Players[[#This Row],[Games]]=0,"",_xlfn.MAXIFS(GameLog[Date],GameLog[Player],Players[[#This Row],[Name]]))</f>
        <v>46209</v>
      </c>
      <c r="E8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8" s="9"/>
      <c r="G8" s="6" t="str">
        <f>IF(TRIM(Players[[#This Row],[Rename to]])="",Players[[#This Row],[Name]],TRIM(Players[[#This Row],[Rename to]]))</f>
        <v>Ben H</v>
      </c>
      <c r="H8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  <c r="J8" s="13" t="s">
        <v>137</v>
      </c>
    </row>
    <row r="9" spans="1:10" x14ac:dyDescent="0.45">
      <c r="A9" s="6" t="s">
        <v>70</v>
      </c>
      <c r="B9" s="6">
        <f>COUNTIF(GameLog[Player],Players[[#This Row],[Name]])</f>
        <v>102</v>
      </c>
      <c r="C9" s="10">
        <f>IF(Players[[#This Row],[Games]]=0,"",_xlfn.MINIFS(GameLog[Date],GameLog[Player],Players[[#This Row],[Name]]))</f>
        <v>45880</v>
      </c>
      <c r="D9" s="10">
        <f>IF(Players[[#This Row],[Games]]=0,"",_xlfn.MAXIFS(GameLog[Date],GameLog[Player],Players[[#This Row],[Name]]))</f>
        <v>46300</v>
      </c>
      <c r="E9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9" s="9"/>
      <c r="G9" s="6" t="str">
        <f>IF(TRIM(Players[[#This Row],[Rename to]])="",Players[[#This Row],[Name]],TRIM(Players[[#This Row],[Rename to]]))</f>
        <v>Brad F</v>
      </c>
      <c r="H9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  <c r="J9" s="13" t="s">
        <v>138</v>
      </c>
    </row>
    <row r="10" spans="1:10" x14ac:dyDescent="0.45">
      <c r="A10" s="6" t="s">
        <v>96</v>
      </c>
      <c r="B10" s="6">
        <f>COUNTIF(GameLog[Player],Players[[#This Row],[Name]])</f>
        <v>44</v>
      </c>
      <c r="C10" s="10">
        <f>IF(Players[[#This Row],[Games]]=0,"",_xlfn.MINIFS(GameLog[Date],GameLog[Player],Players[[#This Row],[Name]]))</f>
        <v>46048</v>
      </c>
      <c r="D10" s="10">
        <f>IF(Players[[#This Row],[Games]]=0,"",_xlfn.MAXIFS(GameLog[Date],GameLog[Player],Players[[#This Row],[Name]]))</f>
        <v>46307</v>
      </c>
      <c r="E10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0" s="9"/>
      <c r="G10" s="6" t="str">
        <f>IF(TRIM(Players[[#This Row],[Rename to]])="",Players[[#This Row],[Name]],TRIM(Players[[#This Row],[Rename to]]))</f>
        <v>Brandon A</v>
      </c>
      <c r="H10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11" spans="1:10" x14ac:dyDescent="0.45">
      <c r="A11" s="6" t="s">
        <v>73</v>
      </c>
      <c r="B11" s="6">
        <f>COUNTIF(GameLog[Player],Players[[#This Row],[Name]])</f>
        <v>105</v>
      </c>
      <c r="C11" s="10">
        <f>IF(Players[[#This Row],[Games]]=0,"",_xlfn.MINIFS(GameLog[Date],GameLog[Player],Players[[#This Row],[Name]]))</f>
        <v>45894</v>
      </c>
      <c r="D11" s="10">
        <f>IF(Players[[#This Row],[Games]]=0,"",_xlfn.MAXIFS(GameLog[Date],GameLog[Player],Players[[#This Row],[Name]]))</f>
        <v>46307</v>
      </c>
      <c r="E11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1" s="9"/>
      <c r="G11" s="6" t="str">
        <f>IF(TRIM(Players[[#This Row],[Rename to]])="",Players[[#This Row],[Name]],TRIM(Players[[#This Row],[Rename to]]))</f>
        <v>Brandon B</v>
      </c>
      <c r="H11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12" spans="1:10" x14ac:dyDescent="0.45">
      <c r="A12" s="6" t="s">
        <v>60</v>
      </c>
      <c r="B12" s="6">
        <f>COUNTIF(GameLog[Player],Players[[#This Row],[Name]])</f>
        <v>70</v>
      </c>
      <c r="C12" s="10">
        <f>IF(Players[[#This Row],[Games]]=0,"",_xlfn.MINIFS(GameLog[Date],GameLog[Player],Players[[#This Row],[Name]]))</f>
        <v>45866</v>
      </c>
      <c r="D12" s="10">
        <f>IF(Players[[#This Row],[Games]]=0,"",_xlfn.MAXIFS(GameLog[Date],GameLog[Player],Players[[#This Row],[Name]]))</f>
        <v>46146</v>
      </c>
      <c r="E12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2" s="9"/>
      <c r="G12" s="6" t="str">
        <f>IF(TRIM(Players[[#This Row],[Rename to]])="",Players[[#This Row],[Name]],TRIM(Players[[#This Row],[Rename to]]))</f>
        <v>Brendan H</v>
      </c>
      <c r="H12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13" spans="1:10" x14ac:dyDescent="0.45">
      <c r="A13" s="6" t="s">
        <v>49</v>
      </c>
      <c r="B13" s="6">
        <f>COUNTIF(GameLog[Player],Players[[#This Row],[Name]])</f>
        <v>114</v>
      </c>
      <c r="C13" s="10">
        <f>IF(Players[[#This Row],[Games]]=0,"",_xlfn.MINIFS(GameLog[Date],GameLog[Player],Players[[#This Row],[Name]]))</f>
        <v>45859</v>
      </c>
      <c r="D13" s="10">
        <f>IF(Players[[#This Row],[Games]]=0,"",_xlfn.MAXIFS(GameLog[Date],GameLog[Player],Players[[#This Row],[Name]]))</f>
        <v>46307</v>
      </c>
      <c r="E13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3" s="9"/>
      <c r="G13" s="6" t="str">
        <f>IF(TRIM(Players[[#This Row],[Rename to]])="",Players[[#This Row],[Name]],TRIM(Players[[#This Row],[Rename to]]))</f>
        <v>Brett R</v>
      </c>
      <c r="H13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14" spans="1:10" x14ac:dyDescent="0.45">
      <c r="A14" s="6" t="s">
        <v>55</v>
      </c>
      <c r="B14" s="6">
        <f>COUNTIF(GameLog[Player],Players[[#This Row],[Name]])</f>
        <v>122</v>
      </c>
      <c r="C14" s="10">
        <f>IF(Players[[#This Row],[Games]]=0,"",_xlfn.MINIFS(GameLog[Date],GameLog[Player],Players[[#This Row],[Name]]))</f>
        <v>45859</v>
      </c>
      <c r="D14" s="10">
        <f>IF(Players[[#This Row],[Games]]=0,"",_xlfn.MAXIFS(GameLog[Date],GameLog[Player],Players[[#This Row],[Name]]))</f>
        <v>46307</v>
      </c>
      <c r="E14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4" s="9"/>
      <c r="G14" s="6" t="str">
        <f>IF(TRIM(Players[[#This Row],[Rename to]])="",Players[[#This Row],[Name]],TRIM(Players[[#This Row],[Rename to]]))</f>
        <v>Bryce C</v>
      </c>
      <c r="H14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15" spans="1:10" x14ac:dyDescent="0.45">
      <c r="A15" s="6" t="s">
        <v>98</v>
      </c>
      <c r="B15" s="6">
        <f>COUNTIF(GameLog[Player],Players[[#This Row],[Name]])</f>
        <v>38</v>
      </c>
      <c r="C15" s="10">
        <f>IF(Players[[#This Row],[Games]]=0,"",_xlfn.MINIFS(GameLog[Date],GameLog[Player],Players[[#This Row],[Name]]))</f>
        <v>46069</v>
      </c>
      <c r="D15" s="10">
        <f>IF(Players[[#This Row],[Games]]=0,"",_xlfn.MAXIFS(GameLog[Date],GameLog[Player],Players[[#This Row],[Name]]))</f>
        <v>46251</v>
      </c>
      <c r="E15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5" s="9"/>
      <c r="G15" s="6" t="str">
        <f>IF(TRIM(Players[[#This Row],[Rename to]])="",Players[[#This Row],[Name]],TRIM(Players[[#This Row],[Rename to]]))</f>
        <v>Charlie B</v>
      </c>
      <c r="H15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16" spans="1:10" x14ac:dyDescent="0.45">
      <c r="A16" s="6" t="s">
        <v>119</v>
      </c>
      <c r="B16" s="6">
        <f>COUNTIF(GameLog[Player],Players[[#This Row],[Name]])</f>
        <v>12</v>
      </c>
      <c r="C16" s="10">
        <f>IF(Players[[#This Row],[Games]]=0,"",_xlfn.MINIFS(GameLog[Date],GameLog[Player],Players[[#This Row],[Name]]))</f>
        <v>46209</v>
      </c>
      <c r="D16" s="10">
        <f>IF(Players[[#This Row],[Games]]=0,"",_xlfn.MAXIFS(GameLog[Date],GameLog[Player],Players[[#This Row],[Name]]))</f>
        <v>46307</v>
      </c>
      <c r="E16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6" s="9"/>
      <c r="G16" s="6" t="str">
        <f>IF(TRIM(Players[[#This Row],[Rename to]])="",Players[[#This Row],[Name]],TRIM(Players[[#This Row],[Rename to]]))</f>
        <v>Cristian S</v>
      </c>
      <c r="H16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17" spans="1:8" x14ac:dyDescent="0.45">
      <c r="A17" s="6" t="s">
        <v>58</v>
      </c>
      <c r="B17" s="6">
        <f>COUNTIF(GameLog[Player],Players[[#This Row],[Name]])</f>
        <v>86</v>
      </c>
      <c r="C17" s="10">
        <f>IF(Players[[#This Row],[Games]]=0,"",_xlfn.MINIFS(GameLog[Date],GameLog[Player],Players[[#This Row],[Name]]))</f>
        <v>45866</v>
      </c>
      <c r="D17" s="10">
        <f>IF(Players[[#This Row],[Games]]=0,"",_xlfn.MAXIFS(GameLog[Date],GameLog[Player],Players[[#This Row],[Name]]))</f>
        <v>46307</v>
      </c>
      <c r="E17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7" s="9"/>
      <c r="G17" s="6" t="str">
        <f>IF(TRIM(Players[[#This Row],[Rename to]])="",Players[[#This Row],[Name]],TRIM(Players[[#This Row],[Rename to]]))</f>
        <v>Dakota P</v>
      </c>
      <c r="H17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18" spans="1:8" x14ac:dyDescent="0.45">
      <c r="A18" s="6" t="s">
        <v>77</v>
      </c>
      <c r="B18" s="6">
        <f>COUNTIF(GameLog[Player],Players[[#This Row],[Name]])</f>
        <v>48</v>
      </c>
      <c r="C18" s="10">
        <f>IF(Players[[#This Row],[Games]]=0,"",_xlfn.MINIFS(GameLog[Date],GameLog[Player],Players[[#This Row],[Name]]))</f>
        <v>45915</v>
      </c>
      <c r="D18" s="10">
        <f>IF(Players[[#This Row],[Games]]=0,"",_xlfn.MAXIFS(GameLog[Date],GameLog[Player],Players[[#This Row],[Name]]))</f>
        <v>46174</v>
      </c>
      <c r="E18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8" s="9"/>
      <c r="G18" s="6" t="str">
        <f>IF(TRIM(Players[[#This Row],[Rename to]])="",Players[[#This Row],[Name]],TRIM(Players[[#This Row],[Rename to]]))</f>
        <v>Dave M</v>
      </c>
      <c r="H18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19" spans="1:8" x14ac:dyDescent="0.45">
      <c r="A19" s="6" t="s">
        <v>83</v>
      </c>
      <c r="B19" s="6">
        <f>COUNTIF(GameLog[Player],Players[[#This Row],[Name]])</f>
        <v>22</v>
      </c>
      <c r="C19" s="10">
        <f>IF(Players[[#This Row],[Games]]=0,"",_xlfn.MINIFS(GameLog[Date],GameLog[Player],Players[[#This Row],[Name]]))</f>
        <v>45936</v>
      </c>
      <c r="D19" s="10">
        <f>IF(Players[[#This Row],[Games]]=0,"",_xlfn.MAXIFS(GameLog[Date],GameLog[Player],Players[[#This Row],[Name]]))</f>
        <v>46111</v>
      </c>
      <c r="E19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19" s="9"/>
      <c r="G19" s="6" t="str">
        <f>IF(TRIM(Players[[#This Row],[Rename to]])="",Players[[#This Row],[Name]],TRIM(Players[[#This Row],[Rename to]]))</f>
        <v>Devyn S</v>
      </c>
      <c r="H19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0" spans="1:8" x14ac:dyDescent="0.45">
      <c r="A20" s="6" t="s">
        <v>68</v>
      </c>
      <c r="B20" s="6">
        <f>COUNTIF(GameLog[Player],Players[[#This Row],[Name]])</f>
        <v>107</v>
      </c>
      <c r="C20" s="10">
        <f>IF(Players[[#This Row],[Games]]=0,"",_xlfn.MINIFS(GameLog[Date],GameLog[Player],Players[[#This Row],[Name]]))</f>
        <v>45873</v>
      </c>
      <c r="D20" s="10">
        <f>IF(Players[[#This Row],[Games]]=0,"",_xlfn.MAXIFS(GameLog[Date],GameLog[Player],Players[[#This Row],[Name]]))</f>
        <v>46307</v>
      </c>
      <c r="E20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0" s="9"/>
      <c r="G20" s="6" t="str">
        <f>IF(TRIM(Players[[#This Row],[Rename to]])="",Players[[#This Row],[Name]],TRIM(Players[[#This Row],[Rename to]]))</f>
        <v>Edwin M</v>
      </c>
      <c r="H20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1" spans="1:8" x14ac:dyDescent="0.45">
      <c r="A21" s="6" t="s">
        <v>75</v>
      </c>
      <c r="B21" s="6">
        <f>COUNTIF(GameLog[Player],Players[[#This Row],[Name]])</f>
        <v>52</v>
      </c>
      <c r="C21" s="10">
        <f>IF(Players[[#This Row],[Games]]=0,"",_xlfn.MINIFS(GameLog[Date],GameLog[Player],Players[[#This Row],[Name]]))</f>
        <v>45908</v>
      </c>
      <c r="D21" s="10">
        <f>IF(Players[[#This Row],[Games]]=0,"",_xlfn.MAXIFS(GameLog[Date],GameLog[Player],Players[[#This Row],[Name]]))</f>
        <v>46307</v>
      </c>
      <c r="E21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1" s="9"/>
      <c r="G21" s="6" t="str">
        <f>IF(TRIM(Players[[#This Row],[Rename to]])="",Players[[#This Row],[Name]],TRIM(Players[[#This Row],[Rename to]]))</f>
        <v>Eli T</v>
      </c>
      <c r="H21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2" spans="1:8" x14ac:dyDescent="0.45">
      <c r="A22" s="6" t="s">
        <v>104</v>
      </c>
      <c r="B22" s="6">
        <f>COUNTIF(GameLog[Player],Players[[#This Row],[Name]])</f>
        <v>50</v>
      </c>
      <c r="C22" s="10">
        <f>IF(Players[[#This Row],[Games]]=0,"",_xlfn.MINIFS(GameLog[Date],GameLog[Player],Players[[#This Row],[Name]]))</f>
        <v>46090</v>
      </c>
      <c r="D22" s="10">
        <f>IF(Players[[#This Row],[Games]]=0,"",_xlfn.MAXIFS(GameLog[Date],GameLog[Player],Players[[#This Row],[Name]]))</f>
        <v>46307</v>
      </c>
      <c r="E22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2" s="9"/>
      <c r="G22" s="6" t="str">
        <f>IF(TRIM(Players[[#This Row],[Rename to]])="",Players[[#This Row],[Name]],TRIM(Players[[#This Row],[Rename to]]))</f>
        <v>Eric E</v>
      </c>
      <c r="H22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3" spans="1:8" x14ac:dyDescent="0.45">
      <c r="A23" s="6" t="s">
        <v>118</v>
      </c>
      <c r="B23" s="6">
        <f>COUNTIF(GameLog[Player],Players[[#This Row],[Name]])</f>
        <v>22</v>
      </c>
      <c r="C23" s="10">
        <f>IF(Players[[#This Row],[Games]]=0,"",_xlfn.MINIFS(GameLog[Date],GameLog[Player],Players[[#This Row],[Name]]))</f>
        <v>46202</v>
      </c>
      <c r="D23" s="10">
        <f>IF(Players[[#This Row],[Games]]=0,"",_xlfn.MAXIFS(GameLog[Date],GameLog[Player],Players[[#This Row],[Name]]))</f>
        <v>46307</v>
      </c>
      <c r="E23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3" s="9"/>
      <c r="G23" s="6" t="str">
        <f>IF(TRIM(Players[[#This Row],[Rename to]])="",Players[[#This Row],[Name]],TRIM(Players[[#This Row],[Rename to]]))</f>
        <v>Eric T</v>
      </c>
      <c r="H23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4" spans="1:8" x14ac:dyDescent="0.45">
      <c r="A24" s="6" t="s">
        <v>103</v>
      </c>
      <c r="B24" s="6">
        <f>COUNTIF(GameLog[Player],Players[[#This Row],[Name]])</f>
        <v>2</v>
      </c>
      <c r="C24" s="10">
        <f>IF(Players[[#This Row],[Games]]=0,"",_xlfn.MINIFS(GameLog[Date],GameLog[Player],Players[[#This Row],[Name]]))</f>
        <v>46090</v>
      </c>
      <c r="D24" s="10">
        <f>IF(Players[[#This Row],[Games]]=0,"",_xlfn.MAXIFS(GameLog[Date],GameLog[Player],Players[[#This Row],[Name]]))</f>
        <v>46090</v>
      </c>
      <c r="E24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4" s="9"/>
      <c r="G24" s="6" t="str">
        <f>IF(TRIM(Players[[#This Row],[Rename to]])="",Players[[#This Row],[Name]],TRIM(Players[[#This Row],[Rename to]]))</f>
        <v>Ethan S</v>
      </c>
      <c r="H24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5" spans="1:8" x14ac:dyDescent="0.45">
      <c r="A25" s="6" t="s">
        <v>89</v>
      </c>
      <c r="B25" s="6">
        <f>COUNTIF(GameLog[Player],Players[[#This Row],[Name]])</f>
        <v>6</v>
      </c>
      <c r="C25" s="10">
        <f>IF(Players[[#This Row],[Games]]=0,"",_xlfn.MINIFS(GameLog[Date],GameLog[Player],Players[[#This Row],[Name]]))</f>
        <v>45964</v>
      </c>
      <c r="D25" s="10">
        <f>IF(Players[[#This Row],[Games]]=0,"",_xlfn.MAXIFS(GameLog[Date],GameLog[Player],Players[[#This Row],[Name]]))</f>
        <v>46111</v>
      </c>
      <c r="E25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5" s="9"/>
      <c r="G25" s="6" t="str">
        <f>IF(TRIM(Players[[#This Row],[Rename to]])="",Players[[#This Row],[Name]],TRIM(Players[[#This Row],[Rename to]]))</f>
        <v>Fernando J</v>
      </c>
      <c r="H25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6" spans="1:8" x14ac:dyDescent="0.45">
      <c r="A26" s="6" t="s">
        <v>81</v>
      </c>
      <c r="B26" s="6">
        <f>COUNTIF(GameLog[Player],Players[[#This Row],[Name]])</f>
        <v>27</v>
      </c>
      <c r="C26" s="10">
        <f>IF(Players[[#This Row],[Games]]=0,"",_xlfn.MINIFS(GameLog[Date],GameLog[Player],Players[[#This Row],[Name]]))</f>
        <v>45936</v>
      </c>
      <c r="D26" s="10">
        <f>IF(Players[[#This Row],[Games]]=0,"",_xlfn.MAXIFS(GameLog[Date],GameLog[Player],Players[[#This Row],[Name]]))</f>
        <v>46090</v>
      </c>
      <c r="E26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26" s="9"/>
      <c r="G26" s="6" t="str">
        <f>IF(TRIM(Players[[#This Row],[Rename to]])="",Players[[#This Row],[Name]],TRIM(Players[[#This Row],[Rename to]]))</f>
        <v>Forrest</v>
      </c>
      <c r="H26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7" spans="1:8" x14ac:dyDescent="0.45">
      <c r="A27" s="6" t="s">
        <v>113</v>
      </c>
      <c r="B27" s="6">
        <f>COUNTIF(GameLog[Player],Players[[#This Row],[Name]])</f>
        <v>32</v>
      </c>
      <c r="C27" s="10">
        <f>IF(Players[[#This Row],[Games]]=0,"",_xlfn.MINIFS(GameLog[Date],GameLog[Player],Players[[#This Row],[Name]]))</f>
        <v>46188</v>
      </c>
      <c r="D27" s="10">
        <f>IF(Players[[#This Row],[Games]]=0,"",_xlfn.MAXIFS(GameLog[Date],GameLog[Player],Players[[#This Row],[Name]]))</f>
        <v>46307</v>
      </c>
      <c r="E27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7" s="9"/>
      <c r="G27" s="6" t="str">
        <f>IF(TRIM(Players[[#This Row],[Rename to]])="",Players[[#This Row],[Name]],TRIM(Players[[#This Row],[Rename to]]))</f>
        <v>Gavin J</v>
      </c>
      <c r="H27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8" spans="1:8" x14ac:dyDescent="0.45">
      <c r="A28" s="6" t="s">
        <v>92</v>
      </c>
      <c r="B28" s="6">
        <f>COUNTIF(GameLog[Player],Players[[#This Row],[Name]])</f>
        <v>12</v>
      </c>
      <c r="C28" s="10">
        <f>IF(Players[[#This Row],[Games]]=0,"",_xlfn.MINIFS(GameLog[Date],GameLog[Player],Players[[#This Row],[Name]]))</f>
        <v>46034</v>
      </c>
      <c r="D28" s="10">
        <f>IF(Players[[#This Row],[Games]]=0,"",_xlfn.MAXIFS(GameLog[Date],GameLog[Player],Players[[#This Row],[Name]]))</f>
        <v>46118</v>
      </c>
      <c r="E28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8" s="9"/>
      <c r="G28" s="6" t="str">
        <f>IF(TRIM(Players[[#This Row],[Rename to]])="",Players[[#This Row],[Name]],TRIM(Players[[#This Row],[Rename to]]))</f>
        <v>Harley A</v>
      </c>
      <c r="H28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29" spans="1:8" x14ac:dyDescent="0.45">
      <c r="A29" s="6" t="s">
        <v>117</v>
      </c>
      <c r="B29" s="6">
        <f>COUNTIF(GameLog[Player],Players[[#This Row],[Name]])</f>
        <v>2</v>
      </c>
      <c r="C29" s="10">
        <f>IF(Players[[#This Row],[Games]]=0,"",_xlfn.MINIFS(GameLog[Date],GameLog[Player],Players[[#This Row],[Name]]))</f>
        <v>46202</v>
      </c>
      <c r="D29" s="10">
        <f>IF(Players[[#This Row],[Games]]=0,"",_xlfn.MAXIFS(GameLog[Date],GameLog[Player],Players[[#This Row],[Name]]))</f>
        <v>46202</v>
      </c>
      <c r="E29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29" s="9"/>
      <c r="G29" s="6" t="str">
        <f>IF(TRIM(Players[[#This Row],[Rename to]])="",Players[[#This Row],[Name]],TRIM(Players[[#This Row],[Rename to]]))</f>
        <v>Hollice M</v>
      </c>
      <c r="H29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30" spans="1:8" x14ac:dyDescent="0.45">
      <c r="A30" s="6" t="s">
        <v>91</v>
      </c>
      <c r="B30" s="6">
        <f>COUNTIF(GameLog[Player],Players[[#This Row],[Name]])</f>
        <v>30</v>
      </c>
      <c r="C30" s="10">
        <f>IF(Players[[#This Row],[Games]]=0,"",_xlfn.MINIFS(GameLog[Date],GameLog[Player],Players[[#This Row],[Name]]))</f>
        <v>46034</v>
      </c>
      <c r="D30" s="10">
        <f>IF(Players[[#This Row],[Games]]=0,"",_xlfn.MAXIFS(GameLog[Date],GameLog[Player],Players[[#This Row],[Name]]))</f>
        <v>46286</v>
      </c>
      <c r="E30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30" s="9"/>
      <c r="G30" s="6" t="str">
        <f>IF(TRIM(Players[[#This Row],[Rename to]])="",Players[[#This Row],[Name]],TRIM(Players[[#This Row],[Rename to]]))</f>
        <v>Isaac B</v>
      </c>
      <c r="H30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31" spans="1:8" x14ac:dyDescent="0.45">
      <c r="A31" s="6" t="s">
        <v>66</v>
      </c>
      <c r="B31" s="6">
        <f>COUNTIF(GameLog[Player],Players[[#This Row],[Name]])</f>
        <v>6</v>
      </c>
      <c r="C31" s="10">
        <f>IF(Players[[#This Row],[Games]]=0,"",_xlfn.MINIFS(GameLog[Date],GameLog[Player],Players[[#This Row],[Name]]))</f>
        <v>45873</v>
      </c>
      <c r="D31" s="10">
        <f>IF(Players[[#This Row],[Games]]=0,"",_xlfn.MAXIFS(GameLog[Date],GameLog[Player],Players[[#This Row],[Name]]))</f>
        <v>46041</v>
      </c>
      <c r="E31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31" s="9"/>
      <c r="G31" s="6" t="str">
        <f>IF(TRIM(Players[[#This Row],[Rename to]])="",Players[[#This Row],[Name]],TRIM(Players[[#This Row],[Rename to]]))</f>
        <v>Jack</v>
      </c>
      <c r="H31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32" spans="1:8" x14ac:dyDescent="0.45">
      <c r="A32" s="6" t="s">
        <v>63</v>
      </c>
      <c r="B32" s="6">
        <f>COUNTIF(GameLog[Player],Players[[#This Row],[Name]])</f>
        <v>80</v>
      </c>
      <c r="C32" s="10">
        <f>IF(Players[[#This Row],[Games]]=0,"",_xlfn.MINIFS(GameLog[Date],GameLog[Player],Players[[#This Row],[Name]]))</f>
        <v>45866</v>
      </c>
      <c r="D32" s="10">
        <f>IF(Players[[#This Row],[Games]]=0,"",_xlfn.MAXIFS(GameLog[Date],GameLog[Player],Players[[#This Row],[Name]]))</f>
        <v>46307</v>
      </c>
      <c r="E32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32" s="9"/>
      <c r="G32" s="6" t="str">
        <f>IF(TRIM(Players[[#This Row],[Rename to]])="",Players[[#This Row],[Name]],TRIM(Players[[#This Row],[Rename to]]))</f>
        <v>Jake D</v>
      </c>
      <c r="H32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33" spans="1:8" x14ac:dyDescent="0.45">
      <c r="A33" s="6" t="s">
        <v>114</v>
      </c>
      <c r="B33" s="6">
        <f>COUNTIF(GameLog[Player],Players[[#This Row],[Name]])</f>
        <v>2</v>
      </c>
      <c r="C33" s="10">
        <f>IF(Players[[#This Row],[Games]]=0,"",_xlfn.MINIFS(GameLog[Date],GameLog[Player],Players[[#This Row],[Name]]))</f>
        <v>46195</v>
      </c>
      <c r="D33" s="10">
        <f>IF(Players[[#This Row],[Games]]=0,"",_xlfn.MAXIFS(GameLog[Date],GameLog[Player],Players[[#This Row],[Name]]))</f>
        <v>46195</v>
      </c>
      <c r="E33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33" s="9"/>
      <c r="G33" s="6" t="str">
        <f>IF(TRIM(Players[[#This Row],[Rename to]])="",Players[[#This Row],[Name]],TRIM(Players[[#This Row],[Rename to]]))</f>
        <v>Jared B</v>
      </c>
      <c r="H33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>Rare + starts like another name - typo?</v>
      </c>
    </row>
    <row r="34" spans="1:8" x14ac:dyDescent="0.45">
      <c r="A34" s="6" t="s">
        <v>74</v>
      </c>
      <c r="B34" s="6">
        <f>COUNTIF(GameLog[Player],Players[[#This Row],[Name]])</f>
        <v>44</v>
      </c>
      <c r="C34" s="10">
        <f>IF(Players[[#This Row],[Games]]=0,"",_xlfn.MINIFS(GameLog[Date],GameLog[Player],Players[[#This Row],[Name]]))</f>
        <v>45894</v>
      </c>
      <c r="D34" s="10">
        <f>IF(Players[[#This Row],[Games]]=0,"",_xlfn.MAXIFS(GameLog[Date],GameLog[Player],Players[[#This Row],[Name]]))</f>
        <v>46307</v>
      </c>
      <c r="E34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34" s="9"/>
      <c r="G34" s="6" t="str">
        <f>IF(TRIM(Players[[#This Row],[Rename to]])="",Players[[#This Row],[Name]],TRIM(Players[[#This Row],[Rename to]]))</f>
        <v>Jarrod O</v>
      </c>
      <c r="H34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35" spans="1:8" x14ac:dyDescent="0.45">
      <c r="A35" s="6" t="s">
        <v>80</v>
      </c>
      <c r="B35" s="6">
        <f>COUNTIF(GameLog[Player],Players[[#This Row],[Name]])</f>
        <v>7</v>
      </c>
      <c r="C35" s="10">
        <f>IF(Players[[#This Row],[Games]]=0,"",_xlfn.MINIFS(GameLog[Date],GameLog[Player],Players[[#This Row],[Name]]))</f>
        <v>45936</v>
      </c>
      <c r="D35" s="10">
        <f>IF(Players[[#This Row],[Games]]=0,"",_xlfn.MAXIFS(GameLog[Date],GameLog[Player],Players[[#This Row],[Name]]))</f>
        <v>45971</v>
      </c>
      <c r="E35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35" s="9"/>
      <c r="G35" s="6" t="str">
        <f>IF(TRIM(Players[[#This Row],[Rename to]])="",Players[[#This Row],[Name]],TRIM(Players[[#This Row],[Rename to]]))</f>
        <v>Jeremiah</v>
      </c>
      <c r="H35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36" spans="1:8" x14ac:dyDescent="0.45">
      <c r="A36" s="6" t="s">
        <v>115</v>
      </c>
      <c r="B36" s="6">
        <f>COUNTIF(GameLog[Player],Players[[#This Row],[Name]])</f>
        <v>2</v>
      </c>
      <c r="C36" s="10">
        <f>IF(Players[[#This Row],[Games]]=0,"",_xlfn.MINIFS(GameLog[Date],GameLog[Player],Players[[#This Row],[Name]]))</f>
        <v>46195</v>
      </c>
      <c r="D36" s="10">
        <f>IF(Players[[#This Row],[Games]]=0,"",_xlfn.MAXIFS(GameLog[Date],GameLog[Player],Players[[#This Row],[Name]]))</f>
        <v>46195</v>
      </c>
      <c r="E36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36" s="9"/>
      <c r="G36" s="6" t="str">
        <f>IF(TRIM(Players[[#This Row],[Rename to]])="",Players[[#This Row],[Name]],TRIM(Players[[#This Row],[Rename to]]))</f>
        <v>Joel C</v>
      </c>
      <c r="H36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37" spans="1:8" x14ac:dyDescent="0.45">
      <c r="A37" s="6" t="s">
        <v>93</v>
      </c>
      <c r="B37" s="6">
        <f>COUNTIF(GameLog[Player],Players[[#This Row],[Name]])</f>
        <v>4</v>
      </c>
      <c r="C37" s="10">
        <f>IF(Players[[#This Row],[Games]]=0,"",_xlfn.MINIFS(GameLog[Date],GameLog[Player],Players[[#This Row],[Name]]))</f>
        <v>46034</v>
      </c>
      <c r="D37" s="10">
        <f>IF(Players[[#This Row],[Games]]=0,"",_xlfn.MAXIFS(GameLog[Date],GameLog[Player],Players[[#This Row],[Name]]))</f>
        <v>46041</v>
      </c>
      <c r="E37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37" s="9"/>
      <c r="G37" s="6" t="str">
        <f>IF(TRIM(Players[[#This Row],[Rename to]])="",Players[[#This Row],[Name]],TRIM(Players[[#This Row],[Rename to]]))</f>
        <v>John B</v>
      </c>
      <c r="H37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38" spans="1:8" x14ac:dyDescent="0.45">
      <c r="A38" s="6" t="s">
        <v>76</v>
      </c>
      <c r="B38" s="6">
        <f>COUNTIF(GameLog[Player],Players[[#This Row],[Name]])</f>
        <v>52</v>
      </c>
      <c r="C38" s="10">
        <f>IF(Players[[#This Row],[Games]]=0,"",_xlfn.MINIFS(GameLog[Date],GameLog[Player],Players[[#This Row],[Name]]))</f>
        <v>45915</v>
      </c>
      <c r="D38" s="10">
        <f>IF(Players[[#This Row],[Games]]=0,"",_xlfn.MAXIFS(GameLog[Date],GameLog[Player],Players[[#This Row],[Name]]))</f>
        <v>46300</v>
      </c>
      <c r="E38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38" s="9"/>
      <c r="G38" s="6" t="str">
        <f>IF(TRIM(Players[[#This Row],[Rename to]])="",Players[[#This Row],[Name]],TRIM(Players[[#This Row],[Rename to]]))</f>
        <v>Jon M</v>
      </c>
      <c r="H38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39" spans="1:8" x14ac:dyDescent="0.45">
      <c r="A39" s="6" t="s">
        <v>120</v>
      </c>
      <c r="B39" s="6">
        <f>COUNTIF(GameLog[Player],Players[[#This Row],[Name]])</f>
        <v>6</v>
      </c>
      <c r="C39" s="10">
        <f>IF(Players[[#This Row],[Games]]=0,"",_xlfn.MINIFS(GameLog[Date],GameLog[Player],Players[[#This Row],[Name]]))</f>
        <v>46279</v>
      </c>
      <c r="D39" s="10">
        <f>IF(Players[[#This Row],[Games]]=0,"",_xlfn.MAXIFS(GameLog[Date],GameLog[Player],Players[[#This Row],[Name]]))</f>
        <v>46293</v>
      </c>
      <c r="E39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39" s="9"/>
      <c r="G39" s="6" t="str">
        <f>IF(TRIM(Players[[#This Row],[Rename to]])="",Players[[#This Row],[Name]],TRIM(Players[[#This Row],[Rename to]]))</f>
        <v>Jonny T</v>
      </c>
      <c r="H39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0" spans="1:8" x14ac:dyDescent="0.45">
      <c r="A40" s="6" t="s">
        <v>79</v>
      </c>
      <c r="B40" s="6">
        <f>COUNTIF(GameLog[Player],Players[[#This Row],[Name]])</f>
        <v>8</v>
      </c>
      <c r="C40" s="10">
        <f>IF(Players[[#This Row],[Games]]=0,"",_xlfn.MINIFS(GameLog[Date],GameLog[Player],Players[[#This Row],[Name]]))</f>
        <v>45929</v>
      </c>
      <c r="D40" s="10">
        <f>IF(Players[[#This Row],[Games]]=0,"",_xlfn.MAXIFS(GameLog[Date],GameLog[Player],Players[[#This Row],[Name]]))</f>
        <v>45971</v>
      </c>
      <c r="E40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40" s="9"/>
      <c r="G40" s="6" t="str">
        <f>IF(TRIM(Players[[#This Row],[Rename to]])="",Players[[#This Row],[Name]],TRIM(Players[[#This Row],[Rename to]]))</f>
        <v>Justin Lopez</v>
      </c>
      <c r="H40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1" spans="1:8" x14ac:dyDescent="0.45">
      <c r="A41" s="6" t="s">
        <v>78</v>
      </c>
      <c r="B41" s="6">
        <f>COUNTIF(GameLog[Player],Players[[#This Row],[Name]])</f>
        <v>32</v>
      </c>
      <c r="C41" s="10">
        <f>IF(Players[[#This Row],[Games]]=0,"",_xlfn.MINIFS(GameLog[Date],GameLog[Player],Players[[#This Row],[Name]]))</f>
        <v>45922</v>
      </c>
      <c r="D41" s="10">
        <f>IF(Players[[#This Row],[Games]]=0,"",_xlfn.MAXIFS(GameLog[Date],GameLog[Player],Players[[#This Row],[Name]]))</f>
        <v>46258</v>
      </c>
      <c r="E41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41" s="9"/>
      <c r="G41" s="6" t="str">
        <f>IF(TRIM(Players[[#This Row],[Rename to]])="",Players[[#This Row],[Name]],TRIM(Players[[#This Row],[Rename to]]))</f>
        <v>Justin M</v>
      </c>
      <c r="H41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2" spans="1:8" x14ac:dyDescent="0.45">
      <c r="A42" s="6" t="s">
        <v>105</v>
      </c>
      <c r="B42" s="6">
        <f>COUNTIF(GameLog[Player],Players[[#This Row],[Name]])</f>
        <v>2</v>
      </c>
      <c r="C42" s="10">
        <f>IF(Players[[#This Row],[Games]]=0,"",_xlfn.MINIFS(GameLog[Date],GameLog[Player],Players[[#This Row],[Name]]))</f>
        <v>46090</v>
      </c>
      <c r="D42" s="10">
        <f>IF(Players[[#This Row],[Games]]=0,"",_xlfn.MAXIFS(GameLog[Date],GameLog[Player],Players[[#This Row],[Name]]))</f>
        <v>46090</v>
      </c>
      <c r="E42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42" s="9"/>
      <c r="G42" s="6" t="str">
        <f>IF(TRIM(Players[[#This Row],[Rename to]])="",Players[[#This Row],[Name]],TRIM(Players[[#This Row],[Rename to]]))</f>
        <v>Kevin S</v>
      </c>
      <c r="H42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3" spans="1:8" x14ac:dyDescent="0.45">
      <c r="A43" s="6" t="s">
        <v>107</v>
      </c>
      <c r="B43" s="6">
        <f>COUNTIF(GameLog[Player],Players[[#This Row],[Name]])</f>
        <v>4</v>
      </c>
      <c r="C43" s="10">
        <f>IF(Players[[#This Row],[Games]]=0,"",_xlfn.MINIFS(GameLog[Date],GameLog[Player],Players[[#This Row],[Name]]))</f>
        <v>46118</v>
      </c>
      <c r="D43" s="10">
        <f>IF(Players[[#This Row],[Games]]=0,"",_xlfn.MAXIFS(GameLog[Date],GameLog[Player],Players[[#This Row],[Name]]))</f>
        <v>46188</v>
      </c>
      <c r="E43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43" s="9"/>
      <c r="G43" s="6" t="str">
        <f>IF(TRIM(Players[[#This Row],[Rename to]])="",Players[[#This Row],[Name]],TRIM(Players[[#This Row],[Rename to]]))</f>
        <v>Lee C</v>
      </c>
      <c r="H43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4" spans="1:8" x14ac:dyDescent="0.45">
      <c r="A44" s="6" t="s">
        <v>100</v>
      </c>
      <c r="B44" s="6">
        <f>COUNTIF(GameLog[Player],Players[[#This Row],[Name]])</f>
        <v>1</v>
      </c>
      <c r="C44" s="10">
        <f>IF(Players[[#This Row],[Games]]=0,"",_xlfn.MINIFS(GameLog[Date],GameLog[Player],Players[[#This Row],[Name]]))</f>
        <v>46090</v>
      </c>
      <c r="D44" s="10">
        <f>IF(Players[[#This Row],[Games]]=0,"",_xlfn.MAXIFS(GameLog[Date],GameLog[Player],Players[[#This Row],[Name]]))</f>
        <v>46090</v>
      </c>
      <c r="E44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44" s="9"/>
      <c r="G44" s="6" t="str">
        <f>IF(TRIM(Players[[#This Row],[Rename to]])="",Players[[#This Row],[Name]],TRIM(Players[[#This Row],[Rename to]]))</f>
        <v>Leo C</v>
      </c>
      <c r="H44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5" spans="1:8" x14ac:dyDescent="0.45">
      <c r="A45" s="6" t="s">
        <v>85</v>
      </c>
      <c r="B45" s="6">
        <f>COUNTIF(GameLog[Player],Players[[#This Row],[Name]])</f>
        <v>7</v>
      </c>
      <c r="C45" s="10">
        <f>IF(Players[[#This Row],[Games]]=0,"",_xlfn.MINIFS(GameLog[Date],GameLog[Player],Players[[#This Row],[Name]]))</f>
        <v>45943</v>
      </c>
      <c r="D45" s="10">
        <f>IF(Players[[#This Row],[Games]]=0,"",_xlfn.MAXIFS(GameLog[Date],GameLog[Player],Players[[#This Row],[Name]]))</f>
        <v>45978</v>
      </c>
      <c r="E45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45" s="9"/>
      <c r="G45" s="6" t="str">
        <f>IF(TRIM(Players[[#This Row],[Rename to]])="",Players[[#This Row],[Name]],TRIM(Players[[#This Row],[Rename to]]))</f>
        <v>Logan</v>
      </c>
      <c r="H45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6" spans="1:8" x14ac:dyDescent="0.45">
      <c r="A46" s="6" t="s">
        <v>111</v>
      </c>
      <c r="B46" s="6">
        <f>COUNTIF(GameLog[Player],Players[[#This Row],[Name]])</f>
        <v>2</v>
      </c>
      <c r="C46" s="10">
        <f>IF(Players[[#This Row],[Games]]=0,"",_xlfn.MINIFS(GameLog[Date],GameLog[Player],Players[[#This Row],[Name]]))</f>
        <v>46174</v>
      </c>
      <c r="D46" s="10">
        <f>IF(Players[[#This Row],[Games]]=0,"",_xlfn.MAXIFS(GameLog[Date],GameLog[Player],Players[[#This Row],[Name]]))</f>
        <v>46174</v>
      </c>
      <c r="E46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46" s="9"/>
      <c r="G46" s="6" t="str">
        <f>IF(TRIM(Players[[#This Row],[Rename to]])="",Players[[#This Row],[Name]],TRIM(Players[[#This Row],[Rename to]]))</f>
        <v>Lucas A</v>
      </c>
      <c r="H46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7" spans="1:8" x14ac:dyDescent="0.45">
      <c r="A47" s="6" t="s">
        <v>87</v>
      </c>
      <c r="B47" s="6">
        <f>COUNTIF(GameLog[Player],Players[[#This Row],[Name]])</f>
        <v>2</v>
      </c>
      <c r="C47" s="10">
        <f>IF(Players[[#This Row],[Games]]=0,"",_xlfn.MINIFS(GameLog[Date],GameLog[Player],Players[[#This Row],[Name]]))</f>
        <v>45950</v>
      </c>
      <c r="D47" s="10">
        <f>IF(Players[[#This Row],[Games]]=0,"",_xlfn.MAXIFS(GameLog[Date],GameLog[Player],Players[[#This Row],[Name]]))</f>
        <v>45950</v>
      </c>
      <c r="E47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47" s="9"/>
      <c r="G47" s="6" t="str">
        <f>IF(TRIM(Players[[#This Row],[Rename to]])="",Players[[#This Row],[Name]],TRIM(Players[[#This Row],[Rename to]]))</f>
        <v>Manny R</v>
      </c>
      <c r="H47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8" spans="1:8" x14ac:dyDescent="0.45">
      <c r="A48" s="6" t="s">
        <v>56</v>
      </c>
      <c r="B48" s="6">
        <f>COUNTIF(GameLog[Player],Players[[#This Row],[Name]])</f>
        <v>62</v>
      </c>
      <c r="C48" s="10">
        <f>IF(Players[[#This Row],[Games]]=0,"",_xlfn.MINIFS(GameLog[Date],GameLog[Player],Players[[#This Row],[Name]]))</f>
        <v>45859</v>
      </c>
      <c r="D48" s="10">
        <f>IF(Players[[#This Row],[Games]]=0,"",_xlfn.MAXIFS(GameLog[Date],GameLog[Player],Players[[#This Row],[Name]]))</f>
        <v>46307</v>
      </c>
      <c r="E48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48" s="9"/>
      <c r="G48" s="6" t="str">
        <f>IF(TRIM(Players[[#This Row],[Rename to]])="",Players[[#This Row],[Name]],TRIM(Players[[#This Row],[Rename to]]))</f>
        <v>Mark D</v>
      </c>
      <c r="H48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49" spans="1:8" x14ac:dyDescent="0.45">
      <c r="A49" s="6" t="s">
        <v>101</v>
      </c>
      <c r="B49" s="6">
        <f>COUNTIF(GameLog[Player],Players[[#This Row],[Name]])</f>
        <v>4</v>
      </c>
      <c r="C49" s="10">
        <f>IF(Players[[#This Row],[Games]]=0,"",_xlfn.MINIFS(GameLog[Date],GameLog[Player],Players[[#This Row],[Name]]))</f>
        <v>46090</v>
      </c>
      <c r="D49" s="10">
        <f>IF(Players[[#This Row],[Games]]=0,"",_xlfn.MAXIFS(GameLog[Date],GameLog[Player],Players[[#This Row],[Name]]))</f>
        <v>46104</v>
      </c>
      <c r="E49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49" s="9"/>
      <c r="G49" s="6" t="str">
        <f>IF(TRIM(Players[[#This Row],[Rename to]])="",Players[[#This Row],[Name]],TRIM(Players[[#This Row],[Rename to]]))</f>
        <v>Matthew P</v>
      </c>
      <c r="H49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0" spans="1:8" x14ac:dyDescent="0.45">
      <c r="A50" s="6" t="s">
        <v>116</v>
      </c>
      <c r="B50" s="6">
        <f>COUNTIF(GameLog[Player],Players[[#This Row],[Name]])</f>
        <v>6</v>
      </c>
      <c r="C50" s="10">
        <f>IF(Players[[#This Row],[Games]]=0,"",_xlfn.MINIFS(GameLog[Date],GameLog[Player],Players[[#This Row],[Name]]))</f>
        <v>46202</v>
      </c>
      <c r="D50" s="10">
        <f>IF(Players[[#This Row],[Games]]=0,"",_xlfn.MAXIFS(GameLog[Date],GameLog[Player],Players[[#This Row],[Name]]))</f>
        <v>46286</v>
      </c>
      <c r="E50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50" s="9"/>
      <c r="G50" s="6" t="str">
        <f>IF(TRIM(Players[[#This Row],[Rename to]])="",Players[[#This Row],[Name]],TRIM(Players[[#This Row],[Rename to]]))</f>
        <v>Matthew W</v>
      </c>
      <c r="H50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1" spans="1:8" x14ac:dyDescent="0.45">
      <c r="A51" s="6" t="s">
        <v>65</v>
      </c>
      <c r="B51" s="6">
        <f>COUNTIF(GameLog[Player],Players[[#This Row],[Name]])</f>
        <v>28</v>
      </c>
      <c r="C51" s="10">
        <f>IF(Players[[#This Row],[Games]]=0,"",_xlfn.MINIFS(GameLog[Date],GameLog[Player],Players[[#This Row],[Name]]))</f>
        <v>45866</v>
      </c>
      <c r="D51" s="10">
        <f>IF(Players[[#This Row],[Games]]=0,"",_xlfn.MAXIFS(GameLog[Date],GameLog[Player],Players[[#This Row],[Name]]))</f>
        <v>46272</v>
      </c>
      <c r="E51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51" s="9"/>
      <c r="G51" s="6" t="str">
        <f>IF(TRIM(Players[[#This Row],[Rename to]])="",Players[[#This Row],[Name]],TRIM(Players[[#This Row],[Rename to]]))</f>
        <v>Mitch</v>
      </c>
      <c r="H51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2" spans="1:8" x14ac:dyDescent="0.45">
      <c r="A52" s="6" t="s">
        <v>62</v>
      </c>
      <c r="B52" s="6">
        <f>COUNTIF(GameLog[Player],Players[[#This Row],[Name]])</f>
        <v>14</v>
      </c>
      <c r="C52" s="10">
        <f>IF(Players[[#This Row],[Games]]=0,"",_xlfn.MINIFS(GameLog[Date],GameLog[Player],Players[[#This Row],[Name]]))</f>
        <v>45866</v>
      </c>
      <c r="D52" s="10">
        <f>IF(Players[[#This Row],[Games]]=0,"",_xlfn.MAXIFS(GameLog[Date],GameLog[Player],Players[[#This Row],[Name]]))</f>
        <v>46174</v>
      </c>
      <c r="E52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52" s="9"/>
      <c r="G52" s="6" t="str">
        <f>IF(TRIM(Players[[#This Row],[Rename to]])="",Players[[#This Row],[Name]],TRIM(Players[[#This Row],[Rename to]]))</f>
        <v>Nicholas S</v>
      </c>
      <c r="H52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3" spans="1:8" x14ac:dyDescent="0.45">
      <c r="A53" s="6" t="s">
        <v>82</v>
      </c>
      <c r="B53" s="6">
        <f>COUNTIF(GameLog[Player],Players[[#This Row],[Name]])</f>
        <v>18</v>
      </c>
      <c r="C53" s="10">
        <f>IF(Players[[#This Row],[Games]]=0,"",_xlfn.MINIFS(GameLog[Date],GameLog[Player],Players[[#This Row],[Name]]))</f>
        <v>45936</v>
      </c>
      <c r="D53" s="10">
        <f>IF(Players[[#This Row],[Games]]=0,"",_xlfn.MAXIFS(GameLog[Date],GameLog[Player],Players[[#This Row],[Name]]))</f>
        <v>46090</v>
      </c>
      <c r="E53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53" s="9"/>
      <c r="G53" s="6" t="str">
        <f>IF(TRIM(Players[[#This Row],[Rename to]])="",Players[[#This Row],[Name]],TRIM(Players[[#This Row],[Rename to]]))</f>
        <v>Nick D</v>
      </c>
      <c r="H53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4" spans="1:8" x14ac:dyDescent="0.45">
      <c r="A54" s="6" t="s">
        <v>110</v>
      </c>
      <c r="B54" s="6">
        <f>COUNTIF(GameLog[Player],Players[[#This Row],[Name]])</f>
        <v>16</v>
      </c>
      <c r="C54" s="10">
        <f>IF(Players[[#This Row],[Games]]=0,"",_xlfn.MINIFS(GameLog[Date],GameLog[Player],Players[[#This Row],[Name]]))</f>
        <v>46167</v>
      </c>
      <c r="D54" s="10">
        <f>IF(Players[[#This Row],[Games]]=0,"",_xlfn.MAXIFS(GameLog[Date],GameLog[Player],Players[[#This Row],[Name]]))</f>
        <v>46307</v>
      </c>
      <c r="E54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54" s="9"/>
      <c r="G54" s="6" t="str">
        <f>IF(TRIM(Players[[#This Row],[Rename to]])="",Players[[#This Row],[Name]],TRIM(Players[[#This Row],[Rename to]]))</f>
        <v>Paul B</v>
      </c>
      <c r="H54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5" spans="1:8" x14ac:dyDescent="0.45">
      <c r="A55" s="6" t="s">
        <v>121</v>
      </c>
      <c r="B55" s="6">
        <f>COUNTIF(GameLog[Player],Players[[#This Row],[Name]])</f>
        <v>6</v>
      </c>
      <c r="C55" s="10">
        <f>IF(Players[[#This Row],[Games]]=0,"",_xlfn.MINIFS(GameLog[Date],GameLog[Player],Players[[#This Row],[Name]]))</f>
        <v>46286</v>
      </c>
      <c r="D55" s="10">
        <f>IF(Players[[#This Row],[Games]]=0,"",_xlfn.MAXIFS(GameLog[Date],GameLog[Player],Players[[#This Row],[Name]]))</f>
        <v>46300</v>
      </c>
      <c r="E55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55" s="9"/>
      <c r="G55" s="6" t="str">
        <f>IF(TRIM(Players[[#This Row],[Rename to]])="",Players[[#This Row],[Name]],TRIM(Players[[#This Row],[Rename to]]))</f>
        <v>Randy P</v>
      </c>
      <c r="H55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6" spans="1:8" x14ac:dyDescent="0.45">
      <c r="A56" s="6" t="s">
        <v>71</v>
      </c>
      <c r="B56" s="6">
        <f>COUNTIF(GameLog[Player],Players[[#This Row],[Name]])</f>
        <v>84</v>
      </c>
      <c r="C56" s="10">
        <f>IF(Players[[#This Row],[Games]]=0,"",_xlfn.MINIFS(GameLog[Date],GameLog[Player],Players[[#This Row],[Name]]))</f>
        <v>45880</v>
      </c>
      <c r="D56" s="10">
        <f>IF(Players[[#This Row],[Games]]=0,"",_xlfn.MAXIFS(GameLog[Date],GameLog[Player],Players[[#This Row],[Name]]))</f>
        <v>46307</v>
      </c>
      <c r="E56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56" s="9"/>
      <c r="G56" s="6" t="str">
        <f>IF(TRIM(Players[[#This Row],[Rename to]])="",Players[[#This Row],[Name]],TRIM(Players[[#This Row],[Rename to]]))</f>
        <v>Rodney Y</v>
      </c>
      <c r="H56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7" spans="1:8" x14ac:dyDescent="0.45">
      <c r="A57" s="6" t="s">
        <v>69</v>
      </c>
      <c r="B57" s="6">
        <f>COUNTIF(GameLog[Player],Players[[#This Row],[Name]])</f>
        <v>26</v>
      </c>
      <c r="C57" s="10">
        <f>IF(Players[[#This Row],[Games]]=0,"",_xlfn.MINIFS(GameLog[Date],GameLog[Player],Players[[#This Row],[Name]]))</f>
        <v>45873</v>
      </c>
      <c r="D57" s="10">
        <f>IF(Players[[#This Row],[Games]]=0,"",_xlfn.MAXIFS(GameLog[Date],GameLog[Player],Players[[#This Row],[Name]]))</f>
        <v>46083</v>
      </c>
      <c r="E57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57" s="9"/>
      <c r="G57" s="6" t="str">
        <f>IF(TRIM(Players[[#This Row],[Rename to]])="",Players[[#This Row],[Name]],TRIM(Players[[#This Row],[Rename to]]))</f>
        <v>Ryan T</v>
      </c>
      <c r="H57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8" spans="1:8" x14ac:dyDescent="0.45">
      <c r="A58" s="6" t="s">
        <v>102</v>
      </c>
      <c r="B58" s="6">
        <f>COUNTIF(GameLog[Player],Players[[#This Row],[Name]])</f>
        <v>18</v>
      </c>
      <c r="C58" s="10">
        <f>IF(Players[[#This Row],[Games]]=0,"",_xlfn.MINIFS(GameLog[Date],GameLog[Player],Players[[#This Row],[Name]]))</f>
        <v>46090</v>
      </c>
      <c r="D58" s="10">
        <f>IF(Players[[#This Row],[Games]]=0,"",_xlfn.MAXIFS(GameLog[Date],GameLog[Player],Players[[#This Row],[Name]]))</f>
        <v>46307</v>
      </c>
      <c r="E58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58" s="9"/>
      <c r="G58" s="6" t="str">
        <f>IF(TRIM(Players[[#This Row],[Rename to]])="",Players[[#This Row],[Name]],TRIM(Players[[#This Row],[Rename to]]))</f>
        <v>Sage</v>
      </c>
      <c r="H58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59" spans="1:8" x14ac:dyDescent="0.45">
      <c r="A59" s="6" t="s">
        <v>67</v>
      </c>
      <c r="B59" s="6">
        <f>COUNTIF(GameLog[Player],Players[[#This Row],[Name]])</f>
        <v>12</v>
      </c>
      <c r="C59" s="10">
        <f>IF(Players[[#This Row],[Games]]=0,"",_xlfn.MINIFS(GameLog[Date],GameLog[Player],Players[[#This Row],[Name]]))</f>
        <v>45873</v>
      </c>
      <c r="D59" s="10">
        <f>IF(Players[[#This Row],[Games]]=0,"",_xlfn.MAXIFS(GameLog[Date],GameLog[Player],Players[[#This Row],[Name]]))</f>
        <v>46069</v>
      </c>
      <c r="E59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59" s="9"/>
      <c r="G59" s="6" t="str">
        <f>IF(TRIM(Players[[#This Row],[Rename to]])="",Players[[#This Row],[Name]],TRIM(Players[[#This Row],[Rename to]]))</f>
        <v>Sam</v>
      </c>
      <c r="H59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0" spans="1:8" x14ac:dyDescent="0.45">
      <c r="A60" s="6" t="s">
        <v>112</v>
      </c>
      <c r="B60" s="6">
        <f>COUNTIF(GameLog[Player],Players[[#This Row],[Name]])</f>
        <v>10</v>
      </c>
      <c r="C60" s="10">
        <f>IF(Players[[#This Row],[Games]]=0,"",_xlfn.MINIFS(GameLog[Date],GameLog[Player],Players[[#This Row],[Name]]))</f>
        <v>46181</v>
      </c>
      <c r="D60" s="10">
        <f>IF(Players[[#This Row],[Games]]=0,"",_xlfn.MAXIFS(GameLog[Date],GameLog[Player],Players[[#This Row],[Name]]))</f>
        <v>46300</v>
      </c>
      <c r="E60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60" s="9"/>
      <c r="G60" s="6" t="str">
        <f>IF(TRIM(Players[[#This Row],[Rename to]])="",Players[[#This Row],[Name]],TRIM(Players[[#This Row],[Rename to]]))</f>
        <v>Savi</v>
      </c>
      <c r="H60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1" spans="1:8" x14ac:dyDescent="0.45">
      <c r="A61" s="6" t="s">
        <v>99</v>
      </c>
      <c r="B61" s="6">
        <f>COUNTIF(GameLog[Player],Players[[#This Row],[Name]])</f>
        <v>4</v>
      </c>
      <c r="C61" s="10">
        <f>IF(Players[[#This Row],[Games]]=0,"",_xlfn.MINIFS(GameLog[Date],GameLog[Player],Players[[#This Row],[Name]]))</f>
        <v>46069</v>
      </c>
      <c r="D61" s="10">
        <f>IF(Players[[#This Row],[Games]]=0,"",_xlfn.MAXIFS(GameLog[Date],GameLog[Player],Players[[#This Row],[Name]]))</f>
        <v>46118</v>
      </c>
      <c r="E61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61" s="9"/>
      <c r="G61" s="6" t="str">
        <f>IF(TRIM(Players[[#This Row],[Rename to]])="",Players[[#This Row],[Name]],TRIM(Players[[#This Row],[Rename to]]))</f>
        <v>Steve A-G</v>
      </c>
      <c r="H61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2" spans="1:8" x14ac:dyDescent="0.45">
      <c r="A62" s="6" t="s">
        <v>86</v>
      </c>
      <c r="B62" s="6">
        <f>COUNTIF(GameLog[Player],Players[[#This Row],[Name]])</f>
        <v>21</v>
      </c>
      <c r="C62" s="10">
        <f>IF(Players[[#This Row],[Games]]=0,"",_xlfn.MINIFS(GameLog[Date],GameLog[Player],Players[[#This Row],[Name]]))</f>
        <v>45943</v>
      </c>
      <c r="D62" s="10">
        <f>IF(Players[[#This Row],[Games]]=0,"",_xlfn.MAXIFS(GameLog[Date],GameLog[Player],Players[[#This Row],[Name]]))</f>
        <v>46034</v>
      </c>
      <c r="E62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62" s="9"/>
      <c r="G62" s="6" t="str">
        <f>IF(TRIM(Players[[#This Row],[Rename to]])="",Players[[#This Row],[Name]],TRIM(Players[[#This Row],[Rename to]]))</f>
        <v>Steve C</v>
      </c>
      <c r="H62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3" spans="1:8" x14ac:dyDescent="0.45">
      <c r="A63" s="6" t="s">
        <v>109</v>
      </c>
      <c r="B63" s="6">
        <f>COUNTIF(GameLog[Player],Players[[#This Row],[Name]])</f>
        <v>28</v>
      </c>
      <c r="C63" s="10">
        <f>IF(Players[[#This Row],[Games]]=0,"",_xlfn.MINIFS(GameLog[Date],GameLog[Player],Players[[#This Row],[Name]]))</f>
        <v>46153</v>
      </c>
      <c r="D63" s="10">
        <f>IF(Players[[#This Row],[Games]]=0,"",_xlfn.MAXIFS(GameLog[Date],GameLog[Player],Players[[#This Row],[Name]]))</f>
        <v>46307</v>
      </c>
      <c r="E63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63" s="9"/>
      <c r="G63" s="6" t="str">
        <f>IF(TRIM(Players[[#This Row],[Rename to]])="",Players[[#This Row],[Name]],TRIM(Players[[#This Row],[Rename to]]))</f>
        <v>Taylor C</v>
      </c>
      <c r="H63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4" spans="1:8" x14ac:dyDescent="0.45">
      <c r="A64" s="6" t="s">
        <v>106</v>
      </c>
      <c r="B64" s="6">
        <f>COUNTIF(GameLog[Player],Players[[#This Row],[Name]])</f>
        <v>6</v>
      </c>
      <c r="C64" s="10">
        <f>IF(Players[[#This Row],[Games]]=0,"",_xlfn.MINIFS(GameLog[Date],GameLog[Player],Players[[#This Row],[Name]]))</f>
        <v>46104</v>
      </c>
      <c r="D64" s="10">
        <f>IF(Players[[#This Row],[Games]]=0,"",_xlfn.MAXIFS(GameLog[Date],GameLog[Player],Players[[#This Row],[Name]]))</f>
        <v>46244</v>
      </c>
      <c r="E64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64" s="9"/>
      <c r="G64" s="6" t="str">
        <f>IF(TRIM(Players[[#This Row],[Rename to]])="",Players[[#This Row],[Name]],TRIM(Players[[#This Row],[Rename to]]))</f>
        <v>Tony W</v>
      </c>
      <c r="H64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5" spans="1:8" x14ac:dyDescent="0.45">
      <c r="A65" s="6" t="s">
        <v>61</v>
      </c>
      <c r="B65" s="6">
        <f>COUNTIF(GameLog[Player],Players[[#This Row],[Name]])</f>
        <v>104</v>
      </c>
      <c r="C65" s="10">
        <f>IF(Players[[#This Row],[Games]]=0,"",_xlfn.MINIFS(GameLog[Date],GameLog[Player],Players[[#This Row],[Name]]))</f>
        <v>45866</v>
      </c>
      <c r="D65" s="10">
        <f>IF(Players[[#This Row],[Games]]=0,"",_xlfn.MAXIFS(GameLog[Date],GameLog[Player],Players[[#This Row],[Name]]))</f>
        <v>46300</v>
      </c>
      <c r="E65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Needs last initial</v>
      </c>
      <c r="F65" s="9"/>
      <c r="G65" s="6" t="str">
        <f>IF(TRIM(Players[[#This Row],[Rename to]])="",Players[[#This Row],[Name]],TRIM(Players[[#This Row],[Rename to]]))</f>
        <v>Trevor</v>
      </c>
      <c r="H65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6" spans="1:8" x14ac:dyDescent="0.45">
      <c r="A66" s="6" t="s">
        <v>64</v>
      </c>
      <c r="B66" s="6">
        <f>COUNTIF(GameLog[Player],Players[[#This Row],[Name]])</f>
        <v>102</v>
      </c>
      <c r="C66" s="10">
        <f>IF(Players[[#This Row],[Games]]=0,"",_xlfn.MINIFS(GameLog[Date],GameLog[Player],Players[[#This Row],[Name]]))</f>
        <v>45866</v>
      </c>
      <c r="D66" s="10">
        <f>IF(Players[[#This Row],[Games]]=0,"",_xlfn.MAXIFS(GameLog[Date],GameLog[Player],Players[[#This Row],[Name]]))</f>
        <v>46307</v>
      </c>
      <c r="E66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66" s="9"/>
      <c r="G66" s="6" t="str">
        <f>IF(TRIM(Players[[#This Row],[Rename to]])="",Players[[#This Row],[Name]],TRIM(Players[[#This Row],[Rename to]]))</f>
        <v>Tyler B</v>
      </c>
      <c r="H66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7" spans="1:8" x14ac:dyDescent="0.45">
      <c r="A67" s="6" t="s">
        <v>52</v>
      </c>
      <c r="B67" s="6">
        <f>COUNTIF(GameLog[Player],Players[[#This Row],[Name]])</f>
        <v>70</v>
      </c>
      <c r="C67" s="10">
        <f>IF(Players[[#This Row],[Games]]=0,"",_xlfn.MINIFS(GameLog[Date],GameLog[Player],Players[[#This Row],[Name]]))</f>
        <v>45859</v>
      </c>
      <c r="D67" s="10">
        <f>IF(Players[[#This Row],[Games]]=0,"",_xlfn.MAXIFS(GameLog[Date],GameLog[Player],Players[[#This Row],[Name]]))</f>
        <v>46265</v>
      </c>
      <c r="E67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67" s="9"/>
      <c r="G67" s="6" t="str">
        <f>IF(TRIM(Players[[#This Row],[Rename to]])="",Players[[#This Row],[Name]],TRIM(Players[[#This Row],[Rename to]]))</f>
        <v>Unknown</v>
      </c>
      <c r="H67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8" spans="1:8" x14ac:dyDescent="0.45">
      <c r="A68" s="6" t="s">
        <v>54</v>
      </c>
      <c r="B68" s="6">
        <f>COUNTIF(GameLog[Player],Players[[#This Row],[Name]])</f>
        <v>4</v>
      </c>
      <c r="C68" s="10">
        <f>IF(Players[[#This Row],[Games]]=0,"",_xlfn.MINIFS(GameLog[Date],GameLog[Player],Players[[#This Row],[Name]]))</f>
        <v>45859</v>
      </c>
      <c r="D68" s="10">
        <f>IF(Players[[#This Row],[Games]]=0,"",_xlfn.MAXIFS(GameLog[Date],GameLog[Player],Players[[#This Row],[Name]]))</f>
        <v>45866</v>
      </c>
      <c r="E68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68" s="9"/>
      <c r="G68" s="6" t="str">
        <f>IF(TRIM(Players[[#This Row],[Rename to]])="",Players[[#This Row],[Name]],TRIM(Players[[#This Row],[Rename to]]))</f>
        <v>Vance C</v>
      </c>
      <c r="H68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69" spans="1:8" x14ac:dyDescent="0.45">
      <c r="A69" s="6" t="s">
        <v>84</v>
      </c>
      <c r="B69" s="6">
        <f>COUNTIF(GameLog[Player],Players[[#This Row],[Name]])</f>
        <v>16</v>
      </c>
      <c r="C69" s="10">
        <f>IF(Players[[#This Row],[Games]]=0,"",_xlfn.MINIFS(GameLog[Date],GameLog[Player],Players[[#This Row],[Name]]))</f>
        <v>45936</v>
      </c>
      <c r="D69" s="10">
        <f>IF(Players[[#This Row],[Games]]=0,"",_xlfn.MAXIFS(GameLog[Date],GameLog[Player],Players[[#This Row],[Name]]))</f>
        <v>46251</v>
      </c>
      <c r="E69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69" s="9"/>
      <c r="G69" s="6" t="str">
        <f>IF(TRIM(Players[[#This Row],[Rename to]])="",Players[[#This Row],[Name]],TRIM(Players[[#This Row],[Rename to]]))</f>
        <v>Zach D</v>
      </c>
      <c r="H69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  <row r="70" spans="1:8" x14ac:dyDescent="0.45">
      <c r="A70" s="6" t="s">
        <v>59</v>
      </c>
      <c r="B70" s="6">
        <f>COUNTIF(GameLog[Player],Players[[#This Row],[Name]])</f>
        <v>82</v>
      </c>
      <c r="C70" s="10">
        <f>IF(Players[[#This Row],[Games]]=0,"",_xlfn.MINIFS(GameLog[Date],GameLog[Player],Players[[#This Row],[Name]]))</f>
        <v>45866</v>
      </c>
      <c r="D70" s="10">
        <f>IF(Players[[#This Row],[Games]]=0,"",_xlfn.MAXIFS(GameLog[Date],GameLog[Player],Players[[#This Row],[Name]]))</f>
        <v>46293</v>
      </c>
      <c r="E70" s="6" t="str">
        <f>IF(IFERROR(IF(Players[[#This Row],[Name]]="",FALSE,OR(Players[[#This Row],[Name]]="Unknown",AND(LEN(Players[[#This Row],[Name]])-LEN(SUBSTITUTE(Players[[#This Row],[Name]]," ",""))=1,LEN(Players[[#This Row],[Name]])&gt;=4,MID(Players[[#This Row],[Name]],LEN(Players[[#This Row],[Name]])-1,1)=" ",CODE(RIGHT(Players[[#This Row],[Name]],1))&gt;=65,CODE(RIGHT(Players[[#This Row],[Name]],1))&lt;=90))),FALSE),"OK",IF(AND(Players[[#This Row],[Rename to]]&lt;&gt;"",IFERROR(IF(TRIM(Players[[#This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to]]),1))&lt;=90))),FALSE)),"Will fix on apply","Needs last initial"))</f>
        <v>OK</v>
      </c>
      <c r="F70" s="9"/>
      <c r="G70" s="6" t="str">
        <f>IF(TRIM(Players[[#This Row],[Rename to]])="",Players[[#This Row],[Name]],TRIM(Players[[#This Row],[Rename to]]))</f>
        <v>Zack B</v>
      </c>
      <c r="H70" s="6" t="str">
        <f>_xlfn.TEXTJOIN("; ",TRUE,IF(Players[[#This Row],[Name]]&lt;&gt;TRIM(Players[[#This Row],[Name]]),"Extra space",""),IF(Players[[#This Row],[Games]]=0,"Never used",""),IF(AND(Players[[#This Row],[Rename to]]&lt;&gt;"",NOT(IFERROR(IF(TRIM(Players[[#This Row],[Rename to]])="",FALSE,OR(TRIM(Players[[#This Row],[Rename to]])="Unknown",AND(LEN(TRIM(Players[[#This Row],[Rename to]]))-LEN(SUBSTITUTE(TRIM(Players[[#This Row],[Rename to]])," ",""))=1,LEN(TRIM(Players[[#This Row],[Rename to]]))&gt;=4,MID(TRIM(Players[[#This Row],[Rename to]]),LEN(TRIM(Players[[#This Row],[Rename to]]))-1,1)=" ",CODE(RIGHT(TRIM(Players[[#This Row],[Rename to]]),1))&gt;=65,CODE(RIGHT(TRIM(Players[[#This Row],[Rename to]]),1))&lt;=90))),FALSE))),"Rename to is not First L format",""),IF(COUNTIF(Players[New name],Players[[#This Row],[New name]])&gt;1,"Same name as another row after rename - merge",""),IF(AND(Players[[#This Row],[Games]]&lt;=3,COUNTIF(Players[Name],LEFT(Players[[#This Row],[Name]],3)&amp;"*")&gt;1),"Rare + starts like another name - typo?",""))</f>
        <v/>
      </c>
    </row>
  </sheetData>
  <conditionalFormatting sqref="A2:E270">
    <cfRule type="expression" dxfId="12" priority="1">
      <formula>AND($A2&lt;&gt;"",$H2&lt;&gt;"")</formula>
    </cfRule>
    <cfRule type="expression" dxfId="11" priority="2">
      <formula>$E2="Needs last initial"</formula>
    </cfRule>
    <cfRule type="expression" dxfId="10" priority="3">
      <formula>$E2="Will fix on apply"</formula>
    </cfRule>
  </conditionalFormatting>
  <conditionalFormatting sqref="G2:H270">
    <cfRule type="expression" dxfId="9" priority="4">
      <formula>AND($A2&lt;&gt;"",$H2&lt;&gt;"")</formula>
    </cfRule>
    <cfRule type="expression" dxfId="8" priority="5">
      <formula>$E2="Needs last initial"</formula>
    </cfRule>
    <cfRule type="expression" dxfId="7" priority="6">
      <formula>$E2="Will fix on apply"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305"/>
  <sheetViews>
    <sheetView workbookViewId="0"/>
  </sheetViews>
  <sheetFormatPr defaultRowHeight="14.25" x14ac:dyDescent="0.45"/>
  <cols>
    <col min="1" max="1" width="46" customWidth="1"/>
    <col min="2" max="2" width="10" customWidth="1"/>
    <col min="3" max="3" width="3" customWidth="1"/>
    <col min="4" max="4" width="11" customWidth="1"/>
    <col min="5" max="5" width="6" customWidth="1"/>
    <col min="6" max="6" width="7" customWidth="1"/>
    <col min="7" max="7" width="22" customWidth="1"/>
    <col min="8" max="8" width="3" customWidth="1"/>
    <col min="9" max="9" width="9" customWidth="1"/>
    <col min="10" max="10" width="11" customWidth="1"/>
    <col min="11" max="11" width="16" customWidth="1"/>
    <col min="12" max="13" width="6" customWidth="1"/>
    <col min="14" max="14" width="70" customWidth="1"/>
  </cols>
  <sheetData>
    <row r="1" spans="1:14" ht="17.649999999999999" x14ac:dyDescent="0.5">
      <c r="A1" s="1" t="s">
        <v>139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45">
      <c r="A3" s="4" t="s">
        <v>140</v>
      </c>
      <c r="B3" s="6"/>
      <c r="C3" s="6"/>
      <c r="D3" s="4" t="s">
        <v>141</v>
      </c>
      <c r="E3" s="6"/>
      <c r="F3" s="6"/>
      <c r="G3" s="6"/>
      <c r="H3" s="6"/>
      <c r="I3" s="4" t="str">
        <f ca="1">"Flagged rows in Data (first 300 of "&amp;B12&amp;")  -  fix the row, or type anything in its Reviewed cell to silence it"</f>
        <v>Flagged rows in Data (first 300 of 0)  -  fix the row, or type anything in its Reviewed cell to silence it</v>
      </c>
      <c r="J3" s="6"/>
      <c r="K3" s="6"/>
      <c r="L3" s="6"/>
      <c r="M3" s="6"/>
      <c r="N3" s="6"/>
    </row>
    <row r="4" spans="1:14" x14ac:dyDescent="0.45">
      <c r="A4" s="6" t="s">
        <v>142</v>
      </c>
      <c r="B4" s="14">
        <v>3</v>
      </c>
      <c r="C4" s="6"/>
      <c r="D4" s="7" t="s">
        <v>18</v>
      </c>
      <c r="E4" s="7" t="s">
        <v>143</v>
      </c>
      <c r="F4" s="7" t="s">
        <v>144</v>
      </c>
      <c r="G4" s="7" t="s">
        <v>145</v>
      </c>
      <c r="H4" s="6"/>
      <c r="I4" s="7" t="s">
        <v>146</v>
      </c>
      <c r="J4" s="7" t="s">
        <v>18</v>
      </c>
      <c r="K4" s="7" t="s">
        <v>13</v>
      </c>
      <c r="L4" s="7" t="s">
        <v>16</v>
      </c>
      <c r="M4" s="7" t="s">
        <v>147</v>
      </c>
      <c r="N4" s="7" t="s">
        <v>148</v>
      </c>
    </row>
    <row r="5" spans="1:14" x14ac:dyDescent="0.45">
      <c r="A5" s="6" t="s">
        <v>149</v>
      </c>
      <c r="B5" s="14">
        <v>5</v>
      </c>
      <c r="C5" s="6"/>
      <c r="D5" s="10">
        <f>MIN(GameLog[Date])</f>
        <v>45859</v>
      </c>
      <c r="E5" s="6" t="str">
        <f t="shared" ref="E5:E36" si="0">IF(D5="","",TEXT(D5,"ddd"))</f>
        <v>Mon</v>
      </c>
      <c r="F5" s="6">
        <f>IF(D5="","",COUNTIF(GameLog[Date],D5))</f>
        <v>24</v>
      </c>
      <c r="G5" s="6" t="str">
        <f>IF(D5="","",IF(WEEKDAY(D5,2)&lt;&gt;Game_Day,"Not a "&amp;INDEX({"Monday","Tuesday","Wednesday","Thursday","Friday","Saturday","Sunday"},Game_Day),""))</f>
        <v/>
      </c>
      <c r="H5" s="6"/>
      <c r="I5" s="6" t="str">
        <f ca="1">IFERROR(ROW(GameLog[#Headers])+MATCH(ROWS(I$5:I5),GameLog[Flag No],0),"")</f>
        <v/>
      </c>
      <c r="J5" s="10" t="str">
        <f ca="1">IF($I5="","",INDEX(GameLog[Date],$I5-ROW(GameLog[#Headers])))</f>
        <v/>
      </c>
      <c r="K5" s="6" t="str">
        <f ca="1">IF($I5="","",INDEX(GameLog[Player],$I5-ROW(GameLog[#Headers])))</f>
        <v/>
      </c>
      <c r="L5" s="6" t="str">
        <f ca="1">IF($I5="","",INDEX(GameLog[Pod],$I5-ROW(GameLog[#Headers])))</f>
        <v/>
      </c>
      <c r="M5" s="6" t="str">
        <f ca="1">IF($I5="","",INDEX(GameLog[Round],$I5-ROW(GameLog[#Headers])))</f>
        <v/>
      </c>
      <c r="N5" s="6" t="str">
        <f ca="1">IF($I5="","",INDEX(GameLog[Check],$I5-ROW(GameLog[#Headers])))</f>
        <v/>
      </c>
    </row>
    <row r="6" spans="1:14" x14ac:dyDescent="0.45">
      <c r="A6" s="6" t="s">
        <v>150</v>
      </c>
      <c r="B6" s="14">
        <v>2</v>
      </c>
      <c r="C6" s="6"/>
      <c r="D6" s="10">
        <f>IF(D5="","",IF(COUNTIF(GameLog[Date],"&gt;"&amp;D5)=0,"",_xlfn.MINIFS(GameLog[Date],GameLog[Date],"&gt;"&amp;D5)))</f>
        <v>45866</v>
      </c>
      <c r="E6" s="6" t="str">
        <f t="shared" si="0"/>
        <v>Mon</v>
      </c>
      <c r="F6" s="6">
        <f>IF(D6="","",COUNTIF(GameLog[Date],D6))</f>
        <v>26</v>
      </c>
      <c r="G6" s="6" t="str">
        <f>IF(D6="","",IF(WEEKDAY(D6,2)&lt;&gt;Game_Day,"Not a "&amp;INDEX({"Monday","Tuesday","Wednesday","Thursday","Friday","Saturday","Sunday"},Game_Day),""))</f>
        <v/>
      </c>
      <c r="H6" s="6"/>
      <c r="I6" s="6" t="str">
        <f ca="1">IFERROR(ROW(GameLog[#Headers])+MATCH(ROWS(I$5:I6),GameLog[Flag No],0),"")</f>
        <v/>
      </c>
      <c r="J6" s="10" t="str">
        <f ca="1">IF($I6="","",INDEX(GameLog[Date],$I6-ROW(GameLog[#Headers])))</f>
        <v/>
      </c>
      <c r="K6" s="6" t="str">
        <f ca="1">IF($I6="","",INDEX(GameLog[Player],$I6-ROW(GameLog[#Headers])))</f>
        <v/>
      </c>
      <c r="L6" s="6" t="str">
        <f ca="1">IF($I6="","",INDEX(GameLog[Pod],$I6-ROW(GameLog[#Headers])))</f>
        <v/>
      </c>
      <c r="M6" s="6" t="str">
        <f ca="1">IF($I6="","",INDEX(GameLog[Round],$I6-ROW(GameLog[#Headers])))</f>
        <v/>
      </c>
      <c r="N6" s="6" t="str">
        <f ca="1">IF($I6="","",INDEX(GameLog[Check],$I6-ROW(GameLog[#Headers])))</f>
        <v/>
      </c>
    </row>
    <row r="7" spans="1:14" x14ac:dyDescent="0.45">
      <c r="A7" s="6" t="s">
        <v>151</v>
      </c>
      <c r="B7" s="14">
        <v>1</v>
      </c>
      <c r="C7" s="6"/>
      <c r="D7" s="10">
        <f>IF(D6="","",IF(COUNTIF(GameLog[Date],"&gt;"&amp;D6)=0,"",_xlfn.MINIFS(GameLog[Date],GameLog[Date],"&gt;"&amp;D6)))</f>
        <v>45873</v>
      </c>
      <c r="E7" s="6" t="str">
        <f t="shared" si="0"/>
        <v>Mon</v>
      </c>
      <c r="F7" s="6">
        <f>IF(D7="","",COUNTIF(GameLog[Date],D7))</f>
        <v>24</v>
      </c>
      <c r="G7" s="6" t="str">
        <f>IF(D7="","",IF(WEEKDAY(D7,2)&lt;&gt;Game_Day,"Not a "&amp;INDEX({"Monday","Tuesday","Wednesday","Thursday","Friday","Saturday","Sunday"},Game_Day),""))</f>
        <v/>
      </c>
      <c r="H7" s="6"/>
      <c r="I7" s="6" t="str">
        <f ca="1">IFERROR(ROW(GameLog[#Headers])+MATCH(ROWS(I$5:I7),GameLog[Flag No],0),"")</f>
        <v/>
      </c>
      <c r="J7" s="10" t="str">
        <f ca="1">IF($I7="","",INDEX(GameLog[Date],$I7-ROW(GameLog[#Headers])))</f>
        <v/>
      </c>
      <c r="K7" s="6" t="str">
        <f ca="1">IF($I7="","",INDEX(GameLog[Player],$I7-ROW(GameLog[#Headers])))</f>
        <v/>
      </c>
      <c r="L7" s="6" t="str">
        <f ca="1">IF($I7="","",INDEX(GameLog[Pod],$I7-ROW(GameLog[#Headers])))</f>
        <v/>
      </c>
      <c r="M7" s="6" t="str">
        <f ca="1">IF($I7="","",INDEX(GameLog[Round],$I7-ROW(GameLog[#Headers])))</f>
        <v/>
      </c>
      <c r="N7" s="6" t="str">
        <f ca="1">IF($I7="","",INDEX(GameLog[Check],$I7-ROW(GameLog[#Headers])))</f>
        <v/>
      </c>
    </row>
    <row r="8" spans="1:14" x14ac:dyDescent="0.45">
      <c r="A8" s="6"/>
      <c r="B8" s="6"/>
      <c r="C8" s="6"/>
      <c r="D8" s="10">
        <f>IF(D7="","",IF(COUNTIF(GameLog[Date],"&gt;"&amp;D7)=0,"",_xlfn.MINIFS(GameLog[Date],GameLog[Date],"&gt;"&amp;D7)))</f>
        <v>45880</v>
      </c>
      <c r="E8" s="6" t="str">
        <f t="shared" si="0"/>
        <v>Mon</v>
      </c>
      <c r="F8" s="6">
        <f>IF(D8="","",COUNTIF(GameLog[Date],D8))</f>
        <v>32</v>
      </c>
      <c r="G8" s="6" t="str">
        <f>IF(D8="","",IF(WEEKDAY(D8,2)&lt;&gt;Game_Day,"Not a "&amp;INDEX({"Monday","Tuesday","Wednesday","Thursday","Friday","Saturday","Sunday"},Game_Day),""))</f>
        <v/>
      </c>
      <c r="H8" s="6"/>
      <c r="I8" s="6" t="str">
        <f ca="1">IFERROR(ROW(GameLog[#Headers])+MATCH(ROWS(I$5:I8),GameLog[Flag No],0),"")</f>
        <v/>
      </c>
      <c r="J8" s="10" t="str">
        <f ca="1">IF($I8="","",INDEX(GameLog[Date],$I8-ROW(GameLog[#Headers])))</f>
        <v/>
      </c>
      <c r="K8" s="6" t="str">
        <f ca="1">IF($I8="","",INDEX(GameLog[Player],$I8-ROW(GameLog[#Headers])))</f>
        <v/>
      </c>
      <c r="L8" s="6" t="str">
        <f ca="1">IF($I8="","",INDEX(GameLog[Pod],$I8-ROW(GameLog[#Headers])))</f>
        <v/>
      </c>
      <c r="M8" s="6" t="str">
        <f ca="1">IF($I8="","",INDEX(GameLog[Round],$I8-ROW(GameLog[#Headers])))</f>
        <v/>
      </c>
      <c r="N8" s="6" t="str">
        <f ca="1">IF($I8="","",INDEX(GameLog[Check],$I8-ROW(GameLog[#Headers])))</f>
        <v/>
      </c>
    </row>
    <row r="9" spans="1:14" x14ac:dyDescent="0.45">
      <c r="A9" s="6"/>
      <c r="B9" s="6"/>
      <c r="C9" s="6"/>
      <c r="D9" s="10">
        <f>IF(D8="","",IF(COUNTIF(GameLog[Date],"&gt;"&amp;D8)=0,"",_xlfn.MINIFS(GameLog[Date],GameLog[Date],"&gt;"&amp;D8)))</f>
        <v>45887</v>
      </c>
      <c r="E9" s="6" t="str">
        <f t="shared" si="0"/>
        <v>Mon</v>
      </c>
      <c r="F9" s="6">
        <f>IF(D9="","",COUNTIF(GameLog[Date],D9))</f>
        <v>20</v>
      </c>
      <c r="G9" s="6" t="str">
        <f>IF(D9="","",IF(WEEKDAY(D9,2)&lt;&gt;Game_Day,"Not a "&amp;INDEX({"Monday","Tuesday","Wednesday","Thursday","Friday","Saturday","Sunday"},Game_Day),""))</f>
        <v/>
      </c>
      <c r="H9" s="6"/>
      <c r="I9" s="6" t="str">
        <f ca="1">IFERROR(ROW(GameLog[#Headers])+MATCH(ROWS(I$5:I9),GameLog[Flag No],0),"")</f>
        <v/>
      </c>
      <c r="J9" s="10" t="str">
        <f ca="1">IF($I9="","",INDEX(GameLog[Date],$I9-ROW(GameLog[#Headers])))</f>
        <v/>
      </c>
      <c r="K9" s="6" t="str">
        <f ca="1">IF($I9="","",INDEX(GameLog[Player],$I9-ROW(GameLog[#Headers])))</f>
        <v/>
      </c>
      <c r="L9" s="6" t="str">
        <f ca="1">IF($I9="","",INDEX(GameLog[Pod],$I9-ROW(GameLog[#Headers])))</f>
        <v/>
      </c>
      <c r="M9" s="6" t="str">
        <f ca="1">IF($I9="","",INDEX(GameLog[Round],$I9-ROW(GameLog[#Headers])))</f>
        <v/>
      </c>
      <c r="N9" s="6" t="str">
        <f ca="1">IF($I9="","",INDEX(GameLog[Check],$I9-ROW(GameLog[#Headers])))</f>
        <v/>
      </c>
    </row>
    <row r="10" spans="1:14" x14ac:dyDescent="0.45">
      <c r="A10" s="4" t="s">
        <v>152</v>
      </c>
      <c r="B10" s="6"/>
      <c r="C10" s="6"/>
      <c r="D10" s="10">
        <f>IF(D9="","",IF(COUNTIF(GameLog[Date],"&gt;"&amp;D9)=0,"",_xlfn.MINIFS(GameLog[Date],GameLog[Date],"&gt;"&amp;D9)))</f>
        <v>45894</v>
      </c>
      <c r="E10" s="6" t="str">
        <f t="shared" si="0"/>
        <v>Mon</v>
      </c>
      <c r="F10" s="6">
        <f>IF(D10="","",COUNTIF(GameLog[Date],D10))</f>
        <v>38</v>
      </c>
      <c r="G10" s="6" t="str">
        <f>IF(D10="","",IF(WEEKDAY(D10,2)&lt;&gt;Game_Day,"Not a "&amp;INDEX({"Monday","Tuesday","Wednesday","Thursday","Friday","Saturday","Sunday"},Game_Day),""))</f>
        <v/>
      </c>
      <c r="H10" s="6"/>
      <c r="I10" s="6" t="str">
        <f ca="1">IFERROR(ROW(GameLog[#Headers])+MATCH(ROWS(I$5:I10),GameLog[Flag No],0),"")</f>
        <v/>
      </c>
      <c r="J10" s="10" t="str">
        <f ca="1">IF($I10="","",INDEX(GameLog[Date],$I10-ROW(GameLog[#Headers])))</f>
        <v/>
      </c>
      <c r="K10" s="6" t="str">
        <f ca="1">IF($I10="","",INDEX(GameLog[Player],$I10-ROW(GameLog[#Headers])))</f>
        <v/>
      </c>
      <c r="L10" s="6" t="str">
        <f ca="1">IF($I10="","",INDEX(GameLog[Pod],$I10-ROW(GameLog[#Headers])))</f>
        <v/>
      </c>
      <c r="M10" s="6" t="str">
        <f ca="1">IF($I10="","",INDEX(GameLog[Round],$I10-ROW(GameLog[#Headers])))</f>
        <v/>
      </c>
      <c r="N10" s="6" t="str">
        <f ca="1">IF($I10="","",INDEX(GameLog[Check],$I10-ROW(GameLog[#Headers])))</f>
        <v/>
      </c>
    </row>
    <row r="11" spans="1:14" x14ac:dyDescent="0.45">
      <c r="A11" s="6" t="s">
        <v>153</v>
      </c>
      <c r="B11" s="15">
        <f>ROWS(GameLog[Player])</f>
        <v>2328</v>
      </c>
      <c r="C11" s="6"/>
      <c r="D11" s="10">
        <f>IF(D10="","",IF(COUNTIF(GameLog[Date],"&gt;"&amp;D10)=0,"",_xlfn.MINIFS(GameLog[Date],GameLog[Date],"&gt;"&amp;D10)))</f>
        <v>45908</v>
      </c>
      <c r="E11" s="6" t="str">
        <f t="shared" si="0"/>
        <v>Mon</v>
      </c>
      <c r="F11" s="6">
        <f>IF(D11="","",COUNTIF(GameLog[Date],D11))</f>
        <v>30</v>
      </c>
      <c r="G11" s="6" t="str">
        <f>IF(D11="","",IF(WEEKDAY(D11,2)&lt;&gt;Game_Day,"Not a "&amp;INDEX({"Monday","Tuesday","Wednesday","Thursday","Friday","Saturday","Sunday"},Game_Day),""))</f>
        <v/>
      </c>
      <c r="H11" s="6"/>
      <c r="I11" s="6" t="str">
        <f ca="1">IFERROR(ROW(GameLog[#Headers])+MATCH(ROWS(I$5:I11),GameLog[Flag No],0),"")</f>
        <v/>
      </c>
      <c r="J11" s="10" t="str">
        <f ca="1">IF($I11="","",INDEX(GameLog[Date],$I11-ROW(GameLog[#Headers])))</f>
        <v/>
      </c>
      <c r="K11" s="6" t="str">
        <f ca="1">IF($I11="","",INDEX(GameLog[Player],$I11-ROW(GameLog[#Headers])))</f>
        <v/>
      </c>
      <c r="L11" s="6" t="str">
        <f ca="1">IF($I11="","",INDEX(GameLog[Pod],$I11-ROW(GameLog[#Headers])))</f>
        <v/>
      </c>
      <c r="M11" s="6" t="str">
        <f ca="1">IF($I11="","",INDEX(GameLog[Round],$I11-ROW(GameLog[#Headers])))</f>
        <v/>
      </c>
      <c r="N11" s="6" t="str">
        <f ca="1">IF($I11="","",INDEX(GameLog[Check],$I11-ROW(GameLog[#Headers])))</f>
        <v/>
      </c>
    </row>
    <row r="12" spans="1:14" x14ac:dyDescent="0.45">
      <c r="A12" s="6" t="s">
        <v>154</v>
      </c>
      <c r="B12" s="15">
        <f ca="1">COUNTIF(GameLog[Check],"?*")</f>
        <v>0</v>
      </c>
      <c r="C12" s="6"/>
      <c r="D12" s="10">
        <f>IF(D11="","",IF(COUNTIF(GameLog[Date],"&gt;"&amp;D11)=0,"",_xlfn.MINIFS(GameLog[Date],GameLog[Date],"&gt;"&amp;D11)))</f>
        <v>45915</v>
      </c>
      <c r="E12" s="6" t="str">
        <f t="shared" si="0"/>
        <v>Mon</v>
      </c>
      <c r="F12" s="6">
        <f>IF(D12="","",COUNTIF(GameLog[Date],D12))</f>
        <v>27</v>
      </c>
      <c r="G12" s="6" t="str">
        <f>IF(D12="","",IF(WEEKDAY(D12,2)&lt;&gt;Game_Day,"Not a "&amp;INDEX({"Monday","Tuesday","Wednesday","Thursday","Friday","Saturday","Sunday"},Game_Day),""))</f>
        <v/>
      </c>
      <c r="H12" s="6"/>
      <c r="I12" s="6" t="str">
        <f ca="1">IFERROR(ROW(GameLog[#Headers])+MATCH(ROWS(I$5:I12),GameLog[Flag No],0),"")</f>
        <v/>
      </c>
      <c r="J12" s="10" t="str">
        <f ca="1">IF($I12="","",INDEX(GameLog[Date],$I12-ROW(GameLog[#Headers])))</f>
        <v/>
      </c>
      <c r="K12" s="6" t="str">
        <f ca="1">IF($I12="","",INDEX(GameLog[Player],$I12-ROW(GameLog[#Headers])))</f>
        <v/>
      </c>
      <c r="L12" s="6" t="str">
        <f ca="1">IF($I12="","",INDEX(GameLog[Pod],$I12-ROW(GameLog[#Headers])))</f>
        <v/>
      </c>
      <c r="M12" s="6" t="str">
        <f ca="1">IF($I12="","",INDEX(GameLog[Round],$I12-ROW(GameLog[#Headers])))</f>
        <v/>
      </c>
      <c r="N12" s="6" t="str">
        <f ca="1">IF($I12="","",INDEX(GameLog[Check],$I12-ROW(GameLog[#Headers])))</f>
        <v/>
      </c>
    </row>
    <row r="13" spans="1:14" x14ac:dyDescent="0.45">
      <c r="A13" s="6" t="s">
        <v>155</v>
      </c>
      <c r="B13" s="15">
        <f>COUNTIF(GameLog[Reviewed],"?*")</f>
        <v>24</v>
      </c>
      <c r="C13" s="6"/>
      <c r="D13" s="10">
        <f>IF(D12="","",IF(COUNTIF(GameLog[Date],"&gt;"&amp;D12)=0,"",_xlfn.MINIFS(GameLog[Date],GameLog[Date],"&gt;"&amp;D12)))</f>
        <v>45922</v>
      </c>
      <c r="E13" s="6" t="str">
        <f t="shared" si="0"/>
        <v>Mon</v>
      </c>
      <c r="F13" s="6">
        <f>IF(D13="","",COUNTIF(GameLog[Date],D13))</f>
        <v>34</v>
      </c>
      <c r="G13" s="6" t="str">
        <f>IF(D13="","",IF(WEEKDAY(D13,2)&lt;&gt;Game_Day,"Not a "&amp;INDEX({"Monday","Tuesday","Wednesday","Thursday","Friday","Saturday","Sunday"},Game_Day),""))</f>
        <v/>
      </c>
      <c r="H13" s="6"/>
      <c r="I13" s="6" t="str">
        <f ca="1">IFERROR(ROW(GameLog[#Headers])+MATCH(ROWS(I$5:I13),GameLog[Flag No],0),"")</f>
        <v/>
      </c>
      <c r="J13" s="10" t="str">
        <f ca="1">IF($I13="","",INDEX(GameLog[Date],$I13-ROW(GameLog[#Headers])))</f>
        <v/>
      </c>
      <c r="K13" s="6" t="str">
        <f ca="1">IF($I13="","",INDEX(GameLog[Player],$I13-ROW(GameLog[#Headers])))</f>
        <v/>
      </c>
      <c r="L13" s="6" t="str">
        <f ca="1">IF($I13="","",INDEX(GameLog[Pod],$I13-ROW(GameLog[#Headers])))</f>
        <v/>
      </c>
      <c r="M13" s="6" t="str">
        <f ca="1">IF($I13="","",INDEX(GameLog[Round],$I13-ROW(GameLog[#Headers])))</f>
        <v/>
      </c>
      <c r="N13" s="6" t="str">
        <f ca="1">IF($I13="","",INDEX(GameLog[Check],$I13-ROW(GameLog[#Headers])))</f>
        <v/>
      </c>
    </row>
    <row r="14" spans="1:14" x14ac:dyDescent="0.45">
      <c r="A14" s="6" t="str">
        <f>"Session dates not on a "&amp;INDEX({"Monday","Tuesday","Wednesday","Thursday","Friday","Saturday","Sunday"},Game_Day)</f>
        <v>Session dates not on a Monday</v>
      </c>
      <c r="B14" s="15">
        <f>COUNTIF($G$5:$G$154,"?*")</f>
        <v>0</v>
      </c>
      <c r="C14" s="6"/>
      <c r="D14" s="10">
        <f>IF(D13="","",IF(COUNTIF(GameLog[Date],"&gt;"&amp;D13)=0,"",_xlfn.MINIFS(GameLog[Date],GameLog[Date],"&gt;"&amp;D13)))</f>
        <v>45929</v>
      </c>
      <c r="E14" s="6" t="str">
        <f t="shared" si="0"/>
        <v>Mon</v>
      </c>
      <c r="F14" s="6">
        <f>IF(D14="","",COUNTIF(GameLog[Date],D14))</f>
        <v>32</v>
      </c>
      <c r="G14" s="6" t="str">
        <f>IF(D14="","",IF(WEEKDAY(D14,2)&lt;&gt;Game_Day,"Not a "&amp;INDEX({"Monday","Tuesday","Wednesday","Thursday","Friday","Saturday","Sunday"},Game_Day),""))</f>
        <v/>
      </c>
      <c r="H14" s="6"/>
      <c r="I14" s="6" t="str">
        <f ca="1">IFERROR(ROW(GameLog[#Headers])+MATCH(ROWS(I$5:I14),GameLog[Flag No],0),"")</f>
        <v/>
      </c>
      <c r="J14" s="10" t="str">
        <f ca="1">IF($I14="","",INDEX(GameLog[Date],$I14-ROW(GameLog[#Headers])))</f>
        <v/>
      </c>
      <c r="K14" s="6" t="str">
        <f ca="1">IF($I14="","",INDEX(GameLog[Player],$I14-ROW(GameLog[#Headers])))</f>
        <v/>
      </c>
      <c r="L14" s="6" t="str">
        <f ca="1">IF($I14="","",INDEX(GameLog[Pod],$I14-ROW(GameLog[#Headers])))</f>
        <v/>
      </c>
      <c r="M14" s="6" t="str">
        <f ca="1">IF($I14="","",INDEX(GameLog[Round],$I14-ROW(GameLog[#Headers])))</f>
        <v/>
      </c>
      <c r="N14" s="6" t="str">
        <f ca="1">IF($I14="","",INDEX(GameLog[Check],$I14-ROW(GameLog[#Headers])))</f>
        <v/>
      </c>
    </row>
    <row r="15" spans="1:14" x14ac:dyDescent="0.45">
      <c r="A15" s="6" t="s">
        <v>156</v>
      </c>
      <c r="B15" s="15">
        <f>COUNTIF(Players[Name format],"Needs*")</f>
        <v>11</v>
      </c>
      <c r="C15" s="6"/>
      <c r="D15" s="10">
        <f>IF(D14="","",IF(COUNTIF(GameLog[Date],"&gt;"&amp;D14)=0,"",_xlfn.MINIFS(GameLog[Date],GameLog[Date],"&gt;"&amp;D14)))</f>
        <v>45936</v>
      </c>
      <c r="E15" s="6" t="str">
        <f t="shared" si="0"/>
        <v>Mon</v>
      </c>
      <c r="F15" s="6">
        <f>IF(D15="","",COUNTIF(GameLog[Date],D15))</f>
        <v>30</v>
      </c>
      <c r="G15" s="6" t="str">
        <f>IF(D15="","",IF(WEEKDAY(D15,2)&lt;&gt;Game_Day,"Not a "&amp;INDEX({"Monday","Tuesday","Wednesday","Thursday","Friday","Saturday","Sunday"},Game_Day),""))</f>
        <v/>
      </c>
      <c r="H15" s="6"/>
      <c r="I15" s="6" t="str">
        <f ca="1">IFERROR(ROW(GameLog[#Headers])+MATCH(ROWS(I$5:I15),GameLog[Flag No],0),"")</f>
        <v/>
      </c>
      <c r="J15" s="10" t="str">
        <f ca="1">IF($I15="","",INDEX(GameLog[Date],$I15-ROW(GameLog[#Headers])))</f>
        <v/>
      </c>
      <c r="K15" s="6" t="str">
        <f ca="1">IF($I15="","",INDEX(GameLog[Player],$I15-ROW(GameLog[#Headers])))</f>
        <v/>
      </c>
      <c r="L15" s="6" t="str">
        <f ca="1">IF($I15="","",INDEX(GameLog[Pod],$I15-ROW(GameLog[#Headers])))</f>
        <v/>
      </c>
      <c r="M15" s="6" t="str">
        <f ca="1">IF($I15="","",INDEX(GameLog[Round],$I15-ROW(GameLog[#Headers])))</f>
        <v/>
      </c>
      <c r="N15" s="6" t="str">
        <f ca="1">IF($I15="","",INDEX(GameLog[Check],$I15-ROW(GameLog[#Headers])))</f>
        <v/>
      </c>
    </row>
    <row r="16" spans="1:14" x14ac:dyDescent="0.45">
      <c r="A16" s="6" t="s">
        <v>157</v>
      </c>
      <c r="B16" s="15">
        <f>COUNTIF(Players[Review],"?*")</f>
        <v>1</v>
      </c>
      <c r="C16" s="6"/>
      <c r="D16" s="10">
        <f>IF(D15="","",IF(COUNTIF(GameLog[Date],"&gt;"&amp;D15)=0,"",_xlfn.MINIFS(GameLog[Date],GameLog[Date],"&gt;"&amp;D15)))</f>
        <v>45943</v>
      </c>
      <c r="E16" s="6" t="str">
        <f t="shared" si="0"/>
        <v>Mon</v>
      </c>
      <c r="F16" s="6">
        <f>IF(D16="","",COUNTIF(GameLog[Date],D16))</f>
        <v>35</v>
      </c>
      <c r="G16" s="6" t="str">
        <f>IF(D16="","",IF(WEEKDAY(D16,2)&lt;&gt;Game_Day,"Not a "&amp;INDEX({"Monday","Tuesday","Wednesday","Thursday","Friday","Saturday","Sunday"},Game_Day),""))</f>
        <v/>
      </c>
      <c r="H16" s="6"/>
      <c r="I16" s="6" t="str">
        <f ca="1">IFERROR(ROW(GameLog[#Headers])+MATCH(ROWS(I$5:I16),GameLog[Flag No],0),"")</f>
        <v/>
      </c>
      <c r="J16" s="10" t="str">
        <f ca="1">IF($I16="","",INDEX(GameLog[Date],$I16-ROW(GameLog[#Headers])))</f>
        <v/>
      </c>
      <c r="K16" s="6" t="str">
        <f ca="1">IF($I16="","",INDEX(GameLog[Player],$I16-ROW(GameLog[#Headers])))</f>
        <v/>
      </c>
      <c r="L16" s="6" t="str">
        <f ca="1">IF($I16="","",INDEX(GameLog[Pod],$I16-ROW(GameLog[#Headers])))</f>
        <v/>
      </c>
      <c r="M16" s="6" t="str">
        <f ca="1">IF($I16="","",INDEX(GameLog[Round],$I16-ROW(GameLog[#Headers])))</f>
        <v/>
      </c>
      <c r="N16" s="6" t="str">
        <f ca="1">IF($I16="","",INDEX(GameLog[Check],$I16-ROW(GameLog[#Headers])))</f>
        <v/>
      </c>
    </row>
    <row r="17" spans="1:14" x14ac:dyDescent="0.45">
      <c r="A17" s="6"/>
      <c r="B17" s="6"/>
      <c r="C17" s="6"/>
      <c r="D17" s="10">
        <f>IF(D16="","",IF(COUNTIF(GameLog[Date],"&gt;"&amp;D16)=0,"",_xlfn.MINIFS(GameLog[Date],GameLog[Date],"&gt;"&amp;D16)))</f>
        <v>45950</v>
      </c>
      <c r="E17" s="6" t="str">
        <f t="shared" si="0"/>
        <v>Mon</v>
      </c>
      <c r="F17" s="6">
        <f>IF(D17="","",COUNTIF(GameLog[Date],D17))</f>
        <v>33</v>
      </c>
      <c r="G17" s="6" t="str">
        <f>IF(D17="","",IF(WEEKDAY(D17,2)&lt;&gt;Game_Day,"Not a "&amp;INDEX({"Monday","Tuesday","Wednesday","Thursday","Friday","Saturday","Sunday"},Game_Day),""))</f>
        <v/>
      </c>
      <c r="H17" s="6"/>
      <c r="I17" s="6" t="str">
        <f ca="1">IFERROR(ROW(GameLog[#Headers])+MATCH(ROWS(I$5:I17),GameLog[Flag No],0),"")</f>
        <v/>
      </c>
      <c r="J17" s="10" t="str">
        <f ca="1">IF($I17="","",INDEX(GameLog[Date],$I17-ROW(GameLog[#Headers])))</f>
        <v/>
      </c>
      <c r="K17" s="6" t="str">
        <f ca="1">IF($I17="","",INDEX(GameLog[Player],$I17-ROW(GameLog[#Headers])))</f>
        <v/>
      </c>
      <c r="L17" s="6" t="str">
        <f ca="1">IF($I17="","",INDEX(GameLog[Pod],$I17-ROW(GameLog[#Headers])))</f>
        <v/>
      </c>
      <c r="M17" s="6" t="str">
        <f ca="1">IF($I17="","",INDEX(GameLog[Round],$I17-ROW(GameLog[#Headers])))</f>
        <v/>
      </c>
      <c r="N17" s="6" t="str">
        <f ca="1">IF($I17="","",INDEX(GameLog[Check],$I17-ROW(GameLog[#Headers])))</f>
        <v/>
      </c>
    </row>
    <row r="18" spans="1:14" x14ac:dyDescent="0.45">
      <c r="A18" s="4" t="s">
        <v>158</v>
      </c>
      <c r="B18" s="6"/>
      <c r="C18" s="6"/>
      <c r="D18" s="10">
        <f>IF(D17="","",IF(COUNTIF(GameLog[Date],"&gt;"&amp;D17)=0,"",_xlfn.MINIFS(GameLog[Date],GameLog[Date],"&gt;"&amp;D17)))</f>
        <v>45957</v>
      </c>
      <c r="E18" s="6" t="str">
        <f t="shared" si="0"/>
        <v>Mon</v>
      </c>
      <c r="F18" s="6">
        <f>IF(D18="","",COUNTIF(GameLog[Date],D18))</f>
        <v>38</v>
      </c>
      <c r="G18" s="6" t="str">
        <f>IF(D18="","",IF(WEEKDAY(D18,2)&lt;&gt;Game_Day,"Not a "&amp;INDEX({"Monday","Tuesday","Wednesday","Thursday","Friday","Saturday","Sunday"},Game_Day),""))</f>
        <v/>
      </c>
      <c r="H18" s="6"/>
      <c r="I18" s="6" t="str">
        <f ca="1">IFERROR(ROW(GameLog[#Headers])+MATCH(ROWS(I$5:I18),GameLog[Flag No],0),"")</f>
        <v/>
      </c>
      <c r="J18" s="10" t="str">
        <f ca="1">IF($I18="","",INDEX(GameLog[Date],$I18-ROW(GameLog[#Headers])))</f>
        <v/>
      </c>
      <c r="K18" s="6" t="str">
        <f ca="1">IF($I18="","",INDEX(GameLog[Player],$I18-ROW(GameLog[#Headers])))</f>
        <v/>
      </c>
      <c r="L18" s="6" t="str">
        <f ca="1">IF($I18="","",INDEX(GameLog[Pod],$I18-ROW(GameLog[#Headers])))</f>
        <v/>
      </c>
      <c r="M18" s="6" t="str">
        <f ca="1">IF($I18="","",INDEX(GameLog[Round],$I18-ROW(GameLog[#Headers])))</f>
        <v/>
      </c>
      <c r="N18" s="6" t="str">
        <f ca="1">IF($I18="","",INDEX(GameLog[Check],$I18-ROW(GameLog[#Headers])))</f>
        <v/>
      </c>
    </row>
    <row r="19" spans="1:14" x14ac:dyDescent="0.45">
      <c r="A19" s="6" t="s">
        <v>159</v>
      </c>
      <c r="B19" s="16">
        <f ca="1">COUNTIF(GameLog[Check],"*"&amp;A19&amp;"*")</f>
        <v>0</v>
      </c>
      <c r="C19" s="6"/>
      <c r="D19" s="10">
        <f>IF(D18="","",IF(COUNTIF(GameLog[Date],"&gt;"&amp;D18)=0,"",_xlfn.MINIFS(GameLog[Date],GameLog[Date],"&gt;"&amp;D18)))</f>
        <v>45964</v>
      </c>
      <c r="E19" s="6" t="str">
        <f t="shared" si="0"/>
        <v>Mon</v>
      </c>
      <c r="F19" s="6">
        <f>IF(D19="","",COUNTIF(GameLog[Date],D19))</f>
        <v>46</v>
      </c>
      <c r="G19" s="6" t="str">
        <f>IF(D19="","",IF(WEEKDAY(D19,2)&lt;&gt;Game_Day,"Not a "&amp;INDEX({"Monday","Tuesday","Wednesday","Thursday","Friday","Saturday","Sunday"},Game_Day),""))</f>
        <v/>
      </c>
      <c r="H19" s="6"/>
      <c r="I19" s="6" t="str">
        <f ca="1">IFERROR(ROW(GameLog[#Headers])+MATCH(ROWS(I$5:I19),GameLog[Flag No],0),"")</f>
        <v/>
      </c>
      <c r="J19" s="10" t="str">
        <f ca="1">IF($I19="","",INDEX(GameLog[Date],$I19-ROW(GameLog[#Headers])))</f>
        <v/>
      </c>
      <c r="K19" s="6" t="str">
        <f ca="1">IF($I19="","",INDEX(GameLog[Player],$I19-ROW(GameLog[#Headers])))</f>
        <v/>
      </c>
      <c r="L19" s="6" t="str">
        <f ca="1">IF($I19="","",INDEX(GameLog[Pod],$I19-ROW(GameLog[#Headers])))</f>
        <v/>
      </c>
      <c r="M19" s="6" t="str">
        <f ca="1">IF($I19="","",INDEX(GameLog[Round],$I19-ROW(GameLog[#Headers])))</f>
        <v/>
      </c>
      <c r="N19" s="6" t="str">
        <f ca="1">IF($I19="","",INDEX(GameLog[Check],$I19-ROW(GameLog[#Headers])))</f>
        <v/>
      </c>
    </row>
    <row r="20" spans="1:14" x14ac:dyDescent="0.45">
      <c r="A20" s="6" t="s">
        <v>160</v>
      </c>
      <c r="B20" s="16">
        <f ca="1">COUNTIF(GameLog[Check],"*"&amp;A20&amp;"*")</f>
        <v>0</v>
      </c>
      <c r="C20" s="6"/>
      <c r="D20" s="10">
        <f>IF(D19="","",IF(COUNTIF(GameLog[Date],"&gt;"&amp;D19)=0,"",_xlfn.MINIFS(GameLog[Date],GameLog[Date],"&gt;"&amp;D19)))</f>
        <v>45971</v>
      </c>
      <c r="E20" s="6" t="str">
        <f t="shared" si="0"/>
        <v>Mon</v>
      </c>
      <c r="F20" s="6">
        <f>IF(D20="","",COUNTIF(GameLog[Date],D20))</f>
        <v>42</v>
      </c>
      <c r="G20" s="6" t="str">
        <f>IF(D20="","",IF(WEEKDAY(D20,2)&lt;&gt;Game_Day,"Not a "&amp;INDEX({"Monday","Tuesday","Wednesday","Thursday","Friday","Saturday","Sunday"},Game_Day),""))</f>
        <v/>
      </c>
      <c r="H20" s="6"/>
      <c r="I20" s="6" t="str">
        <f ca="1">IFERROR(ROW(GameLog[#Headers])+MATCH(ROWS(I$5:I20),GameLog[Flag No],0),"")</f>
        <v/>
      </c>
      <c r="J20" s="10" t="str">
        <f ca="1">IF($I20="","",INDEX(GameLog[Date],$I20-ROW(GameLog[#Headers])))</f>
        <v/>
      </c>
      <c r="K20" s="6" t="str">
        <f ca="1">IF($I20="","",INDEX(GameLog[Player],$I20-ROW(GameLog[#Headers])))</f>
        <v/>
      </c>
      <c r="L20" s="6" t="str">
        <f ca="1">IF($I20="","",INDEX(GameLog[Pod],$I20-ROW(GameLog[#Headers])))</f>
        <v/>
      </c>
      <c r="M20" s="6" t="str">
        <f ca="1">IF($I20="","",INDEX(GameLog[Round],$I20-ROW(GameLog[#Headers])))</f>
        <v/>
      </c>
      <c r="N20" s="6" t="str">
        <f ca="1">IF($I20="","",INDEX(GameLog[Check],$I20-ROW(GameLog[#Headers])))</f>
        <v/>
      </c>
    </row>
    <row r="21" spans="1:14" x14ac:dyDescent="0.45">
      <c r="A21" s="6" t="s">
        <v>161</v>
      </c>
      <c r="B21" s="16">
        <f ca="1">COUNTIF(GameLog[Check],"*"&amp;A21&amp;"*")</f>
        <v>0</v>
      </c>
      <c r="C21" s="6"/>
      <c r="D21" s="10">
        <f>IF(D20="","",IF(COUNTIF(GameLog[Date],"&gt;"&amp;D20)=0,"",_xlfn.MINIFS(GameLog[Date],GameLog[Date],"&gt;"&amp;D20)))</f>
        <v>45978</v>
      </c>
      <c r="E21" s="6" t="str">
        <f t="shared" si="0"/>
        <v>Mon</v>
      </c>
      <c r="F21" s="6">
        <f>IF(D21="","",COUNTIF(GameLog[Date],D21))</f>
        <v>24</v>
      </c>
      <c r="G21" s="6" t="str">
        <f>IF(D21="","",IF(WEEKDAY(D21,2)&lt;&gt;Game_Day,"Not a "&amp;INDEX({"Monday","Tuesday","Wednesday","Thursday","Friday","Saturday","Sunday"},Game_Day),""))</f>
        <v/>
      </c>
      <c r="H21" s="6"/>
      <c r="I21" s="6" t="str">
        <f ca="1">IFERROR(ROW(GameLog[#Headers])+MATCH(ROWS(I$5:I21),GameLog[Flag No],0),"")</f>
        <v/>
      </c>
      <c r="J21" s="10" t="str">
        <f ca="1">IF($I21="","",INDEX(GameLog[Date],$I21-ROW(GameLog[#Headers])))</f>
        <v/>
      </c>
      <c r="K21" s="6" t="str">
        <f ca="1">IF($I21="","",INDEX(GameLog[Player],$I21-ROW(GameLog[#Headers])))</f>
        <v/>
      </c>
      <c r="L21" s="6" t="str">
        <f ca="1">IF($I21="","",INDEX(GameLog[Pod],$I21-ROW(GameLog[#Headers])))</f>
        <v/>
      </c>
      <c r="M21" s="6" t="str">
        <f ca="1">IF($I21="","",INDEX(GameLog[Round],$I21-ROW(GameLog[#Headers])))</f>
        <v/>
      </c>
      <c r="N21" s="6" t="str">
        <f ca="1">IF($I21="","",INDEX(GameLog[Check],$I21-ROW(GameLog[#Headers])))</f>
        <v/>
      </c>
    </row>
    <row r="22" spans="1:14" x14ac:dyDescent="0.45">
      <c r="A22" s="6" t="s">
        <v>162</v>
      </c>
      <c r="B22" s="16">
        <f ca="1">COUNTIF(GameLog[Check],"*"&amp;A22&amp;"*")</f>
        <v>0</v>
      </c>
      <c r="C22" s="6"/>
      <c r="D22" s="10">
        <f>IF(D21="","",IF(COUNTIF(GameLog[Date],"&gt;"&amp;D21)=0,"",_xlfn.MINIFS(GameLog[Date],GameLog[Date],"&gt;"&amp;D21)))</f>
        <v>45985</v>
      </c>
      <c r="E22" s="6" t="str">
        <f t="shared" si="0"/>
        <v>Mon</v>
      </c>
      <c r="F22" s="6">
        <f>IF(D22="","",COUNTIF(GameLog[Date],D22))</f>
        <v>28</v>
      </c>
      <c r="G22" s="6" t="str">
        <f>IF(D22="","",IF(WEEKDAY(D22,2)&lt;&gt;Game_Day,"Not a "&amp;INDEX({"Monday","Tuesday","Wednesday","Thursday","Friday","Saturday","Sunday"},Game_Day),""))</f>
        <v/>
      </c>
      <c r="H22" s="6"/>
      <c r="I22" s="6" t="str">
        <f ca="1">IFERROR(ROW(GameLog[#Headers])+MATCH(ROWS(I$5:I22),GameLog[Flag No],0),"")</f>
        <v/>
      </c>
      <c r="J22" s="10" t="str">
        <f ca="1">IF($I22="","",INDEX(GameLog[Date],$I22-ROW(GameLog[#Headers])))</f>
        <v/>
      </c>
      <c r="K22" s="6" t="str">
        <f ca="1">IF($I22="","",INDEX(GameLog[Player],$I22-ROW(GameLog[#Headers])))</f>
        <v/>
      </c>
      <c r="L22" s="6" t="str">
        <f ca="1">IF($I22="","",INDEX(GameLog[Pod],$I22-ROW(GameLog[#Headers])))</f>
        <v/>
      </c>
      <c r="M22" s="6" t="str">
        <f ca="1">IF($I22="","",INDEX(GameLog[Round],$I22-ROW(GameLog[#Headers])))</f>
        <v/>
      </c>
      <c r="N22" s="6" t="str">
        <f ca="1">IF($I22="","",INDEX(GameLog[Check],$I22-ROW(GameLog[#Headers])))</f>
        <v/>
      </c>
    </row>
    <row r="23" spans="1:14" x14ac:dyDescent="0.45">
      <c r="A23" s="6" t="s">
        <v>163</v>
      </c>
      <c r="B23" s="16">
        <f ca="1">COUNTIF(GameLog[Check],"*"&amp;A23&amp;"*")</f>
        <v>0</v>
      </c>
      <c r="C23" s="6"/>
      <c r="D23" s="10">
        <f>IF(D22="","",IF(COUNTIF(GameLog[Date],"&gt;"&amp;D22)=0,"",_xlfn.MINIFS(GameLog[Date],GameLog[Date],"&gt;"&amp;D22)))</f>
        <v>45992</v>
      </c>
      <c r="E23" s="6" t="str">
        <f t="shared" si="0"/>
        <v>Mon</v>
      </c>
      <c r="F23" s="6">
        <f>IF(D23="","",COUNTIF(GameLog[Date],D23))</f>
        <v>26</v>
      </c>
      <c r="G23" s="6" t="str">
        <f>IF(D23="","",IF(WEEKDAY(D23,2)&lt;&gt;Game_Day,"Not a "&amp;INDEX({"Monday","Tuesday","Wednesday","Thursday","Friday","Saturday","Sunday"},Game_Day),""))</f>
        <v/>
      </c>
      <c r="H23" s="6"/>
      <c r="I23" s="6" t="str">
        <f ca="1">IFERROR(ROW(GameLog[#Headers])+MATCH(ROWS(I$5:I23),GameLog[Flag No],0),"")</f>
        <v/>
      </c>
      <c r="J23" s="10" t="str">
        <f ca="1">IF($I23="","",INDEX(GameLog[Date],$I23-ROW(GameLog[#Headers])))</f>
        <v/>
      </c>
      <c r="K23" s="6" t="str">
        <f ca="1">IF($I23="","",INDEX(GameLog[Player],$I23-ROW(GameLog[#Headers])))</f>
        <v/>
      </c>
      <c r="L23" s="6" t="str">
        <f ca="1">IF($I23="","",INDEX(GameLog[Pod],$I23-ROW(GameLog[#Headers])))</f>
        <v/>
      </c>
      <c r="M23" s="6" t="str">
        <f ca="1">IF($I23="","",INDEX(GameLog[Round],$I23-ROW(GameLog[#Headers])))</f>
        <v/>
      </c>
      <c r="N23" s="6" t="str">
        <f ca="1">IF($I23="","",INDEX(GameLog[Check],$I23-ROW(GameLog[#Headers])))</f>
        <v/>
      </c>
    </row>
    <row r="24" spans="1:14" x14ac:dyDescent="0.45">
      <c r="A24" s="6" t="s">
        <v>164</v>
      </c>
      <c r="B24" s="16">
        <f ca="1">COUNTIF(GameLog[Check],"*"&amp;A24&amp;"*")</f>
        <v>0</v>
      </c>
      <c r="C24" s="6"/>
      <c r="D24" s="10">
        <f>IF(D23="","",IF(COUNTIF(GameLog[Date],"&gt;"&amp;D23)=0,"",_xlfn.MINIFS(GameLog[Date],GameLog[Date],"&gt;"&amp;D23)))</f>
        <v>45999</v>
      </c>
      <c r="E24" s="6" t="str">
        <f t="shared" si="0"/>
        <v>Mon</v>
      </c>
      <c r="F24" s="6">
        <f>IF(D24="","",COUNTIF(GameLog[Date],D24))</f>
        <v>30</v>
      </c>
      <c r="G24" s="6" t="str">
        <f>IF(D24="","",IF(WEEKDAY(D24,2)&lt;&gt;Game_Day,"Not a "&amp;INDEX({"Monday","Tuesday","Wednesday","Thursday","Friday","Saturday","Sunday"},Game_Day),""))</f>
        <v/>
      </c>
      <c r="H24" s="6"/>
      <c r="I24" s="6" t="str">
        <f ca="1">IFERROR(ROW(GameLog[#Headers])+MATCH(ROWS(I$5:I24),GameLog[Flag No],0),"")</f>
        <v/>
      </c>
      <c r="J24" s="10" t="str">
        <f ca="1">IF($I24="","",INDEX(GameLog[Date],$I24-ROW(GameLog[#Headers])))</f>
        <v/>
      </c>
      <c r="K24" s="6" t="str">
        <f ca="1">IF($I24="","",INDEX(GameLog[Player],$I24-ROW(GameLog[#Headers])))</f>
        <v/>
      </c>
      <c r="L24" s="6" t="str">
        <f ca="1">IF($I24="","",INDEX(GameLog[Pod],$I24-ROW(GameLog[#Headers])))</f>
        <v/>
      </c>
      <c r="M24" s="6" t="str">
        <f ca="1">IF($I24="","",INDEX(GameLog[Round],$I24-ROW(GameLog[#Headers])))</f>
        <v/>
      </c>
      <c r="N24" s="6" t="str">
        <f ca="1">IF($I24="","",INDEX(GameLog[Check],$I24-ROW(GameLog[#Headers])))</f>
        <v/>
      </c>
    </row>
    <row r="25" spans="1:14" x14ac:dyDescent="0.45">
      <c r="A25" s="6" t="s">
        <v>165</v>
      </c>
      <c r="B25" s="16">
        <f ca="1">COUNTIF(GameLog[Check],"*"&amp;A25&amp;"*")</f>
        <v>0</v>
      </c>
      <c r="C25" s="6"/>
      <c r="D25" s="10">
        <f>IF(D24="","",IF(COUNTIF(GameLog[Date],"&gt;"&amp;D24)=0,"",_xlfn.MINIFS(GameLog[Date],GameLog[Date],"&gt;"&amp;D24)))</f>
        <v>46006</v>
      </c>
      <c r="E25" s="6" t="str">
        <f t="shared" si="0"/>
        <v>Mon</v>
      </c>
      <c r="F25" s="6">
        <f>IF(D25="","",COUNTIF(GameLog[Date],D25))</f>
        <v>32</v>
      </c>
      <c r="G25" s="6" t="str">
        <f>IF(D25="","",IF(WEEKDAY(D25,2)&lt;&gt;Game_Day,"Not a "&amp;INDEX({"Monday","Tuesday","Wednesday","Thursday","Friday","Saturday","Sunday"},Game_Day),""))</f>
        <v/>
      </c>
      <c r="H25" s="6"/>
      <c r="I25" s="6" t="str">
        <f ca="1">IFERROR(ROW(GameLog[#Headers])+MATCH(ROWS(I$5:I25),GameLog[Flag No],0),"")</f>
        <v/>
      </c>
      <c r="J25" s="10" t="str">
        <f ca="1">IF($I25="","",INDEX(GameLog[Date],$I25-ROW(GameLog[#Headers])))</f>
        <v/>
      </c>
      <c r="K25" s="6" t="str">
        <f ca="1">IF($I25="","",INDEX(GameLog[Player],$I25-ROW(GameLog[#Headers])))</f>
        <v/>
      </c>
      <c r="L25" s="6" t="str">
        <f ca="1">IF($I25="","",INDEX(GameLog[Pod],$I25-ROW(GameLog[#Headers])))</f>
        <v/>
      </c>
      <c r="M25" s="6" t="str">
        <f ca="1">IF($I25="","",INDEX(GameLog[Round],$I25-ROW(GameLog[#Headers])))</f>
        <v/>
      </c>
      <c r="N25" s="6" t="str">
        <f ca="1">IF($I25="","",INDEX(GameLog[Check],$I25-ROW(GameLog[#Headers])))</f>
        <v/>
      </c>
    </row>
    <row r="26" spans="1:14" x14ac:dyDescent="0.45">
      <c r="A26" s="6" t="s">
        <v>166</v>
      </c>
      <c r="B26" s="16">
        <f ca="1">COUNTIF(GameLog[Check],"*"&amp;A26&amp;"*")</f>
        <v>0</v>
      </c>
      <c r="C26" s="6"/>
      <c r="D26" s="10">
        <f>IF(D25="","",IF(COUNTIF(GameLog[Date],"&gt;"&amp;D25)=0,"",_xlfn.MINIFS(GameLog[Date],GameLog[Date],"&gt;"&amp;D25)))</f>
        <v>46013</v>
      </c>
      <c r="E26" s="6" t="str">
        <f t="shared" si="0"/>
        <v>Mon</v>
      </c>
      <c r="F26" s="6">
        <f>IF(D26="","",COUNTIF(GameLog[Date],D26))</f>
        <v>22</v>
      </c>
      <c r="G26" s="6" t="str">
        <f>IF(D26="","",IF(WEEKDAY(D26,2)&lt;&gt;Game_Day,"Not a "&amp;INDEX({"Monday","Tuesday","Wednesday","Thursday","Friday","Saturday","Sunday"},Game_Day),""))</f>
        <v/>
      </c>
      <c r="H26" s="6"/>
      <c r="I26" s="6" t="str">
        <f ca="1">IFERROR(ROW(GameLog[#Headers])+MATCH(ROWS(I$5:I26),GameLog[Flag No],0),"")</f>
        <v/>
      </c>
      <c r="J26" s="10" t="str">
        <f ca="1">IF($I26="","",INDEX(GameLog[Date],$I26-ROW(GameLog[#Headers])))</f>
        <v/>
      </c>
      <c r="K26" s="6" t="str">
        <f ca="1">IF($I26="","",INDEX(GameLog[Player],$I26-ROW(GameLog[#Headers])))</f>
        <v/>
      </c>
      <c r="L26" s="6" t="str">
        <f ca="1">IF($I26="","",INDEX(GameLog[Pod],$I26-ROW(GameLog[#Headers])))</f>
        <v/>
      </c>
      <c r="M26" s="6" t="str">
        <f ca="1">IF($I26="","",INDEX(GameLog[Round],$I26-ROW(GameLog[#Headers])))</f>
        <v/>
      </c>
      <c r="N26" s="6" t="str">
        <f ca="1">IF($I26="","",INDEX(GameLog[Check],$I26-ROW(GameLog[#Headers])))</f>
        <v/>
      </c>
    </row>
    <row r="27" spans="1:14" x14ac:dyDescent="0.45">
      <c r="A27" s="6" t="s">
        <v>167</v>
      </c>
      <c r="B27" s="16">
        <f ca="1">COUNTIF(GameLog[Check],"*"&amp;A27&amp;"*")</f>
        <v>0</v>
      </c>
      <c r="C27" s="6"/>
      <c r="D27" s="10">
        <f>IF(D26="","",IF(COUNTIF(GameLog[Date],"&gt;"&amp;D26)=0,"",_xlfn.MINIFS(GameLog[Date],GameLog[Date],"&gt;"&amp;D26)))</f>
        <v>46020</v>
      </c>
      <c r="E27" s="6" t="str">
        <f t="shared" si="0"/>
        <v>Mon</v>
      </c>
      <c r="F27" s="6">
        <f>IF(D27="","",COUNTIF(GameLog[Date],D27))</f>
        <v>32</v>
      </c>
      <c r="G27" s="6" t="str">
        <f>IF(D27="","",IF(WEEKDAY(D27,2)&lt;&gt;Game_Day,"Not a "&amp;INDEX({"Monday","Tuesday","Wednesday","Thursday","Friday","Saturday","Sunday"},Game_Day),""))</f>
        <v/>
      </c>
      <c r="H27" s="6"/>
      <c r="I27" s="6" t="str">
        <f ca="1">IFERROR(ROW(GameLog[#Headers])+MATCH(ROWS(I$5:I27),GameLog[Flag No],0),"")</f>
        <v/>
      </c>
      <c r="J27" s="10" t="str">
        <f ca="1">IF($I27="","",INDEX(GameLog[Date],$I27-ROW(GameLog[#Headers])))</f>
        <v/>
      </c>
      <c r="K27" s="6" t="str">
        <f ca="1">IF($I27="","",INDEX(GameLog[Player],$I27-ROW(GameLog[#Headers])))</f>
        <v/>
      </c>
      <c r="L27" s="6" t="str">
        <f ca="1">IF($I27="","",INDEX(GameLog[Pod],$I27-ROW(GameLog[#Headers])))</f>
        <v/>
      </c>
      <c r="M27" s="6" t="str">
        <f ca="1">IF($I27="","",INDEX(GameLog[Round],$I27-ROW(GameLog[#Headers])))</f>
        <v/>
      </c>
      <c r="N27" s="6" t="str">
        <f ca="1">IF($I27="","",INDEX(GameLog[Check],$I27-ROW(GameLog[#Headers])))</f>
        <v/>
      </c>
    </row>
    <row r="28" spans="1:14" x14ac:dyDescent="0.45">
      <c r="A28" s="6" t="s">
        <v>168</v>
      </c>
      <c r="B28" s="16">
        <f ca="1">COUNTIF(GameLog[Check],"*"&amp;A28&amp;"*")</f>
        <v>0</v>
      </c>
      <c r="C28" s="6"/>
      <c r="D28" s="10">
        <f>IF(D27="","",IF(COUNTIF(GameLog[Date],"&gt;"&amp;D27)=0,"",_xlfn.MINIFS(GameLog[Date],GameLog[Date],"&gt;"&amp;D27)))</f>
        <v>46027</v>
      </c>
      <c r="E28" s="6" t="str">
        <f t="shared" si="0"/>
        <v>Mon</v>
      </c>
      <c r="F28" s="6">
        <f>IF(D28="","",COUNTIF(GameLog[Date],D28))</f>
        <v>37</v>
      </c>
      <c r="G28" s="6" t="str">
        <f>IF(D28="","",IF(WEEKDAY(D28,2)&lt;&gt;Game_Day,"Not a "&amp;INDEX({"Monday","Tuesday","Wednesday","Thursday","Friday","Saturday","Sunday"},Game_Day),""))</f>
        <v/>
      </c>
      <c r="H28" s="6"/>
      <c r="I28" s="6" t="str">
        <f ca="1">IFERROR(ROW(GameLog[#Headers])+MATCH(ROWS(I$5:I28),GameLog[Flag No],0),"")</f>
        <v/>
      </c>
      <c r="J28" s="10" t="str">
        <f ca="1">IF($I28="","",INDEX(GameLog[Date],$I28-ROW(GameLog[#Headers])))</f>
        <v/>
      </c>
      <c r="K28" s="6" t="str">
        <f ca="1">IF($I28="","",INDEX(GameLog[Player],$I28-ROW(GameLog[#Headers])))</f>
        <v/>
      </c>
      <c r="L28" s="6" t="str">
        <f ca="1">IF($I28="","",INDEX(GameLog[Pod],$I28-ROW(GameLog[#Headers])))</f>
        <v/>
      </c>
      <c r="M28" s="6" t="str">
        <f ca="1">IF($I28="","",INDEX(GameLog[Round],$I28-ROW(GameLog[#Headers])))</f>
        <v/>
      </c>
      <c r="N28" s="6" t="str">
        <f ca="1">IF($I28="","",INDEX(GameLog[Check],$I28-ROW(GameLog[#Headers])))</f>
        <v/>
      </c>
    </row>
    <row r="29" spans="1:14" x14ac:dyDescent="0.45">
      <c r="A29" s="6" t="s">
        <v>169</v>
      </c>
      <c r="B29" s="16">
        <f ca="1">COUNTIF(GameLog[Check],"*"&amp;A29&amp;"*")</f>
        <v>0</v>
      </c>
      <c r="C29" s="6"/>
      <c r="D29" s="10">
        <f>IF(D28="","",IF(COUNTIF(GameLog[Date],"&gt;"&amp;D28)=0,"",_xlfn.MINIFS(GameLog[Date],GameLog[Date],"&gt;"&amp;D28)))</f>
        <v>46034</v>
      </c>
      <c r="E29" s="6" t="str">
        <f t="shared" si="0"/>
        <v>Mon</v>
      </c>
      <c r="F29" s="6">
        <f>IF(D29="","",COUNTIF(GameLog[Date],D29))</f>
        <v>54</v>
      </c>
      <c r="G29" s="6" t="str">
        <f>IF(D29="","",IF(WEEKDAY(D29,2)&lt;&gt;Game_Day,"Not a "&amp;INDEX({"Monday","Tuesday","Wednesday","Thursday","Friday","Saturday","Sunday"},Game_Day),""))</f>
        <v/>
      </c>
      <c r="H29" s="6"/>
      <c r="I29" s="6" t="str">
        <f ca="1">IFERROR(ROW(GameLog[#Headers])+MATCH(ROWS(I$5:I29),GameLog[Flag No],0),"")</f>
        <v/>
      </c>
      <c r="J29" s="10" t="str">
        <f ca="1">IF($I29="","",INDEX(GameLog[Date],$I29-ROW(GameLog[#Headers])))</f>
        <v/>
      </c>
      <c r="K29" s="6" t="str">
        <f ca="1">IF($I29="","",INDEX(GameLog[Player],$I29-ROW(GameLog[#Headers])))</f>
        <v/>
      </c>
      <c r="L29" s="6" t="str">
        <f ca="1">IF($I29="","",INDEX(GameLog[Pod],$I29-ROW(GameLog[#Headers])))</f>
        <v/>
      </c>
      <c r="M29" s="6" t="str">
        <f ca="1">IF($I29="","",INDEX(GameLog[Round],$I29-ROW(GameLog[#Headers])))</f>
        <v/>
      </c>
      <c r="N29" s="6" t="str">
        <f ca="1">IF($I29="","",INDEX(GameLog[Check],$I29-ROW(GameLog[#Headers])))</f>
        <v/>
      </c>
    </row>
    <row r="30" spans="1:14" x14ac:dyDescent="0.45">
      <c r="A30" s="6" t="s">
        <v>170</v>
      </c>
      <c r="B30" s="16">
        <f ca="1">COUNTIF(GameLog[Check],"*"&amp;A30&amp;"*")</f>
        <v>0</v>
      </c>
      <c r="C30" s="6"/>
      <c r="D30" s="10">
        <f>IF(D29="","",IF(COUNTIF(GameLog[Date],"&gt;"&amp;D29)=0,"",_xlfn.MINIFS(GameLog[Date],GameLog[Date],"&gt;"&amp;D29)))</f>
        <v>46041</v>
      </c>
      <c r="E30" s="6" t="str">
        <f t="shared" si="0"/>
        <v>Mon</v>
      </c>
      <c r="F30" s="6">
        <f>IF(D30="","",COUNTIF(GameLog[Date],D30))</f>
        <v>40</v>
      </c>
      <c r="G30" s="6" t="str">
        <f>IF(D30="","",IF(WEEKDAY(D30,2)&lt;&gt;Game_Day,"Not a "&amp;INDEX({"Monday","Tuesday","Wednesday","Thursday","Friday","Saturday","Sunday"},Game_Day),""))</f>
        <v/>
      </c>
      <c r="H30" s="6"/>
      <c r="I30" s="6" t="str">
        <f ca="1">IFERROR(ROW(GameLog[#Headers])+MATCH(ROWS(I$5:I30),GameLog[Flag No],0),"")</f>
        <v/>
      </c>
      <c r="J30" s="10" t="str">
        <f ca="1">IF($I30="","",INDEX(GameLog[Date],$I30-ROW(GameLog[#Headers])))</f>
        <v/>
      </c>
      <c r="K30" s="6" t="str">
        <f ca="1">IF($I30="","",INDEX(GameLog[Player],$I30-ROW(GameLog[#Headers])))</f>
        <v/>
      </c>
      <c r="L30" s="6" t="str">
        <f ca="1">IF($I30="","",INDEX(GameLog[Pod],$I30-ROW(GameLog[#Headers])))</f>
        <v/>
      </c>
      <c r="M30" s="6" t="str">
        <f ca="1">IF($I30="","",INDEX(GameLog[Round],$I30-ROW(GameLog[#Headers])))</f>
        <v/>
      </c>
      <c r="N30" s="6" t="str">
        <f ca="1">IF($I30="","",INDEX(GameLog[Check],$I30-ROW(GameLog[#Headers])))</f>
        <v/>
      </c>
    </row>
    <row r="31" spans="1:14" x14ac:dyDescent="0.45">
      <c r="A31" s="6" t="s">
        <v>171</v>
      </c>
      <c r="B31" s="16">
        <f ca="1">COUNTIF(GameLog[Check],"*"&amp;A31&amp;"*")</f>
        <v>0</v>
      </c>
      <c r="C31" s="6"/>
      <c r="D31" s="10">
        <f>IF(D30="","",IF(COUNTIF(GameLog[Date],"&gt;"&amp;D30)=0,"",_xlfn.MINIFS(GameLog[Date],GameLog[Date],"&gt;"&amp;D30)))</f>
        <v>46048</v>
      </c>
      <c r="E31" s="6" t="str">
        <f t="shared" si="0"/>
        <v>Mon</v>
      </c>
      <c r="F31" s="6">
        <f>IF(D31="","",COUNTIF(GameLog[Date],D31))</f>
        <v>50</v>
      </c>
      <c r="G31" s="6" t="str">
        <f>IF(D31="","",IF(WEEKDAY(D31,2)&lt;&gt;Game_Day,"Not a "&amp;INDEX({"Monday","Tuesday","Wednesday","Thursday","Friday","Saturday","Sunday"},Game_Day),""))</f>
        <v/>
      </c>
      <c r="H31" s="6"/>
      <c r="I31" s="6" t="str">
        <f ca="1">IFERROR(ROW(GameLog[#Headers])+MATCH(ROWS(I$5:I31),GameLog[Flag No],0),"")</f>
        <v/>
      </c>
      <c r="J31" s="10" t="str">
        <f ca="1">IF($I31="","",INDEX(GameLog[Date],$I31-ROW(GameLog[#Headers])))</f>
        <v/>
      </c>
      <c r="K31" s="6" t="str">
        <f ca="1">IF($I31="","",INDEX(GameLog[Player],$I31-ROW(GameLog[#Headers])))</f>
        <v/>
      </c>
      <c r="L31" s="6" t="str">
        <f ca="1">IF($I31="","",INDEX(GameLog[Pod],$I31-ROW(GameLog[#Headers])))</f>
        <v/>
      </c>
      <c r="M31" s="6" t="str">
        <f ca="1">IF($I31="","",INDEX(GameLog[Round],$I31-ROW(GameLog[#Headers])))</f>
        <v/>
      </c>
      <c r="N31" s="6" t="str">
        <f ca="1">IF($I31="","",INDEX(GameLog[Check],$I31-ROW(GameLog[#Headers])))</f>
        <v/>
      </c>
    </row>
    <row r="32" spans="1:14" x14ac:dyDescent="0.45">
      <c r="A32" s="6" t="s">
        <v>172</v>
      </c>
      <c r="B32" s="16">
        <f ca="1">COUNTIF(GameLog[Check],"*"&amp;A32&amp;"*")</f>
        <v>0</v>
      </c>
      <c r="C32" s="6"/>
      <c r="D32" s="10">
        <f>IF(D31="","",IF(COUNTIF(GameLog[Date],"&gt;"&amp;D31)=0,"",_xlfn.MINIFS(GameLog[Date],GameLog[Date],"&gt;"&amp;D31)))</f>
        <v>46055</v>
      </c>
      <c r="E32" s="6" t="str">
        <f t="shared" si="0"/>
        <v>Mon</v>
      </c>
      <c r="F32" s="6">
        <f>IF(D32="","",COUNTIF(GameLog[Date],D32))</f>
        <v>38</v>
      </c>
      <c r="G32" s="6" t="str">
        <f>IF(D32="","",IF(WEEKDAY(D32,2)&lt;&gt;Game_Day,"Not a "&amp;INDEX({"Monday","Tuesday","Wednesday","Thursday","Friday","Saturday","Sunday"},Game_Day),""))</f>
        <v/>
      </c>
      <c r="H32" s="6"/>
      <c r="I32" s="6" t="str">
        <f ca="1">IFERROR(ROW(GameLog[#Headers])+MATCH(ROWS(I$5:I32),GameLog[Flag No],0),"")</f>
        <v/>
      </c>
      <c r="J32" s="10" t="str">
        <f ca="1">IF($I32="","",INDEX(GameLog[Date],$I32-ROW(GameLog[#Headers])))</f>
        <v/>
      </c>
      <c r="K32" s="6" t="str">
        <f ca="1">IF($I32="","",INDEX(GameLog[Player],$I32-ROW(GameLog[#Headers])))</f>
        <v/>
      </c>
      <c r="L32" s="6" t="str">
        <f ca="1">IF($I32="","",INDEX(GameLog[Pod],$I32-ROW(GameLog[#Headers])))</f>
        <v/>
      </c>
      <c r="M32" s="6" t="str">
        <f ca="1">IF($I32="","",INDEX(GameLog[Round],$I32-ROW(GameLog[#Headers])))</f>
        <v/>
      </c>
      <c r="N32" s="6" t="str">
        <f ca="1">IF($I32="","",INDEX(GameLog[Check],$I32-ROW(GameLog[#Headers])))</f>
        <v/>
      </c>
    </row>
    <row r="33" spans="1:14" x14ac:dyDescent="0.45">
      <c r="A33" s="6" t="s">
        <v>173</v>
      </c>
      <c r="B33" s="16">
        <f ca="1">COUNTIF(GameLog[Check],"*"&amp;A33&amp;"*")</f>
        <v>0</v>
      </c>
      <c r="C33" s="6"/>
      <c r="D33" s="10">
        <f>IF(D32="","",IF(COUNTIF(GameLog[Date],"&gt;"&amp;D32)=0,"",_xlfn.MINIFS(GameLog[Date],GameLog[Date],"&gt;"&amp;D32)))</f>
        <v>46062</v>
      </c>
      <c r="E33" s="6" t="str">
        <f t="shared" si="0"/>
        <v>Mon</v>
      </c>
      <c r="F33" s="6">
        <f>IF(D33="","",COUNTIF(GameLog[Date],D33))</f>
        <v>38</v>
      </c>
      <c r="G33" s="6" t="str">
        <f>IF(D33="","",IF(WEEKDAY(D33,2)&lt;&gt;Game_Day,"Not a "&amp;INDEX({"Monday","Tuesday","Wednesday","Thursday","Friday","Saturday","Sunday"},Game_Day),""))</f>
        <v/>
      </c>
      <c r="H33" s="6"/>
      <c r="I33" s="6" t="str">
        <f ca="1">IFERROR(ROW(GameLog[#Headers])+MATCH(ROWS(I$5:I33),GameLog[Flag No],0),"")</f>
        <v/>
      </c>
      <c r="J33" s="10" t="str">
        <f ca="1">IF($I33="","",INDEX(GameLog[Date],$I33-ROW(GameLog[#Headers])))</f>
        <v/>
      </c>
      <c r="K33" s="6" t="str">
        <f ca="1">IF($I33="","",INDEX(GameLog[Player],$I33-ROW(GameLog[#Headers])))</f>
        <v/>
      </c>
      <c r="L33" s="6" t="str">
        <f ca="1">IF($I33="","",INDEX(GameLog[Pod],$I33-ROW(GameLog[#Headers])))</f>
        <v/>
      </c>
      <c r="M33" s="6" t="str">
        <f ca="1">IF($I33="","",INDEX(GameLog[Round],$I33-ROW(GameLog[#Headers])))</f>
        <v/>
      </c>
      <c r="N33" s="6" t="str">
        <f ca="1">IF($I33="","",INDEX(GameLog[Check],$I33-ROW(GameLog[#Headers])))</f>
        <v/>
      </c>
    </row>
    <row r="34" spans="1:14" x14ac:dyDescent="0.45">
      <c r="A34" s="6" t="str">
        <f>"Not a "&amp;INDEX({"Monday","Tuesday","Wednesday","Thursday","Friday","Saturday","Sunday"},Game_Day)</f>
        <v>Not a Monday</v>
      </c>
      <c r="B34" s="16">
        <f ca="1">COUNTIF(GameLog[Check],"*"&amp;A34&amp;"*")</f>
        <v>0</v>
      </c>
      <c r="C34" s="6"/>
      <c r="D34" s="10">
        <f>IF(D33="","",IF(COUNTIF(GameLog[Date],"&gt;"&amp;D33)=0,"",_xlfn.MINIFS(GameLog[Date],GameLog[Date],"&gt;"&amp;D33)))</f>
        <v>46069</v>
      </c>
      <c r="E34" s="6" t="str">
        <f t="shared" si="0"/>
        <v>Mon</v>
      </c>
      <c r="F34" s="6">
        <f>IF(D34="","",COUNTIF(GameLog[Date],D34))</f>
        <v>38</v>
      </c>
      <c r="G34" s="6" t="str">
        <f>IF(D34="","",IF(WEEKDAY(D34,2)&lt;&gt;Game_Day,"Not a "&amp;INDEX({"Monday","Tuesday","Wednesday","Thursday","Friday","Saturday","Sunday"},Game_Day),""))</f>
        <v/>
      </c>
      <c r="H34" s="6"/>
      <c r="I34" s="6" t="str">
        <f ca="1">IFERROR(ROW(GameLog[#Headers])+MATCH(ROWS(I$5:I34),GameLog[Flag No],0),"")</f>
        <v/>
      </c>
      <c r="J34" s="10" t="str">
        <f ca="1">IF($I34="","",INDEX(GameLog[Date],$I34-ROW(GameLog[#Headers])))</f>
        <v/>
      </c>
      <c r="K34" s="6" t="str">
        <f ca="1">IF($I34="","",INDEX(GameLog[Player],$I34-ROW(GameLog[#Headers])))</f>
        <v/>
      </c>
      <c r="L34" s="6" t="str">
        <f ca="1">IF($I34="","",INDEX(GameLog[Pod],$I34-ROW(GameLog[#Headers])))</f>
        <v/>
      </c>
      <c r="M34" s="6" t="str">
        <f ca="1">IF($I34="","",INDEX(GameLog[Round],$I34-ROW(GameLog[#Headers])))</f>
        <v/>
      </c>
      <c r="N34" s="6" t="str">
        <f ca="1">IF($I34="","",INDEX(GameLog[Check],$I34-ROW(GameLog[#Headers])))</f>
        <v/>
      </c>
    </row>
    <row r="35" spans="1:14" x14ac:dyDescent="0.45">
      <c r="A35" s="6" t="s">
        <v>174</v>
      </c>
      <c r="B35" s="16">
        <f ca="1">COUNTIF(GameLog[Check],"*"&amp;A35&amp;"*")</f>
        <v>0</v>
      </c>
      <c r="C35" s="6"/>
      <c r="D35" s="10">
        <f>IF(D34="","",IF(COUNTIF(GameLog[Date],"&gt;"&amp;D34)=0,"",_xlfn.MINIFS(GameLog[Date],GameLog[Date],"&gt;"&amp;D34)))</f>
        <v>46076</v>
      </c>
      <c r="E35" s="6" t="str">
        <f t="shared" si="0"/>
        <v>Mon</v>
      </c>
      <c r="F35" s="6">
        <f>IF(D35="","",COUNTIF(GameLog[Date],D35))</f>
        <v>36</v>
      </c>
      <c r="G35" s="6" t="str">
        <f>IF(D35="","",IF(WEEKDAY(D35,2)&lt;&gt;Game_Day,"Not a "&amp;INDEX({"Monday","Tuesday","Wednesday","Thursday","Friday","Saturday","Sunday"},Game_Day),""))</f>
        <v/>
      </c>
      <c r="H35" s="6"/>
      <c r="I35" s="6" t="str">
        <f ca="1">IFERROR(ROW(GameLog[#Headers])+MATCH(ROWS(I$5:I35),GameLog[Flag No],0),"")</f>
        <v/>
      </c>
      <c r="J35" s="10" t="str">
        <f ca="1">IF($I35="","",INDEX(GameLog[Date],$I35-ROW(GameLog[#Headers])))</f>
        <v/>
      </c>
      <c r="K35" s="6" t="str">
        <f ca="1">IF($I35="","",INDEX(GameLog[Player],$I35-ROW(GameLog[#Headers])))</f>
        <v/>
      </c>
      <c r="L35" s="6" t="str">
        <f ca="1">IF($I35="","",INDEX(GameLog[Pod],$I35-ROW(GameLog[#Headers])))</f>
        <v/>
      </c>
      <c r="M35" s="6" t="str">
        <f ca="1">IF($I35="","",INDEX(GameLog[Round],$I35-ROW(GameLog[#Headers])))</f>
        <v/>
      </c>
      <c r="N35" s="6" t="str">
        <f ca="1">IF($I35="","",INDEX(GameLog[Check],$I35-ROW(GameLog[#Headers])))</f>
        <v/>
      </c>
    </row>
    <row r="36" spans="1:14" x14ac:dyDescent="0.45">
      <c r="A36" s="6" t="s">
        <v>175</v>
      </c>
      <c r="B36" s="16">
        <f ca="1">COUNTIF(GameLog[Check],"*"&amp;A36&amp;"*")</f>
        <v>0</v>
      </c>
      <c r="C36" s="6"/>
      <c r="D36" s="10">
        <f>IF(D35="","",IF(COUNTIF(GameLog[Date],"&gt;"&amp;D35)=0,"",_xlfn.MINIFS(GameLog[Date],GameLog[Date],"&gt;"&amp;D35)))</f>
        <v>46083</v>
      </c>
      <c r="E36" s="6" t="str">
        <f t="shared" si="0"/>
        <v>Mon</v>
      </c>
      <c r="F36" s="6">
        <f>IF(D36="","",COUNTIF(GameLog[Date],D36))</f>
        <v>49</v>
      </c>
      <c r="G36" s="6" t="str">
        <f>IF(D36="","",IF(WEEKDAY(D36,2)&lt;&gt;Game_Day,"Not a "&amp;INDEX({"Monday","Tuesday","Wednesday","Thursday","Friday","Saturday","Sunday"},Game_Day),""))</f>
        <v/>
      </c>
      <c r="H36" s="6"/>
      <c r="I36" s="6" t="str">
        <f ca="1">IFERROR(ROW(GameLog[#Headers])+MATCH(ROWS(I$5:I36),GameLog[Flag No],0),"")</f>
        <v/>
      </c>
      <c r="J36" s="10" t="str">
        <f ca="1">IF($I36="","",INDEX(GameLog[Date],$I36-ROW(GameLog[#Headers])))</f>
        <v/>
      </c>
      <c r="K36" s="6" t="str">
        <f ca="1">IF($I36="","",INDEX(GameLog[Player],$I36-ROW(GameLog[#Headers])))</f>
        <v/>
      </c>
      <c r="L36" s="6" t="str">
        <f ca="1">IF($I36="","",INDEX(GameLog[Pod],$I36-ROW(GameLog[#Headers])))</f>
        <v/>
      </c>
      <c r="M36" s="6" t="str">
        <f ca="1">IF($I36="","",INDEX(GameLog[Round],$I36-ROW(GameLog[#Headers])))</f>
        <v/>
      </c>
      <c r="N36" s="6" t="str">
        <f ca="1">IF($I36="","",INDEX(GameLog[Check],$I36-ROW(GameLog[#Headers])))</f>
        <v/>
      </c>
    </row>
    <row r="37" spans="1:14" x14ac:dyDescent="0.45">
      <c r="A37" s="6"/>
      <c r="B37" s="6"/>
      <c r="C37" s="6"/>
      <c r="D37" s="10">
        <f>IF(D36="","",IF(COUNTIF(GameLog[Date],"&gt;"&amp;D36)=0,"",_xlfn.MINIFS(GameLog[Date],GameLog[Date],"&gt;"&amp;D36)))</f>
        <v>46090</v>
      </c>
      <c r="E37" s="6" t="str">
        <f t="shared" ref="E37:E68" si="1">IF(D37="","",TEXT(D37,"ddd"))</f>
        <v>Mon</v>
      </c>
      <c r="F37" s="6">
        <f>IF(D37="","",COUNTIF(GameLog[Date],D37))</f>
        <v>57</v>
      </c>
      <c r="G37" s="6" t="str">
        <f>IF(D37="","",IF(WEEKDAY(D37,2)&lt;&gt;Game_Day,"Not a "&amp;INDEX({"Monday","Tuesday","Wednesday","Thursday","Friday","Saturday","Sunday"},Game_Day),""))</f>
        <v/>
      </c>
      <c r="H37" s="6"/>
      <c r="I37" s="6" t="str">
        <f ca="1">IFERROR(ROW(GameLog[#Headers])+MATCH(ROWS(I$5:I37),GameLog[Flag No],0),"")</f>
        <v/>
      </c>
      <c r="J37" s="10" t="str">
        <f ca="1">IF($I37="","",INDEX(GameLog[Date],$I37-ROW(GameLog[#Headers])))</f>
        <v/>
      </c>
      <c r="K37" s="6" t="str">
        <f ca="1">IF($I37="","",INDEX(GameLog[Player],$I37-ROW(GameLog[#Headers])))</f>
        <v/>
      </c>
      <c r="L37" s="6" t="str">
        <f ca="1">IF($I37="","",INDEX(GameLog[Pod],$I37-ROW(GameLog[#Headers])))</f>
        <v/>
      </c>
      <c r="M37" s="6" t="str">
        <f ca="1">IF($I37="","",INDEX(GameLog[Round],$I37-ROW(GameLog[#Headers])))</f>
        <v/>
      </c>
      <c r="N37" s="6" t="str">
        <f ca="1">IF($I37="","",INDEX(GameLog[Check],$I37-ROW(GameLog[#Headers])))</f>
        <v/>
      </c>
    </row>
    <row r="38" spans="1:14" x14ac:dyDescent="0.45">
      <c r="A38" s="6"/>
      <c r="B38" s="6"/>
      <c r="C38" s="6"/>
      <c r="D38" s="10">
        <f>IF(D37="","",IF(COUNTIF(GameLog[Date],"&gt;"&amp;D37)=0,"",_xlfn.MINIFS(GameLog[Date],GameLog[Date],"&gt;"&amp;D37)))</f>
        <v>46097</v>
      </c>
      <c r="E38" s="6" t="str">
        <f t="shared" si="1"/>
        <v>Mon</v>
      </c>
      <c r="F38" s="6">
        <f>IF(D38="","",COUNTIF(GameLog[Date],D38))</f>
        <v>36</v>
      </c>
      <c r="G38" s="6" t="str">
        <f>IF(D38="","",IF(WEEKDAY(D38,2)&lt;&gt;Game_Day,"Not a "&amp;INDEX({"Monday","Tuesday","Wednesday","Thursday","Friday","Saturday","Sunday"},Game_Day),""))</f>
        <v/>
      </c>
      <c r="H38" s="6"/>
      <c r="I38" s="6" t="str">
        <f ca="1">IFERROR(ROW(GameLog[#Headers])+MATCH(ROWS(I$5:I38),GameLog[Flag No],0),"")</f>
        <v/>
      </c>
      <c r="J38" s="10" t="str">
        <f ca="1">IF($I38="","",INDEX(GameLog[Date],$I38-ROW(GameLog[#Headers])))</f>
        <v/>
      </c>
      <c r="K38" s="6" t="str">
        <f ca="1">IF($I38="","",INDEX(GameLog[Player],$I38-ROW(GameLog[#Headers])))</f>
        <v/>
      </c>
      <c r="L38" s="6" t="str">
        <f ca="1">IF($I38="","",INDEX(GameLog[Pod],$I38-ROW(GameLog[#Headers])))</f>
        <v/>
      </c>
      <c r="M38" s="6" t="str">
        <f ca="1">IF($I38="","",INDEX(GameLog[Round],$I38-ROW(GameLog[#Headers])))</f>
        <v/>
      </c>
      <c r="N38" s="6" t="str">
        <f ca="1">IF($I38="","",INDEX(GameLog[Check],$I38-ROW(GameLog[#Headers])))</f>
        <v/>
      </c>
    </row>
    <row r="39" spans="1:14" x14ac:dyDescent="0.45">
      <c r="A39" s="6"/>
      <c r="B39" s="6"/>
      <c r="C39" s="6"/>
      <c r="D39" s="10">
        <f>IF(D38="","",IF(COUNTIF(GameLog[Date],"&gt;"&amp;D38)=0,"",_xlfn.MINIFS(GameLog[Date],GameLog[Date],"&gt;"&amp;D38)))</f>
        <v>46104</v>
      </c>
      <c r="E39" s="6" t="str">
        <f t="shared" si="1"/>
        <v>Mon</v>
      </c>
      <c r="F39" s="6">
        <f>IF(D39="","",COUNTIF(GameLog[Date],D39))</f>
        <v>48</v>
      </c>
      <c r="G39" s="6" t="str">
        <f>IF(D39="","",IF(WEEKDAY(D39,2)&lt;&gt;Game_Day,"Not a "&amp;INDEX({"Monday","Tuesday","Wednesday","Thursday","Friday","Saturday","Sunday"},Game_Day),""))</f>
        <v/>
      </c>
      <c r="H39" s="6"/>
      <c r="I39" s="6" t="str">
        <f ca="1">IFERROR(ROW(GameLog[#Headers])+MATCH(ROWS(I$5:I39),GameLog[Flag No],0),"")</f>
        <v/>
      </c>
      <c r="J39" s="10" t="str">
        <f ca="1">IF($I39="","",INDEX(GameLog[Date],$I39-ROW(GameLog[#Headers])))</f>
        <v/>
      </c>
      <c r="K39" s="6" t="str">
        <f ca="1">IF($I39="","",INDEX(GameLog[Player],$I39-ROW(GameLog[#Headers])))</f>
        <v/>
      </c>
      <c r="L39" s="6" t="str">
        <f ca="1">IF($I39="","",INDEX(GameLog[Pod],$I39-ROW(GameLog[#Headers])))</f>
        <v/>
      </c>
      <c r="M39" s="6" t="str">
        <f ca="1">IF($I39="","",INDEX(GameLog[Round],$I39-ROW(GameLog[#Headers])))</f>
        <v/>
      </c>
      <c r="N39" s="6" t="str">
        <f ca="1">IF($I39="","",INDEX(GameLog[Check],$I39-ROW(GameLog[#Headers])))</f>
        <v/>
      </c>
    </row>
    <row r="40" spans="1:14" x14ac:dyDescent="0.45">
      <c r="A40" s="6"/>
      <c r="B40" s="6"/>
      <c r="C40" s="6"/>
      <c r="D40" s="10">
        <f>IF(D39="","",IF(COUNTIF(GameLog[Date],"&gt;"&amp;D39)=0,"",_xlfn.MINIFS(GameLog[Date],GameLog[Date],"&gt;"&amp;D39)))</f>
        <v>46111</v>
      </c>
      <c r="E40" s="6" t="str">
        <f t="shared" si="1"/>
        <v>Mon</v>
      </c>
      <c r="F40" s="6">
        <f>IF(D40="","",COUNTIF(GameLog[Date],D40))</f>
        <v>42</v>
      </c>
      <c r="G40" s="6" t="str">
        <f>IF(D40="","",IF(WEEKDAY(D40,2)&lt;&gt;Game_Day,"Not a "&amp;INDEX({"Monday","Tuesday","Wednesday","Thursday","Friday","Saturday","Sunday"},Game_Day),""))</f>
        <v/>
      </c>
      <c r="H40" s="6"/>
      <c r="I40" s="6" t="str">
        <f ca="1">IFERROR(ROW(GameLog[#Headers])+MATCH(ROWS(I$5:I40),GameLog[Flag No],0),"")</f>
        <v/>
      </c>
      <c r="J40" s="10" t="str">
        <f ca="1">IF($I40="","",INDEX(GameLog[Date],$I40-ROW(GameLog[#Headers])))</f>
        <v/>
      </c>
      <c r="K40" s="6" t="str">
        <f ca="1">IF($I40="","",INDEX(GameLog[Player],$I40-ROW(GameLog[#Headers])))</f>
        <v/>
      </c>
      <c r="L40" s="6" t="str">
        <f ca="1">IF($I40="","",INDEX(GameLog[Pod],$I40-ROW(GameLog[#Headers])))</f>
        <v/>
      </c>
      <c r="M40" s="6" t="str">
        <f ca="1">IF($I40="","",INDEX(GameLog[Round],$I40-ROW(GameLog[#Headers])))</f>
        <v/>
      </c>
      <c r="N40" s="6" t="str">
        <f ca="1">IF($I40="","",INDEX(GameLog[Check],$I40-ROW(GameLog[#Headers])))</f>
        <v/>
      </c>
    </row>
    <row r="41" spans="1:14" x14ac:dyDescent="0.45">
      <c r="A41" s="6"/>
      <c r="B41" s="6"/>
      <c r="C41" s="6"/>
      <c r="D41" s="10">
        <f>IF(D40="","",IF(COUNTIF(GameLog[Date],"&gt;"&amp;D40)=0,"",_xlfn.MINIFS(GameLog[Date],GameLog[Date],"&gt;"&amp;D40)))</f>
        <v>46118</v>
      </c>
      <c r="E41" s="6" t="str">
        <f t="shared" si="1"/>
        <v>Mon</v>
      </c>
      <c r="F41" s="6">
        <f>IF(D41="","",COUNTIF(GameLog[Date],D41))</f>
        <v>44</v>
      </c>
      <c r="G41" s="6" t="str">
        <f>IF(D41="","",IF(WEEKDAY(D41,2)&lt;&gt;Game_Day,"Not a "&amp;INDEX({"Monday","Tuesday","Wednesday","Thursday","Friday","Saturday","Sunday"},Game_Day),""))</f>
        <v/>
      </c>
      <c r="H41" s="6"/>
      <c r="I41" s="6" t="str">
        <f ca="1">IFERROR(ROW(GameLog[#Headers])+MATCH(ROWS(I$5:I41),GameLog[Flag No],0),"")</f>
        <v/>
      </c>
      <c r="J41" s="10" t="str">
        <f ca="1">IF($I41="","",INDEX(GameLog[Date],$I41-ROW(GameLog[#Headers])))</f>
        <v/>
      </c>
      <c r="K41" s="6" t="str">
        <f ca="1">IF($I41="","",INDEX(GameLog[Player],$I41-ROW(GameLog[#Headers])))</f>
        <v/>
      </c>
      <c r="L41" s="6" t="str">
        <f ca="1">IF($I41="","",INDEX(GameLog[Pod],$I41-ROW(GameLog[#Headers])))</f>
        <v/>
      </c>
      <c r="M41" s="6" t="str">
        <f ca="1">IF($I41="","",INDEX(GameLog[Round],$I41-ROW(GameLog[#Headers])))</f>
        <v/>
      </c>
      <c r="N41" s="6" t="str">
        <f ca="1">IF($I41="","",INDEX(GameLog[Check],$I41-ROW(GameLog[#Headers])))</f>
        <v/>
      </c>
    </row>
    <row r="42" spans="1:14" x14ac:dyDescent="0.45">
      <c r="A42" s="6"/>
      <c r="B42" s="6"/>
      <c r="C42" s="6"/>
      <c r="D42" s="10">
        <f>IF(D41="","",IF(COUNTIF(GameLog[Date],"&gt;"&amp;D41)=0,"",_xlfn.MINIFS(GameLog[Date],GameLog[Date],"&gt;"&amp;D41)))</f>
        <v>46125</v>
      </c>
      <c r="E42" s="6" t="str">
        <f t="shared" si="1"/>
        <v>Mon</v>
      </c>
      <c r="F42" s="6">
        <f>IF(D42="","",COUNTIF(GameLog[Date],D42))</f>
        <v>34</v>
      </c>
      <c r="G42" s="6" t="str">
        <f>IF(D42="","",IF(WEEKDAY(D42,2)&lt;&gt;Game_Day,"Not a "&amp;INDEX({"Monday","Tuesday","Wednesday","Thursday","Friday","Saturday","Sunday"},Game_Day),""))</f>
        <v/>
      </c>
      <c r="H42" s="6"/>
      <c r="I42" s="6" t="str">
        <f ca="1">IFERROR(ROW(GameLog[#Headers])+MATCH(ROWS(I$5:I42),GameLog[Flag No],0),"")</f>
        <v/>
      </c>
      <c r="J42" s="10" t="str">
        <f ca="1">IF($I42="","",INDEX(GameLog[Date],$I42-ROW(GameLog[#Headers])))</f>
        <v/>
      </c>
      <c r="K42" s="6" t="str">
        <f ca="1">IF($I42="","",INDEX(GameLog[Player],$I42-ROW(GameLog[#Headers])))</f>
        <v/>
      </c>
      <c r="L42" s="6" t="str">
        <f ca="1">IF($I42="","",INDEX(GameLog[Pod],$I42-ROW(GameLog[#Headers])))</f>
        <v/>
      </c>
      <c r="M42" s="6" t="str">
        <f ca="1">IF($I42="","",INDEX(GameLog[Round],$I42-ROW(GameLog[#Headers])))</f>
        <v/>
      </c>
      <c r="N42" s="6" t="str">
        <f ca="1">IF($I42="","",INDEX(GameLog[Check],$I42-ROW(GameLog[#Headers])))</f>
        <v/>
      </c>
    </row>
    <row r="43" spans="1:14" x14ac:dyDescent="0.45">
      <c r="A43" s="6"/>
      <c r="B43" s="6"/>
      <c r="C43" s="6"/>
      <c r="D43" s="10">
        <f>IF(D42="","",IF(COUNTIF(GameLog[Date],"&gt;"&amp;D42)=0,"",_xlfn.MINIFS(GameLog[Date],GameLog[Date],"&gt;"&amp;D42)))</f>
        <v>46132</v>
      </c>
      <c r="E43" s="6" t="str">
        <f t="shared" si="1"/>
        <v>Mon</v>
      </c>
      <c r="F43" s="6">
        <f>IF(D43="","",COUNTIF(GameLog[Date],D43))</f>
        <v>42</v>
      </c>
      <c r="G43" s="6" t="str">
        <f>IF(D43="","",IF(WEEKDAY(D43,2)&lt;&gt;Game_Day,"Not a "&amp;INDEX({"Monday","Tuesday","Wednesday","Thursday","Friday","Saturday","Sunday"},Game_Day),""))</f>
        <v/>
      </c>
      <c r="H43" s="6"/>
      <c r="I43" s="6" t="str">
        <f ca="1">IFERROR(ROW(GameLog[#Headers])+MATCH(ROWS(I$5:I43),GameLog[Flag No],0),"")</f>
        <v/>
      </c>
      <c r="J43" s="10" t="str">
        <f ca="1">IF($I43="","",INDEX(GameLog[Date],$I43-ROW(GameLog[#Headers])))</f>
        <v/>
      </c>
      <c r="K43" s="6" t="str">
        <f ca="1">IF($I43="","",INDEX(GameLog[Player],$I43-ROW(GameLog[#Headers])))</f>
        <v/>
      </c>
      <c r="L43" s="6" t="str">
        <f ca="1">IF($I43="","",INDEX(GameLog[Pod],$I43-ROW(GameLog[#Headers])))</f>
        <v/>
      </c>
      <c r="M43" s="6" t="str">
        <f ca="1">IF($I43="","",INDEX(GameLog[Round],$I43-ROW(GameLog[#Headers])))</f>
        <v/>
      </c>
      <c r="N43" s="6" t="str">
        <f ca="1">IF($I43="","",INDEX(GameLog[Check],$I43-ROW(GameLog[#Headers])))</f>
        <v/>
      </c>
    </row>
    <row r="44" spans="1:14" x14ac:dyDescent="0.45">
      <c r="A44" s="6"/>
      <c r="B44" s="6"/>
      <c r="C44" s="6"/>
      <c r="D44" s="10">
        <f>IF(D43="","",IF(COUNTIF(GameLog[Date],"&gt;"&amp;D43)=0,"",_xlfn.MINIFS(GameLog[Date],GameLog[Date],"&gt;"&amp;D43)))</f>
        <v>46139</v>
      </c>
      <c r="E44" s="6" t="str">
        <f t="shared" si="1"/>
        <v>Mon</v>
      </c>
      <c r="F44" s="6">
        <f>IF(D44="","",COUNTIF(GameLog[Date],D44))</f>
        <v>34</v>
      </c>
      <c r="G44" s="6" t="str">
        <f>IF(D44="","",IF(WEEKDAY(D44,2)&lt;&gt;Game_Day,"Not a "&amp;INDEX({"Monday","Tuesday","Wednesday","Thursday","Friday","Saturday","Sunday"},Game_Day),""))</f>
        <v/>
      </c>
      <c r="H44" s="6"/>
      <c r="I44" s="6" t="str">
        <f ca="1">IFERROR(ROW(GameLog[#Headers])+MATCH(ROWS(I$5:I44),GameLog[Flag No],0),"")</f>
        <v/>
      </c>
      <c r="J44" s="10" t="str">
        <f ca="1">IF($I44="","",INDEX(GameLog[Date],$I44-ROW(GameLog[#Headers])))</f>
        <v/>
      </c>
      <c r="K44" s="6" t="str">
        <f ca="1">IF($I44="","",INDEX(GameLog[Player],$I44-ROW(GameLog[#Headers])))</f>
        <v/>
      </c>
      <c r="L44" s="6" t="str">
        <f ca="1">IF($I44="","",INDEX(GameLog[Pod],$I44-ROW(GameLog[#Headers])))</f>
        <v/>
      </c>
      <c r="M44" s="6" t="str">
        <f ca="1">IF($I44="","",INDEX(GameLog[Round],$I44-ROW(GameLog[#Headers])))</f>
        <v/>
      </c>
      <c r="N44" s="6" t="str">
        <f ca="1">IF($I44="","",INDEX(GameLog[Check],$I44-ROW(GameLog[#Headers])))</f>
        <v/>
      </c>
    </row>
    <row r="45" spans="1:14" x14ac:dyDescent="0.45">
      <c r="A45" s="6"/>
      <c r="B45" s="6"/>
      <c r="C45" s="6"/>
      <c r="D45" s="10">
        <f>IF(D44="","",IF(COUNTIF(GameLog[Date],"&gt;"&amp;D44)=0,"",_xlfn.MINIFS(GameLog[Date],GameLog[Date],"&gt;"&amp;D44)))</f>
        <v>46146</v>
      </c>
      <c r="E45" s="6" t="str">
        <f t="shared" si="1"/>
        <v>Mon</v>
      </c>
      <c r="F45" s="6">
        <f>IF(D45="","",COUNTIF(GameLog[Date],D45))</f>
        <v>26</v>
      </c>
      <c r="G45" s="6" t="str">
        <f>IF(D45="","",IF(WEEKDAY(D45,2)&lt;&gt;Game_Day,"Not a "&amp;INDEX({"Monday","Tuesday","Wednesday","Thursday","Friday","Saturday","Sunday"},Game_Day),""))</f>
        <v/>
      </c>
      <c r="H45" s="6"/>
      <c r="I45" s="6" t="str">
        <f ca="1">IFERROR(ROW(GameLog[#Headers])+MATCH(ROWS(I$5:I45),GameLog[Flag No],0),"")</f>
        <v/>
      </c>
      <c r="J45" s="10" t="str">
        <f ca="1">IF($I45="","",INDEX(GameLog[Date],$I45-ROW(GameLog[#Headers])))</f>
        <v/>
      </c>
      <c r="K45" s="6" t="str">
        <f ca="1">IF($I45="","",INDEX(GameLog[Player],$I45-ROW(GameLog[#Headers])))</f>
        <v/>
      </c>
      <c r="L45" s="6" t="str">
        <f ca="1">IF($I45="","",INDEX(GameLog[Pod],$I45-ROW(GameLog[#Headers])))</f>
        <v/>
      </c>
      <c r="M45" s="6" t="str">
        <f ca="1">IF($I45="","",INDEX(GameLog[Round],$I45-ROW(GameLog[#Headers])))</f>
        <v/>
      </c>
      <c r="N45" s="6" t="str">
        <f ca="1">IF($I45="","",INDEX(GameLog[Check],$I45-ROW(GameLog[#Headers])))</f>
        <v/>
      </c>
    </row>
    <row r="46" spans="1:14" x14ac:dyDescent="0.45">
      <c r="A46" s="6"/>
      <c r="B46" s="6"/>
      <c r="C46" s="6"/>
      <c r="D46" s="10">
        <f>IF(D45="","",IF(COUNTIF(GameLog[Date],"&gt;"&amp;D45)=0,"",_xlfn.MINIFS(GameLog[Date],GameLog[Date],"&gt;"&amp;D45)))</f>
        <v>46153</v>
      </c>
      <c r="E46" s="6" t="str">
        <f t="shared" si="1"/>
        <v>Mon</v>
      </c>
      <c r="F46" s="6">
        <f>IF(D46="","",COUNTIF(GameLog[Date],D46))</f>
        <v>33</v>
      </c>
      <c r="G46" s="6" t="str">
        <f>IF(D46="","",IF(WEEKDAY(D46,2)&lt;&gt;Game_Day,"Not a "&amp;INDEX({"Monday","Tuesday","Wednesday","Thursday","Friday","Saturday","Sunday"},Game_Day),""))</f>
        <v/>
      </c>
      <c r="H46" s="6"/>
      <c r="I46" s="6" t="str">
        <f ca="1">IFERROR(ROW(GameLog[#Headers])+MATCH(ROWS(I$5:I46),GameLog[Flag No],0),"")</f>
        <v/>
      </c>
      <c r="J46" s="10" t="str">
        <f ca="1">IF($I46="","",INDEX(GameLog[Date],$I46-ROW(GameLog[#Headers])))</f>
        <v/>
      </c>
      <c r="K46" s="6" t="str">
        <f ca="1">IF($I46="","",INDEX(GameLog[Player],$I46-ROW(GameLog[#Headers])))</f>
        <v/>
      </c>
      <c r="L46" s="6" t="str">
        <f ca="1">IF($I46="","",INDEX(GameLog[Pod],$I46-ROW(GameLog[#Headers])))</f>
        <v/>
      </c>
      <c r="M46" s="6" t="str">
        <f ca="1">IF($I46="","",INDEX(GameLog[Round],$I46-ROW(GameLog[#Headers])))</f>
        <v/>
      </c>
      <c r="N46" s="6" t="str">
        <f ca="1">IF($I46="","",INDEX(GameLog[Check],$I46-ROW(GameLog[#Headers])))</f>
        <v/>
      </c>
    </row>
    <row r="47" spans="1:14" x14ac:dyDescent="0.45">
      <c r="A47" s="6"/>
      <c r="B47" s="6"/>
      <c r="C47" s="6"/>
      <c r="D47" s="10">
        <f>IF(D46="","",IF(COUNTIF(GameLog[Date],"&gt;"&amp;D46)=0,"",_xlfn.MINIFS(GameLog[Date],GameLog[Date],"&gt;"&amp;D46)))</f>
        <v>46160</v>
      </c>
      <c r="E47" s="6" t="str">
        <f t="shared" si="1"/>
        <v>Mon</v>
      </c>
      <c r="F47" s="6">
        <f>IF(D47="","",COUNTIF(GameLog[Date],D47))</f>
        <v>38</v>
      </c>
      <c r="G47" s="6" t="str">
        <f>IF(D47="","",IF(WEEKDAY(D47,2)&lt;&gt;Game_Day,"Not a "&amp;INDEX({"Monday","Tuesday","Wednesday","Thursday","Friday","Saturday","Sunday"},Game_Day),""))</f>
        <v/>
      </c>
      <c r="H47" s="6"/>
      <c r="I47" s="6" t="str">
        <f ca="1">IFERROR(ROW(GameLog[#Headers])+MATCH(ROWS(I$5:I47),GameLog[Flag No],0),"")</f>
        <v/>
      </c>
      <c r="J47" s="10" t="str">
        <f ca="1">IF($I47="","",INDEX(GameLog[Date],$I47-ROW(GameLog[#Headers])))</f>
        <v/>
      </c>
      <c r="K47" s="6" t="str">
        <f ca="1">IF($I47="","",INDEX(GameLog[Player],$I47-ROW(GameLog[#Headers])))</f>
        <v/>
      </c>
      <c r="L47" s="6" t="str">
        <f ca="1">IF($I47="","",INDEX(GameLog[Pod],$I47-ROW(GameLog[#Headers])))</f>
        <v/>
      </c>
      <c r="M47" s="6" t="str">
        <f ca="1">IF($I47="","",INDEX(GameLog[Round],$I47-ROW(GameLog[#Headers])))</f>
        <v/>
      </c>
      <c r="N47" s="6" t="str">
        <f ca="1">IF($I47="","",INDEX(GameLog[Check],$I47-ROW(GameLog[#Headers])))</f>
        <v/>
      </c>
    </row>
    <row r="48" spans="1:14" x14ac:dyDescent="0.45">
      <c r="A48" s="6"/>
      <c r="B48" s="6"/>
      <c r="C48" s="6"/>
      <c r="D48" s="10">
        <f>IF(D47="","",IF(COUNTIF(GameLog[Date],"&gt;"&amp;D47)=0,"",_xlfn.MINIFS(GameLog[Date],GameLog[Date],"&gt;"&amp;D47)))</f>
        <v>46167</v>
      </c>
      <c r="E48" s="6" t="str">
        <f t="shared" si="1"/>
        <v>Mon</v>
      </c>
      <c r="F48" s="6">
        <f>IF(D48="","",COUNTIF(GameLog[Date],D48))</f>
        <v>30</v>
      </c>
      <c r="G48" s="6" t="str">
        <f>IF(D48="","",IF(WEEKDAY(D48,2)&lt;&gt;Game_Day,"Not a "&amp;INDEX({"Monday","Tuesday","Wednesday","Thursday","Friday","Saturday","Sunday"},Game_Day),""))</f>
        <v/>
      </c>
      <c r="H48" s="6"/>
      <c r="I48" s="6" t="str">
        <f ca="1">IFERROR(ROW(GameLog[#Headers])+MATCH(ROWS(I$5:I48),GameLog[Flag No],0),"")</f>
        <v/>
      </c>
      <c r="J48" s="10" t="str">
        <f ca="1">IF($I48="","",INDEX(GameLog[Date],$I48-ROW(GameLog[#Headers])))</f>
        <v/>
      </c>
      <c r="K48" s="6" t="str">
        <f ca="1">IF($I48="","",INDEX(GameLog[Player],$I48-ROW(GameLog[#Headers])))</f>
        <v/>
      </c>
      <c r="L48" s="6" t="str">
        <f ca="1">IF($I48="","",INDEX(GameLog[Pod],$I48-ROW(GameLog[#Headers])))</f>
        <v/>
      </c>
      <c r="M48" s="6" t="str">
        <f ca="1">IF($I48="","",INDEX(GameLog[Round],$I48-ROW(GameLog[#Headers])))</f>
        <v/>
      </c>
      <c r="N48" s="6" t="str">
        <f ca="1">IF($I48="","",INDEX(GameLog[Check],$I48-ROW(GameLog[#Headers])))</f>
        <v/>
      </c>
    </row>
    <row r="49" spans="1:14" x14ac:dyDescent="0.45">
      <c r="A49" s="6"/>
      <c r="B49" s="6"/>
      <c r="C49" s="6"/>
      <c r="D49" s="10">
        <f>IF(D48="","",IF(COUNTIF(GameLog[Date],"&gt;"&amp;D48)=0,"",_xlfn.MINIFS(GameLog[Date],GameLog[Date],"&gt;"&amp;D48)))</f>
        <v>46174</v>
      </c>
      <c r="E49" s="6" t="str">
        <f t="shared" si="1"/>
        <v>Mon</v>
      </c>
      <c r="F49" s="6">
        <f>IF(D49="","",COUNTIF(GameLog[Date],D49))</f>
        <v>42</v>
      </c>
      <c r="G49" s="6" t="str">
        <f>IF(D49="","",IF(WEEKDAY(D49,2)&lt;&gt;Game_Day,"Not a "&amp;INDEX({"Monday","Tuesday","Wednesday","Thursday","Friday","Saturday","Sunday"},Game_Day),""))</f>
        <v/>
      </c>
      <c r="H49" s="6"/>
      <c r="I49" s="6" t="str">
        <f ca="1">IFERROR(ROW(GameLog[#Headers])+MATCH(ROWS(I$5:I49),GameLog[Flag No],0),"")</f>
        <v/>
      </c>
      <c r="J49" s="10" t="str">
        <f ca="1">IF($I49="","",INDEX(GameLog[Date],$I49-ROW(GameLog[#Headers])))</f>
        <v/>
      </c>
      <c r="K49" s="6" t="str">
        <f ca="1">IF($I49="","",INDEX(GameLog[Player],$I49-ROW(GameLog[#Headers])))</f>
        <v/>
      </c>
      <c r="L49" s="6" t="str">
        <f ca="1">IF($I49="","",INDEX(GameLog[Pod],$I49-ROW(GameLog[#Headers])))</f>
        <v/>
      </c>
      <c r="M49" s="6" t="str">
        <f ca="1">IF($I49="","",INDEX(GameLog[Round],$I49-ROW(GameLog[#Headers])))</f>
        <v/>
      </c>
      <c r="N49" s="6" t="str">
        <f ca="1">IF($I49="","",INDEX(GameLog[Check],$I49-ROW(GameLog[#Headers])))</f>
        <v/>
      </c>
    </row>
    <row r="50" spans="1:14" x14ac:dyDescent="0.45">
      <c r="A50" s="6"/>
      <c r="B50" s="6"/>
      <c r="C50" s="6"/>
      <c r="D50" s="10">
        <f>IF(D49="","",IF(COUNTIF(GameLog[Date],"&gt;"&amp;D49)=0,"",_xlfn.MINIFS(GameLog[Date],GameLog[Date],"&gt;"&amp;D49)))</f>
        <v>46181</v>
      </c>
      <c r="E50" s="6" t="str">
        <f t="shared" si="1"/>
        <v>Mon</v>
      </c>
      <c r="F50" s="6">
        <f>IF(D50="","",COUNTIF(GameLog[Date],D50))</f>
        <v>40</v>
      </c>
      <c r="G50" s="6" t="str">
        <f>IF(D50="","",IF(WEEKDAY(D50,2)&lt;&gt;Game_Day,"Not a "&amp;INDEX({"Monday","Tuesday","Wednesday","Thursday","Friday","Saturday","Sunday"},Game_Day),""))</f>
        <v/>
      </c>
      <c r="H50" s="6"/>
      <c r="I50" s="6" t="str">
        <f ca="1">IFERROR(ROW(GameLog[#Headers])+MATCH(ROWS(I$5:I50),GameLog[Flag No],0),"")</f>
        <v/>
      </c>
      <c r="J50" s="10" t="str">
        <f ca="1">IF($I50="","",INDEX(GameLog[Date],$I50-ROW(GameLog[#Headers])))</f>
        <v/>
      </c>
      <c r="K50" s="6" t="str">
        <f ca="1">IF($I50="","",INDEX(GameLog[Player],$I50-ROW(GameLog[#Headers])))</f>
        <v/>
      </c>
      <c r="L50" s="6" t="str">
        <f ca="1">IF($I50="","",INDEX(GameLog[Pod],$I50-ROW(GameLog[#Headers])))</f>
        <v/>
      </c>
      <c r="M50" s="6" t="str">
        <f ca="1">IF($I50="","",INDEX(GameLog[Round],$I50-ROW(GameLog[#Headers])))</f>
        <v/>
      </c>
      <c r="N50" s="6" t="str">
        <f ca="1">IF($I50="","",INDEX(GameLog[Check],$I50-ROW(GameLog[#Headers])))</f>
        <v/>
      </c>
    </row>
    <row r="51" spans="1:14" x14ac:dyDescent="0.45">
      <c r="A51" s="6"/>
      <c r="B51" s="6"/>
      <c r="C51" s="6"/>
      <c r="D51" s="10">
        <f>IF(D50="","",IF(COUNTIF(GameLog[Date],"&gt;"&amp;D50)=0,"",_xlfn.MINIFS(GameLog[Date],GameLog[Date],"&gt;"&amp;D50)))</f>
        <v>46188</v>
      </c>
      <c r="E51" s="6" t="str">
        <f t="shared" si="1"/>
        <v>Mon</v>
      </c>
      <c r="F51" s="6">
        <f>IF(D51="","",COUNTIF(GameLog[Date],D51))</f>
        <v>38</v>
      </c>
      <c r="G51" s="6" t="str">
        <f>IF(D51="","",IF(WEEKDAY(D51,2)&lt;&gt;Game_Day,"Not a "&amp;INDEX({"Monday","Tuesday","Wednesday","Thursday","Friday","Saturday","Sunday"},Game_Day),""))</f>
        <v/>
      </c>
      <c r="H51" s="6"/>
      <c r="I51" s="6" t="str">
        <f ca="1">IFERROR(ROW(GameLog[#Headers])+MATCH(ROWS(I$5:I51),GameLog[Flag No],0),"")</f>
        <v/>
      </c>
      <c r="J51" s="10" t="str">
        <f ca="1">IF($I51="","",INDEX(GameLog[Date],$I51-ROW(GameLog[#Headers])))</f>
        <v/>
      </c>
      <c r="K51" s="6" t="str">
        <f ca="1">IF($I51="","",INDEX(GameLog[Player],$I51-ROW(GameLog[#Headers])))</f>
        <v/>
      </c>
      <c r="L51" s="6" t="str">
        <f ca="1">IF($I51="","",INDEX(GameLog[Pod],$I51-ROW(GameLog[#Headers])))</f>
        <v/>
      </c>
      <c r="M51" s="6" t="str">
        <f ca="1">IF($I51="","",INDEX(GameLog[Round],$I51-ROW(GameLog[#Headers])))</f>
        <v/>
      </c>
      <c r="N51" s="6" t="str">
        <f ca="1">IF($I51="","",INDEX(GameLog[Check],$I51-ROW(GameLog[#Headers])))</f>
        <v/>
      </c>
    </row>
    <row r="52" spans="1:14" x14ac:dyDescent="0.45">
      <c r="A52" s="6"/>
      <c r="B52" s="6"/>
      <c r="C52" s="6"/>
      <c r="D52" s="10">
        <f>IF(D51="","",IF(COUNTIF(GameLog[Date],"&gt;"&amp;D51)=0,"",_xlfn.MINIFS(GameLog[Date],GameLog[Date],"&gt;"&amp;D51)))</f>
        <v>46195</v>
      </c>
      <c r="E52" s="6" t="str">
        <f t="shared" si="1"/>
        <v>Mon</v>
      </c>
      <c r="F52" s="6">
        <f>IF(D52="","",COUNTIF(GameLog[Date],D52))</f>
        <v>47</v>
      </c>
      <c r="G52" s="6" t="str">
        <f>IF(D52="","",IF(WEEKDAY(D52,2)&lt;&gt;Game_Day,"Not a "&amp;INDEX({"Monday","Tuesday","Wednesday","Thursday","Friday","Saturday","Sunday"},Game_Day),""))</f>
        <v/>
      </c>
      <c r="H52" s="6"/>
      <c r="I52" s="6" t="str">
        <f ca="1">IFERROR(ROW(GameLog[#Headers])+MATCH(ROWS(I$5:I52),GameLog[Flag No],0),"")</f>
        <v/>
      </c>
      <c r="J52" s="10" t="str">
        <f ca="1">IF($I52="","",INDEX(GameLog[Date],$I52-ROW(GameLog[#Headers])))</f>
        <v/>
      </c>
      <c r="K52" s="6" t="str">
        <f ca="1">IF($I52="","",INDEX(GameLog[Player],$I52-ROW(GameLog[#Headers])))</f>
        <v/>
      </c>
      <c r="L52" s="6" t="str">
        <f ca="1">IF($I52="","",INDEX(GameLog[Pod],$I52-ROW(GameLog[#Headers])))</f>
        <v/>
      </c>
      <c r="M52" s="6" t="str">
        <f ca="1">IF($I52="","",INDEX(GameLog[Round],$I52-ROW(GameLog[#Headers])))</f>
        <v/>
      </c>
      <c r="N52" s="6" t="str">
        <f ca="1">IF($I52="","",INDEX(GameLog[Check],$I52-ROW(GameLog[#Headers])))</f>
        <v/>
      </c>
    </row>
    <row r="53" spans="1:14" x14ac:dyDescent="0.45">
      <c r="A53" s="6"/>
      <c r="B53" s="6"/>
      <c r="C53" s="6"/>
      <c r="D53" s="10">
        <f>IF(D52="","",IF(COUNTIF(GameLog[Date],"&gt;"&amp;D52)=0,"",_xlfn.MINIFS(GameLog[Date],GameLog[Date],"&gt;"&amp;D52)))</f>
        <v>46202</v>
      </c>
      <c r="E53" s="6" t="str">
        <f t="shared" si="1"/>
        <v>Mon</v>
      </c>
      <c r="F53" s="6">
        <f>IF(D53="","",COUNTIF(GameLog[Date],D53))</f>
        <v>43</v>
      </c>
      <c r="G53" s="6" t="str">
        <f>IF(D53="","",IF(WEEKDAY(D53,2)&lt;&gt;Game_Day,"Not a "&amp;INDEX({"Monday","Tuesday","Wednesday","Thursday","Friday","Saturday","Sunday"},Game_Day),""))</f>
        <v/>
      </c>
      <c r="H53" s="6"/>
      <c r="I53" s="6" t="str">
        <f ca="1">IFERROR(ROW(GameLog[#Headers])+MATCH(ROWS(I$5:I53),GameLog[Flag No],0),"")</f>
        <v/>
      </c>
      <c r="J53" s="10" t="str">
        <f ca="1">IF($I53="","",INDEX(GameLog[Date],$I53-ROW(GameLog[#Headers])))</f>
        <v/>
      </c>
      <c r="K53" s="6" t="str">
        <f ca="1">IF($I53="","",INDEX(GameLog[Player],$I53-ROW(GameLog[#Headers])))</f>
        <v/>
      </c>
      <c r="L53" s="6" t="str">
        <f ca="1">IF($I53="","",INDEX(GameLog[Pod],$I53-ROW(GameLog[#Headers])))</f>
        <v/>
      </c>
      <c r="M53" s="6" t="str">
        <f ca="1">IF($I53="","",INDEX(GameLog[Round],$I53-ROW(GameLog[#Headers])))</f>
        <v/>
      </c>
      <c r="N53" s="6" t="str">
        <f ca="1">IF($I53="","",INDEX(GameLog[Check],$I53-ROW(GameLog[#Headers])))</f>
        <v/>
      </c>
    </row>
    <row r="54" spans="1:14" x14ac:dyDescent="0.45">
      <c r="A54" s="6"/>
      <c r="B54" s="6"/>
      <c r="C54" s="6"/>
      <c r="D54" s="10">
        <f>IF(D53="","",IF(COUNTIF(GameLog[Date],"&gt;"&amp;D53)=0,"",_xlfn.MINIFS(GameLog[Date],GameLog[Date],"&gt;"&amp;D53)))</f>
        <v>46209</v>
      </c>
      <c r="E54" s="6" t="str">
        <f t="shared" si="1"/>
        <v>Mon</v>
      </c>
      <c r="F54" s="6">
        <f>IF(D54="","",COUNTIF(GameLog[Date],D54))</f>
        <v>46</v>
      </c>
      <c r="G54" s="6" t="str">
        <f>IF(D54="","",IF(WEEKDAY(D54,2)&lt;&gt;Game_Day,"Not a "&amp;INDEX({"Monday","Tuesday","Wednesday","Thursday","Friday","Saturday","Sunday"},Game_Day),""))</f>
        <v/>
      </c>
      <c r="H54" s="6"/>
      <c r="I54" s="6" t="str">
        <f ca="1">IFERROR(ROW(GameLog[#Headers])+MATCH(ROWS(I$5:I54),GameLog[Flag No],0),"")</f>
        <v/>
      </c>
      <c r="J54" s="10" t="str">
        <f ca="1">IF($I54="","",INDEX(GameLog[Date],$I54-ROW(GameLog[#Headers])))</f>
        <v/>
      </c>
      <c r="K54" s="6" t="str">
        <f ca="1">IF($I54="","",INDEX(GameLog[Player],$I54-ROW(GameLog[#Headers])))</f>
        <v/>
      </c>
      <c r="L54" s="6" t="str">
        <f ca="1">IF($I54="","",INDEX(GameLog[Pod],$I54-ROW(GameLog[#Headers])))</f>
        <v/>
      </c>
      <c r="M54" s="6" t="str">
        <f ca="1">IF($I54="","",INDEX(GameLog[Round],$I54-ROW(GameLog[#Headers])))</f>
        <v/>
      </c>
      <c r="N54" s="6" t="str">
        <f ca="1">IF($I54="","",INDEX(GameLog[Check],$I54-ROW(GameLog[#Headers])))</f>
        <v/>
      </c>
    </row>
    <row r="55" spans="1:14" x14ac:dyDescent="0.45">
      <c r="A55" s="6"/>
      <c r="B55" s="6"/>
      <c r="C55" s="6"/>
      <c r="D55" s="10">
        <f>IF(D54="","",IF(COUNTIF(GameLog[Date],"&gt;"&amp;D54)=0,"",_xlfn.MINIFS(GameLog[Date],GameLog[Date],"&gt;"&amp;D54)))</f>
        <v>46216</v>
      </c>
      <c r="E55" s="6" t="str">
        <f t="shared" si="1"/>
        <v>Mon</v>
      </c>
      <c r="F55" s="6">
        <f>IF(D55="","",COUNTIF(GameLog[Date],D55))</f>
        <v>40</v>
      </c>
      <c r="G55" s="6" t="str">
        <f>IF(D55="","",IF(WEEKDAY(D55,2)&lt;&gt;Game_Day,"Not a "&amp;INDEX({"Monday","Tuesday","Wednesday","Thursday","Friday","Saturday","Sunday"},Game_Day),""))</f>
        <v/>
      </c>
      <c r="H55" s="6"/>
      <c r="I55" s="6" t="str">
        <f ca="1">IFERROR(ROW(GameLog[#Headers])+MATCH(ROWS(I$5:I55),GameLog[Flag No],0),"")</f>
        <v/>
      </c>
      <c r="J55" s="10" t="str">
        <f ca="1">IF($I55="","",INDEX(GameLog[Date],$I55-ROW(GameLog[#Headers])))</f>
        <v/>
      </c>
      <c r="K55" s="6" t="str">
        <f ca="1">IF($I55="","",INDEX(GameLog[Player],$I55-ROW(GameLog[#Headers])))</f>
        <v/>
      </c>
      <c r="L55" s="6" t="str">
        <f ca="1">IF($I55="","",INDEX(GameLog[Pod],$I55-ROW(GameLog[#Headers])))</f>
        <v/>
      </c>
      <c r="M55" s="6" t="str">
        <f ca="1">IF($I55="","",INDEX(GameLog[Round],$I55-ROW(GameLog[#Headers])))</f>
        <v/>
      </c>
      <c r="N55" s="6" t="str">
        <f ca="1">IF($I55="","",INDEX(GameLog[Check],$I55-ROW(GameLog[#Headers])))</f>
        <v/>
      </c>
    </row>
    <row r="56" spans="1:14" x14ac:dyDescent="0.45">
      <c r="A56" s="6"/>
      <c r="B56" s="6"/>
      <c r="C56" s="6"/>
      <c r="D56" s="10">
        <f>IF(D55="","",IF(COUNTIF(GameLog[Date],"&gt;"&amp;D55)=0,"",_xlfn.MINIFS(GameLog[Date],GameLog[Date],"&gt;"&amp;D55)))</f>
        <v>46223</v>
      </c>
      <c r="E56" s="6" t="str">
        <f t="shared" si="1"/>
        <v>Mon</v>
      </c>
      <c r="F56" s="6">
        <f>IF(D56="","",COUNTIF(GameLog[Date],D56))</f>
        <v>30</v>
      </c>
      <c r="G56" s="6" t="str">
        <f>IF(D56="","",IF(WEEKDAY(D56,2)&lt;&gt;Game_Day,"Not a "&amp;INDEX({"Monday","Tuesday","Wednesday","Thursday","Friday","Saturday","Sunday"},Game_Day),""))</f>
        <v/>
      </c>
      <c r="H56" s="6"/>
      <c r="I56" s="6" t="str">
        <f ca="1">IFERROR(ROW(GameLog[#Headers])+MATCH(ROWS(I$5:I56),GameLog[Flag No],0),"")</f>
        <v/>
      </c>
      <c r="J56" s="10" t="str">
        <f ca="1">IF($I56="","",INDEX(GameLog[Date],$I56-ROW(GameLog[#Headers])))</f>
        <v/>
      </c>
      <c r="K56" s="6" t="str">
        <f ca="1">IF($I56="","",INDEX(GameLog[Player],$I56-ROW(GameLog[#Headers])))</f>
        <v/>
      </c>
      <c r="L56" s="6" t="str">
        <f ca="1">IF($I56="","",INDEX(GameLog[Pod],$I56-ROW(GameLog[#Headers])))</f>
        <v/>
      </c>
      <c r="M56" s="6" t="str">
        <f ca="1">IF($I56="","",INDEX(GameLog[Round],$I56-ROW(GameLog[#Headers])))</f>
        <v/>
      </c>
      <c r="N56" s="6" t="str">
        <f ca="1">IF($I56="","",INDEX(GameLog[Check],$I56-ROW(GameLog[#Headers])))</f>
        <v/>
      </c>
    </row>
    <row r="57" spans="1:14" x14ac:dyDescent="0.45">
      <c r="A57" s="6"/>
      <c r="B57" s="6"/>
      <c r="C57" s="6"/>
      <c r="D57" s="10">
        <f>IF(D56="","",IF(COUNTIF(GameLog[Date],"&gt;"&amp;D56)=0,"",_xlfn.MINIFS(GameLog[Date],GameLog[Date],"&gt;"&amp;D56)))</f>
        <v>46230</v>
      </c>
      <c r="E57" s="6" t="str">
        <f t="shared" si="1"/>
        <v>Mon</v>
      </c>
      <c r="F57" s="6">
        <f>IF(D57="","",COUNTIF(GameLog[Date],D57))</f>
        <v>36</v>
      </c>
      <c r="G57" s="6" t="str">
        <f>IF(D57="","",IF(WEEKDAY(D57,2)&lt;&gt;Game_Day,"Not a "&amp;INDEX({"Monday","Tuesday","Wednesday","Thursday","Friday","Saturday","Sunday"},Game_Day),""))</f>
        <v/>
      </c>
      <c r="H57" s="6"/>
      <c r="I57" s="6" t="str">
        <f ca="1">IFERROR(ROW(GameLog[#Headers])+MATCH(ROWS(I$5:I57),GameLog[Flag No],0),"")</f>
        <v/>
      </c>
      <c r="J57" s="10" t="str">
        <f ca="1">IF($I57="","",INDEX(GameLog[Date],$I57-ROW(GameLog[#Headers])))</f>
        <v/>
      </c>
      <c r="K57" s="6" t="str">
        <f ca="1">IF($I57="","",INDEX(GameLog[Player],$I57-ROW(GameLog[#Headers])))</f>
        <v/>
      </c>
      <c r="L57" s="6" t="str">
        <f ca="1">IF($I57="","",INDEX(GameLog[Pod],$I57-ROW(GameLog[#Headers])))</f>
        <v/>
      </c>
      <c r="M57" s="6" t="str">
        <f ca="1">IF($I57="","",INDEX(GameLog[Round],$I57-ROW(GameLog[#Headers])))</f>
        <v/>
      </c>
      <c r="N57" s="6" t="str">
        <f ca="1">IF($I57="","",INDEX(GameLog[Check],$I57-ROW(GameLog[#Headers])))</f>
        <v/>
      </c>
    </row>
    <row r="58" spans="1:14" x14ac:dyDescent="0.45">
      <c r="A58" s="6"/>
      <c r="B58" s="6"/>
      <c r="C58" s="6"/>
      <c r="D58" s="10">
        <f>IF(D57="","",IF(COUNTIF(GameLog[Date],"&gt;"&amp;D57)=0,"",_xlfn.MINIFS(GameLog[Date],GameLog[Date],"&gt;"&amp;D57)))</f>
        <v>46237</v>
      </c>
      <c r="E58" s="6" t="str">
        <f t="shared" si="1"/>
        <v>Mon</v>
      </c>
      <c r="F58" s="6">
        <f>IF(D58="","",COUNTIF(GameLog[Date],D58))</f>
        <v>28</v>
      </c>
      <c r="G58" s="6" t="str">
        <f>IF(D58="","",IF(WEEKDAY(D58,2)&lt;&gt;Game_Day,"Not a "&amp;INDEX({"Monday","Tuesday","Wednesday","Thursday","Friday","Saturday","Sunday"},Game_Day),""))</f>
        <v/>
      </c>
      <c r="H58" s="6"/>
      <c r="I58" s="6" t="str">
        <f ca="1">IFERROR(ROW(GameLog[#Headers])+MATCH(ROWS(I$5:I58),GameLog[Flag No],0),"")</f>
        <v/>
      </c>
      <c r="J58" s="10" t="str">
        <f ca="1">IF($I58="","",INDEX(GameLog[Date],$I58-ROW(GameLog[#Headers])))</f>
        <v/>
      </c>
      <c r="K58" s="6" t="str">
        <f ca="1">IF($I58="","",INDEX(GameLog[Player],$I58-ROW(GameLog[#Headers])))</f>
        <v/>
      </c>
      <c r="L58" s="6" t="str">
        <f ca="1">IF($I58="","",INDEX(GameLog[Pod],$I58-ROW(GameLog[#Headers])))</f>
        <v/>
      </c>
      <c r="M58" s="6" t="str">
        <f ca="1">IF($I58="","",INDEX(GameLog[Round],$I58-ROW(GameLog[#Headers])))</f>
        <v/>
      </c>
      <c r="N58" s="6" t="str">
        <f ca="1">IF($I58="","",INDEX(GameLog[Check],$I58-ROW(GameLog[#Headers])))</f>
        <v/>
      </c>
    </row>
    <row r="59" spans="1:14" x14ac:dyDescent="0.45">
      <c r="A59" s="6"/>
      <c r="B59" s="6"/>
      <c r="C59" s="6"/>
      <c r="D59" s="10">
        <f>IF(D58="","",IF(COUNTIF(GameLog[Date],"&gt;"&amp;D58)=0,"",_xlfn.MINIFS(GameLog[Date],GameLog[Date],"&gt;"&amp;D58)))</f>
        <v>46244</v>
      </c>
      <c r="E59" s="6" t="str">
        <f t="shared" si="1"/>
        <v>Mon</v>
      </c>
      <c r="F59" s="6">
        <f>IF(D59="","",COUNTIF(GameLog[Date],D59))</f>
        <v>44</v>
      </c>
      <c r="G59" s="6" t="str">
        <f>IF(D59="","",IF(WEEKDAY(D59,2)&lt;&gt;Game_Day,"Not a "&amp;INDEX({"Monday","Tuesday","Wednesday","Thursday","Friday","Saturday","Sunday"},Game_Day),""))</f>
        <v/>
      </c>
      <c r="H59" s="6"/>
      <c r="I59" s="6" t="str">
        <f ca="1">IFERROR(ROW(GameLog[#Headers])+MATCH(ROWS(I$5:I59),GameLog[Flag No],0),"")</f>
        <v/>
      </c>
      <c r="J59" s="10" t="str">
        <f ca="1">IF($I59="","",INDEX(GameLog[Date],$I59-ROW(GameLog[#Headers])))</f>
        <v/>
      </c>
      <c r="K59" s="6" t="str">
        <f ca="1">IF($I59="","",INDEX(GameLog[Player],$I59-ROW(GameLog[#Headers])))</f>
        <v/>
      </c>
      <c r="L59" s="6" t="str">
        <f ca="1">IF($I59="","",INDEX(GameLog[Pod],$I59-ROW(GameLog[#Headers])))</f>
        <v/>
      </c>
      <c r="M59" s="6" t="str">
        <f ca="1">IF($I59="","",INDEX(GameLog[Round],$I59-ROW(GameLog[#Headers])))</f>
        <v/>
      </c>
      <c r="N59" s="6" t="str">
        <f ca="1">IF($I59="","",INDEX(GameLog[Check],$I59-ROW(GameLog[#Headers])))</f>
        <v/>
      </c>
    </row>
    <row r="60" spans="1:14" x14ac:dyDescent="0.45">
      <c r="A60" s="6"/>
      <c r="B60" s="6"/>
      <c r="C60" s="6"/>
      <c r="D60" s="10">
        <f>IF(D59="","",IF(COUNTIF(GameLog[Date],"&gt;"&amp;D59)=0,"",_xlfn.MINIFS(GameLog[Date],GameLog[Date],"&gt;"&amp;D59)))</f>
        <v>46251</v>
      </c>
      <c r="E60" s="6" t="str">
        <f t="shared" si="1"/>
        <v>Mon</v>
      </c>
      <c r="F60" s="6">
        <f>IF(D60="","",COUNTIF(GameLog[Date],D60))</f>
        <v>37</v>
      </c>
      <c r="G60" s="6" t="str">
        <f>IF(D60="","",IF(WEEKDAY(D60,2)&lt;&gt;Game_Day,"Not a "&amp;INDEX({"Monday","Tuesday","Wednesday","Thursday","Friday","Saturday","Sunday"},Game_Day),""))</f>
        <v/>
      </c>
      <c r="H60" s="6"/>
      <c r="I60" s="6" t="str">
        <f ca="1">IFERROR(ROW(GameLog[#Headers])+MATCH(ROWS(I$5:I60),GameLog[Flag No],0),"")</f>
        <v/>
      </c>
      <c r="J60" s="10" t="str">
        <f ca="1">IF($I60="","",INDEX(GameLog[Date],$I60-ROW(GameLog[#Headers])))</f>
        <v/>
      </c>
      <c r="K60" s="6" t="str">
        <f ca="1">IF($I60="","",INDEX(GameLog[Player],$I60-ROW(GameLog[#Headers])))</f>
        <v/>
      </c>
      <c r="L60" s="6" t="str">
        <f ca="1">IF($I60="","",INDEX(GameLog[Pod],$I60-ROW(GameLog[#Headers])))</f>
        <v/>
      </c>
      <c r="M60" s="6" t="str">
        <f ca="1">IF($I60="","",INDEX(GameLog[Round],$I60-ROW(GameLog[#Headers])))</f>
        <v/>
      </c>
      <c r="N60" s="6" t="str">
        <f ca="1">IF($I60="","",INDEX(GameLog[Check],$I60-ROW(GameLog[#Headers])))</f>
        <v/>
      </c>
    </row>
    <row r="61" spans="1:14" x14ac:dyDescent="0.45">
      <c r="A61" s="6"/>
      <c r="B61" s="6"/>
      <c r="C61" s="6"/>
      <c r="D61" s="10">
        <f>IF(D60="","",IF(COUNTIF(GameLog[Date],"&gt;"&amp;D60)=0,"",_xlfn.MINIFS(GameLog[Date],GameLog[Date],"&gt;"&amp;D60)))</f>
        <v>46258</v>
      </c>
      <c r="E61" s="6" t="str">
        <f t="shared" si="1"/>
        <v>Mon</v>
      </c>
      <c r="F61" s="6">
        <f>IF(D61="","",COUNTIF(GameLog[Date],D61))</f>
        <v>34</v>
      </c>
      <c r="G61" s="6" t="str">
        <f>IF(D61="","",IF(WEEKDAY(D61,2)&lt;&gt;Game_Day,"Not a "&amp;INDEX({"Monday","Tuesday","Wednesday","Thursday","Friday","Saturday","Sunday"},Game_Day),""))</f>
        <v/>
      </c>
      <c r="H61" s="6"/>
      <c r="I61" s="6" t="str">
        <f ca="1">IFERROR(ROW(GameLog[#Headers])+MATCH(ROWS(I$5:I61),GameLog[Flag No],0),"")</f>
        <v/>
      </c>
      <c r="J61" s="10" t="str">
        <f ca="1">IF($I61="","",INDEX(GameLog[Date],$I61-ROW(GameLog[#Headers])))</f>
        <v/>
      </c>
      <c r="K61" s="6" t="str">
        <f ca="1">IF($I61="","",INDEX(GameLog[Player],$I61-ROW(GameLog[#Headers])))</f>
        <v/>
      </c>
      <c r="L61" s="6" t="str">
        <f ca="1">IF($I61="","",INDEX(GameLog[Pod],$I61-ROW(GameLog[#Headers])))</f>
        <v/>
      </c>
      <c r="M61" s="6" t="str">
        <f ca="1">IF($I61="","",INDEX(GameLog[Round],$I61-ROW(GameLog[#Headers])))</f>
        <v/>
      </c>
      <c r="N61" s="6" t="str">
        <f ca="1">IF($I61="","",INDEX(GameLog[Check],$I61-ROW(GameLog[#Headers])))</f>
        <v/>
      </c>
    </row>
    <row r="62" spans="1:14" x14ac:dyDescent="0.45">
      <c r="A62" s="6"/>
      <c r="B62" s="6"/>
      <c r="C62" s="6"/>
      <c r="D62" s="10">
        <f>IF(D61="","",IF(COUNTIF(GameLog[Date],"&gt;"&amp;D61)=0,"",_xlfn.MINIFS(GameLog[Date],GameLog[Date],"&gt;"&amp;D61)))</f>
        <v>46265</v>
      </c>
      <c r="E62" s="6" t="str">
        <f t="shared" si="1"/>
        <v>Mon</v>
      </c>
      <c r="F62" s="6">
        <f>IF(D62="","",COUNTIF(GameLog[Date],D62))</f>
        <v>38</v>
      </c>
      <c r="G62" s="6" t="str">
        <f>IF(D62="","",IF(WEEKDAY(D62,2)&lt;&gt;Game_Day,"Not a "&amp;INDEX({"Monday","Tuesday","Wednesday","Thursday","Friday","Saturday","Sunday"},Game_Day),""))</f>
        <v/>
      </c>
      <c r="H62" s="6"/>
      <c r="I62" s="6" t="str">
        <f ca="1">IFERROR(ROW(GameLog[#Headers])+MATCH(ROWS(I$5:I62),GameLog[Flag No],0),"")</f>
        <v/>
      </c>
      <c r="J62" s="10" t="str">
        <f ca="1">IF($I62="","",INDEX(GameLog[Date],$I62-ROW(GameLog[#Headers])))</f>
        <v/>
      </c>
      <c r="K62" s="6" t="str">
        <f ca="1">IF($I62="","",INDEX(GameLog[Player],$I62-ROW(GameLog[#Headers])))</f>
        <v/>
      </c>
      <c r="L62" s="6" t="str">
        <f ca="1">IF($I62="","",INDEX(GameLog[Pod],$I62-ROW(GameLog[#Headers])))</f>
        <v/>
      </c>
      <c r="M62" s="6" t="str">
        <f ca="1">IF($I62="","",INDEX(GameLog[Round],$I62-ROW(GameLog[#Headers])))</f>
        <v/>
      </c>
      <c r="N62" s="6" t="str">
        <f ca="1">IF($I62="","",INDEX(GameLog[Check],$I62-ROW(GameLog[#Headers])))</f>
        <v/>
      </c>
    </row>
    <row r="63" spans="1:14" x14ac:dyDescent="0.45">
      <c r="A63" s="6"/>
      <c r="B63" s="6"/>
      <c r="C63" s="6"/>
      <c r="D63" s="10">
        <f>IF(D62="","",IF(COUNTIF(GameLog[Date],"&gt;"&amp;D62)=0,"",_xlfn.MINIFS(GameLog[Date],GameLog[Date],"&gt;"&amp;D62)))</f>
        <v>46272</v>
      </c>
      <c r="E63" s="6" t="str">
        <f t="shared" si="1"/>
        <v>Mon</v>
      </c>
      <c r="F63" s="6">
        <f>IF(D63="","",COUNTIF(GameLog[Date],D63))</f>
        <v>32</v>
      </c>
      <c r="G63" s="6" t="str">
        <f>IF(D63="","",IF(WEEKDAY(D63,2)&lt;&gt;Game_Day,"Not a "&amp;INDEX({"Monday","Tuesday","Wednesday","Thursday","Friday","Saturday","Sunday"},Game_Day),""))</f>
        <v/>
      </c>
      <c r="H63" s="6"/>
      <c r="I63" s="6" t="str">
        <f ca="1">IFERROR(ROW(GameLog[#Headers])+MATCH(ROWS(I$5:I63),GameLog[Flag No],0),"")</f>
        <v/>
      </c>
      <c r="J63" s="10" t="str">
        <f ca="1">IF($I63="","",INDEX(GameLog[Date],$I63-ROW(GameLog[#Headers])))</f>
        <v/>
      </c>
      <c r="K63" s="6" t="str">
        <f ca="1">IF($I63="","",INDEX(GameLog[Player],$I63-ROW(GameLog[#Headers])))</f>
        <v/>
      </c>
      <c r="L63" s="6" t="str">
        <f ca="1">IF($I63="","",INDEX(GameLog[Pod],$I63-ROW(GameLog[#Headers])))</f>
        <v/>
      </c>
      <c r="M63" s="6" t="str">
        <f ca="1">IF($I63="","",INDEX(GameLog[Round],$I63-ROW(GameLog[#Headers])))</f>
        <v/>
      </c>
      <c r="N63" s="6" t="str">
        <f ca="1">IF($I63="","",INDEX(GameLog[Check],$I63-ROW(GameLog[#Headers])))</f>
        <v/>
      </c>
    </row>
    <row r="64" spans="1:14" x14ac:dyDescent="0.45">
      <c r="A64" s="6"/>
      <c r="B64" s="6"/>
      <c r="C64" s="6"/>
      <c r="D64" s="10">
        <f>IF(D63="","",IF(COUNTIF(GameLog[Date],"&gt;"&amp;D63)=0,"",_xlfn.MINIFS(GameLog[Date],GameLog[Date],"&gt;"&amp;D63)))</f>
        <v>46279</v>
      </c>
      <c r="E64" s="6" t="str">
        <f t="shared" si="1"/>
        <v>Mon</v>
      </c>
      <c r="F64" s="6">
        <f>IF(D64="","",COUNTIF(GameLog[Date],D64))</f>
        <v>36</v>
      </c>
      <c r="G64" s="6" t="str">
        <f>IF(D64="","",IF(WEEKDAY(D64,2)&lt;&gt;Game_Day,"Not a "&amp;INDEX({"Monday","Tuesday","Wednesday","Thursday","Friday","Saturday","Sunday"},Game_Day),""))</f>
        <v/>
      </c>
      <c r="H64" s="6"/>
      <c r="I64" s="6" t="str">
        <f ca="1">IFERROR(ROW(GameLog[#Headers])+MATCH(ROWS(I$5:I64),GameLog[Flag No],0),"")</f>
        <v/>
      </c>
      <c r="J64" s="10" t="str">
        <f ca="1">IF($I64="","",INDEX(GameLog[Date],$I64-ROW(GameLog[#Headers])))</f>
        <v/>
      </c>
      <c r="K64" s="6" t="str">
        <f ca="1">IF($I64="","",INDEX(GameLog[Player],$I64-ROW(GameLog[#Headers])))</f>
        <v/>
      </c>
      <c r="L64" s="6" t="str">
        <f ca="1">IF($I64="","",INDEX(GameLog[Pod],$I64-ROW(GameLog[#Headers])))</f>
        <v/>
      </c>
      <c r="M64" s="6" t="str">
        <f ca="1">IF($I64="","",INDEX(GameLog[Round],$I64-ROW(GameLog[#Headers])))</f>
        <v/>
      </c>
      <c r="N64" s="6" t="str">
        <f ca="1">IF($I64="","",INDEX(GameLog[Check],$I64-ROW(GameLog[#Headers])))</f>
        <v/>
      </c>
    </row>
    <row r="65" spans="1:14" x14ac:dyDescent="0.45">
      <c r="A65" s="6"/>
      <c r="B65" s="6"/>
      <c r="C65" s="6"/>
      <c r="D65" s="10">
        <f>IF(D64="","",IF(COUNTIF(GameLog[Date],"&gt;"&amp;D64)=0,"",_xlfn.MINIFS(GameLog[Date],GameLog[Date],"&gt;"&amp;D64)))</f>
        <v>46286</v>
      </c>
      <c r="E65" s="6" t="str">
        <f t="shared" si="1"/>
        <v>Mon</v>
      </c>
      <c r="F65" s="6">
        <f>IF(D65="","",COUNTIF(GameLog[Date],D65))</f>
        <v>46</v>
      </c>
      <c r="G65" s="6" t="str">
        <f>IF(D65="","",IF(WEEKDAY(D65,2)&lt;&gt;Game_Day,"Not a "&amp;INDEX({"Monday","Tuesday","Wednesday","Thursday","Friday","Saturday","Sunday"},Game_Day),""))</f>
        <v/>
      </c>
      <c r="H65" s="6"/>
      <c r="I65" s="6" t="str">
        <f ca="1">IFERROR(ROW(GameLog[#Headers])+MATCH(ROWS(I$5:I65),GameLog[Flag No],0),"")</f>
        <v/>
      </c>
      <c r="J65" s="10" t="str">
        <f ca="1">IF($I65="","",INDEX(GameLog[Date],$I65-ROW(GameLog[#Headers])))</f>
        <v/>
      </c>
      <c r="K65" s="6" t="str">
        <f ca="1">IF($I65="","",INDEX(GameLog[Player],$I65-ROW(GameLog[#Headers])))</f>
        <v/>
      </c>
      <c r="L65" s="6" t="str">
        <f ca="1">IF($I65="","",INDEX(GameLog[Pod],$I65-ROW(GameLog[#Headers])))</f>
        <v/>
      </c>
      <c r="M65" s="6" t="str">
        <f ca="1">IF($I65="","",INDEX(GameLog[Round],$I65-ROW(GameLog[#Headers])))</f>
        <v/>
      </c>
      <c r="N65" s="6" t="str">
        <f ca="1">IF($I65="","",INDEX(GameLog[Check],$I65-ROW(GameLog[#Headers])))</f>
        <v/>
      </c>
    </row>
    <row r="66" spans="1:14" x14ac:dyDescent="0.45">
      <c r="A66" s="6"/>
      <c r="B66" s="6"/>
      <c r="C66" s="6"/>
      <c r="D66" s="10">
        <f>IF(D65="","",IF(COUNTIF(GameLog[Date],"&gt;"&amp;D65)=0,"",_xlfn.MINIFS(GameLog[Date],GameLog[Date],"&gt;"&amp;D65)))</f>
        <v>46293</v>
      </c>
      <c r="E66" s="6" t="str">
        <f t="shared" si="1"/>
        <v>Mon</v>
      </c>
      <c r="F66" s="6">
        <f>IF(D66="","",COUNTIF(GameLog[Date],D66))</f>
        <v>30</v>
      </c>
      <c r="G66" s="6" t="str">
        <f>IF(D66="","",IF(WEEKDAY(D66,2)&lt;&gt;Game_Day,"Not a "&amp;INDEX({"Monday","Tuesday","Wednesday","Thursday","Friday","Saturday","Sunday"},Game_Day),""))</f>
        <v/>
      </c>
      <c r="H66" s="6"/>
      <c r="I66" s="6" t="str">
        <f ca="1">IFERROR(ROW(GameLog[#Headers])+MATCH(ROWS(I$5:I66),GameLog[Flag No],0),"")</f>
        <v/>
      </c>
      <c r="J66" s="10" t="str">
        <f ca="1">IF($I66="","",INDEX(GameLog[Date],$I66-ROW(GameLog[#Headers])))</f>
        <v/>
      </c>
      <c r="K66" s="6" t="str">
        <f ca="1">IF($I66="","",INDEX(GameLog[Player],$I66-ROW(GameLog[#Headers])))</f>
        <v/>
      </c>
      <c r="L66" s="6" t="str">
        <f ca="1">IF($I66="","",INDEX(GameLog[Pod],$I66-ROW(GameLog[#Headers])))</f>
        <v/>
      </c>
      <c r="M66" s="6" t="str">
        <f ca="1">IF($I66="","",INDEX(GameLog[Round],$I66-ROW(GameLog[#Headers])))</f>
        <v/>
      </c>
      <c r="N66" s="6" t="str">
        <f ca="1">IF($I66="","",INDEX(GameLog[Check],$I66-ROW(GameLog[#Headers])))</f>
        <v/>
      </c>
    </row>
    <row r="67" spans="1:14" x14ac:dyDescent="0.45">
      <c r="A67" s="6"/>
      <c r="B67" s="6"/>
      <c r="C67" s="6"/>
      <c r="D67" s="10">
        <f>IF(D66="","",IF(COUNTIF(GameLog[Date],"&gt;"&amp;D66)=0,"",_xlfn.MINIFS(GameLog[Date],GameLog[Date],"&gt;"&amp;D66)))</f>
        <v>46300</v>
      </c>
      <c r="E67" s="6" t="str">
        <f t="shared" si="1"/>
        <v>Mon</v>
      </c>
      <c r="F67" s="6">
        <f>IF(D67="","",COUNTIF(GameLog[Date],D67))</f>
        <v>48</v>
      </c>
      <c r="G67" s="6" t="str">
        <f>IF(D67="","",IF(WEEKDAY(D67,2)&lt;&gt;Game_Day,"Not a "&amp;INDEX({"Monday","Tuesday","Wednesday","Thursday","Friday","Saturday","Sunday"},Game_Day),""))</f>
        <v/>
      </c>
      <c r="H67" s="6"/>
      <c r="I67" s="6" t="str">
        <f ca="1">IFERROR(ROW(GameLog[#Headers])+MATCH(ROWS(I$5:I67),GameLog[Flag No],0),"")</f>
        <v/>
      </c>
      <c r="J67" s="10" t="str">
        <f ca="1">IF($I67="","",INDEX(GameLog[Date],$I67-ROW(GameLog[#Headers])))</f>
        <v/>
      </c>
      <c r="K67" s="6" t="str">
        <f ca="1">IF($I67="","",INDEX(GameLog[Player],$I67-ROW(GameLog[#Headers])))</f>
        <v/>
      </c>
      <c r="L67" s="6" t="str">
        <f ca="1">IF($I67="","",INDEX(GameLog[Pod],$I67-ROW(GameLog[#Headers])))</f>
        <v/>
      </c>
      <c r="M67" s="6" t="str">
        <f ca="1">IF($I67="","",INDEX(GameLog[Round],$I67-ROW(GameLog[#Headers])))</f>
        <v/>
      </c>
      <c r="N67" s="6" t="str">
        <f ca="1">IF($I67="","",INDEX(GameLog[Check],$I67-ROW(GameLog[#Headers])))</f>
        <v/>
      </c>
    </row>
    <row r="68" spans="1:14" x14ac:dyDescent="0.45">
      <c r="A68" s="6"/>
      <c r="B68" s="6"/>
      <c r="C68" s="6"/>
      <c r="D68" s="10">
        <f>IF(D67="","",IF(COUNTIF(GameLog[Date],"&gt;"&amp;D67)=0,"",_xlfn.MINIFS(GameLog[Date],GameLog[Date],"&gt;"&amp;D67)))</f>
        <v>46307</v>
      </c>
      <c r="E68" s="6" t="str">
        <f t="shared" si="1"/>
        <v>Mon</v>
      </c>
      <c r="F68" s="6">
        <f>IF(D68="","",COUNTIF(GameLog[Date],D68))</f>
        <v>44</v>
      </c>
      <c r="G68" s="6" t="str">
        <f>IF(D68="","",IF(WEEKDAY(D68,2)&lt;&gt;Game_Day,"Not a "&amp;INDEX({"Monday","Tuesday","Wednesday","Thursday","Friday","Saturday","Sunday"},Game_Day),""))</f>
        <v/>
      </c>
      <c r="H68" s="6"/>
      <c r="I68" s="6" t="str">
        <f ca="1">IFERROR(ROW(GameLog[#Headers])+MATCH(ROWS(I$5:I68),GameLog[Flag No],0),"")</f>
        <v/>
      </c>
      <c r="J68" s="10" t="str">
        <f ca="1">IF($I68="","",INDEX(GameLog[Date],$I68-ROW(GameLog[#Headers])))</f>
        <v/>
      </c>
      <c r="K68" s="6" t="str">
        <f ca="1">IF($I68="","",INDEX(GameLog[Player],$I68-ROW(GameLog[#Headers])))</f>
        <v/>
      </c>
      <c r="L68" s="6" t="str">
        <f ca="1">IF($I68="","",INDEX(GameLog[Pod],$I68-ROW(GameLog[#Headers])))</f>
        <v/>
      </c>
      <c r="M68" s="6" t="str">
        <f ca="1">IF($I68="","",INDEX(GameLog[Round],$I68-ROW(GameLog[#Headers])))</f>
        <v/>
      </c>
      <c r="N68" s="6" t="str">
        <f ca="1">IF($I68="","",INDEX(GameLog[Check],$I68-ROW(GameLog[#Headers])))</f>
        <v/>
      </c>
    </row>
    <row r="69" spans="1:14" x14ac:dyDescent="0.45">
      <c r="A69" s="6"/>
      <c r="B69" s="6"/>
      <c r="C69" s="6"/>
      <c r="D69" s="10" t="str">
        <f>IF(D68="","",IF(COUNTIF(GameLog[Date],"&gt;"&amp;D68)=0,"",_xlfn.MINIFS(GameLog[Date],GameLog[Date],"&gt;"&amp;D68)))</f>
        <v/>
      </c>
      <c r="E69" s="6" t="str">
        <f t="shared" ref="E69:E100" si="2">IF(D69="","",TEXT(D69,"ddd"))</f>
        <v/>
      </c>
      <c r="F69" s="6" t="str">
        <f>IF(D69="","",COUNTIF(GameLog[Date],D69))</f>
        <v/>
      </c>
      <c r="G69" s="6" t="str">
        <f>IF(D69="","",IF(WEEKDAY(D69,2)&lt;&gt;Game_Day,"Not a "&amp;INDEX({"Monday","Tuesday","Wednesday","Thursday","Friday","Saturday","Sunday"},Game_Day),""))</f>
        <v/>
      </c>
      <c r="H69" s="6"/>
      <c r="I69" s="6" t="str">
        <f ca="1">IFERROR(ROW(GameLog[#Headers])+MATCH(ROWS(I$5:I69),GameLog[Flag No],0),"")</f>
        <v/>
      </c>
      <c r="J69" s="10" t="str">
        <f ca="1">IF($I69="","",INDEX(GameLog[Date],$I69-ROW(GameLog[#Headers])))</f>
        <v/>
      </c>
      <c r="K69" s="6" t="str">
        <f ca="1">IF($I69="","",INDEX(GameLog[Player],$I69-ROW(GameLog[#Headers])))</f>
        <v/>
      </c>
      <c r="L69" s="6" t="str">
        <f ca="1">IF($I69="","",INDEX(GameLog[Pod],$I69-ROW(GameLog[#Headers])))</f>
        <v/>
      </c>
      <c r="M69" s="6" t="str">
        <f ca="1">IF($I69="","",INDEX(GameLog[Round],$I69-ROW(GameLog[#Headers])))</f>
        <v/>
      </c>
      <c r="N69" s="6" t="str">
        <f ca="1">IF($I69="","",INDEX(GameLog[Check],$I69-ROW(GameLog[#Headers])))</f>
        <v/>
      </c>
    </row>
    <row r="70" spans="1:14" x14ac:dyDescent="0.45">
      <c r="A70" s="6"/>
      <c r="B70" s="6"/>
      <c r="C70" s="6"/>
      <c r="D70" s="10" t="str">
        <f>IF(D69="","",IF(COUNTIF(GameLog[Date],"&gt;"&amp;D69)=0,"",_xlfn.MINIFS(GameLog[Date],GameLog[Date],"&gt;"&amp;D69)))</f>
        <v/>
      </c>
      <c r="E70" s="6" t="str">
        <f t="shared" si="2"/>
        <v/>
      </c>
      <c r="F70" s="6" t="str">
        <f>IF(D70="","",COUNTIF(GameLog[Date],D70))</f>
        <v/>
      </c>
      <c r="G70" s="6" t="str">
        <f>IF(D70="","",IF(WEEKDAY(D70,2)&lt;&gt;Game_Day,"Not a "&amp;INDEX({"Monday","Tuesday","Wednesday","Thursday","Friday","Saturday","Sunday"},Game_Day),""))</f>
        <v/>
      </c>
      <c r="H70" s="6"/>
      <c r="I70" s="6" t="str">
        <f ca="1">IFERROR(ROW(GameLog[#Headers])+MATCH(ROWS(I$5:I70),GameLog[Flag No],0),"")</f>
        <v/>
      </c>
      <c r="J70" s="10" t="str">
        <f ca="1">IF($I70="","",INDEX(GameLog[Date],$I70-ROW(GameLog[#Headers])))</f>
        <v/>
      </c>
      <c r="K70" s="6" t="str">
        <f ca="1">IF($I70="","",INDEX(GameLog[Player],$I70-ROW(GameLog[#Headers])))</f>
        <v/>
      </c>
      <c r="L70" s="6" t="str">
        <f ca="1">IF($I70="","",INDEX(GameLog[Pod],$I70-ROW(GameLog[#Headers])))</f>
        <v/>
      </c>
      <c r="M70" s="6" t="str">
        <f ca="1">IF($I70="","",INDEX(GameLog[Round],$I70-ROW(GameLog[#Headers])))</f>
        <v/>
      </c>
      <c r="N70" s="6" t="str">
        <f ca="1">IF($I70="","",INDEX(GameLog[Check],$I70-ROW(GameLog[#Headers])))</f>
        <v/>
      </c>
    </row>
    <row r="71" spans="1:14" x14ac:dyDescent="0.45">
      <c r="A71" s="6"/>
      <c r="B71" s="6"/>
      <c r="C71" s="6"/>
      <c r="D71" s="10" t="str">
        <f>IF(D70="","",IF(COUNTIF(GameLog[Date],"&gt;"&amp;D70)=0,"",_xlfn.MINIFS(GameLog[Date],GameLog[Date],"&gt;"&amp;D70)))</f>
        <v/>
      </c>
      <c r="E71" s="6" t="str">
        <f t="shared" si="2"/>
        <v/>
      </c>
      <c r="F71" s="6" t="str">
        <f>IF(D71="","",COUNTIF(GameLog[Date],D71))</f>
        <v/>
      </c>
      <c r="G71" s="6" t="str">
        <f>IF(D71="","",IF(WEEKDAY(D71,2)&lt;&gt;Game_Day,"Not a "&amp;INDEX({"Monday","Tuesday","Wednesday","Thursday","Friday","Saturday","Sunday"},Game_Day),""))</f>
        <v/>
      </c>
      <c r="H71" s="6"/>
      <c r="I71" s="6" t="str">
        <f ca="1">IFERROR(ROW(GameLog[#Headers])+MATCH(ROWS(I$5:I71),GameLog[Flag No],0),"")</f>
        <v/>
      </c>
      <c r="J71" s="10" t="str">
        <f ca="1">IF($I71="","",INDEX(GameLog[Date],$I71-ROW(GameLog[#Headers])))</f>
        <v/>
      </c>
      <c r="K71" s="6" t="str">
        <f ca="1">IF($I71="","",INDEX(GameLog[Player],$I71-ROW(GameLog[#Headers])))</f>
        <v/>
      </c>
      <c r="L71" s="6" t="str">
        <f ca="1">IF($I71="","",INDEX(GameLog[Pod],$I71-ROW(GameLog[#Headers])))</f>
        <v/>
      </c>
      <c r="M71" s="6" t="str">
        <f ca="1">IF($I71="","",INDEX(GameLog[Round],$I71-ROW(GameLog[#Headers])))</f>
        <v/>
      </c>
      <c r="N71" s="6" t="str">
        <f ca="1">IF($I71="","",INDEX(GameLog[Check],$I71-ROW(GameLog[#Headers])))</f>
        <v/>
      </c>
    </row>
    <row r="72" spans="1:14" x14ac:dyDescent="0.45">
      <c r="A72" s="6"/>
      <c r="B72" s="6"/>
      <c r="C72" s="6"/>
      <c r="D72" s="10" t="str">
        <f>IF(D71="","",IF(COUNTIF(GameLog[Date],"&gt;"&amp;D71)=0,"",_xlfn.MINIFS(GameLog[Date],GameLog[Date],"&gt;"&amp;D71)))</f>
        <v/>
      </c>
      <c r="E72" s="6" t="str">
        <f t="shared" si="2"/>
        <v/>
      </c>
      <c r="F72" s="6" t="str">
        <f>IF(D72="","",COUNTIF(GameLog[Date],D72))</f>
        <v/>
      </c>
      <c r="G72" s="6" t="str">
        <f>IF(D72="","",IF(WEEKDAY(D72,2)&lt;&gt;Game_Day,"Not a "&amp;INDEX({"Monday","Tuesday","Wednesday","Thursday","Friday","Saturday","Sunday"},Game_Day),""))</f>
        <v/>
      </c>
      <c r="H72" s="6"/>
      <c r="I72" s="6" t="str">
        <f ca="1">IFERROR(ROW(GameLog[#Headers])+MATCH(ROWS(I$5:I72),GameLog[Flag No],0),"")</f>
        <v/>
      </c>
      <c r="J72" s="10" t="str">
        <f ca="1">IF($I72="","",INDEX(GameLog[Date],$I72-ROW(GameLog[#Headers])))</f>
        <v/>
      </c>
      <c r="K72" s="6" t="str">
        <f ca="1">IF($I72="","",INDEX(GameLog[Player],$I72-ROW(GameLog[#Headers])))</f>
        <v/>
      </c>
      <c r="L72" s="6" t="str">
        <f ca="1">IF($I72="","",INDEX(GameLog[Pod],$I72-ROW(GameLog[#Headers])))</f>
        <v/>
      </c>
      <c r="M72" s="6" t="str">
        <f ca="1">IF($I72="","",INDEX(GameLog[Round],$I72-ROW(GameLog[#Headers])))</f>
        <v/>
      </c>
      <c r="N72" s="6" t="str">
        <f ca="1">IF($I72="","",INDEX(GameLog[Check],$I72-ROW(GameLog[#Headers])))</f>
        <v/>
      </c>
    </row>
    <row r="73" spans="1:14" x14ac:dyDescent="0.45">
      <c r="A73" s="6"/>
      <c r="B73" s="6"/>
      <c r="C73" s="6"/>
      <c r="D73" s="10" t="str">
        <f>IF(D72="","",IF(COUNTIF(GameLog[Date],"&gt;"&amp;D72)=0,"",_xlfn.MINIFS(GameLog[Date],GameLog[Date],"&gt;"&amp;D72)))</f>
        <v/>
      </c>
      <c r="E73" s="6" t="str">
        <f t="shared" si="2"/>
        <v/>
      </c>
      <c r="F73" s="6" t="str">
        <f>IF(D73="","",COUNTIF(GameLog[Date],D73))</f>
        <v/>
      </c>
      <c r="G73" s="6" t="str">
        <f>IF(D73="","",IF(WEEKDAY(D73,2)&lt;&gt;Game_Day,"Not a "&amp;INDEX({"Monday","Tuesday","Wednesday","Thursday","Friday","Saturday","Sunday"},Game_Day),""))</f>
        <v/>
      </c>
      <c r="H73" s="6"/>
      <c r="I73" s="6" t="str">
        <f ca="1">IFERROR(ROW(GameLog[#Headers])+MATCH(ROWS(I$5:I73),GameLog[Flag No],0),"")</f>
        <v/>
      </c>
      <c r="J73" s="10" t="str">
        <f ca="1">IF($I73="","",INDEX(GameLog[Date],$I73-ROW(GameLog[#Headers])))</f>
        <v/>
      </c>
      <c r="K73" s="6" t="str">
        <f ca="1">IF($I73="","",INDEX(GameLog[Player],$I73-ROW(GameLog[#Headers])))</f>
        <v/>
      </c>
      <c r="L73" s="6" t="str">
        <f ca="1">IF($I73="","",INDEX(GameLog[Pod],$I73-ROW(GameLog[#Headers])))</f>
        <v/>
      </c>
      <c r="M73" s="6" t="str">
        <f ca="1">IF($I73="","",INDEX(GameLog[Round],$I73-ROW(GameLog[#Headers])))</f>
        <v/>
      </c>
      <c r="N73" s="6" t="str">
        <f ca="1">IF($I73="","",INDEX(GameLog[Check],$I73-ROW(GameLog[#Headers])))</f>
        <v/>
      </c>
    </row>
    <row r="74" spans="1:14" x14ac:dyDescent="0.45">
      <c r="A74" s="6"/>
      <c r="B74" s="6"/>
      <c r="C74" s="6"/>
      <c r="D74" s="10" t="str">
        <f>IF(D73="","",IF(COUNTIF(GameLog[Date],"&gt;"&amp;D73)=0,"",_xlfn.MINIFS(GameLog[Date],GameLog[Date],"&gt;"&amp;D73)))</f>
        <v/>
      </c>
      <c r="E74" s="6" t="str">
        <f t="shared" si="2"/>
        <v/>
      </c>
      <c r="F74" s="6" t="str">
        <f>IF(D74="","",COUNTIF(GameLog[Date],D74))</f>
        <v/>
      </c>
      <c r="G74" s="6" t="str">
        <f>IF(D74="","",IF(WEEKDAY(D74,2)&lt;&gt;Game_Day,"Not a "&amp;INDEX({"Monday","Tuesday","Wednesday","Thursday","Friday","Saturday","Sunday"},Game_Day),""))</f>
        <v/>
      </c>
      <c r="H74" s="6"/>
      <c r="I74" s="6" t="str">
        <f ca="1">IFERROR(ROW(GameLog[#Headers])+MATCH(ROWS(I$5:I74),GameLog[Flag No],0),"")</f>
        <v/>
      </c>
      <c r="J74" s="10" t="str">
        <f ca="1">IF($I74="","",INDEX(GameLog[Date],$I74-ROW(GameLog[#Headers])))</f>
        <v/>
      </c>
      <c r="K74" s="6" t="str">
        <f ca="1">IF($I74="","",INDEX(GameLog[Player],$I74-ROW(GameLog[#Headers])))</f>
        <v/>
      </c>
      <c r="L74" s="6" t="str">
        <f ca="1">IF($I74="","",INDEX(GameLog[Pod],$I74-ROW(GameLog[#Headers])))</f>
        <v/>
      </c>
      <c r="M74" s="6" t="str">
        <f ca="1">IF($I74="","",INDEX(GameLog[Round],$I74-ROW(GameLog[#Headers])))</f>
        <v/>
      </c>
      <c r="N74" s="6" t="str">
        <f ca="1">IF($I74="","",INDEX(GameLog[Check],$I74-ROW(GameLog[#Headers])))</f>
        <v/>
      </c>
    </row>
    <row r="75" spans="1:14" x14ac:dyDescent="0.45">
      <c r="A75" s="6"/>
      <c r="B75" s="6"/>
      <c r="C75" s="6"/>
      <c r="D75" s="10" t="str">
        <f>IF(D74="","",IF(COUNTIF(GameLog[Date],"&gt;"&amp;D74)=0,"",_xlfn.MINIFS(GameLog[Date],GameLog[Date],"&gt;"&amp;D74)))</f>
        <v/>
      </c>
      <c r="E75" s="6" t="str">
        <f t="shared" si="2"/>
        <v/>
      </c>
      <c r="F75" s="6" t="str">
        <f>IF(D75="","",COUNTIF(GameLog[Date],D75))</f>
        <v/>
      </c>
      <c r="G75" s="6" t="str">
        <f>IF(D75="","",IF(WEEKDAY(D75,2)&lt;&gt;Game_Day,"Not a "&amp;INDEX({"Monday","Tuesday","Wednesday","Thursday","Friday","Saturday","Sunday"},Game_Day),""))</f>
        <v/>
      </c>
      <c r="H75" s="6"/>
      <c r="I75" s="6" t="str">
        <f ca="1">IFERROR(ROW(GameLog[#Headers])+MATCH(ROWS(I$5:I75),GameLog[Flag No],0),"")</f>
        <v/>
      </c>
      <c r="J75" s="10" t="str">
        <f ca="1">IF($I75="","",INDEX(GameLog[Date],$I75-ROW(GameLog[#Headers])))</f>
        <v/>
      </c>
      <c r="K75" s="6" t="str">
        <f ca="1">IF($I75="","",INDEX(GameLog[Player],$I75-ROW(GameLog[#Headers])))</f>
        <v/>
      </c>
      <c r="L75" s="6" t="str">
        <f ca="1">IF($I75="","",INDEX(GameLog[Pod],$I75-ROW(GameLog[#Headers])))</f>
        <v/>
      </c>
      <c r="M75" s="6" t="str">
        <f ca="1">IF($I75="","",INDEX(GameLog[Round],$I75-ROW(GameLog[#Headers])))</f>
        <v/>
      </c>
      <c r="N75" s="6" t="str">
        <f ca="1">IF($I75="","",INDEX(GameLog[Check],$I75-ROW(GameLog[#Headers])))</f>
        <v/>
      </c>
    </row>
    <row r="76" spans="1:14" x14ac:dyDescent="0.45">
      <c r="A76" s="6"/>
      <c r="B76" s="6"/>
      <c r="C76" s="6"/>
      <c r="D76" s="10" t="str">
        <f>IF(D75="","",IF(COUNTIF(GameLog[Date],"&gt;"&amp;D75)=0,"",_xlfn.MINIFS(GameLog[Date],GameLog[Date],"&gt;"&amp;D75)))</f>
        <v/>
      </c>
      <c r="E76" s="6" t="str">
        <f t="shared" si="2"/>
        <v/>
      </c>
      <c r="F76" s="6" t="str">
        <f>IF(D76="","",COUNTIF(GameLog[Date],D76))</f>
        <v/>
      </c>
      <c r="G76" s="6" t="str">
        <f>IF(D76="","",IF(WEEKDAY(D76,2)&lt;&gt;Game_Day,"Not a "&amp;INDEX({"Monday","Tuesday","Wednesday","Thursday","Friday","Saturday","Sunday"},Game_Day),""))</f>
        <v/>
      </c>
      <c r="H76" s="6"/>
      <c r="I76" s="6" t="str">
        <f ca="1">IFERROR(ROW(GameLog[#Headers])+MATCH(ROWS(I$5:I76),GameLog[Flag No],0),"")</f>
        <v/>
      </c>
      <c r="J76" s="10" t="str">
        <f ca="1">IF($I76="","",INDEX(GameLog[Date],$I76-ROW(GameLog[#Headers])))</f>
        <v/>
      </c>
      <c r="K76" s="6" t="str">
        <f ca="1">IF($I76="","",INDEX(GameLog[Player],$I76-ROW(GameLog[#Headers])))</f>
        <v/>
      </c>
      <c r="L76" s="6" t="str">
        <f ca="1">IF($I76="","",INDEX(GameLog[Pod],$I76-ROW(GameLog[#Headers])))</f>
        <v/>
      </c>
      <c r="M76" s="6" t="str">
        <f ca="1">IF($I76="","",INDEX(GameLog[Round],$I76-ROW(GameLog[#Headers])))</f>
        <v/>
      </c>
      <c r="N76" s="6" t="str">
        <f ca="1">IF($I76="","",INDEX(GameLog[Check],$I76-ROW(GameLog[#Headers])))</f>
        <v/>
      </c>
    </row>
    <row r="77" spans="1:14" x14ac:dyDescent="0.45">
      <c r="A77" s="6"/>
      <c r="B77" s="6"/>
      <c r="C77" s="6"/>
      <c r="D77" s="10" t="str">
        <f>IF(D76="","",IF(COUNTIF(GameLog[Date],"&gt;"&amp;D76)=0,"",_xlfn.MINIFS(GameLog[Date],GameLog[Date],"&gt;"&amp;D76)))</f>
        <v/>
      </c>
      <c r="E77" s="6" t="str">
        <f t="shared" si="2"/>
        <v/>
      </c>
      <c r="F77" s="6" t="str">
        <f>IF(D77="","",COUNTIF(GameLog[Date],D77))</f>
        <v/>
      </c>
      <c r="G77" s="6" t="str">
        <f>IF(D77="","",IF(WEEKDAY(D77,2)&lt;&gt;Game_Day,"Not a "&amp;INDEX({"Monday","Tuesday","Wednesday","Thursday","Friday","Saturday","Sunday"},Game_Day),""))</f>
        <v/>
      </c>
      <c r="H77" s="6"/>
      <c r="I77" s="6" t="str">
        <f ca="1">IFERROR(ROW(GameLog[#Headers])+MATCH(ROWS(I$5:I77),GameLog[Flag No],0),"")</f>
        <v/>
      </c>
      <c r="J77" s="10" t="str">
        <f ca="1">IF($I77="","",INDEX(GameLog[Date],$I77-ROW(GameLog[#Headers])))</f>
        <v/>
      </c>
      <c r="K77" s="6" t="str">
        <f ca="1">IF($I77="","",INDEX(GameLog[Player],$I77-ROW(GameLog[#Headers])))</f>
        <v/>
      </c>
      <c r="L77" s="6" t="str">
        <f ca="1">IF($I77="","",INDEX(GameLog[Pod],$I77-ROW(GameLog[#Headers])))</f>
        <v/>
      </c>
      <c r="M77" s="6" t="str">
        <f ca="1">IF($I77="","",INDEX(GameLog[Round],$I77-ROW(GameLog[#Headers])))</f>
        <v/>
      </c>
      <c r="N77" s="6" t="str">
        <f ca="1">IF($I77="","",INDEX(GameLog[Check],$I77-ROW(GameLog[#Headers])))</f>
        <v/>
      </c>
    </row>
    <row r="78" spans="1:14" x14ac:dyDescent="0.45">
      <c r="A78" s="6"/>
      <c r="B78" s="6"/>
      <c r="C78" s="6"/>
      <c r="D78" s="10" t="str">
        <f>IF(D77="","",IF(COUNTIF(GameLog[Date],"&gt;"&amp;D77)=0,"",_xlfn.MINIFS(GameLog[Date],GameLog[Date],"&gt;"&amp;D77)))</f>
        <v/>
      </c>
      <c r="E78" s="6" t="str">
        <f t="shared" si="2"/>
        <v/>
      </c>
      <c r="F78" s="6" t="str">
        <f>IF(D78="","",COUNTIF(GameLog[Date],D78))</f>
        <v/>
      </c>
      <c r="G78" s="6" t="str">
        <f>IF(D78="","",IF(WEEKDAY(D78,2)&lt;&gt;Game_Day,"Not a "&amp;INDEX({"Monday","Tuesday","Wednesday","Thursday","Friday","Saturday","Sunday"},Game_Day),""))</f>
        <v/>
      </c>
      <c r="H78" s="6"/>
      <c r="I78" s="6" t="str">
        <f ca="1">IFERROR(ROW(GameLog[#Headers])+MATCH(ROWS(I$5:I78),GameLog[Flag No],0),"")</f>
        <v/>
      </c>
      <c r="J78" s="10" t="str">
        <f ca="1">IF($I78="","",INDEX(GameLog[Date],$I78-ROW(GameLog[#Headers])))</f>
        <v/>
      </c>
      <c r="K78" s="6" t="str">
        <f ca="1">IF($I78="","",INDEX(GameLog[Player],$I78-ROW(GameLog[#Headers])))</f>
        <v/>
      </c>
      <c r="L78" s="6" t="str">
        <f ca="1">IF($I78="","",INDEX(GameLog[Pod],$I78-ROW(GameLog[#Headers])))</f>
        <v/>
      </c>
      <c r="M78" s="6" t="str">
        <f ca="1">IF($I78="","",INDEX(GameLog[Round],$I78-ROW(GameLog[#Headers])))</f>
        <v/>
      </c>
      <c r="N78" s="6" t="str">
        <f ca="1">IF($I78="","",INDEX(GameLog[Check],$I78-ROW(GameLog[#Headers])))</f>
        <v/>
      </c>
    </row>
    <row r="79" spans="1:14" x14ac:dyDescent="0.45">
      <c r="A79" s="6"/>
      <c r="B79" s="6"/>
      <c r="C79" s="6"/>
      <c r="D79" s="10" t="str">
        <f>IF(D78="","",IF(COUNTIF(GameLog[Date],"&gt;"&amp;D78)=0,"",_xlfn.MINIFS(GameLog[Date],GameLog[Date],"&gt;"&amp;D78)))</f>
        <v/>
      </c>
      <c r="E79" s="6" t="str">
        <f t="shared" si="2"/>
        <v/>
      </c>
      <c r="F79" s="6" t="str">
        <f>IF(D79="","",COUNTIF(GameLog[Date],D79))</f>
        <v/>
      </c>
      <c r="G79" s="6" t="str">
        <f>IF(D79="","",IF(WEEKDAY(D79,2)&lt;&gt;Game_Day,"Not a "&amp;INDEX({"Monday","Tuesday","Wednesday","Thursday","Friday","Saturday","Sunday"},Game_Day),""))</f>
        <v/>
      </c>
      <c r="H79" s="6"/>
      <c r="I79" s="6" t="str">
        <f ca="1">IFERROR(ROW(GameLog[#Headers])+MATCH(ROWS(I$5:I79),GameLog[Flag No],0),"")</f>
        <v/>
      </c>
      <c r="J79" s="10" t="str">
        <f ca="1">IF($I79="","",INDEX(GameLog[Date],$I79-ROW(GameLog[#Headers])))</f>
        <v/>
      </c>
      <c r="K79" s="6" t="str">
        <f ca="1">IF($I79="","",INDEX(GameLog[Player],$I79-ROW(GameLog[#Headers])))</f>
        <v/>
      </c>
      <c r="L79" s="6" t="str">
        <f ca="1">IF($I79="","",INDEX(GameLog[Pod],$I79-ROW(GameLog[#Headers])))</f>
        <v/>
      </c>
      <c r="M79" s="6" t="str">
        <f ca="1">IF($I79="","",INDEX(GameLog[Round],$I79-ROW(GameLog[#Headers])))</f>
        <v/>
      </c>
      <c r="N79" s="6" t="str">
        <f ca="1">IF($I79="","",INDEX(GameLog[Check],$I79-ROW(GameLog[#Headers])))</f>
        <v/>
      </c>
    </row>
    <row r="80" spans="1:14" x14ac:dyDescent="0.45">
      <c r="A80" s="6"/>
      <c r="B80" s="6"/>
      <c r="C80" s="6"/>
      <c r="D80" s="10" t="str">
        <f>IF(D79="","",IF(COUNTIF(GameLog[Date],"&gt;"&amp;D79)=0,"",_xlfn.MINIFS(GameLog[Date],GameLog[Date],"&gt;"&amp;D79)))</f>
        <v/>
      </c>
      <c r="E80" s="6" t="str">
        <f t="shared" si="2"/>
        <v/>
      </c>
      <c r="F80" s="6" t="str">
        <f>IF(D80="","",COUNTIF(GameLog[Date],D80))</f>
        <v/>
      </c>
      <c r="G80" s="6" t="str">
        <f>IF(D80="","",IF(WEEKDAY(D80,2)&lt;&gt;Game_Day,"Not a "&amp;INDEX({"Monday","Tuesday","Wednesday","Thursday","Friday","Saturday","Sunday"},Game_Day),""))</f>
        <v/>
      </c>
      <c r="H80" s="6"/>
      <c r="I80" s="6" t="str">
        <f ca="1">IFERROR(ROW(GameLog[#Headers])+MATCH(ROWS(I$5:I80),GameLog[Flag No],0),"")</f>
        <v/>
      </c>
      <c r="J80" s="10" t="str">
        <f ca="1">IF($I80="","",INDEX(GameLog[Date],$I80-ROW(GameLog[#Headers])))</f>
        <v/>
      </c>
      <c r="K80" s="6" t="str">
        <f ca="1">IF($I80="","",INDEX(GameLog[Player],$I80-ROW(GameLog[#Headers])))</f>
        <v/>
      </c>
      <c r="L80" s="6" t="str">
        <f ca="1">IF($I80="","",INDEX(GameLog[Pod],$I80-ROW(GameLog[#Headers])))</f>
        <v/>
      </c>
      <c r="M80" s="6" t="str">
        <f ca="1">IF($I80="","",INDEX(GameLog[Round],$I80-ROW(GameLog[#Headers])))</f>
        <v/>
      </c>
      <c r="N80" s="6" t="str">
        <f ca="1">IF($I80="","",INDEX(GameLog[Check],$I80-ROW(GameLog[#Headers])))</f>
        <v/>
      </c>
    </row>
    <row r="81" spans="1:14" x14ac:dyDescent="0.45">
      <c r="A81" s="6"/>
      <c r="B81" s="6"/>
      <c r="C81" s="6"/>
      <c r="D81" s="10" t="str">
        <f>IF(D80="","",IF(COUNTIF(GameLog[Date],"&gt;"&amp;D80)=0,"",_xlfn.MINIFS(GameLog[Date],GameLog[Date],"&gt;"&amp;D80)))</f>
        <v/>
      </c>
      <c r="E81" s="6" t="str">
        <f t="shared" si="2"/>
        <v/>
      </c>
      <c r="F81" s="6" t="str">
        <f>IF(D81="","",COUNTIF(GameLog[Date],D81))</f>
        <v/>
      </c>
      <c r="G81" s="6" t="str">
        <f>IF(D81="","",IF(WEEKDAY(D81,2)&lt;&gt;Game_Day,"Not a "&amp;INDEX({"Monday","Tuesday","Wednesday","Thursday","Friday","Saturday","Sunday"},Game_Day),""))</f>
        <v/>
      </c>
      <c r="H81" s="6"/>
      <c r="I81" s="6" t="str">
        <f ca="1">IFERROR(ROW(GameLog[#Headers])+MATCH(ROWS(I$5:I81),GameLog[Flag No],0),"")</f>
        <v/>
      </c>
      <c r="J81" s="10" t="str">
        <f ca="1">IF($I81="","",INDEX(GameLog[Date],$I81-ROW(GameLog[#Headers])))</f>
        <v/>
      </c>
      <c r="K81" s="6" t="str">
        <f ca="1">IF($I81="","",INDEX(GameLog[Player],$I81-ROW(GameLog[#Headers])))</f>
        <v/>
      </c>
      <c r="L81" s="6" t="str">
        <f ca="1">IF($I81="","",INDEX(GameLog[Pod],$I81-ROW(GameLog[#Headers])))</f>
        <v/>
      </c>
      <c r="M81" s="6" t="str">
        <f ca="1">IF($I81="","",INDEX(GameLog[Round],$I81-ROW(GameLog[#Headers])))</f>
        <v/>
      </c>
      <c r="N81" s="6" t="str">
        <f ca="1">IF($I81="","",INDEX(GameLog[Check],$I81-ROW(GameLog[#Headers])))</f>
        <v/>
      </c>
    </row>
    <row r="82" spans="1:14" x14ac:dyDescent="0.45">
      <c r="A82" s="6"/>
      <c r="B82" s="6"/>
      <c r="C82" s="6"/>
      <c r="D82" s="10" t="str">
        <f>IF(D81="","",IF(COUNTIF(GameLog[Date],"&gt;"&amp;D81)=0,"",_xlfn.MINIFS(GameLog[Date],GameLog[Date],"&gt;"&amp;D81)))</f>
        <v/>
      </c>
      <c r="E82" s="6" t="str">
        <f t="shared" si="2"/>
        <v/>
      </c>
      <c r="F82" s="6" t="str">
        <f>IF(D82="","",COUNTIF(GameLog[Date],D82))</f>
        <v/>
      </c>
      <c r="G82" s="6" t="str">
        <f>IF(D82="","",IF(WEEKDAY(D82,2)&lt;&gt;Game_Day,"Not a "&amp;INDEX({"Monday","Tuesday","Wednesday","Thursday","Friday","Saturday","Sunday"},Game_Day),""))</f>
        <v/>
      </c>
      <c r="H82" s="6"/>
      <c r="I82" s="6" t="str">
        <f ca="1">IFERROR(ROW(GameLog[#Headers])+MATCH(ROWS(I$5:I82),GameLog[Flag No],0),"")</f>
        <v/>
      </c>
      <c r="J82" s="10" t="str">
        <f ca="1">IF($I82="","",INDEX(GameLog[Date],$I82-ROW(GameLog[#Headers])))</f>
        <v/>
      </c>
      <c r="K82" s="6" t="str">
        <f ca="1">IF($I82="","",INDEX(GameLog[Player],$I82-ROW(GameLog[#Headers])))</f>
        <v/>
      </c>
      <c r="L82" s="6" t="str">
        <f ca="1">IF($I82="","",INDEX(GameLog[Pod],$I82-ROW(GameLog[#Headers])))</f>
        <v/>
      </c>
      <c r="M82" s="6" t="str">
        <f ca="1">IF($I82="","",INDEX(GameLog[Round],$I82-ROW(GameLog[#Headers])))</f>
        <v/>
      </c>
      <c r="N82" s="6" t="str">
        <f ca="1">IF($I82="","",INDEX(GameLog[Check],$I82-ROW(GameLog[#Headers])))</f>
        <v/>
      </c>
    </row>
    <row r="83" spans="1:14" x14ac:dyDescent="0.45">
      <c r="A83" s="6"/>
      <c r="B83" s="6"/>
      <c r="C83" s="6"/>
      <c r="D83" s="10" t="str">
        <f>IF(D82="","",IF(COUNTIF(GameLog[Date],"&gt;"&amp;D82)=0,"",_xlfn.MINIFS(GameLog[Date],GameLog[Date],"&gt;"&amp;D82)))</f>
        <v/>
      </c>
      <c r="E83" s="6" t="str">
        <f t="shared" si="2"/>
        <v/>
      </c>
      <c r="F83" s="6" t="str">
        <f>IF(D83="","",COUNTIF(GameLog[Date],D83))</f>
        <v/>
      </c>
      <c r="G83" s="6" t="str">
        <f>IF(D83="","",IF(WEEKDAY(D83,2)&lt;&gt;Game_Day,"Not a "&amp;INDEX({"Monday","Tuesday","Wednesday","Thursday","Friday","Saturday","Sunday"},Game_Day),""))</f>
        <v/>
      </c>
      <c r="H83" s="6"/>
      <c r="I83" s="6" t="str">
        <f ca="1">IFERROR(ROW(GameLog[#Headers])+MATCH(ROWS(I$5:I83),GameLog[Flag No],0),"")</f>
        <v/>
      </c>
      <c r="J83" s="10" t="str">
        <f ca="1">IF($I83="","",INDEX(GameLog[Date],$I83-ROW(GameLog[#Headers])))</f>
        <v/>
      </c>
      <c r="K83" s="6" t="str">
        <f ca="1">IF($I83="","",INDEX(GameLog[Player],$I83-ROW(GameLog[#Headers])))</f>
        <v/>
      </c>
      <c r="L83" s="6" t="str">
        <f ca="1">IF($I83="","",INDEX(GameLog[Pod],$I83-ROW(GameLog[#Headers])))</f>
        <v/>
      </c>
      <c r="M83" s="6" t="str">
        <f ca="1">IF($I83="","",INDEX(GameLog[Round],$I83-ROW(GameLog[#Headers])))</f>
        <v/>
      </c>
      <c r="N83" s="6" t="str">
        <f ca="1">IF($I83="","",INDEX(GameLog[Check],$I83-ROW(GameLog[#Headers])))</f>
        <v/>
      </c>
    </row>
    <row r="84" spans="1:14" x14ac:dyDescent="0.45">
      <c r="A84" s="6"/>
      <c r="B84" s="6"/>
      <c r="C84" s="6"/>
      <c r="D84" s="10" t="str">
        <f>IF(D83="","",IF(COUNTIF(GameLog[Date],"&gt;"&amp;D83)=0,"",_xlfn.MINIFS(GameLog[Date],GameLog[Date],"&gt;"&amp;D83)))</f>
        <v/>
      </c>
      <c r="E84" s="6" t="str">
        <f t="shared" si="2"/>
        <v/>
      </c>
      <c r="F84" s="6" t="str">
        <f>IF(D84="","",COUNTIF(GameLog[Date],D84))</f>
        <v/>
      </c>
      <c r="G84" s="6" t="str">
        <f>IF(D84="","",IF(WEEKDAY(D84,2)&lt;&gt;Game_Day,"Not a "&amp;INDEX({"Monday","Tuesday","Wednesday","Thursday","Friday","Saturday","Sunday"},Game_Day),""))</f>
        <v/>
      </c>
      <c r="H84" s="6"/>
      <c r="I84" s="6" t="str">
        <f ca="1">IFERROR(ROW(GameLog[#Headers])+MATCH(ROWS(I$5:I84),GameLog[Flag No],0),"")</f>
        <v/>
      </c>
      <c r="J84" s="10" t="str">
        <f ca="1">IF($I84="","",INDEX(GameLog[Date],$I84-ROW(GameLog[#Headers])))</f>
        <v/>
      </c>
      <c r="K84" s="6" t="str">
        <f ca="1">IF($I84="","",INDEX(GameLog[Player],$I84-ROW(GameLog[#Headers])))</f>
        <v/>
      </c>
      <c r="L84" s="6" t="str">
        <f ca="1">IF($I84="","",INDEX(GameLog[Pod],$I84-ROW(GameLog[#Headers])))</f>
        <v/>
      </c>
      <c r="M84" s="6" t="str">
        <f ca="1">IF($I84="","",INDEX(GameLog[Round],$I84-ROW(GameLog[#Headers])))</f>
        <v/>
      </c>
      <c r="N84" s="6" t="str">
        <f ca="1">IF($I84="","",INDEX(GameLog[Check],$I84-ROW(GameLog[#Headers])))</f>
        <v/>
      </c>
    </row>
    <row r="85" spans="1:14" x14ac:dyDescent="0.45">
      <c r="A85" s="6"/>
      <c r="B85" s="6"/>
      <c r="C85" s="6"/>
      <c r="D85" s="10" t="str">
        <f>IF(D84="","",IF(COUNTIF(GameLog[Date],"&gt;"&amp;D84)=0,"",_xlfn.MINIFS(GameLog[Date],GameLog[Date],"&gt;"&amp;D84)))</f>
        <v/>
      </c>
      <c r="E85" s="6" t="str">
        <f t="shared" si="2"/>
        <v/>
      </c>
      <c r="F85" s="6" t="str">
        <f>IF(D85="","",COUNTIF(GameLog[Date],D85))</f>
        <v/>
      </c>
      <c r="G85" s="6" t="str">
        <f>IF(D85="","",IF(WEEKDAY(D85,2)&lt;&gt;Game_Day,"Not a "&amp;INDEX({"Monday","Tuesday","Wednesday","Thursday","Friday","Saturday","Sunday"},Game_Day),""))</f>
        <v/>
      </c>
      <c r="H85" s="6"/>
      <c r="I85" s="6" t="str">
        <f ca="1">IFERROR(ROW(GameLog[#Headers])+MATCH(ROWS(I$5:I85),GameLog[Flag No],0),"")</f>
        <v/>
      </c>
      <c r="J85" s="10" t="str">
        <f ca="1">IF($I85="","",INDEX(GameLog[Date],$I85-ROW(GameLog[#Headers])))</f>
        <v/>
      </c>
      <c r="K85" s="6" t="str">
        <f ca="1">IF($I85="","",INDEX(GameLog[Player],$I85-ROW(GameLog[#Headers])))</f>
        <v/>
      </c>
      <c r="L85" s="6" t="str">
        <f ca="1">IF($I85="","",INDEX(GameLog[Pod],$I85-ROW(GameLog[#Headers])))</f>
        <v/>
      </c>
      <c r="M85" s="6" t="str">
        <f ca="1">IF($I85="","",INDEX(GameLog[Round],$I85-ROW(GameLog[#Headers])))</f>
        <v/>
      </c>
      <c r="N85" s="6" t="str">
        <f ca="1">IF($I85="","",INDEX(GameLog[Check],$I85-ROW(GameLog[#Headers])))</f>
        <v/>
      </c>
    </row>
    <row r="86" spans="1:14" x14ac:dyDescent="0.45">
      <c r="A86" s="6"/>
      <c r="B86" s="6"/>
      <c r="C86" s="6"/>
      <c r="D86" s="10" t="str">
        <f>IF(D85="","",IF(COUNTIF(GameLog[Date],"&gt;"&amp;D85)=0,"",_xlfn.MINIFS(GameLog[Date],GameLog[Date],"&gt;"&amp;D85)))</f>
        <v/>
      </c>
      <c r="E86" s="6" t="str">
        <f t="shared" si="2"/>
        <v/>
      </c>
      <c r="F86" s="6" t="str">
        <f>IF(D86="","",COUNTIF(GameLog[Date],D86))</f>
        <v/>
      </c>
      <c r="G86" s="6" t="str">
        <f>IF(D86="","",IF(WEEKDAY(D86,2)&lt;&gt;Game_Day,"Not a "&amp;INDEX({"Monday","Tuesday","Wednesday","Thursday","Friday","Saturday","Sunday"},Game_Day),""))</f>
        <v/>
      </c>
      <c r="H86" s="6"/>
      <c r="I86" s="6" t="str">
        <f ca="1">IFERROR(ROW(GameLog[#Headers])+MATCH(ROWS(I$5:I86),GameLog[Flag No],0),"")</f>
        <v/>
      </c>
      <c r="J86" s="10" t="str">
        <f ca="1">IF($I86="","",INDEX(GameLog[Date],$I86-ROW(GameLog[#Headers])))</f>
        <v/>
      </c>
      <c r="K86" s="6" t="str">
        <f ca="1">IF($I86="","",INDEX(GameLog[Player],$I86-ROW(GameLog[#Headers])))</f>
        <v/>
      </c>
      <c r="L86" s="6" t="str">
        <f ca="1">IF($I86="","",INDEX(GameLog[Pod],$I86-ROW(GameLog[#Headers])))</f>
        <v/>
      </c>
      <c r="M86" s="6" t="str">
        <f ca="1">IF($I86="","",INDEX(GameLog[Round],$I86-ROW(GameLog[#Headers])))</f>
        <v/>
      </c>
      <c r="N86" s="6" t="str">
        <f ca="1">IF($I86="","",INDEX(GameLog[Check],$I86-ROW(GameLog[#Headers])))</f>
        <v/>
      </c>
    </row>
    <row r="87" spans="1:14" x14ac:dyDescent="0.45">
      <c r="A87" s="6"/>
      <c r="B87" s="6"/>
      <c r="C87" s="6"/>
      <c r="D87" s="10" t="str">
        <f>IF(D86="","",IF(COUNTIF(GameLog[Date],"&gt;"&amp;D86)=0,"",_xlfn.MINIFS(GameLog[Date],GameLog[Date],"&gt;"&amp;D86)))</f>
        <v/>
      </c>
      <c r="E87" s="6" t="str">
        <f t="shared" si="2"/>
        <v/>
      </c>
      <c r="F87" s="6" t="str">
        <f>IF(D87="","",COUNTIF(GameLog[Date],D87))</f>
        <v/>
      </c>
      <c r="G87" s="6" t="str">
        <f>IF(D87="","",IF(WEEKDAY(D87,2)&lt;&gt;Game_Day,"Not a "&amp;INDEX({"Monday","Tuesday","Wednesday","Thursday","Friday","Saturday","Sunday"},Game_Day),""))</f>
        <v/>
      </c>
      <c r="H87" s="6"/>
      <c r="I87" s="6" t="str">
        <f ca="1">IFERROR(ROW(GameLog[#Headers])+MATCH(ROWS(I$5:I87),GameLog[Flag No],0),"")</f>
        <v/>
      </c>
      <c r="J87" s="10" t="str">
        <f ca="1">IF($I87="","",INDEX(GameLog[Date],$I87-ROW(GameLog[#Headers])))</f>
        <v/>
      </c>
      <c r="K87" s="6" t="str">
        <f ca="1">IF($I87="","",INDEX(GameLog[Player],$I87-ROW(GameLog[#Headers])))</f>
        <v/>
      </c>
      <c r="L87" s="6" t="str">
        <f ca="1">IF($I87="","",INDEX(GameLog[Pod],$I87-ROW(GameLog[#Headers])))</f>
        <v/>
      </c>
      <c r="M87" s="6" t="str">
        <f ca="1">IF($I87="","",INDEX(GameLog[Round],$I87-ROW(GameLog[#Headers])))</f>
        <v/>
      </c>
      <c r="N87" s="6" t="str">
        <f ca="1">IF($I87="","",INDEX(GameLog[Check],$I87-ROW(GameLog[#Headers])))</f>
        <v/>
      </c>
    </row>
    <row r="88" spans="1:14" x14ac:dyDescent="0.45">
      <c r="A88" s="6"/>
      <c r="B88" s="6"/>
      <c r="C88" s="6"/>
      <c r="D88" s="10" t="str">
        <f>IF(D87="","",IF(COUNTIF(GameLog[Date],"&gt;"&amp;D87)=0,"",_xlfn.MINIFS(GameLog[Date],GameLog[Date],"&gt;"&amp;D87)))</f>
        <v/>
      </c>
      <c r="E88" s="6" t="str">
        <f t="shared" si="2"/>
        <v/>
      </c>
      <c r="F88" s="6" t="str">
        <f>IF(D88="","",COUNTIF(GameLog[Date],D88))</f>
        <v/>
      </c>
      <c r="G88" s="6" t="str">
        <f>IF(D88="","",IF(WEEKDAY(D88,2)&lt;&gt;Game_Day,"Not a "&amp;INDEX({"Monday","Tuesday","Wednesday","Thursday","Friday","Saturday","Sunday"},Game_Day),""))</f>
        <v/>
      </c>
      <c r="H88" s="6"/>
      <c r="I88" s="6" t="str">
        <f ca="1">IFERROR(ROW(GameLog[#Headers])+MATCH(ROWS(I$5:I88),GameLog[Flag No],0),"")</f>
        <v/>
      </c>
      <c r="J88" s="10" t="str">
        <f ca="1">IF($I88="","",INDEX(GameLog[Date],$I88-ROW(GameLog[#Headers])))</f>
        <v/>
      </c>
      <c r="K88" s="6" t="str">
        <f ca="1">IF($I88="","",INDEX(GameLog[Player],$I88-ROW(GameLog[#Headers])))</f>
        <v/>
      </c>
      <c r="L88" s="6" t="str">
        <f ca="1">IF($I88="","",INDEX(GameLog[Pod],$I88-ROW(GameLog[#Headers])))</f>
        <v/>
      </c>
      <c r="M88" s="6" t="str">
        <f ca="1">IF($I88="","",INDEX(GameLog[Round],$I88-ROW(GameLog[#Headers])))</f>
        <v/>
      </c>
      <c r="N88" s="6" t="str">
        <f ca="1">IF($I88="","",INDEX(GameLog[Check],$I88-ROW(GameLog[#Headers])))</f>
        <v/>
      </c>
    </row>
    <row r="89" spans="1:14" x14ac:dyDescent="0.45">
      <c r="A89" s="6"/>
      <c r="B89" s="6"/>
      <c r="C89" s="6"/>
      <c r="D89" s="10" t="str">
        <f>IF(D88="","",IF(COUNTIF(GameLog[Date],"&gt;"&amp;D88)=0,"",_xlfn.MINIFS(GameLog[Date],GameLog[Date],"&gt;"&amp;D88)))</f>
        <v/>
      </c>
      <c r="E89" s="6" t="str">
        <f t="shared" si="2"/>
        <v/>
      </c>
      <c r="F89" s="6" t="str">
        <f>IF(D89="","",COUNTIF(GameLog[Date],D89))</f>
        <v/>
      </c>
      <c r="G89" s="6" t="str">
        <f>IF(D89="","",IF(WEEKDAY(D89,2)&lt;&gt;Game_Day,"Not a "&amp;INDEX({"Monday","Tuesday","Wednesday","Thursday","Friday","Saturday","Sunday"},Game_Day),""))</f>
        <v/>
      </c>
      <c r="H89" s="6"/>
      <c r="I89" s="6" t="str">
        <f ca="1">IFERROR(ROW(GameLog[#Headers])+MATCH(ROWS(I$5:I89),GameLog[Flag No],0),"")</f>
        <v/>
      </c>
      <c r="J89" s="10" t="str">
        <f ca="1">IF($I89="","",INDEX(GameLog[Date],$I89-ROW(GameLog[#Headers])))</f>
        <v/>
      </c>
      <c r="K89" s="6" t="str">
        <f ca="1">IF($I89="","",INDEX(GameLog[Player],$I89-ROW(GameLog[#Headers])))</f>
        <v/>
      </c>
      <c r="L89" s="6" t="str">
        <f ca="1">IF($I89="","",INDEX(GameLog[Pod],$I89-ROW(GameLog[#Headers])))</f>
        <v/>
      </c>
      <c r="M89" s="6" t="str">
        <f ca="1">IF($I89="","",INDEX(GameLog[Round],$I89-ROW(GameLog[#Headers])))</f>
        <v/>
      </c>
      <c r="N89" s="6" t="str">
        <f ca="1">IF($I89="","",INDEX(GameLog[Check],$I89-ROW(GameLog[#Headers])))</f>
        <v/>
      </c>
    </row>
    <row r="90" spans="1:14" x14ac:dyDescent="0.45">
      <c r="A90" s="6"/>
      <c r="B90" s="6"/>
      <c r="C90" s="6"/>
      <c r="D90" s="10" t="str">
        <f>IF(D89="","",IF(COUNTIF(GameLog[Date],"&gt;"&amp;D89)=0,"",_xlfn.MINIFS(GameLog[Date],GameLog[Date],"&gt;"&amp;D89)))</f>
        <v/>
      </c>
      <c r="E90" s="6" t="str">
        <f t="shared" si="2"/>
        <v/>
      </c>
      <c r="F90" s="6" t="str">
        <f>IF(D90="","",COUNTIF(GameLog[Date],D90))</f>
        <v/>
      </c>
      <c r="G90" s="6" t="str">
        <f>IF(D90="","",IF(WEEKDAY(D90,2)&lt;&gt;Game_Day,"Not a "&amp;INDEX({"Monday","Tuesday","Wednesday","Thursday","Friday","Saturday","Sunday"},Game_Day),""))</f>
        <v/>
      </c>
      <c r="H90" s="6"/>
      <c r="I90" s="6" t="str">
        <f ca="1">IFERROR(ROW(GameLog[#Headers])+MATCH(ROWS(I$5:I90),GameLog[Flag No],0),"")</f>
        <v/>
      </c>
      <c r="J90" s="10" t="str">
        <f ca="1">IF($I90="","",INDEX(GameLog[Date],$I90-ROW(GameLog[#Headers])))</f>
        <v/>
      </c>
      <c r="K90" s="6" t="str">
        <f ca="1">IF($I90="","",INDEX(GameLog[Player],$I90-ROW(GameLog[#Headers])))</f>
        <v/>
      </c>
      <c r="L90" s="6" t="str">
        <f ca="1">IF($I90="","",INDEX(GameLog[Pod],$I90-ROW(GameLog[#Headers])))</f>
        <v/>
      </c>
      <c r="M90" s="6" t="str">
        <f ca="1">IF($I90="","",INDEX(GameLog[Round],$I90-ROW(GameLog[#Headers])))</f>
        <v/>
      </c>
      <c r="N90" s="6" t="str">
        <f ca="1">IF($I90="","",INDEX(GameLog[Check],$I90-ROW(GameLog[#Headers])))</f>
        <v/>
      </c>
    </row>
    <row r="91" spans="1:14" x14ac:dyDescent="0.45">
      <c r="A91" s="6"/>
      <c r="B91" s="6"/>
      <c r="C91" s="6"/>
      <c r="D91" s="10" t="str">
        <f>IF(D90="","",IF(COUNTIF(GameLog[Date],"&gt;"&amp;D90)=0,"",_xlfn.MINIFS(GameLog[Date],GameLog[Date],"&gt;"&amp;D90)))</f>
        <v/>
      </c>
      <c r="E91" s="6" t="str">
        <f t="shared" si="2"/>
        <v/>
      </c>
      <c r="F91" s="6" t="str">
        <f>IF(D91="","",COUNTIF(GameLog[Date],D91))</f>
        <v/>
      </c>
      <c r="G91" s="6" t="str">
        <f>IF(D91="","",IF(WEEKDAY(D91,2)&lt;&gt;Game_Day,"Not a "&amp;INDEX({"Monday","Tuesday","Wednesday","Thursday","Friday","Saturday","Sunday"},Game_Day),""))</f>
        <v/>
      </c>
      <c r="H91" s="6"/>
      <c r="I91" s="6" t="str">
        <f ca="1">IFERROR(ROW(GameLog[#Headers])+MATCH(ROWS(I$5:I91),GameLog[Flag No],0),"")</f>
        <v/>
      </c>
      <c r="J91" s="10" t="str">
        <f ca="1">IF($I91="","",INDEX(GameLog[Date],$I91-ROW(GameLog[#Headers])))</f>
        <v/>
      </c>
      <c r="K91" s="6" t="str">
        <f ca="1">IF($I91="","",INDEX(GameLog[Player],$I91-ROW(GameLog[#Headers])))</f>
        <v/>
      </c>
      <c r="L91" s="6" t="str">
        <f ca="1">IF($I91="","",INDEX(GameLog[Pod],$I91-ROW(GameLog[#Headers])))</f>
        <v/>
      </c>
      <c r="M91" s="6" t="str">
        <f ca="1">IF($I91="","",INDEX(GameLog[Round],$I91-ROW(GameLog[#Headers])))</f>
        <v/>
      </c>
      <c r="N91" s="6" t="str">
        <f ca="1">IF($I91="","",INDEX(GameLog[Check],$I91-ROW(GameLog[#Headers])))</f>
        <v/>
      </c>
    </row>
    <row r="92" spans="1:14" x14ac:dyDescent="0.45">
      <c r="A92" s="6"/>
      <c r="B92" s="6"/>
      <c r="C92" s="6"/>
      <c r="D92" s="10" t="str">
        <f>IF(D91="","",IF(COUNTIF(GameLog[Date],"&gt;"&amp;D91)=0,"",_xlfn.MINIFS(GameLog[Date],GameLog[Date],"&gt;"&amp;D91)))</f>
        <v/>
      </c>
      <c r="E92" s="6" t="str">
        <f t="shared" si="2"/>
        <v/>
      </c>
      <c r="F92" s="6" t="str">
        <f>IF(D92="","",COUNTIF(GameLog[Date],D92))</f>
        <v/>
      </c>
      <c r="G92" s="6" t="str">
        <f>IF(D92="","",IF(WEEKDAY(D92,2)&lt;&gt;Game_Day,"Not a "&amp;INDEX({"Monday","Tuesday","Wednesday","Thursday","Friday","Saturday","Sunday"},Game_Day),""))</f>
        <v/>
      </c>
      <c r="H92" s="6"/>
      <c r="I92" s="6" t="str">
        <f ca="1">IFERROR(ROW(GameLog[#Headers])+MATCH(ROWS(I$5:I92),GameLog[Flag No],0),"")</f>
        <v/>
      </c>
      <c r="J92" s="10" t="str">
        <f ca="1">IF($I92="","",INDEX(GameLog[Date],$I92-ROW(GameLog[#Headers])))</f>
        <v/>
      </c>
      <c r="K92" s="6" t="str">
        <f ca="1">IF($I92="","",INDEX(GameLog[Player],$I92-ROW(GameLog[#Headers])))</f>
        <v/>
      </c>
      <c r="L92" s="6" t="str">
        <f ca="1">IF($I92="","",INDEX(GameLog[Pod],$I92-ROW(GameLog[#Headers])))</f>
        <v/>
      </c>
      <c r="M92" s="6" t="str">
        <f ca="1">IF($I92="","",INDEX(GameLog[Round],$I92-ROW(GameLog[#Headers])))</f>
        <v/>
      </c>
      <c r="N92" s="6" t="str">
        <f ca="1">IF($I92="","",INDEX(GameLog[Check],$I92-ROW(GameLog[#Headers])))</f>
        <v/>
      </c>
    </row>
    <row r="93" spans="1:14" x14ac:dyDescent="0.45">
      <c r="A93" s="6"/>
      <c r="B93" s="6"/>
      <c r="C93" s="6"/>
      <c r="D93" s="10" t="str">
        <f>IF(D92="","",IF(COUNTIF(GameLog[Date],"&gt;"&amp;D92)=0,"",_xlfn.MINIFS(GameLog[Date],GameLog[Date],"&gt;"&amp;D92)))</f>
        <v/>
      </c>
      <c r="E93" s="6" t="str">
        <f t="shared" si="2"/>
        <v/>
      </c>
      <c r="F93" s="6" t="str">
        <f>IF(D93="","",COUNTIF(GameLog[Date],D93))</f>
        <v/>
      </c>
      <c r="G93" s="6" t="str">
        <f>IF(D93="","",IF(WEEKDAY(D93,2)&lt;&gt;Game_Day,"Not a "&amp;INDEX({"Monday","Tuesday","Wednesday","Thursday","Friday","Saturday","Sunday"},Game_Day),""))</f>
        <v/>
      </c>
      <c r="H93" s="6"/>
      <c r="I93" s="6" t="str">
        <f ca="1">IFERROR(ROW(GameLog[#Headers])+MATCH(ROWS(I$5:I93),GameLog[Flag No],0),"")</f>
        <v/>
      </c>
      <c r="J93" s="10" t="str">
        <f ca="1">IF($I93="","",INDEX(GameLog[Date],$I93-ROW(GameLog[#Headers])))</f>
        <v/>
      </c>
      <c r="K93" s="6" t="str">
        <f ca="1">IF($I93="","",INDEX(GameLog[Player],$I93-ROW(GameLog[#Headers])))</f>
        <v/>
      </c>
      <c r="L93" s="6" t="str">
        <f ca="1">IF($I93="","",INDEX(GameLog[Pod],$I93-ROW(GameLog[#Headers])))</f>
        <v/>
      </c>
      <c r="M93" s="6" t="str">
        <f ca="1">IF($I93="","",INDEX(GameLog[Round],$I93-ROW(GameLog[#Headers])))</f>
        <v/>
      </c>
      <c r="N93" s="6" t="str">
        <f ca="1">IF($I93="","",INDEX(GameLog[Check],$I93-ROW(GameLog[#Headers])))</f>
        <v/>
      </c>
    </row>
    <row r="94" spans="1:14" x14ac:dyDescent="0.45">
      <c r="A94" s="6"/>
      <c r="B94" s="6"/>
      <c r="C94" s="6"/>
      <c r="D94" s="10" t="str">
        <f>IF(D93="","",IF(COUNTIF(GameLog[Date],"&gt;"&amp;D93)=0,"",_xlfn.MINIFS(GameLog[Date],GameLog[Date],"&gt;"&amp;D93)))</f>
        <v/>
      </c>
      <c r="E94" s="6" t="str">
        <f t="shared" si="2"/>
        <v/>
      </c>
      <c r="F94" s="6" t="str">
        <f>IF(D94="","",COUNTIF(GameLog[Date],D94))</f>
        <v/>
      </c>
      <c r="G94" s="6" t="str">
        <f>IF(D94="","",IF(WEEKDAY(D94,2)&lt;&gt;Game_Day,"Not a "&amp;INDEX({"Monday","Tuesday","Wednesday","Thursday","Friday","Saturday","Sunday"},Game_Day),""))</f>
        <v/>
      </c>
      <c r="H94" s="6"/>
      <c r="I94" s="6" t="str">
        <f ca="1">IFERROR(ROW(GameLog[#Headers])+MATCH(ROWS(I$5:I94),GameLog[Flag No],0),"")</f>
        <v/>
      </c>
      <c r="J94" s="10" t="str">
        <f ca="1">IF($I94="","",INDEX(GameLog[Date],$I94-ROW(GameLog[#Headers])))</f>
        <v/>
      </c>
      <c r="K94" s="6" t="str">
        <f ca="1">IF($I94="","",INDEX(GameLog[Player],$I94-ROW(GameLog[#Headers])))</f>
        <v/>
      </c>
      <c r="L94" s="6" t="str">
        <f ca="1">IF($I94="","",INDEX(GameLog[Pod],$I94-ROW(GameLog[#Headers])))</f>
        <v/>
      </c>
      <c r="M94" s="6" t="str">
        <f ca="1">IF($I94="","",INDEX(GameLog[Round],$I94-ROW(GameLog[#Headers])))</f>
        <v/>
      </c>
      <c r="N94" s="6" t="str">
        <f ca="1">IF($I94="","",INDEX(GameLog[Check],$I94-ROW(GameLog[#Headers])))</f>
        <v/>
      </c>
    </row>
    <row r="95" spans="1:14" x14ac:dyDescent="0.45">
      <c r="A95" s="6"/>
      <c r="B95" s="6"/>
      <c r="C95" s="6"/>
      <c r="D95" s="10" t="str">
        <f>IF(D94="","",IF(COUNTIF(GameLog[Date],"&gt;"&amp;D94)=0,"",_xlfn.MINIFS(GameLog[Date],GameLog[Date],"&gt;"&amp;D94)))</f>
        <v/>
      </c>
      <c r="E95" s="6" t="str">
        <f t="shared" si="2"/>
        <v/>
      </c>
      <c r="F95" s="6" t="str">
        <f>IF(D95="","",COUNTIF(GameLog[Date],D95))</f>
        <v/>
      </c>
      <c r="G95" s="6" t="str">
        <f>IF(D95="","",IF(WEEKDAY(D95,2)&lt;&gt;Game_Day,"Not a "&amp;INDEX({"Monday","Tuesday","Wednesday","Thursday","Friday","Saturday","Sunday"},Game_Day),""))</f>
        <v/>
      </c>
      <c r="H95" s="6"/>
      <c r="I95" s="6" t="str">
        <f ca="1">IFERROR(ROW(GameLog[#Headers])+MATCH(ROWS(I$5:I95),GameLog[Flag No],0),"")</f>
        <v/>
      </c>
      <c r="J95" s="10" t="str">
        <f ca="1">IF($I95="","",INDEX(GameLog[Date],$I95-ROW(GameLog[#Headers])))</f>
        <v/>
      </c>
      <c r="K95" s="6" t="str">
        <f ca="1">IF($I95="","",INDEX(GameLog[Player],$I95-ROW(GameLog[#Headers])))</f>
        <v/>
      </c>
      <c r="L95" s="6" t="str">
        <f ca="1">IF($I95="","",INDEX(GameLog[Pod],$I95-ROW(GameLog[#Headers])))</f>
        <v/>
      </c>
      <c r="M95" s="6" t="str">
        <f ca="1">IF($I95="","",INDEX(GameLog[Round],$I95-ROW(GameLog[#Headers])))</f>
        <v/>
      </c>
      <c r="N95" s="6" t="str">
        <f ca="1">IF($I95="","",INDEX(GameLog[Check],$I95-ROW(GameLog[#Headers])))</f>
        <v/>
      </c>
    </row>
    <row r="96" spans="1:14" x14ac:dyDescent="0.45">
      <c r="A96" s="6"/>
      <c r="B96" s="6"/>
      <c r="C96" s="6"/>
      <c r="D96" s="10" t="str">
        <f>IF(D95="","",IF(COUNTIF(GameLog[Date],"&gt;"&amp;D95)=0,"",_xlfn.MINIFS(GameLog[Date],GameLog[Date],"&gt;"&amp;D95)))</f>
        <v/>
      </c>
      <c r="E96" s="6" t="str">
        <f t="shared" si="2"/>
        <v/>
      </c>
      <c r="F96" s="6" t="str">
        <f>IF(D96="","",COUNTIF(GameLog[Date],D96))</f>
        <v/>
      </c>
      <c r="G96" s="6" t="str">
        <f>IF(D96="","",IF(WEEKDAY(D96,2)&lt;&gt;Game_Day,"Not a "&amp;INDEX({"Monday","Tuesday","Wednesday","Thursday","Friday","Saturday","Sunday"},Game_Day),""))</f>
        <v/>
      </c>
      <c r="H96" s="6"/>
      <c r="I96" s="6" t="str">
        <f ca="1">IFERROR(ROW(GameLog[#Headers])+MATCH(ROWS(I$5:I96),GameLog[Flag No],0),"")</f>
        <v/>
      </c>
      <c r="J96" s="10" t="str">
        <f ca="1">IF($I96="","",INDEX(GameLog[Date],$I96-ROW(GameLog[#Headers])))</f>
        <v/>
      </c>
      <c r="K96" s="6" t="str">
        <f ca="1">IF($I96="","",INDEX(GameLog[Player],$I96-ROW(GameLog[#Headers])))</f>
        <v/>
      </c>
      <c r="L96" s="6" t="str">
        <f ca="1">IF($I96="","",INDEX(GameLog[Pod],$I96-ROW(GameLog[#Headers])))</f>
        <v/>
      </c>
      <c r="M96" s="6" t="str">
        <f ca="1">IF($I96="","",INDEX(GameLog[Round],$I96-ROW(GameLog[#Headers])))</f>
        <v/>
      </c>
      <c r="N96" s="6" t="str">
        <f ca="1">IF($I96="","",INDEX(GameLog[Check],$I96-ROW(GameLog[#Headers])))</f>
        <v/>
      </c>
    </row>
    <row r="97" spans="1:14" x14ac:dyDescent="0.45">
      <c r="A97" s="6"/>
      <c r="B97" s="6"/>
      <c r="C97" s="6"/>
      <c r="D97" s="10" t="str">
        <f>IF(D96="","",IF(COUNTIF(GameLog[Date],"&gt;"&amp;D96)=0,"",_xlfn.MINIFS(GameLog[Date],GameLog[Date],"&gt;"&amp;D96)))</f>
        <v/>
      </c>
      <c r="E97" s="6" t="str">
        <f t="shared" si="2"/>
        <v/>
      </c>
      <c r="F97" s="6" t="str">
        <f>IF(D97="","",COUNTIF(GameLog[Date],D97))</f>
        <v/>
      </c>
      <c r="G97" s="6" t="str">
        <f>IF(D97="","",IF(WEEKDAY(D97,2)&lt;&gt;Game_Day,"Not a "&amp;INDEX({"Monday","Tuesday","Wednesday","Thursday","Friday","Saturday","Sunday"},Game_Day),""))</f>
        <v/>
      </c>
      <c r="H97" s="6"/>
      <c r="I97" s="6" t="str">
        <f ca="1">IFERROR(ROW(GameLog[#Headers])+MATCH(ROWS(I$5:I97),GameLog[Flag No],0),"")</f>
        <v/>
      </c>
      <c r="J97" s="10" t="str">
        <f ca="1">IF($I97="","",INDEX(GameLog[Date],$I97-ROW(GameLog[#Headers])))</f>
        <v/>
      </c>
      <c r="K97" s="6" t="str">
        <f ca="1">IF($I97="","",INDEX(GameLog[Player],$I97-ROW(GameLog[#Headers])))</f>
        <v/>
      </c>
      <c r="L97" s="6" t="str">
        <f ca="1">IF($I97="","",INDEX(GameLog[Pod],$I97-ROW(GameLog[#Headers])))</f>
        <v/>
      </c>
      <c r="M97" s="6" t="str">
        <f ca="1">IF($I97="","",INDEX(GameLog[Round],$I97-ROW(GameLog[#Headers])))</f>
        <v/>
      </c>
      <c r="N97" s="6" t="str">
        <f ca="1">IF($I97="","",INDEX(GameLog[Check],$I97-ROW(GameLog[#Headers])))</f>
        <v/>
      </c>
    </row>
    <row r="98" spans="1:14" x14ac:dyDescent="0.45">
      <c r="A98" s="6"/>
      <c r="B98" s="6"/>
      <c r="C98" s="6"/>
      <c r="D98" s="10" t="str">
        <f>IF(D97="","",IF(COUNTIF(GameLog[Date],"&gt;"&amp;D97)=0,"",_xlfn.MINIFS(GameLog[Date],GameLog[Date],"&gt;"&amp;D97)))</f>
        <v/>
      </c>
      <c r="E98" s="6" t="str">
        <f t="shared" si="2"/>
        <v/>
      </c>
      <c r="F98" s="6" t="str">
        <f>IF(D98="","",COUNTIF(GameLog[Date],D98))</f>
        <v/>
      </c>
      <c r="G98" s="6" t="str">
        <f>IF(D98="","",IF(WEEKDAY(D98,2)&lt;&gt;Game_Day,"Not a "&amp;INDEX({"Monday","Tuesday","Wednesday","Thursday","Friday","Saturday","Sunday"},Game_Day),""))</f>
        <v/>
      </c>
      <c r="H98" s="6"/>
      <c r="I98" s="6" t="str">
        <f ca="1">IFERROR(ROW(GameLog[#Headers])+MATCH(ROWS(I$5:I98),GameLog[Flag No],0),"")</f>
        <v/>
      </c>
      <c r="J98" s="10" t="str">
        <f ca="1">IF($I98="","",INDEX(GameLog[Date],$I98-ROW(GameLog[#Headers])))</f>
        <v/>
      </c>
      <c r="K98" s="6" t="str">
        <f ca="1">IF($I98="","",INDEX(GameLog[Player],$I98-ROW(GameLog[#Headers])))</f>
        <v/>
      </c>
      <c r="L98" s="6" t="str">
        <f ca="1">IF($I98="","",INDEX(GameLog[Pod],$I98-ROW(GameLog[#Headers])))</f>
        <v/>
      </c>
      <c r="M98" s="6" t="str">
        <f ca="1">IF($I98="","",INDEX(GameLog[Round],$I98-ROW(GameLog[#Headers])))</f>
        <v/>
      </c>
      <c r="N98" s="6" t="str">
        <f ca="1">IF($I98="","",INDEX(GameLog[Check],$I98-ROW(GameLog[#Headers])))</f>
        <v/>
      </c>
    </row>
    <row r="99" spans="1:14" x14ac:dyDescent="0.45">
      <c r="A99" s="6"/>
      <c r="B99" s="6"/>
      <c r="C99" s="6"/>
      <c r="D99" s="10" t="str">
        <f>IF(D98="","",IF(COUNTIF(GameLog[Date],"&gt;"&amp;D98)=0,"",_xlfn.MINIFS(GameLog[Date],GameLog[Date],"&gt;"&amp;D98)))</f>
        <v/>
      </c>
      <c r="E99" s="6" t="str">
        <f t="shared" si="2"/>
        <v/>
      </c>
      <c r="F99" s="6" t="str">
        <f>IF(D99="","",COUNTIF(GameLog[Date],D99))</f>
        <v/>
      </c>
      <c r="G99" s="6" t="str">
        <f>IF(D99="","",IF(WEEKDAY(D99,2)&lt;&gt;Game_Day,"Not a "&amp;INDEX({"Monday","Tuesday","Wednesday","Thursday","Friday","Saturday","Sunday"},Game_Day),""))</f>
        <v/>
      </c>
      <c r="H99" s="6"/>
      <c r="I99" s="6" t="str">
        <f ca="1">IFERROR(ROW(GameLog[#Headers])+MATCH(ROWS(I$5:I99),GameLog[Flag No],0),"")</f>
        <v/>
      </c>
      <c r="J99" s="10" t="str">
        <f ca="1">IF($I99="","",INDEX(GameLog[Date],$I99-ROW(GameLog[#Headers])))</f>
        <v/>
      </c>
      <c r="K99" s="6" t="str">
        <f ca="1">IF($I99="","",INDEX(GameLog[Player],$I99-ROW(GameLog[#Headers])))</f>
        <v/>
      </c>
      <c r="L99" s="6" t="str">
        <f ca="1">IF($I99="","",INDEX(GameLog[Pod],$I99-ROW(GameLog[#Headers])))</f>
        <v/>
      </c>
      <c r="M99" s="6" t="str">
        <f ca="1">IF($I99="","",INDEX(GameLog[Round],$I99-ROW(GameLog[#Headers])))</f>
        <v/>
      </c>
      <c r="N99" s="6" t="str">
        <f ca="1">IF($I99="","",INDEX(GameLog[Check],$I99-ROW(GameLog[#Headers])))</f>
        <v/>
      </c>
    </row>
    <row r="100" spans="1:14" x14ac:dyDescent="0.45">
      <c r="A100" s="6"/>
      <c r="B100" s="6"/>
      <c r="C100" s="6"/>
      <c r="D100" s="10" t="str">
        <f>IF(D99="","",IF(COUNTIF(GameLog[Date],"&gt;"&amp;D99)=0,"",_xlfn.MINIFS(GameLog[Date],GameLog[Date],"&gt;"&amp;D99)))</f>
        <v/>
      </c>
      <c r="E100" s="6" t="str">
        <f t="shared" si="2"/>
        <v/>
      </c>
      <c r="F100" s="6" t="str">
        <f>IF(D100="","",COUNTIF(GameLog[Date],D100))</f>
        <v/>
      </c>
      <c r="G100" s="6" t="str">
        <f>IF(D100="","",IF(WEEKDAY(D100,2)&lt;&gt;Game_Day,"Not a "&amp;INDEX({"Monday","Tuesday","Wednesday","Thursday","Friday","Saturday","Sunday"},Game_Day),""))</f>
        <v/>
      </c>
      <c r="H100" s="6"/>
      <c r="I100" s="6" t="str">
        <f ca="1">IFERROR(ROW(GameLog[#Headers])+MATCH(ROWS(I$5:I100),GameLog[Flag No],0),"")</f>
        <v/>
      </c>
      <c r="J100" s="10" t="str">
        <f ca="1">IF($I100="","",INDEX(GameLog[Date],$I100-ROW(GameLog[#Headers])))</f>
        <v/>
      </c>
      <c r="K100" s="6" t="str">
        <f ca="1">IF($I100="","",INDEX(GameLog[Player],$I100-ROW(GameLog[#Headers])))</f>
        <v/>
      </c>
      <c r="L100" s="6" t="str">
        <f ca="1">IF($I100="","",INDEX(GameLog[Pod],$I100-ROW(GameLog[#Headers])))</f>
        <v/>
      </c>
      <c r="M100" s="6" t="str">
        <f ca="1">IF($I100="","",INDEX(GameLog[Round],$I100-ROW(GameLog[#Headers])))</f>
        <v/>
      </c>
      <c r="N100" s="6" t="str">
        <f ca="1">IF($I100="","",INDEX(GameLog[Check],$I100-ROW(GameLog[#Headers])))</f>
        <v/>
      </c>
    </row>
    <row r="101" spans="1:14" x14ac:dyDescent="0.45">
      <c r="A101" s="6"/>
      <c r="B101" s="6"/>
      <c r="C101" s="6"/>
      <c r="D101" s="10" t="str">
        <f>IF(D100="","",IF(COUNTIF(GameLog[Date],"&gt;"&amp;D100)=0,"",_xlfn.MINIFS(GameLog[Date],GameLog[Date],"&gt;"&amp;D100)))</f>
        <v/>
      </c>
      <c r="E101" s="6" t="str">
        <f t="shared" ref="E101:E132" si="3">IF(D101="","",TEXT(D101,"ddd"))</f>
        <v/>
      </c>
      <c r="F101" s="6" t="str">
        <f>IF(D101="","",COUNTIF(GameLog[Date],D101))</f>
        <v/>
      </c>
      <c r="G101" s="6" t="str">
        <f>IF(D101="","",IF(WEEKDAY(D101,2)&lt;&gt;Game_Day,"Not a "&amp;INDEX({"Monday","Tuesday","Wednesday","Thursday","Friday","Saturday","Sunday"},Game_Day),""))</f>
        <v/>
      </c>
      <c r="H101" s="6"/>
      <c r="I101" s="6" t="str">
        <f ca="1">IFERROR(ROW(GameLog[#Headers])+MATCH(ROWS(I$5:I101),GameLog[Flag No],0),"")</f>
        <v/>
      </c>
      <c r="J101" s="10" t="str">
        <f ca="1">IF($I101="","",INDEX(GameLog[Date],$I101-ROW(GameLog[#Headers])))</f>
        <v/>
      </c>
      <c r="K101" s="6" t="str">
        <f ca="1">IF($I101="","",INDEX(GameLog[Player],$I101-ROW(GameLog[#Headers])))</f>
        <v/>
      </c>
      <c r="L101" s="6" t="str">
        <f ca="1">IF($I101="","",INDEX(GameLog[Pod],$I101-ROW(GameLog[#Headers])))</f>
        <v/>
      </c>
      <c r="M101" s="6" t="str">
        <f ca="1">IF($I101="","",INDEX(GameLog[Round],$I101-ROW(GameLog[#Headers])))</f>
        <v/>
      </c>
      <c r="N101" s="6" t="str">
        <f ca="1">IF($I101="","",INDEX(GameLog[Check],$I101-ROW(GameLog[#Headers])))</f>
        <v/>
      </c>
    </row>
    <row r="102" spans="1:14" x14ac:dyDescent="0.45">
      <c r="A102" s="6"/>
      <c r="B102" s="6"/>
      <c r="C102" s="6"/>
      <c r="D102" s="10" t="str">
        <f>IF(D101="","",IF(COUNTIF(GameLog[Date],"&gt;"&amp;D101)=0,"",_xlfn.MINIFS(GameLog[Date],GameLog[Date],"&gt;"&amp;D101)))</f>
        <v/>
      </c>
      <c r="E102" s="6" t="str">
        <f t="shared" si="3"/>
        <v/>
      </c>
      <c r="F102" s="6" t="str">
        <f>IF(D102="","",COUNTIF(GameLog[Date],D102))</f>
        <v/>
      </c>
      <c r="G102" s="6" t="str">
        <f>IF(D102="","",IF(WEEKDAY(D102,2)&lt;&gt;Game_Day,"Not a "&amp;INDEX({"Monday","Tuesday","Wednesday","Thursday","Friday","Saturday","Sunday"},Game_Day),""))</f>
        <v/>
      </c>
      <c r="H102" s="6"/>
      <c r="I102" s="6" t="str">
        <f ca="1">IFERROR(ROW(GameLog[#Headers])+MATCH(ROWS(I$5:I102),GameLog[Flag No],0),"")</f>
        <v/>
      </c>
      <c r="J102" s="10" t="str">
        <f ca="1">IF($I102="","",INDEX(GameLog[Date],$I102-ROW(GameLog[#Headers])))</f>
        <v/>
      </c>
      <c r="K102" s="6" t="str">
        <f ca="1">IF($I102="","",INDEX(GameLog[Player],$I102-ROW(GameLog[#Headers])))</f>
        <v/>
      </c>
      <c r="L102" s="6" t="str">
        <f ca="1">IF($I102="","",INDEX(GameLog[Pod],$I102-ROW(GameLog[#Headers])))</f>
        <v/>
      </c>
      <c r="M102" s="6" t="str">
        <f ca="1">IF($I102="","",INDEX(GameLog[Round],$I102-ROW(GameLog[#Headers])))</f>
        <v/>
      </c>
      <c r="N102" s="6" t="str">
        <f ca="1">IF($I102="","",INDEX(GameLog[Check],$I102-ROW(GameLog[#Headers])))</f>
        <v/>
      </c>
    </row>
    <row r="103" spans="1:14" x14ac:dyDescent="0.45">
      <c r="A103" s="6"/>
      <c r="B103" s="6"/>
      <c r="C103" s="6"/>
      <c r="D103" s="10" t="str">
        <f>IF(D102="","",IF(COUNTIF(GameLog[Date],"&gt;"&amp;D102)=0,"",_xlfn.MINIFS(GameLog[Date],GameLog[Date],"&gt;"&amp;D102)))</f>
        <v/>
      </c>
      <c r="E103" s="6" t="str">
        <f t="shared" si="3"/>
        <v/>
      </c>
      <c r="F103" s="6" t="str">
        <f>IF(D103="","",COUNTIF(GameLog[Date],D103))</f>
        <v/>
      </c>
      <c r="G103" s="6" t="str">
        <f>IF(D103="","",IF(WEEKDAY(D103,2)&lt;&gt;Game_Day,"Not a "&amp;INDEX({"Monday","Tuesday","Wednesday","Thursday","Friday","Saturday","Sunday"},Game_Day),""))</f>
        <v/>
      </c>
      <c r="H103" s="6"/>
      <c r="I103" s="6" t="str">
        <f ca="1">IFERROR(ROW(GameLog[#Headers])+MATCH(ROWS(I$5:I103),GameLog[Flag No],0),"")</f>
        <v/>
      </c>
      <c r="J103" s="10" t="str">
        <f ca="1">IF($I103="","",INDEX(GameLog[Date],$I103-ROW(GameLog[#Headers])))</f>
        <v/>
      </c>
      <c r="K103" s="6" t="str">
        <f ca="1">IF($I103="","",INDEX(GameLog[Player],$I103-ROW(GameLog[#Headers])))</f>
        <v/>
      </c>
      <c r="L103" s="6" t="str">
        <f ca="1">IF($I103="","",INDEX(GameLog[Pod],$I103-ROW(GameLog[#Headers])))</f>
        <v/>
      </c>
      <c r="M103" s="6" t="str">
        <f ca="1">IF($I103="","",INDEX(GameLog[Round],$I103-ROW(GameLog[#Headers])))</f>
        <v/>
      </c>
      <c r="N103" s="6" t="str">
        <f ca="1">IF($I103="","",INDEX(GameLog[Check],$I103-ROW(GameLog[#Headers])))</f>
        <v/>
      </c>
    </row>
    <row r="104" spans="1:14" x14ac:dyDescent="0.45">
      <c r="A104" s="6"/>
      <c r="B104" s="6"/>
      <c r="C104" s="6"/>
      <c r="D104" s="10" t="str">
        <f>IF(D103="","",IF(COUNTIF(GameLog[Date],"&gt;"&amp;D103)=0,"",_xlfn.MINIFS(GameLog[Date],GameLog[Date],"&gt;"&amp;D103)))</f>
        <v/>
      </c>
      <c r="E104" s="6" t="str">
        <f t="shared" si="3"/>
        <v/>
      </c>
      <c r="F104" s="6" t="str">
        <f>IF(D104="","",COUNTIF(GameLog[Date],D104))</f>
        <v/>
      </c>
      <c r="G104" s="6" t="str">
        <f>IF(D104="","",IF(WEEKDAY(D104,2)&lt;&gt;Game_Day,"Not a "&amp;INDEX({"Monday","Tuesday","Wednesday","Thursday","Friday","Saturday","Sunday"},Game_Day),""))</f>
        <v/>
      </c>
      <c r="H104" s="6"/>
      <c r="I104" s="6" t="str">
        <f ca="1">IFERROR(ROW(GameLog[#Headers])+MATCH(ROWS(I$5:I104),GameLog[Flag No],0),"")</f>
        <v/>
      </c>
      <c r="J104" s="10" t="str">
        <f ca="1">IF($I104="","",INDEX(GameLog[Date],$I104-ROW(GameLog[#Headers])))</f>
        <v/>
      </c>
      <c r="K104" s="6" t="str">
        <f ca="1">IF($I104="","",INDEX(GameLog[Player],$I104-ROW(GameLog[#Headers])))</f>
        <v/>
      </c>
      <c r="L104" s="6" t="str">
        <f ca="1">IF($I104="","",INDEX(GameLog[Pod],$I104-ROW(GameLog[#Headers])))</f>
        <v/>
      </c>
      <c r="M104" s="6" t="str">
        <f ca="1">IF($I104="","",INDEX(GameLog[Round],$I104-ROW(GameLog[#Headers])))</f>
        <v/>
      </c>
      <c r="N104" s="6" t="str">
        <f ca="1">IF($I104="","",INDEX(GameLog[Check],$I104-ROW(GameLog[#Headers])))</f>
        <v/>
      </c>
    </row>
    <row r="105" spans="1:14" x14ac:dyDescent="0.45">
      <c r="A105" s="6"/>
      <c r="B105" s="6"/>
      <c r="C105" s="6"/>
      <c r="D105" s="10" t="str">
        <f>IF(D104="","",IF(COUNTIF(GameLog[Date],"&gt;"&amp;D104)=0,"",_xlfn.MINIFS(GameLog[Date],GameLog[Date],"&gt;"&amp;D104)))</f>
        <v/>
      </c>
      <c r="E105" s="6" t="str">
        <f t="shared" si="3"/>
        <v/>
      </c>
      <c r="F105" s="6" t="str">
        <f>IF(D105="","",COUNTIF(GameLog[Date],D105))</f>
        <v/>
      </c>
      <c r="G105" s="6" t="str">
        <f>IF(D105="","",IF(WEEKDAY(D105,2)&lt;&gt;Game_Day,"Not a "&amp;INDEX({"Monday","Tuesday","Wednesday","Thursday","Friday","Saturday","Sunday"},Game_Day),""))</f>
        <v/>
      </c>
      <c r="H105" s="6"/>
      <c r="I105" s="6" t="str">
        <f ca="1">IFERROR(ROW(GameLog[#Headers])+MATCH(ROWS(I$5:I105),GameLog[Flag No],0),"")</f>
        <v/>
      </c>
      <c r="J105" s="10" t="str">
        <f ca="1">IF($I105="","",INDEX(GameLog[Date],$I105-ROW(GameLog[#Headers])))</f>
        <v/>
      </c>
      <c r="K105" s="6" t="str">
        <f ca="1">IF($I105="","",INDEX(GameLog[Player],$I105-ROW(GameLog[#Headers])))</f>
        <v/>
      </c>
      <c r="L105" s="6" t="str">
        <f ca="1">IF($I105="","",INDEX(GameLog[Pod],$I105-ROW(GameLog[#Headers])))</f>
        <v/>
      </c>
      <c r="M105" s="6" t="str">
        <f ca="1">IF($I105="","",INDEX(GameLog[Round],$I105-ROW(GameLog[#Headers])))</f>
        <v/>
      </c>
      <c r="N105" s="6" t="str">
        <f ca="1">IF($I105="","",INDEX(GameLog[Check],$I105-ROW(GameLog[#Headers])))</f>
        <v/>
      </c>
    </row>
    <row r="106" spans="1:14" x14ac:dyDescent="0.45">
      <c r="A106" s="6"/>
      <c r="B106" s="6"/>
      <c r="C106" s="6"/>
      <c r="D106" s="10" t="str">
        <f>IF(D105="","",IF(COUNTIF(GameLog[Date],"&gt;"&amp;D105)=0,"",_xlfn.MINIFS(GameLog[Date],GameLog[Date],"&gt;"&amp;D105)))</f>
        <v/>
      </c>
      <c r="E106" s="6" t="str">
        <f t="shared" si="3"/>
        <v/>
      </c>
      <c r="F106" s="6" t="str">
        <f>IF(D106="","",COUNTIF(GameLog[Date],D106))</f>
        <v/>
      </c>
      <c r="G106" s="6" t="str">
        <f>IF(D106="","",IF(WEEKDAY(D106,2)&lt;&gt;Game_Day,"Not a "&amp;INDEX({"Monday","Tuesday","Wednesday","Thursday","Friday","Saturday","Sunday"},Game_Day),""))</f>
        <v/>
      </c>
      <c r="H106" s="6"/>
      <c r="I106" s="6" t="str">
        <f ca="1">IFERROR(ROW(GameLog[#Headers])+MATCH(ROWS(I$5:I106),GameLog[Flag No],0),"")</f>
        <v/>
      </c>
      <c r="J106" s="10" t="str">
        <f ca="1">IF($I106="","",INDEX(GameLog[Date],$I106-ROW(GameLog[#Headers])))</f>
        <v/>
      </c>
      <c r="K106" s="6" t="str">
        <f ca="1">IF($I106="","",INDEX(GameLog[Player],$I106-ROW(GameLog[#Headers])))</f>
        <v/>
      </c>
      <c r="L106" s="6" t="str">
        <f ca="1">IF($I106="","",INDEX(GameLog[Pod],$I106-ROW(GameLog[#Headers])))</f>
        <v/>
      </c>
      <c r="M106" s="6" t="str">
        <f ca="1">IF($I106="","",INDEX(GameLog[Round],$I106-ROW(GameLog[#Headers])))</f>
        <v/>
      </c>
      <c r="N106" s="6" t="str">
        <f ca="1">IF($I106="","",INDEX(GameLog[Check],$I106-ROW(GameLog[#Headers])))</f>
        <v/>
      </c>
    </row>
    <row r="107" spans="1:14" x14ac:dyDescent="0.45">
      <c r="A107" s="6"/>
      <c r="B107" s="6"/>
      <c r="C107" s="6"/>
      <c r="D107" s="10" t="str">
        <f>IF(D106="","",IF(COUNTIF(GameLog[Date],"&gt;"&amp;D106)=0,"",_xlfn.MINIFS(GameLog[Date],GameLog[Date],"&gt;"&amp;D106)))</f>
        <v/>
      </c>
      <c r="E107" s="6" t="str">
        <f t="shared" si="3"/>
        <v/>
      </c>
      <c r="F107" s="6" t="str">
        <f>IF(D107="","",COUNTIF(GameLog[Date],D107))</f>
        <v/>
      </c>
      <c r="G107" s="6" t="str">
        <f>IF(D107="","",IF(WEEKDAY(D107,2)&lt;&gt;Game_Day,"Not a "&amp;INDEX({"Monday","Tuesday","Wednesday","Thursday","Friday","Saturday","Sunday"},Game_Day),""))</f>
        <v/>
      </c>
      <c r="H107" s="6"/>
      <c r="I107" s="6" t="str">
        <f ca="1">IFERROR(ROW(GameLog[#Headers])+MATCH(ROWS(I$5:I107),GameLog[Flag No],0),"")</f>
        <v/>
      </c>
      <c r="J107" s="10" t="str">
        <f ca="1">IF($I107="","",INDEX(GameLog[Date],$I107-ROW(GameLog[#Headers])))</f>
        <v/>
      </c>
      <c r="K107" s="6" t="str">
        <f ca="1">IF($I107="","",INDEX(GameLog[Player],$I107-ROW(GameLog[#Headers])))</f>
        <v/>
      </c>
      <c r="L107" s="6" t="str">
        <f ca="1">IF($I107="","",INDEX(GameLog[Pod],$I107-ROW(GameLog[#Headers])))</f>
        <v/>
      </c>
      <c r="M107" s="6" t="str">
        <f ca="1">IF($I107="","",INDEX(GameLog[Round],$I107-ROW(GameLog[#Headers])))</f>
        <v/>
      </c>
      <c r="N107" s="6" t="str">
        <f ca="1">IF($I107="","",INDEX(GameLog[Check],$I107-ROW(GameLog[#Headers])))</f>
        <v/>
      </c>
    </row>
    <row r="108" spans="1:14" x14ac:dyDescent="0.45">
      <c r="A108" s="6"/>
      <c r="B108" s="6"/>
      <c r="C108" s="6"/>
      <c r="D108" s="10" t="str">
        <f>IF(D107="","",IF(COUNTIF(GameLog[Date],"&gt;"&amp;D107)=0,"",_xlfn.MINIFS(GameLog[Date],GameLog[Date],"&gt;"&amp;D107)))</f>
        <v/>
      </c>
      <c r="E108" s="6" t="str">
        <f t="shared" si="3"/>
        <v/>
      </c>
      <c r="F108" s="6" t="str">
        <f>IF(D108="","",COUNTIF(GameLog[Date],D108))</f>
        <v/>
      </c>
      <c r="G108" s="6" t="str">
        <f>IF(D108="","",IF(WEEKDAY(D108,2)&lt;&gt;Game_Day,"Not a "&amp;INDEX({"Monday","Tuesday","Wednesday","Thursday","Friday","Saturday","Sunday"},Game_Day),""))</f>
        <v/>
      </c>
      <c r="H108" s="6"/>
      <c r="I108" s="6" t="str">
        <f ca="1">IFERROR(ROW(GameLog[#Headers])+MATCH(ROWS(I$5:I108),GameLog[Flag No],0),"")</f>
        <v/>
      </c>
      <c r="J108" s="10" t="str">
        <f ca="1">IF($I108="","",INDEX(GameLog[Date],$I108-ROW(GameLog[#Headers])))</f>
        <v/>
      </c>
      <c r="K108" s="6" t="str">
        <f ca="1">IF($I108="","",INDEX(GameLog[Player],$I108-ROW(GameLog[#Headers])))</f>
        <v/>
      </c>
      <c r="L108" s="6" t="str">
        <f ca="1">IF($I108="","",INDEX(GameLog[Pod],$I108-ROW(GameLog[#Headers])))</f>
        <v/>
      </c>
      <c r="M108" s="6" t="str">
        <f ca="1">IF($I108="","",INDEX(GameLog[Round],$I108-ROW(GameLog[#Headers])))</f>
        <v/>
      </c>
      <c r="N108" s="6" t="str">
        <f ca="1">IF($I108="","",INDEX(GameLog[Check],$I108-ROW(GameLog[#Headers])))</f>
        <v/>
      </c>
    </row>
    <row r="109" spans="1:14" x14ac:dyDescent="0.45">
      <c r="A109" s="6"/>
      <c r="B109" s="6"/>
      <c r="C109" s="6"/>
      <c r="D109" s="10" t="str">
        <f>IF(D108="","",IF(COUNTIF(GameLog[Date],"&gt;"&amp;D108)=0,"",_xlfn.MINIFS(GameLog[Date],GameLog[Date],"&gt;"&amp;D108)))</f>
        <v/>
      </c>
      <c r="E109" s="6" t="str">
        <f t="shared" si="3"/>
        <v/>
      </c>
      <c r="F109" s="6" t="str">
        <f>IF(D109="","",COUNTIF(GameLog[Date],D109))</f>
        <v/>
      </c>
      <c r="G109" s="6" t="str">
        <f>IF(D109="","",IF(WEEKDAY(D109,2)&lt;&gt;Game_Day,"Not a "&amp;INDEX({"Monday","Tuesday","Wednesday","Thursday","Friday","Saturday","Sunday"},Game_Day),""))</f>
        <v/>
      </c>
      <c r="H109" s="6"/>
      <c r="I109" s="6" t="str">
        <f ca="1">IFERROR(ROW(GameLog[#Headers])+MATCH(ROWS(I$5:I109),GameLog[Flag No],0),"")</f>
        <v/>
      </c>
      <c r="J109" s="10" t="str">
        <f ca="1">IF($I109="","",INDEX(GameLog[Date],$I109-ROW(GameLog[#Headers])))</f>
        <v/>
      </c>
      <c r="K109" s="6" t="str">
        <f ca="1">IF($I109="","",INDEX(GameLog[Player],$I109-ROW(GameLog[#Headers])))</f>
        <v/>
      </c>
      <c r="L109" s="6" t="str">
        <f ca="1">IF($I109="","",INDEX(GameLog[Pod],$I109-ROW(GameLog[#Headers])))</f>
        <v/>
      </c>
      <c r="M109" s="6" t="str">
        <f ca="1">IF($I109="","",INDEX(GameLog[Round],$I109-ROW(GameLog[#Headers])))</f>
        <v/>
      </c>
      <c r="N109" s="6" t="str">
        <f ca="1">IF($I109="","",INDEX(GameLog[Check],$I109-ROW(GameLog[#Headers])))</f>
        <v/>
      </c>
    </row>
    <row r="110" spans="1:14" x14ac:dyDescent="0.45">
      <c r="A110" s="6"/>
      <c r="B110" s="6"/>
      <c r="C110" s="6"/>
      <c r="D110" s="10" t="str">
        <f>IF(D109="","",IF(COUNTIF(GameLog[Date],"&gt;"&amp;D109)=0,"",_xlfn.MINIFS(GameLog[Date],GameLog[Date],"&gt;"&amp;D109)))</f>
        <v/>
      </c>
      <c r="E110" s="6" t="str">
        <f t="shared" si="3"/>
        <v/>
      </c>
      <c r="F110" s="6" t="str">
        <f>IF(D110="","",COUNTIF(GameLog[Date],D110))</f>
        <v/>
      </c>
      <c r="G110" s="6" t="str">
        <f>IF(D110="","",IF(WEEKDAY(D110,2)&lt;&gt;Game_Day,"Not a "&amp;INDEX({"Monday","Tuesday","Wednesday","Thursday","Friday","Saturday","Sunday"},Game_Day),""))</f>
        <v/>
      </c>
      <c r="H110" s="6"/>
      <c r="I110" s="6" t="str">
        <f ca="1">IFERROR(ROW(GameLog[#Headers])+MATCH(ROWS(I$5:I110),GameLog[Flag No],0),"")</f>
        <v/>
      </c>
      <c r="J110" s="10" t="str">
        <f ca="1">IF($I110="","",INDEX(GameLog[Date],$I110-ROW(GameLog[#Headers])))</f>
        <v/>
      </c>
      <c r="K110" s="6" t="str">
        <f ca="1">IF($I110="","",INDEX(GameLog[Player],$I110-ROW(GameLog[#Headers])))</f>
        <v/>
      </c>
      <c r="L110" s="6" t="str">
        <f ca="1">IF($I110="","",INDEX(GameLog[Pod],$I110-ROW(GameLog[#Headers])))</f>
        <v/>
      </c>
      <c r="M110" s="6" t="str">
        <f ca="1">IF($I110="","",INDEX(GameLog[Round],$I110-ROW(GameLog[#Headers])))</f>
        <v/>
      </c>
      <c r="N110" s="6" t="str">
        <f ca="1">IF($I110="","",INDEX(GameLog[Check],$I110-ROW(GameLog[#Headers])))</f>
        <v/>
      </c>
    </row>
    <row r="111" spans="1:14" x14ac:dyDescent="0.45">
      <c r="A111" s="6"/>
      <c r="B111" s="6"/>
      <c r="C111" s="6"/>
      <c r="D111" s="10" t="str">
        <f>IF(D110="","",IF(COUNTIF(GameLog[Date],"&gt;"&amp;D110)=0,"",_xlfn.MINIFS(GameLog[Date],GameLog[Date],"&gt;"&amp;D110)))</f>
        <v/>
      </c>
      <c r="E111" s="6" t="str">
        <f t="shared" si="3"/>
        <v/>
      </c>
      <c r="F111" s="6" t="str">
        <f>IF(D111="","",COUNTIF(GameLog[Date],D111))</f>
        <v/>
      </c>
      <c r="G111" s="6" t="str">
        <f>IF(D111="","",IF(WEEKDAY(D111,2)&lt;&gt;Game_Day,"Not a "&amp;INDEX({"Monday","Tuesday","Wednesday","Thursday","Friday","Saturday","Sunday"},Game_Day),""))</f>
        <v/>
      </c>
      <c r="H111" s="6"/>
      <c r="I111" s="6" t="str">
        <f ca="1">IFERROR(ROW(GameLog[#Headers])+MATCH(ROWS(I$5:I111),GameLog[Flag No],0),"")</f>
        <v/>
      </c>
      <c r="J111" s="10" t="str">
        <f ca="1">IF($I111="","",INDEX(GameLog[Date],$I111-ROW(GameLog[#Headers])))</f>
        <v/>
      </c>
      <c r="K111" s="6" t="str">
        <f ca="1">IF($I111="","",INDEX(GameLog[Player],$I111-ROW(GameLog[#Headers])))</f>
        <v/>
      </c>
      <c r="L111" s="6" t="str">
        <f ca="1">IF($I111="","",INDEX(GameLog[Pod],$I111-ROW(GameLog[#Headers])))</f>
        <v/>
      </c>
      <c r="M111" s="6" t="str">
        <f ca="1">IF($I111="","",INDEX(GameLog[Round],$I111-ROW(GameLog[#Headers])))</f>
        <v/>
      </c>
      <c r="N111" s="6" t="str">
        <f ca="1">IF($I111="","",INDEX(GameLog[Check],$I111-ROW(GameLog[#Headers])))</f>
        <v/>
      </c>
    </row>
    <row r="112" spans="1:14" x14ac:dyDescent="0.45">
      <c r="A112" s="6"/>
      <c r="B112" s="6"/>
      <c r="C112" s="6"/>
      <c r="D112" s="10" t="str">
        <f>IF(D111="","",IF(COUNTIF(GameLog[Date],"&gt;"&amp;D111)=0,"",_xlfn.MINIFS(GameLog[Date],GameLog[Date],"&gt;"&amp;D111)))</f>
        <v/>
      </c>
      <c r="E112" s="6" t="str">
        <f t="shared" si="3"/>
        <v/>
      </c>
      <c r="F112" s="6" t="str">
        <f>IF(D112="","",COUNTIF(GameLog[Date],D112))</f>
        <v/>
      </c>
      <c r="G112" s="6" t="str">
        <f>IF(D112="","",IF(WEEKDAY(D112,2)&lt;&gt;Game_Day,"Not a "&amp;INDEX({"Monday","Tuesday","Wednesday","Thursday","Friday","Saturday","Sunday"},Game_Day),""))</f>
        <v/>
      </c>
      <c r="H112" s="6"/>
      <c r="I112" s="6" t="str">
        <f ca="1">IFERROR(ROW(GameLog[#Headers])+MATCH(ROWS(I$5:I112),GameLog[Flag No],0),"")</f>
        <v/>
      </c>
      <c r="J112" s="10" t="str">
        <f ca="1">IF($I112="","",INDEX(GameLog[Date],$I112-ROW(GameLog[#Headers])))</f>
        <v/>
      </c>
      <c r="K112" s="6" t="str">
        <f ca="1">IF($I112="","",INDEX(GameLog[Player],$I112-ROW(GameLog[#Headers])))</f>
        <v/>
      </c>
      <c r="L112" s="6" t="str">
        <f ca="1">IF($I112="","",INDEX(GameLog[Pod],$I112-ROW(GameLog[#Headers])))</f>
        <v/>
      </c>
      <c r="M112" s="6" t="str">
        <f ca="1">IF($I112="","",INDEX(GameLog[Round],$I112-ROW(GameLog[#Headers])))</f>
        <v/>
      </c>
      <c r="N112" s="6" t="str">
        <f ca="1">IF($I112="","",INDEX(GameLog[Check],$I112-ROW(GameLog[#Headers])))</f>
        <v/>
      </c>
    </row>
    <row r="113" spans="1:14" x14ac:dyDescent="0.45">
      <c r="A113" s="6"/>
      <c r="B113" s="6"/>
      <c r="C113" s="6"/>
      <c r="D113" s="10" t="str">
        <f>IF(D112="","",IF(COUNTIF(GameLog[Date],"&gt;"&amp;D112)=0,"",_xlfn.MINIFS(GameLog[Date],GameLog[Date],"&gt;"&amp;D112)))</f>
        <v/>
      </c>
      <c r="E113" s="6" t="str">
        <f t="shared" si="3"/>
        <v/>
      </c>
      <c r="F113" s="6" t="str">
        <f>IF(D113="","",COUNTIF(GameLog[Date],D113))</f>
        <v/>
      </c>
      <c r="G113" s="6" t="str">
        <f>IF(D113="","",IF(WEEKDAY(D113,2)&lt;&gt;Game_Day,"Not a "&amp;INDEX({"Monday","Tuesday","Wednesday","Thursday","Friday","Saturday","Sunday"},Game_Day),""))</f>
        <v/>
      </c>
      <c r="H113" s="6"/>
      <c r="I113" s="6" t="str">
        <f ca="1">IFERROR(ROW(GameLog[#Headers])+MATCH(ROWS(I$5:I113),GameLog[Flag No],0),"")</f>
        <v/>
      </c>
      <c r="J113" s="10" t="str">
        <f ca="1">IF($I113="","",INDEX(GameLog[Date],$I113-ROW(GameLog[#Headers])))</f>
        <v/>
      </c>
      <c r="K113" s="6" t="str">
        <f ca="1">IF($I113="","",INDEX(GameLog[Player],$I113-ROW(GameLog[#Headers])))</f>
        <v/>
      </c>
      <c r="L113" s="6" t="str">
        <f ca="1">IF($I113="","",INDEX(GameLog[Pod],$I113-ROW(GameLog[#Headers])))</f>
        <v/>
      </c>
      <c r="M113" s="6" t="str">
        <f ca="1">IF($I113="","",INDEX(GameLog[Round],$I113-ROW(GameLog[#Headers])))</f>
        <v/>
      </c>
      <c r="N113" s="6" t="str">
        <f ca="1">IF($I113="","",INDEX(GameLog[Check],$I113-ROW(GameLog[#Headers])))</f>
        <v/>
      </c>
    </row>
    <row r="114" spans="1:14" x14ac:dyDescent="0.45">
      <c r="A114" s="6"/>
      <c r="B114" s="6"/>
      <c r="C114" s="6"/>
      <c r="D114" s="10" t="str">
        <f>IF(D113="","",IF(COUNTIF(GameLog[Date],"&gt;"&amp;D113)=0,"",_xlfn.MINIFS(GameLog[Date],GameLog[Date],"&gt;"&amp;D113)))</f>
        <v/>
      </c>
      <c r="E114" s="6" t="str">
        <f t="shared" si="3"/>
        <v/>
      </c>
      <c r="F114" s="6" t="str">
        <f>IF(D114="","",COUNTIF(GameLog[Date],D114))</f>
        <v/>
      </c>
      <c r="G114" s="6" t="str">
        <f>IF(D114="","",IF(WEEKDAY(D114,2)&lt;&gt;Game_Day,"Not a "&amp;INDEX({"Monday","Tuesday","Wednesday","Thursday","Friday","Saturday","Sunday"},Game_Day),""))</f>
        <v/>
      </c>
      <c r="H114" s="6"/>
      <c r="I114" s="6" t="str">
        <f ca="1">IFERROR(ROW(GameLog[#Headers])+MATCH(ROWS(I$5:I114),GameLog[Flag No],0),"")</f>
        <v/>
      </c>
      <c r="J114" s="10" t="str">
        <f ca="1">IF($I114="","",INDEX(GameLog[Date],$I114-ROW(GameLog[#Headers])))</f>
        <v/>
      </c>
      <c r="K114" s="6" t="str">
        <f ca="1">IF($I114="","",INDEX(GameLog[Player],$I114-ROW(GameLog[#Headers])))</f>
        <v/>
      </c>
      <c r="L114" s="6" t="str">
        <f ca="1">IF($I114="","",INDEX(GameLog[Pod],$I114-ROW(GameLog[#Headers])))</f>
        <v/>
      </c>
      <c r="M114" s="6" t="str">
        <f ca="1">IF($I114="","",INDEX(GameLog[Round],$I114-ROW(GameLog[#Headers])))</f>
        <v/>
      </c>
      <c r="N114" s="6" t="str">
        <f ca="1">IF($I114="","",INDEX(GameLog[Check],$I114-ROW(GameLog[#Headers])))</f>
        <v/>
      </c>
    </row>
    <row r="115" spans="1:14" x14ac:dyDescent="0.45">
      <c r="A115" s="6"/>
      <c r="B115" s="6"/>
      <c r="C115" s="6"/>
      <c r="D115" s="10" t="str">
        <f>IF(D114="","",IF(COUNTIF(GameLog[Date],"&gt;"&amp;D114)=0,"",_xlfn.MINIFS(GameLog[Date],GameLog[Date],"&gt;"&amp;D114)))</f>
        <v/>
      </c>
      <c r="E115" s="6" t="str">
        <f t="shared" si="3"/>
        <v/>
      </c>
      <c r="F115" s="6" t="str">
        <f>IF(D115="","",COUNTIF(GameLog[Date],D115))</f>
        <v/>
      </c>
      <c r="G115" s="6" t="str">
        <f>IF(D115="","",IF(WEEKDAY(D115,2)&lt;&gt;Game_Day,"Not a "&amp;INDEX({"Monday","Tuesday","Wednesday","Thursday","Friday","Saturday","Sunday"},Game_Day),""))</f>
        <v/>
      </c>
      <c r="H115" s="6"/>
      <c r="I115" s="6" t="str">
        <f ca="1">IFERROR(ROW(GameLog[#Headers])+MATCH(ROWS(I$5:I115),GameLog[Flag No],0),"")</f>
        <v/>
      </c>
      <c r="J115" s="10" t="str">
        <f ca="1">IF($I115="","",INDEX(GameLog[Date],$I115-ROW(GameLog[#Headers])))</f>
        <v/>
      </c>
      <c r="K115" s="6" t="str">
        <f ca="1">IF($I115="","",INDEX(GameLog[Player],$I115-ROW(GameLog[#Headers])))</f>
        <v/>
      </c>
      <c r="L115" s="6" t="str">
        <f ca="1">IF($I115="","",INDEX(GameLog[Pod],$I115-ROW(GameLog[#Headers])))</f>
        <v/>
      </c>
      <c r="M115" s="6" t="str">
        <f ca="1">IF($I115="","",INDEX(GameLog[Round],$I115-ROW(GameLog[#Headers])))</f>
        <v/>
      </c>
      <c r="N115" s="6" t="str">
        <f ca="1">IF($I115="","",INDEX(GameLog[Check],$I115-ROW(GameLog[#Headers])))</f>
        <v/>
      </c>
    </row>
    <row r="116" spans="1:14" x14ac:dyDescent="0.45">
      <c r="A116" s="6"/>
      <c r="B116" s="6"/>
      <c r="C116" s="6"/>
      <c r="D116" s="10" t="str">
        <f>IF(D115="","",IF(COUNTIF(GameLog[Date],"&gt;"&amp;D115)=0,"",_xlfn.MINIFS(GameLog[Date],GameLog[Date],"&gt;"&amp;D115)))</f>
        <v/>
      </c>
      <c r="E116" s="6" t="str">
        <f t="shared" si="3"/>
        <v/>
      </c>
      <c r="F116" s="6" t="str">
        <f>IF(D116="","",COUNTIF(GameLog[Date],D116))</f>
        <v/>
      </c>
      <c r="G116" s="6" t="str">
        <f>IF(D116="","",IF(WEEKDAY(D116,2)&lt;&gt;Game_Day,"Not a "&amp;INDEX({"Monday","Tuesday","Wednesday","Thursday","Friday","Saturday","Sunday"},Game_Day),""))</f>
        <v/>
      </c>
      <c r="H116" s="6"/>
      <c r="I116" s="6" t="str">
        <f ca="1">IFERROR(ROW(GameLog[#Headers])+MATCH(ROWS(I$5:I116),GameLog[Flag No],0),"")</f>
        <v/>
      </c>
      <c r="J116" s="10" t="str">
        <f ca="1">IF($I116="","",INDEX(GameLog[Date],$I116-ROW(GameLog[#Headers])))</f>
        <v/>
      </c>
      <c r="K116" s="6" t="str">
        <f ca="1">IF($I116="","",INDEX(GameLog[Player],$I116-ROW(GameLog[#Headers])))</f>
        <v/>
      </c>
      <c r="L116" s="6" t="str">
        <f ca="1">IF($I116="","",INDEX(GameLog[Pod],$I116-ROW(GameLog[#Headers])))</f>
        <v/>
      </c>
      <c r="M116" s="6" t="str">
        <f ca="1">IF($I116="","",INDEX(GameLog[Round],$I116-ROW(GameLog[#Headers])))</f>
        <v/>
      </c>
      <c r="N116" s="6" t="str">
        <f ca="1">IF($I116="","",INDEX(GameLog[Check],$I116-ROW(GameLog[#Headers])))</f>
        <v/>
      </c>
    </row>
    <row r="117" spans="1:14" x14ac:dyDescent="0.45">
      <c r="A117" s="6"/>
      <c r="B117" s="6"/>
      <c r="C117" s="6"/>
      <c r="D117" s="10" t="str">
        <f>IF(D116="","",IF(COUNTIF(GameLog[Date],"&gt;"&amp;D116)=0,"",_xlfn.MINIFS(GameLog[Date],GameLog[Date],"&gt;"&amp;D116)))</f>
        <v/>
      </c>
      <c r="E117" s="6" t="str">
        <f t="shared" si="3"/>
        <v/>
      </c>
      <c r="F117" s="6" t="str">
        <f>IF(D117="","",COUNTIF(GameLog[Date],D117))</f>
        <v/>
      </c>
      <c r="G117" s="6" t="str">
        <f>IF(D117="","",IF(WEEKDAY(D117,2)&lt;&gt;Game_Day,"Not a "&amp;INDEX({"Monday","Tuesday","Wednesday","Thursday","Friday","Saturday","Sunday"},Game_Day),""))</f>
        <v/>
      </c>
      <c r="H117" s="6"/>
      <c r="I117" s="6" t="str">
        <f ca="1">IFERROR(ROW(GameLog[#Headers])+MATCH(ROWS(I$5:I117),GameLog[Flag No],0),"")</f>
        <v/>
      </c>
      <c r="J117" s="10" t="str">
        <f ca="1">IF($I117="","",INDEX(GameLog[Date],$I117-ROW(GameLog[#Headers])))</f>
        <v/>
      </c>
      <c r="K117" s="6" t="str">
        <f ca="1">IF($I117="","",INDEX(GameLog[Player],$I117-ROW(GameLog[#Headers])))</f>
        <v/>
      </c>
      <c r="L117" s="6" t="str">
        <f ca="1">IF($I117="","",INDEX(GameLog[Pod],$I117-ROW(GameLog[#Headers])))</f>
        <v/>
      </c>
      <c r="M117" s="6" t="str">
        <f ca="1">IF($I117="","",INDEX(GameLog[Round],$I117-ROW(GameLog[#Headers])))</f>
        <v/>
      </c>
      <c r="N117" s="6" t="str">
        <f ca="1">IF($I117="","",INDEX(GameLog[Check],$I117-ROW(GameLog[#Headers])))</f>
        <v/>
      </c>
    </row>
    <row r="118" spans="1:14" x14ac:dyDescent="0.45">
      <c r="A118" s="6"/>
      <c r="B118" s="6"/>
      <c r="C118" s="6"/>
      <c r="D118" s="10" t="str">
        <f>IF(D117="","",IF(COUNTIF(GameLog[Date],"&gt;"&amp;D117)=0,"",_xlfn.MINIFS(GameLog[Date],GameLog[Date],"&gt;"&amp;D117)))</f>
        <v/>
      </c>
      <c r="E118" s="6" t="str">
        <f t="shared" si="3"/>
        <v/>
      </c>
      <c r="F118" s="6" t="str">
        <f>IF(D118="","",COUNTIF(GameLog[Date],D118))</f>
        <v/>
      </c>
      <c r="G118" s="6" t="str">
        <f>IF(D118="","",IF(WEEKDAY(D118,2)&lt;&gt;Game_Day,"Not a "&amp;INDEX({"Monday","Tuesday","Wednesday","Thursday","Friday","Saturday","Sunday"},Game_Day),""))</f>
        <v/>
      </c>
      <c r="H118" s="6"/>
      <c r="I118" s="6" t="str">
        <f ca="1">IFERROR(ROW(GameLog[#Headers])+MATCH(ROWS(I$5:I118),GameLog[Flag No],0),"")</f>
        <v/>
      </c>
      <c r="J118" s="10" t="str">
        <f ca="1">IF($I118="","",INDEX(GameLog[Date],$I118-ROW(GameLog[#Headers])))</f>
        <v/>
      </c>
      <c r="K118" s="6" t="str">
        <f ca="1">IF($I118="","",INDEX(GameLog[Player],$I118-ROW(GameLog[#Headers])))</f>
        <v/>
      </c>
      <c r="L118" s="6" t="str">
        <f ca="1">IF($I118="","",INDEX(GameLog[Pod],$I118-ROW(GameLog[#Headers])))</f>
        <v/>
      </c>
      <c r="M118" s="6" t="str">
        <f ca="1">IF($I118="","",INDEX(GameLog[Round],$I118-ROW(GameLog[#Headers])))</f>
        <v/>
      </c>
      <c r="N118" s="6" t="str">
        <f ca="1">IF($I118="","",INDEX(GameLog[Check],$I118-ROW(GameLog[#Headers])))</f>
        <v/>
      </c>
    </row>
    <row r="119" spans="1:14" x14ac:dyDescent="0.45">
      <c r="A119" s="6"/>
      <c r="B119" s="6"/>
      <c r="C119" s="6"/>
      <c r="D119" s="10" t="str">
        <f>IF(D118="","",IF(COUNTIF(GameLog[Date],"&gt;"&amp;D118)=0,"",_xlfn.MINIFS(GameLog[Date],GameLog[Date],"&gt;"&amp;D118)))</f>
        <v/>
      </c>
      <c r="E119" s="6" t="str">
        <f t="shared" si="3"/>
        <v/>
      </c>
      <c r="F119" s="6" t="str">
        <f>IF(D119="","",COUNTIF(GameLog[Date],D119))</f>
        <v/>
      </c>
      <c r="G119" s="6" t="str">
        <f>IF(D119="","",IF(WEEKDAY(D119,2)&lt;&gt;Game_Day,"Not a "&amp;INDEX({"Monday","Tuesday","Wednesday","Thursday","Friday","Saturday","Sunday"},Game_Day),""))</f>
        <v/>
      </c>
      <c r="H119" s="6"/>
      <c r="I119" s="6" t="str">
        <f ca="1">IFERROR(ROW(GameLog[#Headers])+MATCH(ROWS(I$5:I119),GameLog[Flag No],0),"")</f>
        <v/>
      </c>
      <c r="J119" s="10" t="str">
        <f ca="1">IF($I119="","",INDEX(GameLog[Date],$I119-ROW(GameLog[#Headers])))</f>
        <v/>
      </c>
      <c r="K119" s="6" t="str">
        <f ca="1">IF($I119="","",INDEX(GameLog[Player],$I119-ROW(GameLog[#Headers])))</f>
        <v/>
      </c>
      <c r="L119" s="6" t="str">
        <f ca="1">IF($I119="","",INDEX(GameLog[Pod],$I119-ROW(GameLog[#Headers])))</f>
        <v/>
      </c>
      <c r="M119" s="6" t="str">
        <f ca="1">IF($I119="","",INDEX(GameLog[Round],$I119-ROW(GameLog[#Headers])))</f>
        <v/>
      </c>
      <c r="N119" s="6" t="str">
        <f ca="1">IF($I119="","",INDEX(GameLog[Check],$I119-ROW(GameLog[#Headers])))</f>
        <v/>
      </c>
    </row>
    <row r="120" spans="1:14" x14ac:dyDescent="0.45">
      <c r="A120" s="6"/>
      <c r="B120" s="6"/>
      <c r="C120" s="6"/>
      <c r="D120" s="10" t="str">
        <f>IF(D119="","",IF(COUNTIF(GameLog[Date],"&gt;"&amp;D119)=0,"",_xlfn.MINIFS(GameLog[Date],GameLog[Date],"&gt;"&amp;D119)))</f>
        <v/>
      </c>
      <c r="E120" s="6" t="str">
        <f t="shared" si="3"/>
        <v/>
      </c>
      <c r="F120" s="6" t="str">
        <f>IF(D120="","",COUNTIF(GameLog[Date],D120))</f>
        <v/>
      </c>
      <c r="G120" s="6" t="str">
        <f>IF(D120="","",IF(WEEKDAY(D120,2)&lt;&gt;Game_Day,"Not a "&amp;INDEX({"Monday","Tuesday","Wednesday","Thursday","Friday","Saturday","Sunday"},Game_Day),""))</f>
        <v/>
      </c>
      <c r="H120" s="6"/>
      <c r="I120" s="6" t="str">
        <f ca="1">IFERROR(ROW(GameLog[#Headers])+MATCH(ROWS(I$5:I120),GameLog[Flag No],0),"")</f>
        <v/>
      </c>
      <c r="J120" s="10" t="str">
        <f ca="1">IF($I120="","",INDEX(GameLog[Date],$I120-ROW(GameLog[#Headers])))</f>
        <v/>
      </c>
      <c r="K120" s="6" t="str">
        <f ca="1">IF($I120="","",INDEX(GameLog[Player],$I120-ROW(GameLog[#Headers])))</f>
        <v/>
      </c>
      <c r="L120" s="6" t="str">
        <f ca="1">IF($I120="","",INDEX(GameLog[Pod],$I120-ROW(GameLog[#Headers])))</f>
        <v/>
      </c>
      <c r="M120" s="6" t="str">
        <f ca="1">IF($I120="","",INDEX(GameLog[Round],$I120-ROW(GameLog[#Headers])))</f>
        <v/>
      </c>
      <c r="N120" s="6" t="str">
        <f ca="1">IF($I120="","",INDEX(GameLog[Check],$I120-ROW(GameLog[#Headers])))</f>
        <v/>
      </c>
    </row>
    <row r="121" spans="1:14" x14ac:dyDescent="0.45">
      <c r="A121" s="6"/>
      <c r="B121" s="6"/>
      <c r="C121" s="6"/>
      <c r="D121" s="10" t="str">
        <f>IF(D120="","",IF(COUNTIF(GameLog[Date],"&gt;"&amp;D120)=0,"",_xlfn.MINIFS(GameLog[Date],GameLog[Date],"&gt;"&amp;D120)))</f>
        <v/>
      </c>
      <c r="E121" s="6" t="str">
        <f t="shared" si="3"/>
        <v/>
      </c>
      <c r="F121" s="6" t="str">
        <f>IF(D121="","",COUNTIF(GameLog[Date],D121))</f>
        <v/>
      </c>
      <c r="G121" s="6" t="str">
        <f>IF(D121="","",IF(WEEKDAY(D121,2)&lt;&gt;Game_Day,"Not a "&amp;INDEX({"Monday","Tuesday","Wednesday","Thursday","Friday","Saturday","Sunday"},Game_Day),""))</f>
        <v/>
      </c>
      <c r="H121" s="6"/>
      <c r="I121" s="6" t="str">
        <f ca="1">IFERROR(ROW(GameLog[#Headers])+MATCH(ROWS(I$5:I121),GameLog[Flag No],0),"")</f>
        <v/>
      </c>
      <c r="J121" s="10" t="str">
        <f ca="1">IF($I121="","",INDEX(GameLog[Date],$I121-ROW(GameLog[#Headers])))</f>
        <v/>
      </c>
      <c r="K121" s="6" t="str">
        <f ca="1">IF($I121="","",INDEX(GameLog[Player],$I121-ROW(GameLog[#Headers])))</f>
        <v/>
      </c>
      <c r="L121" s="6" t="str">
        <f ca="1">IF($I121="","",INDEX(GameLog[Pod],$I121-ROW(GameLog[#Headers])))</f>
        <v/>
      </c>
      <c r="M121" s="6" t="str">
        <f ca="1">IF($I121="","",INDEX(GameLog[Round],$I121-ROW(GameLog[#Headers])))</f>
        <v/>
      </c>
      <c r="N121" s="6" t="str">
        <f ca="1">IF($I121="","",INDEX(GameLog[Check],$I121-ROW(GameLog[#Headers])))</f>
        <v/>
      </c>
    </row>
    <row r="122" spans="1:14" x14ac:dyDescent="0.45">
      <c r="A122" s="6"/>
      <c r="B122" s="6"/>
      <c r="C122" s="6"/>
      <c r="D122" s="10" t="str">
        <f>IF(D121="","",IF(COUNTIF(GameLog[Date],"&gt;"&amp;D121)=0,"",_xlfn.MINIFS(GameLog[Date],GameLog[Date],"&gt;"&amp;D121)))</f>
        <v/>
      </c>
      <c r="E122" s="6" t="str">
        <f t="shared" si="3"/>
        <v/>
      </c>
      <c r="F122" s="6" t="str">
        <f>IF(D122="","",COUNTIF(GameLog[Date],D122))</f>
        <v/>
      </c>
      <c r="G122" s="6" t="str">
        <f>IF(D122="","",IF(WEEKDAY(D122,2)&lt;&gt;Game_Day,"Not a "&amp;INDEX({"Monday","Tuesday","Wednesday","Thursday","Friday","Saturday","Sunday"},Game_Day),""))</f>
        <v/>
      </c>
      <c r="H122" s="6"/>
      <c r="I122" s="6" t="str">
        <f ca="1">IFERROR(ROW(GameLog[#Headers])+MATCH(ROWS(I$5:I122),GameLog[Flag No],0),"")</f>
        <v/>
      </c>
      <c r="J122" s="10" t="str">
        <f ca="1">IF($I122="","",INDEX(GameLog[Date],$I122-ROW(GameLog[#Headers])))</f>
        <v/>
      </c>
      <c r="K122" s="6" t="str">
        <f ca="1">IF($I122="","",INDEX(GameLog[Player],$I122-ROW(GameLog[#Headers])))</f>
        <v/>
      </c>
      <c r="L122" s="6" t="str">
        <f ca="1">IF($I122="","",INDEX(GameLog[Pod],$I122-ROW(GameLog[#Headers])))</f>
        <v/>
      </c>
      <c r="M122" s="6" t="str">
        <f ca="1">IF($I122="","",INDEX(GameLog[Round],$I122-ROW(GameLog[#Headers])))</f>
        <v/>
      </c>
      <c r="N122" s="6" t="str">
        <f ca="1">IF($I122="","",INDEX(GameLog[Check],$I122-ROW(GameLog[#Headers])))</f>
        <v/>
      </c>
    </row>
    <row r="123" spans="1:14" x14ac:dyDescent="0.45">
      <c r="A123" s="6"/>
      <c r="B123" s="6"/>
      <c r="C123" s="6"/>
      <c r="D123" s="10" t="str">
        <f>IF(D122="","",IF(COUNTIF(GameLog[Date],"&gt;"&amp;D122)=0,"",_xlfn.MINIFS(GameLog[Date],GameLog[Date],"&gt;"&amp;D122)))</f>
        <v/>
      </c>
      <c r="E123" s="6" t="str">
        <f t="shared" si="3"/>
        <v/>
      </c>
      <c r="F123" s="6" t="str">
        <f>IF(D123="","",COUNTIF(GameLog[Date],D123))</f>
        <v/>
      </c>
      <c r="G123" s="6" t="str">
        <f>IF(D123="","",IF(WEEKDAY(D123,2)&lt;&gt;Game_Day,"Not a "&amp;INDEX({"Monday","Tuesday","Wednesday","Thursday","Friday","Saturday","Sunday"},Game_Day),""))</f>
        <v/>
      </c>
      <c r="H123" s="6"/>
      <c r="I123" s="6" t="str">
        <f ca="1">IFERROR(ROW(GameLog[#Headers])+MATCH(ROWS(I$5:I123),GameLog[Flag No],0),"")</f>
        <v/>
      </c>
      <c r="J123" s="10" t="str">
        <f ca="1">IF($I123="","",INDEX(GameLog[Date],$I123-ROW(GameLog[#Headers])))</f>
        <v/>
      </c>
      <c r="K123" s="6" t="str">
        <f ca="1">IF($I123="","",INDEX(GameLog[Player],$I123-ROW(GameLog[#Headers])))</f>
        <v/>
      </c>
      <c r="L123" s="6" t="str">
        <f ca="1">IF($I123="","",INDEX(GameLog[Pod],$I123-ROW(GameLog[#Headers])))</f>
        <v/>
      </c>
      <c r="M123" s="6" t="str">
        <f ca="1">IF($I123="","",INDEX(GameLog[Round],$I123-ROW(GameLog[#Headers])))</f>
        <v/>
      </c>
      <c r="N123" s="6" t="str">
        <f ca="1">IF($I123="","",INDEX(GameLog[Check],$I123-ROW(GameLog[#Headers])))</f>
        <v/>
      </c>
    </row>
    <row r="124" spans="1:14" x14ac:dyDescent="0.45">
      <c r="A124" s="6"/>
      <c r="B124" s="6"/>
      <c r="C124" s="6"/>
      <c r="D124" s="10" t="str">
        <f>IF(D123="","",IF(COUNTIF(GameLog[Date],"&gt;"&amp;D123)=0,"",_xlfn.MINIFS(GameLog[Date],GameLog[Date],"&gt;"&amp;D123)))</f>
        <v/>
      </c>
      <c r="E124" s="6" t="str">
        <f t="shared" si="3"/>
        <v/>
      </c>
      <c r="F124" s="6" t="str">
        <f>IF(D124="","",COUNTIF(GameLog[Date],D124))</f>
        <v/>
      </c>
      <c r="G124" s="6" t="str">
        <f>IF(D124="","",IF(WEEKDAY(D124,2)&lt;&gt;Game_Day,"Not a "&amp;INDEX({"Monday","Tuesday","Wednesday","Thursday","Friday","Saturday","Sunday"},Game_Day),""))</f>
        <v/>
      </c>
      <c r="H124" s="6"/>
      <c r="I124" s="6" t="str">
        <f ca="1">IFERROR(ROW(GameLog[#Headers])+MATCH(ROWS(I$5:I124),GameLog[Flag No],0),"")</f>
        <v/>
      </c>
      <c r="J124" s="10" t="str">
        <f ca="1">IF($I124="","",INDEX(GameLog[Date],$I124-ROW(GameLog[#Headers])))</f>
        <v/>
      </c>
      <c r="K124" s="6" t="str">
        <f ca="1">IF($I124="","",INDEX(GameLog[Player],$I124-ROW(GameLog[#Headers])))</f>
        <v/>
      </c>
      <c r="L124" s="6" t="str">
        <f ca="1">IF($I124="","",INDEX(GameLog[Pod],$I124-ROW(GameLog[#Headers])))</f>
        <v/>
      </c>
      <c r="M124" s="6" t="str">
        <f ca="1">IF($I124="","",INDEX(GameLog[Round],$I124-ROW(GameLog[#Headers])))</f>
        <v/>
      </c>
      <c r="N124" s="6" t="str">
        <f ca="1">IF($I124="","",INDEX(GameLog[Check],$I124-ROW(GameLog[#Headers])))</f>
        <v/>
      </c>
    </row>
    <row r="125" spans="1:14" x14ac:dyDescent="0.45">
      <c r="A125" s="6"/>
      <c r="B125" s="6"/>
      <c r="C125" s="6"/>
      <c r="D125" s="10" t="str">
        <f>IF(D124="","",IF(COUNTIF(GameLog[Date],"&gt;"&amp;D124)=0,"",_xlfn.MINIFS(GameLog[Date],GameLog[Date],"&gt;"&amp;D124)))</f>
        <v/>
      </c>
      <c r="E125" s="6" t="str">
        <f t="shared" si="3"/>
        <v/>
      </c>
      <c r="F125" s="6" t="str">
        <f>IF(D125="","",COUNTIF(GameLog[Date],D125))</f>
        <v/>
      </c>
      <c r="G125" s="6" t="str">
        <f>IF(D125="","",IF(WEEKDAY(D125,2)&lt;&gt;Game_Day,"Not a "&amp;INDEX({"Monday","Tuesday","Wednesday","Thursday","Friday","Saturday","Sunday"},Game_Day),""))</f>
        <v/>
      </c>
      <c r="H125" s="6"/>
      <c r="I125" s="6" t="str">
        <f ca="1">IFERROR(ROW(GameLog[#Headers])+MATCH(ROWS(I$5:I125),GameLog[Flag No],0),"")</f>
        <v/>
      </c>
      <c r="J125" s="10" t="str">
        <f ca="1">IF($I125="","",INDEX(GameLog[Date],$I125-ROW(GameLog[#Headers])))</f>
        <v/>
      </c>
      <c r="K125" s="6" t="str">
        <f ca="1">IF($I125="","",INDEX(GameLog[Player],$I125-ROW(GameLog[#Headers])))</f>
        <v/>
      </c>
      <c r="L125" s="6" t="str">
        <f ca="1">IF($I125="","",INDEX(GameLog[Pod],$I125-ROW(GameLog[#Headers])))</f>
        <v/>
      </c>
      <c r="M125" s="6" t="str">
        <f ca="1">IF($I125="","",INDEX(GameLog[Round],$I125-ROW(GameLog[#Headers])))</f>
        <v/>
      </c>
      <c r="N125" s="6" t="str">
        <f ca="1">IF($I125="","",INDEX(GameLog[Check],$I125-ROW(GameLog[#Headers])))</f>
        <v/>
      </c>
    </row>
    <row r="126" spans="1:14" x14ac:dyDescent="0.45">
      <c r="A126" s="6"/>
      <c r="B126" s="6"/>
      <c r="C126" s="6"/>
      <c r="D126" s="10" t="str">
        <f>IF(D125="","",IF(COUNTIF(GameLog[Date],"&gt;"&amp;D125)=0,"",_xlfn.MINIFS(GameLog[Date],GameLog[Date],"&gt;"&amp;D125)))</f>
        <v/>
      </c>
      <c r="E126" s="6" t="str">
        <f t="shared" si="3"/>
        <v/>
      </c>
      <c r="F126" s="6" t="str">
        <f>IF(D126="","",COUNTIF(GameLog[Date],D126))</f>
        <v/>
      </c>
      <c r="G126" s="6" t="str">
        <f>IF(D126="","",IF(WEEKDAY(D126,2)&lt;&gt;Game_Day,"Not a "&amp;INDEX({"Monday","Tuesday","Wednesday","Thursday","Friday","Saturday","Sunday"},Game_Day),""))</f>
        <v/>
      </c>
      <c r="H126" s="6"/>
      <c r="I126" s="6" t="str">
        <f ca="1">IFERROR(ROW(GameLog[#Headers])+MATCH(ROWS(I$5:I126),GameLog[Flag No],0),"")</f>
        <v/>
      </c>
      <c r="J126" s="10" t="str">
        <f ca="1">IF($I126="","",INDEX(GameLog[Date],$I126-ROW(GameLog[#Headers])))</f>
        <v/>
      </c>
      <c r="K126" s="6" t="str">
        <f ca="1">IF($I126="","",INDEX(GameLog[Player],$I126-ROW(GameLog[#Headers])))</f>
        <v/>
      </c>
      <c r="L126" s="6" t="str">
        <f ca="1">IF($I126="","",INDEX(GameLog[Pod],$I126-ROW(GameLog[#Headers])))</f>
        <v/>
      </c>
      <c r="M126" s="6" t="str">
        <f ca="1">IF($I126="","",INDEX(GameLog[Round],$I126-ROW(GameLog[#Headers])))</f>
        <v/>
      </c>
      <c r="N126" s="6" t="str">
        <f ca="1">IF($I126="","",INDEX(GameLog[Check],$I126-ROW(GameLog[#Headers])))</f>
        <v/>
      </c>
    </row>
    <row r="127" spans="1:14" x14ac:dyDescent="0.45">
      <c r="A127" s="6"/>
      <c r="B127" s="6"/>
      <c r="C127" s="6"/>
      <c r="D127" s="10" t="str">
        <f>IF(D126="","",IF(COUNTIF(GameLog[Date],"&gt;"&amp;D126)=0,"",_xlfn.MINIFS(GameLog[Date],GameLog[Date],"&gt;"&amp;D126)))</f>
        <v/>
      </c>
      <c r="E127" s="6" t="str">
        <f t="shared" si="3"/>
        <v/>
      </c>
      <c r="F127" s="6" t="str">
        <f>IF(D127="","",COUNTIF(GameLog[Date],D127))</f>
        <v/>
      </c>
      <c r="G127" s="6" t="str">
        <f>IF(D127="","",IF(WEEKDAY(D127,2)&lt;&gt;Game_Day,"Not a "&amp;INDEX({"Monday","Tuesday","Wednesday","Thursday","Friday","Saturday","Sunday"},Game_Day),""))</f>
        <v/>
      </c>
      <c r="H127" s="6"/>
      <c r="I127" s="6" t="str">
        <f ca="1">IFERROR(ROW(GameLog[#Headers])+MATCH(ROWS(I$5:I127),GameLog[Flag No],0),"")</f>
        <v/>
      </c>
      <c r="J127" s="10" t="str">
        <f ca="1">IF($I127="","",INDEX(GameLog[Date],$I127-ROW(GameLog[#Headers])))</f>
        <v/>
      </c>
      <c r="K127" s="6" t="str">
        <f ca="1">IF($I127="","",INDEX(GameLog[Player],$I127-ROW(GameLog[#Headers])))</f>
        <v/>
      </c>
      <c r="L127" s="6" t="str">
        <f ca="1">IF($I127="","",INDEX(GameLog[Pod],$I127-ROW(GameLog[#Headers])))</f>
        <v/>
      </c>
      <c r="M127" s="6" t="str">
        <f ca="1">IF($I127="","",INDEX(GameLog[Round],$I127-ROW(GameLog[#Headers])))</f>
        <v/>
      </c>
      <c r="N127" s="6" t="str">
        <f ca="1">IF($I127="","",INDEX(GameLog[Check],$I127-ROW(GameLog[#Headers])))</f>
        <v/>
      </c>
    </row>
    <row r="128" spans="1:14" x14ac:dyDescent="0.45">
      <c r="A128" s="6"/>
      <c r="B128" s="6"/>
      <c r="C128" s="6"/>
      <c r="D128" s="10" t="str">
        <f>IF(D127="","",IF(COUNTIF(GameLog[Date],"&gt;"&amp;D127)=0,"",_xlfn.MINIFS(GameLog[Date],GameLog[Date],"&gt;"&amp;D127)))</f>
        <v/>
      </c>
      <c r="E128" s="6" t="str">
        <f t="shared" si="3"/>
        <v/>
      </c>
      <c r="F128" s="6" t="str">
        <f>IF(D128="","",COUNTIF(GameLog[Date],D128))</f>
        <v/>
      </c>
      <c r="G128" s="6" t="str">
        <f>IF(D128="","",IF(WEEKDAY(D128,2)&lt;&gt;Game_Day,"Not a "&amp;INDEX({"Monday","Tuesday","Wednesday","Thursday","Friday","Saturday","Sunday"},Game_Day),""))</f>
        <v/>
      </c>
      <c r="H128" s="6"/>
      <c r="I128" s="6" t="str">
        <f ca="1">IFERROR(ROW(GameLog[#Headers])+MATCH(ROWS(I$5:I128),GameLog[Flag No],0),"")</f>
        <v/>
      </c>
      <c r="J128" s="10" t="str">
        <f ca="1">IF($I128="","",INDEX(GameLog[Date],$I128-ROW(GameLog[#Headers])))</f>
        <v/>
      </c>
      <c r="K128" s="6" t="str">
        <f ca="1">IF($I128="","",INDEX(GameLog[Player],$I128-ROW(GameLog[#Headers])))</f>
        <v/>
      </c>
      <c r="L128" s="6" t="str">
        <f ca="1">IF($I128="","",INDEX(GameLog[Pod],$I128-ROW(GameLog[#Headers])))</f>
        <v/>
      </c>
      <c r="M128" s="6" t="str">
        <f ca="1">IF($I128="","",INDEX(GameLog[Round],$I128-ROW(GameLog[#Headers])))</f>
        <v/>
      </c>
      <c r="N128" s="6" t="str">
        <f ca="1">IF($I128="","",INDEX(GameLog[Check],$I128-ROW(GameLog[#Headers])))</f>
        <v/>
      </c>
    </row>
    <row r="129" spans="1:14" x14ac:dyDescent="0.45">
      <c r="A129" s="6"/>
      <c r="B129" s="6"/>
      <c r="C129" s="6"/>
      <c r="D129" s="10" t="str">
        <f>IF(D128="","",IF(COUNTIF(GameLog[Date],"&gt;"&amp;D128)=0,"",_xlfn.MINIFS(GameLog[Date],GameLog[Date],"&gt;"&amp;D128)))</f>
        <v/>
      </c>
      <c r="E129" s="6" t="str">
        <f t="shared" si="3"/>
        <v/>
      </c>
      <c r="F129" s="6" t="str">
        <f>IF(D129="","",COUNTIF(GameLog[Date],D129))</f>
        <v/>
      </c>
      <c r="G129" s="6" t="str">
        <f>IF(D129="","",IF(WEEKDAY(D129,2)&lt;&gt;Game_Day,"Not a "&amp;INDEX({"Monday","Tuesday","Wednesday","Thursday","Friday","Saturday","Sunday"},Game_Day),""))</f>
        <v/>
      </c>
      <c r="H129" s="6"/>
      <c r="I129" s="6" t="str">
        <f ca="1">IFERROR(ROW(GameLog[#Headers])+MATCH(ROWS(I$5:I129),GameLog[Flag No],0),"")</f>
        <v/>
      </c>
      <c r="J129" s="10" t="str">
        <f ca="1">IF($I129="","",INDEX(GameLog[Date],$I129-ROW(GameLog[#Headers])))</f>
        <v/>
      </c>
      <c r="K129" s="6" t="str">
        <f ca="1">IF($I129="","",INDEX(GameLog[Player],$I129-ROW(GameLog[#Headers])))</f>
        <v/>
      </c>
      <c r="L129" s="6" t="str">
        <f ca="1">IF($I129="","",INDEX(GameLog[Pod],$I129-ROW(GameLog[#Headers])))</f>
        <v/>
      </c>
      <c r="M129" s="6" t="str">
        <f ca="1">IF($I129="","",INDEX(GameLog[Round],$I129-ROW(GameLog[#Headers])))</f>
        <v/>
      </c>
      <c r="N129" s="6" t="str">
        <f ca="1">IF($I129="","",INDEX(GameLog[Check],$I129-ROW(GameLog[#Headers])))</f>
        <v/>
      </c>
    </row>
    <row r="130" spans="1:14" x14ac:dyDescent="0.45">
      <c r="A130" s="6"/>
      <c r="B130" s="6"/>
      <c r="C130" s="6"/>
      <c r="D130" s="10" t="str">
        <f>IF(D129="","",IF(COUNTIF(GameLog[Date],"&gt;"&amp;D129)=0,"",_xlfn.MINIFS(GameLog[Date],GameLog[Date],"&gt;"&amp;D129)))</f>
        <v/>
      </c>
      <c r="E130" s="6" t="str">
        <f t="shared" si="3"/>
        <v/>
      </c>
      <c r="F130" s="6" t="str">
        <f>IF(D130="","",COUNTIF(GameLog[Date],D130))</f>
        <v/>
      </c>
      <c r="G130" s="6" t="str">
        <f>IF(D130="","",IF(WEEKDAY(D130,2)&lt;&gt;Game_Day,"Not a "&amp;INDEX({"Monday","Tuesday","Wednesday","Thursday","Friday","Saturday","Sunday"},Game_Day),""))</f>
        <v/>
      </c>
      <c r="H130" s="6"/>
      <c r="I130" s="6" t="str">
        <f ca="1">IFERROR(ROW(GameLog[#Headers])+MATCH(ROWS(I$5:I130),GameLog[Flag No],0),"")</f>
        <v/>
      </c>
      <c r="J130" s="10" t="str">
        <f ca="1">IF($I130="","",INDEX(GameLog[Date],$I130-ROW(GameLog[#Headers])))</f>
        <v/>
      </c>
      <c r="K130" s="6" t="str">
        <f ca="1">IF($I130="","",INDEX(GameLog[Player],$I130-ROW(GameLog[#Headers])))</f>
        <v/>
      </c>
      <c r="L130" s="6" t="str">
        <f ca="1">IF($I130="","",INDEX(GameLog[Pod],$I130-ROW(GameLog[#Headers])))</f>
        <v/>
      </c>
      <c r="M130" s="6" t="str">
        <f ca="1">IF($I130="","",INDEX(GameLog[Round],$I130-ROW(GameLog[#Headers])))</f>
        <v/>
      </c>
      <c r="N130" s="6" t="str">
        <f ca="1">IF($I130="","",INDEX(GameLog[Check],$I130-ROW(GameLog[#Headers])))</f>
        <v/>
      </c>
    </row>
    <row r="131" spans="1:14" x14ac:dyDescent="0.45">
      <c r="A131" s="6"/>
      <c r="B131" s="6"/>
      <c r="C131" s="6"/>
      <c r="D131" s="10" t="str">
        <f>IF(D130="","",IF(COUNTIF(GameLog[Date],"&gt;"&amp;D130)=0,"",_xlfn.MINIFS(GameLog[Date],GameLog[Date],"&gt;"&amp;D130)))</f>
        <v/>
      </c>
      <c r="E131" s="6" t="str">
        <f t="shared" si="3"/>
        <v/>
      </c>
      <c r="F131" s="6" t="str">
        <f>IF(D131="","",COUNTIF(GameLog[Date],D131))</f>
        <v/>
      </c>
      <c r="G131" s="6" t="str">
        <f>IF(D131="","",IF(WEEKDAY(D131,2)&lt;&gt;Game_Day,"Not a "&amp;INDEX({"Monday","Tuesday","Wednesday","Thursday","Friday","Saturday","Sunday"},Game_Day),""))</f>
        <v/>
      </c>
      <c r="H131" s="6"/>
      <c r="I131" s="6" t="str">
        <f ca="1">IFERROR(ROW(GameLog[#Headers])+MATCH(ROWS(I$5:I131),GameLog[Flag No],0),"")</f>
        <v/>
      </c>
      <c r="J131" s="10" t="str">
        <f ca="1">IF($I131="","",INDEX(GameLog[Date],$I131-ROW(GameLog[#Headers])))</f>
        <v/>
      </c>
      <c r="K131" s="6" t="str">
        <f ca="1">IF($I131="","",INDEX(GameLog[Player],$I131-ROW(GameLog[#Headers])))</f>
        <v/>
      </c>
      <c r="L131" s="6" t="str">
        <f ca="1">IF($I131="","",INDEX(GameLog[Pod],$I131-ROW(GameLog[#Headers])))</f>
        <v/>
      </c>
      <c r="M131" s="6" t="str">
        <f ca="1">IF($I131="","",INDEX(GameLog[Round],$I131-ROW(GameLog[#Headers])))</f>
        <v/>
      </c>
      <c r="N131" s="6" t="str">
        <f ca="1">IF($I131="","",INDEX(GameLog[Check],$I131-ROW(GameLog[#Headers])))</f>
        <v/>
      </c>
    </row>
    <row r="132" spans="1:14" x14ac:dyDescent="0.45">
      <c r="A132" s="6"/>
      <c r="B132" s="6"/>
      <c r="C132" s="6"/>
      <c r="D132" s="10" t="str">
        <f>IF(D131="","",IF(COUNTIF(GameLog[Date],"&gt;"&amp;D131)=0,"",_xlfn.MINIFS(GameLog[Date],GameLog[Date],"&gt;"&amp;D131)))</f>
        <v/>
      </c>
      <c r="E132" s="6" t="str">
        <f t="shared" si="3"/>
        <v/>
      </c>
      <c r="F132" s="6" t="str">
        <f>IF(D132="","",COUNTIF(GameLog[Date],D132))</f>
        <v/>
      </c>
      <c r="G132" s="6" t="str">
        <f>IF(D132="","",IF(WEEKDAY(D132,2)&lt;&gt;Game_Day,"Not a "&amp;INDEX({"Monday","Tuesday","Wednesday","Thursday","Friday","Saturday","Sunday"},Game_Day),""))</f>
        <v/>
      </c>
      <c r="H132" s="6"/>
      <c r="I132" s="6" t="str">
        <f ca="1">IFERROR(ROW(GameLog[#Headers])+MATCH(ROWS(I$5:I132),GameLog[Flag No],0),"")</f>
        <v/>
      </c>
      <c r="J132" s="10" t="str">
        <f ca="1">IF($I132="","",INDEX(GameLog[Date],$I132-ROW(GameLog[#Headers])))</f>
        <v/>
      </c>
      <c r="K132" s="6" t="str">
        <f ca="1">IF($I132="","",INDEX(GameLog[Player],$I132-ROW(GameLog[#Headers])))</f>
        <v/>
      </c>
      <c r="L132" s="6" t="str">
        <f ca="1">IF($I132="","",INDEX(GameLog[Pod],$I132-ROW(GameLog[#Headers])))</f>
        <v/>
      </c>
      <c r="M132" s="6" t="str">
        <f ca="1">IF($I132="","",INDEX(GameLog[Round],$I132-ROW(GameLog[#Headers])))</f>
        <v/>
      </c>
      <c r="N132" s="6" t="str">
        <f ca="1">IF($I132="","",INDEX(GameLog[Check],$I132-ROW(GameLog[#Headers])))</f>
        <v/>
      </c>
    </row>
    <row r="133" spans="1:14" x14ac:dyDescent="0.45">
      <c r="A133" s="6"/>
      <c r="B133" s="6"/>
      <c r="C133" s="6"/>
      <c r="D133" s="10" t="str">
        <f>IF(D132="","",IF(COUNTIF(GameLog[Date],"&gt;"&amp;D132)=0,"",_xlfn.MINIFS(GameLog[Date],GameLog[Date],"&gt;"&amp;D132)))</f>
        <v/>
      </c>
      <c r="E133" s="6" t="str">
        <f t="shared" ref="E133:E164" si="4">IF(D133="","",TEXT(D133,"ddd"))</f>
        <v/>
      </c>
      <c r="F133" s="6" t="str">
        <f>IF(D133="","",COUNTIF(GameLog[Date],D133))</f>
        <v/>
      </c>
      <c r="G133" s="6" t="str">
        <f>IF(D133="","",IF(WEEKDAY(D133,2)&lt;&gt;Game_Day,"Not a "&amp;INDEX({"Monday","Tuesday","Wednesday","Thursday","Friday","Saturday","Sunday"},Game_Day),""))</f>
        <v/>
      </c>
      <c r="H133" s="6"/>
      <c r="I133" s="6" t="str">
        <f ca="1">IFERROR(ROW(GameLog[#Headers])+MATCH(ROWS(I$5:I133),GameLog[Flag No],0),"")</f>
        <v/>
      </c>
      <c r="J133" s="10" t="str">
        <f ca="1">IF($I133="","",INDEX(GameLog[Date],$I133-ROW(GameLog[#Headers])))</f>
        <v/>
      </c>
      <c r="K133" s="6" t="str">
        <f ca="1">IF($I133="","",INDEX(GameLog[Player],$I133-ROW(GameLog[#Headers])))</f>
        <v/>
      </c>
      <c r="L133" s="6" t="str">
        <f ca="1">IF($I133="","",INDEX(GameLog[Pod],$I133-ROW(GameLog[#Headers])))</f>
        <v/>
      </c>
      <c r="M133" s="6" t="str">
        <f ca="1">IF($I133="","",INDEX(GameLog[Round],$I133-ROW(GameLog[#Headers])))</f>
        <v/>
      </c>
      <c r="N133" s="6" t="str">
        <f ca="1">IF($I133="","",INDEX(GameLog[Check],$I133-ROW(GameLog[#Headers])))</f>
        <v/>
      </c>
    </row>
    <row r="134" spans="1:14" x14ac:dyDescent="0.45">
      <c r="A134" s="6"/>
      <c r="B134" s="6"/>
      <c r="C134" s="6"/>
      <c r="D134" s="10" t="str">
        <f>IF(D133="","",IF(COUNTIF(GameLog[Date],"&gt;"&amp;D133)=0,"",_xlfn.MINIFS(GameLog[Date],GameLog[Date],"&gt;"&amp;D133)))</f>
        <v/>
      </c>
      <c r="E134" s="6" t="str">
        <f t="shared" si="4"/>
        <v/>
      </c>
      <c r="F134" s="6" t="str">
        <f>IF(D134="","",COUNTIF(GameLog[Date],D134))</f>
        <v/>
      </c>
      <c r="G134" s="6" t="str">
        <f>IF(D134="","",IF(WEEKDAY(D134,2)&lt;&gt;Game_Day,"Not a "&amp;INDEX({"Monday","Tuesday","Wednesday","Thursday","Friday","Saturday","Sunday"},Game_Day),""))</f>
        <v/>
      </c>
      <c r="H134" s="6"/>
      <c r="I134" s="6" t="str">
        <f ca="1">IFERROR(ROW(GameLog[#Headers])+MATCH(ROWS(I$5:I134),GameLog[Flag No],0),"")</f>
        <v/>
      </c>
      <c r="J134" s="10" t="str">
        <f ca="1">IF($I134="","",INDEX(GameLog[Date],$I134-ROW(GameLog[#Headers])))</f>
        <v/>
      </c>
      <c r="K134" s="6" t="str">
        <f ca="1">IF($I134="","",INDEX(GameLog[Player],$I134-ROW(GameLog[#Headers])))</f>
        <v/>
      </c>
      <c r="L134" s="6" t="str">
        <f ca="1">IF($I134="","",INDEX(GameLog[Pod],$I134-ROW(GameLog[#Headers])))</f>
        <v/>
      </c>
      <c r="M134" s="6" t="str">
        <f ca="1">IF($I134="","",INDEX(GameLog[Round],$I134-ROW(GameLog[#Headers])))</f>
        <v/>
      </c>
      <c r="N134" s="6" t="str">
        <f ca="1">IF($I134="","",INDEX(GameLog[Check],$I134-ROW(GameLog[#Headers])))</f>
        <v/>
      </c>
    </row>
    <row r="135" spans="1:14" x14ac:dyDescent="0.45">
      <c r="A135" s="6"/>
      <c r="B135" s="6"/>
      <c r="C135" s="6"/>
      <c r="D135" s="10" t="str">
        <f>IF(D134="","",IF(COUNTIF(GameLog[Date],"&gt;"&amp;D134)=0,"",_xlfn.MINIFS(GameLog[Date],GameLog[Date],"&gt;"&amp;D134)))</f>
        <v/>
      </c>
      <c r="E135" s="6" t="str">
        <f t="shared" si="4"/>
        <v/>
      </c>
      <c r="F135" s="6" t="str">
        <f>IF(D135="","",COUNTIF(GameLog[Date],D135))</f>
        <v/>
      </c>
      <c r="G135" s="6" t="str">
        <f>IF(D135="","",IF(WEEKDAY(D135,2)&lt;&gt;Game_Day,"Not a "&amp;INDEX({"Monday","Tuesday","Wednesday","Thursday","Friday","Saturday","Sunday"},Game_Day),""))</f>
        <v/>
      </c>
      <c r="H135" s="6"/>
      <c r="I135" s="6" t="str">
        <f ca="1">IFERROR(ROW(GameLog[#Headers])+MATCH(ROWS(I$5:I135),GameLog[Flag No],0),"")</f>
        <v/>
      </c>
      <c r="J135" s="10" t="str">
        <f ca="1">IF($I135="","",INDEX(GameLog[Date],$I135-ROW(GameLog[#Headers])))</f>
        <v/>
      </c>
      <c r="K135" s="6" t="str">
        <f ca="1">IF($I135="","",INDEX(GameLog[Player],$I135-ROW(GameLog[#Headers])))</f>
        <v/>
      </c>
      <c r="L135" s="6" t="str">
        <f ca="1">IF($I135="","",INDEX(GameLog[Pod],$I135-ROW(GameLog[#Headers])))</f>
        <v/>
      </c>
      <c r="M135" s="6" t="str">
        <f ca="1">IF($I135="","",INDEX(GameLog[Round],$I135-ROW(GameLog[#Headers])))</f>
        <v/>
      </c>
      <c r="N135" s="6" t="str">
        <f ca="1">IF($I135="","",INDEX(GameLog[Check],$I135-ROW(GameLog[#Headers])))</f>
        <v/>
      </c>
    </row>
    <row r="136" spans="1:14" x14ac:dyDescent="0.45">
      <c r="A136" s="6"/>
      <c r="B136" s="6"/>
      <c r="C136" s="6"/>
      <c r="D136" s="10" t="str">
        <f>IF(D135="","",IF(COUNTIF(GameLog[Date],"&gt;"&amp;D135)=0,"",_xlfn.MINIFS(GameLog[Date],GameLog[Date],"&gt;"&amp;D135)))</f>
        <v/>
      </c>
      <c r="E136" s="6" t="str">
        <f t="shared" si="4"/>
        <v/>
      </c>
      <c r="F136" s="6" t="str">
        <f>IF(D136="","",COUNTIF(GameLog[Date],D136))</f>
        <v/>
      </c>
      <c r="G136" s="6" t="str">
        <f>IF(D136="","",IF(WEEKDAY(D136,2)&lt;&gt;Game_Day,"Not a "&amp;INDEX({"Monday","Tuesday","Wednesday","Thursday","Friday","Saturday","Sunday"},Game_Day),""))</f>
        <v/>
      </c>
      <c r="H136" s="6"/>
      <c r="I136" s="6" t="str">
        <f ca="1">IFERROR(ROW(GameLog[#Headers])+MATCH(ROWS(I$5:I136),GameLog[Flag No],0),"")</f>
        <v/>
      </c>
      <c r="J136" s="10" t="str">
        <f ca="1">IF($I136="","",INDEX(GameLog[Date],$I136-ROW(GameLog[#Headers])))</f>
        <v/>
      </c>
      <c r="K136" s="6" t="str">
        <f ca="1">IF($I136="","",INDEX(GameLog[Player],$I136-ROW(GameLog[#Headers])))</f>
        <v/>
      </c>
      <c r="L136" s="6" t="str">
        <f ca="1">IF($I136="","",INDEX(GameLog[Pod],$I136-ROW(GameLog[#Headers])))</f>
        <v/>
      </c>
      <c r="M136" s="6" t="str">
        <f ca="1">IF($I136="","",INDEX(GameLog[Round],$I136-ROW(GameLog[#Headers])))</f>
        <v/>
      </c>
      <c r="N136" s="6" t="str">
        <f ca="1">IF($I136="","",INDEX(GameLog[Check],$I136-ROW(GameLog[#Headers])))</f>
        <v/>
      </c>
    </row>
    <row r="137" spans="1:14" x14ac:dyDescent="0.45">
      <c r="A137" s="6"/>
      <c r="B137" s="6"/>
      <c r="C137" s="6"/>
      <c r="D137" s="10" t="str">
        <f>IF(D136="","",IF(COUNTIF(GameLog[Date],"&gt;"&amp;D136)=0,"",_xlfn.MINIFS(GameLog[Date],GameLog[Date],"&gt;"&amp;D136)))</f>
        <v/>
      </c>
      <c r="E137" s="6" t="str">
        <f t="shared" si="4"/>
        <v/>
      </c>
      <c r="F137" s="6" t="str">
        <f>IF(D137="","",COUNTIF(GameLog[Date],D137))</f>
        <v/>
      </c>
      <c r="G137" s="6" t="str">
        <f>IF(D137="","",IF(WEEKDAY(D137,2)&lt;&gt;Game_Day,"Not a "&amp;INDEX({"Monday","Tuesday","Wednesday","Thursday","Friday","Saturday","Sunday"},Game_Day),""))</f>
        <v/>
      </c>
      <c r="H137" s="6"/>
      <c r="I137" s="6" t="str">
        <f ca="1">IFERROR(ROW(GameLog[#Headers])+MATCH(ROWS(I$5:I137),GameLog[Flag No],0),"")</f>
        <v/>
      </c>
      <c r="J137" s="10" t="str">
        <f ca="1">IF($I137="","",INDEX(GameLog[Date],$I137-ROW(GameLog[#Headers])))</f>
        <v/>
      </c>
      <c r="K137" s="6" t="str">
        <f ca="1">IF($I137="","",INDEX(GameLog[Player],$I137-ROW(GameLog[#Headers])))</f>
        <v/>
      </c>
      <c r="L137" s="6" t="str">
        <f ca="1">IF($I137="","",INDEX(GameLog[Pod],$I137-ROW(GameLog[#Headers])))</f>
        <v/>
      </c>
      <c r="M137" s="6" t="str">
        <f ca="1">IF($I137="","",INDEX(GameLog[Round],$I137-ROW(GameLog[#Headers])))</f>
        <v/>
      </c>
      <c r="N137" s="6" t="str">
        <f ca="1">IF($I137="","",INDEX(GameLog[Check],$I137-ROW(GameLog[#Headers])))</f>
        <v/>
      </c>
    </row>
    <row r="138" spans="1:14" x14ac:dyDescent="0.45">
      <c r="A138" s="6"/>
      <c r="B138" s="6"/>
      <c r="C138" s="6"/>
      <c r="D138" s="10" t="str">
        <f>IF(D137="","",IF(COUNTIF(GameLog[Date],"&gt;"&amp;D137)=0,"",_xlfn.MINIFS(GameLog[Date],GameLog[Date],"&gt;"&amp;D137)))</f>
        <v/>
      </c>
      <c r="E138" s="6" t="str">
        <f t="shared" si="4"/>
        <v/>
      </c>
      <c r="F138" s="6" t="str">
        <f>IF(D138="","",COUNTIF(GameLog[Date],D138))</f>
        <v/>
      </c>
      <c r="G138" s="6" t="str">
        <f>IF(D138="","",IF(WEEKDAY(D138,2)&lt;&gt;Game_Day,"Not a "&amp;INDEX({"Monday","Tuesday","Wednesday","Thursday","Friday","Saturday","Sunday"},Game_Day),""))</f>
        <v/>
      </c>
      <c r="H138" s="6"/>
      <c r="I138" s="6" t="str">
        <f ca="1">IFERROR(ROW(GameLog[#Headers])+MATCH(ROWS(I$5:I138),GameLog[Flag No],0),"")</f>
        <v/>
      </c>
      <c r="J138" s="10" t="str">
        <f ca="1">IF($I138="","",INDEX(GameLog[Date],$I138-ROW(GameLog[#Headers])))</f>
        <v/>
      </c>
      <c r="K138" s="6" t="str">
        <f ca="1">IF($I138="","",INDEX(GameLog[Player],$I138-ROW(GameLog[#Headers])))</f>
        <v/>
      </c>
      <c r="L138" s="6" t="str">
        <f ca="1">IF($I138="","",INDEX(GameLog[Pod],$I138-ROW(GameLog[#Headers])))</f>
        <v/>
      </c>
      <c r="M138" s="6" t="str">
        <f ca="1">IF($I138="","",INDEX(GameLog[Round],$I138-ROW(GameLog[#Headers])))</f>
        <v/>
      </c>
      <c r="N138" s="6" t="str">
        <f ca="1">IF($I138="","",INDEX(GameLog[Check],$I138-ROW(GameLog[#Headers])))</f>
        <v/>
      </c>
    </row>
    <row r="139" spans="1:14" x14ac:dyDescent="0.45">
      <c r="A139" s="6"/>
      <c r="B139" s="6"/>
      <c r="C139" s="6"/>
      <c r="D139" s="10" t="str">
        <f>IF(D138="","",IF(COUNTIF(GameLog[Date],"&gt;"&amp;D138)=0,"",_xlfn.MINIFS(GameLog[Date],GameLog[Date],"&gt;"&amp;D138)))</f>
        <v/>
      </c>
      <c r="E139" s="6" t="str">
        <f t="shared" si="4"/>
        <v/>
      </c>
      <c r="F139" s="6" t="str">
        <f>IF(D139="","",COUNTIF(GameLog[Date],D139))</f>
        <v/>
      </c>
      <c r="G139" s="6" t="str">
        <f>IF(D139="","",IF(WEEKDAY(D139,2)&lt;&gt;Game_Day,"Not a "&amp;INDEX({"Monday","Tuesday","Wednesday","Thursday","Friday","Saturday","Sunday"},Game_Day),""))</f>
        <v/>
      </c>
      <c r="H139" s="6"/>
      <c r="I139" s="6" t="str">
        <f ca="1">IFERROR(ROW(GameLog[#Headers])+MATCH(ROWS(I$5:I139),GameLog[Flag No],0),"")</f>
        <v/>
      </c>
      <c r="J139" s="10" t="str">
        <f ca="1">IF($I139="","",INDEX(GameLog[Date],$I139-ROW(GameLog[#Headers])))</f>
        <v/>
      </c>
      <c r="K139" s="6" t="str">
        <f ca="1">IF($I139="","",INDEX(GameLog[Player],$I139-ROW(GameLog[#Headers])))</f>
        <v/>
      </c>
      <c r="L139" s="6" t="str">
        <f ca="1">IF($I139="","",INDEX(GameLog[Pod],$I139-ROW(GameLog[#Headers])))</f>
        <v/>
      </c>
      <c r="M139" s="6" t="str">
        <f ca="1">IF($I139="","",INDEX(GameLog[Round],$I139-ROW(GameLog[#Headers])))</f>
        <v/>
      </c>
      <c r="N139" s="6" t="str">
        <f ca="1">IF($I139="","",INDEX(GameLog[Check],$I139-ROW(GameLog[#Headers])))</f>
        <v/>
      </c>
    </row>
    <row r="140" spans="1:14" x14ac:dyDescent="0.45">
      <c r="A140" s="6"/>
      <c r="B140" s="6"/>
      <c r="C140" s="6"/>
      <c r="D140" s="10" t="str">
        <f>IF(D139="","",IF(COUNTIF(GameLog[Date],"&gt;"&amp;D139)=0,"",_xlfn.MINIFS(GameLog[Date],GameLog[Date],"&gt;"&amp;D139)))</f>
        <v/>
      </c>
      <c r="E140" s="6" t="str">
        <f t="shared" si="4"/>
        <v/>
      </c>
      <c r="F140" s="6" t="str">
        <f>IF(D140="","",COUNTIF(GameLog[Date],D140))</f>
        <v/>
      </c>
      <c r="G140" s="6" t="str">
        <f>IF(D140="","",IF(WEEKDAY(D140,2)&lt;&gt;Game_Day,"Not a "&amp;INDEX({"Monday","Tuesday","Wednesday","Thursday","Friday","Saturday","Sunday"},Game_Day),""))</f>
        <v/>
      </c>
      <c r="H140" s="6"/>
      <c r="I140" s="6" t="str">
        <f ca="1">IFERROR(ROW(GameLog[#Headers])+MATCH(ROWS(I$5:I140),GameLog[Flag No],0),"")</f>
        <v/>
      </c>
      <c r="J140" s="10" t="str">
        <f ca="1">IF($I140="","",INDEX(GameLog[Date],$I140-ROW(GameLog[#Headers])))</f>
        <v/>
      </c>
      <c r="K140" s="6" t="str">
        <f ca="1">IF($I140="","",INDEX(GameLog[Player],$I140-ROW(GameLog[#Headers])))</f>
        <v/>
      </c>
      <c r="L140" s="6" t="str">
        <f ca="1">IF($I140="","",INDEX(GameLog[Pod],$I140-ROW(GameLog[#Headers])))</f>
        <v/>
      </c>
      <c r="M140" s="6" t="str">
        <f ca="1">IF($I140="","",INDEX(GameLog[Round],$I140-ROW(GameLog[#Headers])))</f>
        <v/>
      </c>
      <c r="N140" s="6" t="str">
        <f ca="1">IF($I140="","",INDEX(GameLog[Check],$I140-ROW(GameLog[#Headers])))</f>
        <v/>
      </c>
    </row>
    <row r="141" spans="1:14" x14ac:dyDescent="0.45">
      <c r="A141" s="6"/>
      <c r="B141" s="6"/>
      <c r="C141" s="6"/>
      <c r="D141" s="10" t="str">
        <f>IF(D140="","",IF(COUNTIF(GameLog[Date],"&gt;"&amp;D140)=0,"",_xlfn.MINIFS(GameLog[Date],GameLog[Date],"&gt;"&amp;D140)))</f>
        <v/>
      </c>
      <c r="E141" s="6" t="str">
        <f t="shared" si="4"/>
        <v/>
      </c>
      <c r="F141" s="6" t="str">
        <f>IF(D141="","",COUNTIF(GameLog[Date],D141))</f>
        <v/>
      </c>
      <c r="G141" s="6" t="str">
        <f>IF(D141="","",IF(WEEKDAY(D141,2)&lt;&gt;Game_Day,"Not a "&amp;INDEX({"Monday","Tuesday","Wednesday","Thursday","Friday","Saturday","Sunday"},Game_Day),""))</f>
        <v/>
      </c>
      <c r="H141" s="6"/>
      <c r="I141" s="6" t="str">
        <f ca="1">IFERROR(ROW(GameLog[#Headers])+MATCH(ROWS(I$5:I141),GameLog[Flag No],0),"")</f>
        <v/>
      </c>
      <c r="J141" s="10" t="str">
        <f ca="1">IF($I141="","",INDEX(GameLog[Date],$I141-ROW(GameLog[#Headers])))</f>
        <v/>
      </c>
      <c r="K141" s="6" t="str">
        <f ca="1">IF($I141="","",INDEX(GameLog[Player],$I141-ROW(GameLog[#Headers])))</f>
        <v/>
      </c>
      <c r="L141" s="6" t="str">
        <f ca="1">IF($I141="","",INDEX(GameLog[Pod],$I141-ROW(GameLog[#Headers])))</f>
        <v/>
      </c>
      <c r="M141" s="6" t="str">
        <f ca="1">IF($I141="","",INDEX(GameLog[Round],$I141-ROW(GameLog[#Headers])))</f>
        <v/>
      </c>
      <c r="N141" s="6" t="str">
        <f ca="1">IF($I141="","",INDEX(GameLog[Check],$I141-ROW(GameLog[#Headers])))</f>
        <v/>
      </c>
    </row>
    <row r="142" spans="1:14" x14ac:dyDescent="0.45">
      <c r="A142" s="6"/>
      <c r="B142" s="6"/>
      <c r="C142" s="6"/>
      <c r="D142" s="10" t="str">
        <f>IF(D141="","",IF(COUNTIF(GameLog[Date],"&gt;"&amp;D141)=0,"",_xlfn.MINIFS(GameLog[Date],GameLog[Date],"&gt;"&amp;D141)))</f>
        <v/>
      </c>
      <c r="E142" s="6" t="str">
        <f t="shared" si="4"/>
        <v/>
      </c>
      <c r="F142" s="6" t="str">
        <f>IF(D142="","",COUNTIF(GameLog[Date],D142))</f>
        <v/>
      </c>
      <c r="G142" s="6" t="str">
        <f>IF(D142="","",IF(WEEKDAY(D142,2)&lt;&gt;Game_Day,"Not a "&amp;INDEX({"Monday","Tuesday","Wednesday","Thursday","Friday","Saturday","Sunday"},Game_Day),""))</f>
        <v/>
      </c>
      <c r="H142" s="6"/>
      <c r="I142" s="6" t="str">
        <f ca="1">IFERROR(ROW(GameLog[#Headers])+MATCH(ROWS(I$5:I142),GameLog[Flag No],0),"")</f>
        <v/>
      </c>
      <c r="J142" s="10" t="str">
        <f ca="1">IF($I142="","",INDEX(GameLog[Date],$I142-ROW(GameLog[#Headers])))</f>
        <v/>
      </c>
      <c r="K142" s="6" t="str">
        <f ca="1">IF($I142="","",INDEX(GameLog[Player],$I142-ROW(GameLog[#Headers])))</f>
        <v/>
      </c>
      <c r="L142" s="6" t="str">
        <f ca="1">IF($I142="","",INDEX(GameLog[Pod],$I142-ROW(GameLog[#Headers])))</f>
        <v/>
      </c>
      <c r="M142" s="6" t="str">
        <f ca="1">IF($I142="","",INDEX(GameLog[Round],$I142-ROW(GameLog[#Headers])))</f>
        <v/>
      </c>
      <c r="N142" s="6" t="str">
        <f ca="1">IF($I142="","",INDEX(GameLog[Check],$I142-ROW(GameLog[#Headers])))</f>
        <v/>
      </c>
    </row>
    <row r="143" spans="1:14" x14ac:dyDescent="0.45">
      <c r="A143" s="6"/>
      <c r="B143" s="6"/>
      <c r="C143" s="6"/>
      <c r="D143" s="10" t="str">
        <f>IF(D142="","",IF(COUNTIF(GameLog[Date],"&gt;"&amp;D142)=0,"",_xlfn.MINIFS(GameLog[Date],GameLog[Date],"&gt;"&amp;D142)))</f>
        <v/>
      </c>
      <c r="E143" s="6" t="str">
        <f t="shared" si="4"/>
        <v/>
      </c>
      <c r="F143" s="6" t="str">
        <f>IF(D143="","",COUNTIF(GameLog[Date],D143))</f>
        <v/>
      </c>
      <c r="G143" s="6" t="str">
        <f>IF(D143="","",IF(WEEKDAY(D143,2)&lt;&gt;Game_Day,"Not a "&amp;INDEX({"Monday","Tuesday","Wednesday","Thursday","Friday","Saturday","Sunday"},Game_Day),""))</f>
        <v/>
      </c>
      <c r="H143" s="6"/>
      <c r="I143" s="6" t="str">
        <f ca="1">IFERROR(ROW(GameLog[#Headers])+MATCH(ROWS(I$5:I143),GameLog[Flag No],0),"")</f>
        <v/>
      </c>
      <c r="J143" s="10" t="str">
        <f ca="1">IF($I143="","",INDEX(GameLog[Date],$I143-ROW(GameLog[#Headers])))</f>
        <v/>
      </c>
      <c r="K143" s="6" t="str">
        <f ca="1">IF($I143="","",INDEX(GameLog[Player],$I143-ROW(GameLog[#Headers])))</f>
        <v/>
      </c>
      <c r="L143" s="6" t="str">
        <f ca="1">IF($I143="","",INDEX(GameLog[Pod],$I143-ROW(GameLog[#Headers])))</f>
        <v/>
      </c>
      <c r="M143" s="6" t="str">
        <f ca="1">IF($I143="","",INDEX(GameLog[Round],$I143-ROW(GameLog[#Headers])))</f>
        <v/>
      </c>
      <c r="N143" s="6" t="str">
        <f ca="1">IF($I143="","",INDEX(GameLog[Check],$I143-ROW(GameLog[#Headers])))</f>
        <v/>
      </c>
    </row>
    <row r="144" spans="1:14" x14ac:dyDescent="0.45">
      <c r="A144" s="6"/>
      <c r="B144" s="6"/>
      <c r="C144" s="6"/>
      <c r="D144" s="10" t="str">
        <f>IF(D143="","",IF(COUNTIF(GameLog[Date],"&gt;"&amp;D143)=0,"",_xlfn.MINIFS(GameLog[Date],GameLog[Date],"&gt;"&amp;D143)))</f>
        <v/>
      </c>
      <c r="E144" s="6" t="str">
        <f t="shared" si="4"/>
        <v/>
      </c>
      <c r="F144" s="6" t="str">
        <f>IF(D144="","",COUNTIF(GameLog[Date],D144))</f>
        <v/>
      </c>
      <c r="G144" s="6" t="str">
        <f>IF(D144="","",IF(WEEKDAY(D144,2)&lt;&gt;Game_Day,"Not a "&amp;INDEX({"Monday","Tuesday","Wednesday","Thursday","Friday","Saturday","Sunday"},Game_Day),""))</f>
        <v/>
      </c>
      <c r="H144" s="6"/>
      <c r="I144" s="6" t="str">
        <f ca="1">IFERROR(ROW(GameLog[#Headers])+MATCH(ROWS(I$5:I144),GameLog[Flag No],0),"")</f>
        <v/>
      </c>
      <c r="J144" s="10" t="str">
        <f ca="1">IF($I144="","",INDEX(GameLog[Date],$I144-ROW(GameLog[#Headers])))</f>
        <v/>
      </c>
      <c r="K144" s="6" t="str">
        <f ca="1">IF($I144="","",INDEX(GameLog[Player],$I144-ROW(GameLog[#Headers])))</f>
        <v/>
      </c>
      <c r="L144" s="6" t="str">
        <f ca="1">IF($I144="","",INDEX(GameLog[Pod],$I144-ROW(GameLog[#Headers])))</f>
        <v/>
      </c>
      <c r="M144" s="6" t="str">
        <f ca="1">IF($I144="","",INDEX(GameLog[Round],$I144-ROW(GameLog[#Headers])))</f>
        <v/>
      </c>
      <c r="N144" s="6" t="str">
        <f ca="1">IF($I144="","",INDEX(GameLog[Check],$I144-ROW(GameLog[#Headers])))</f>
        <v/>
      </c>
    </row>
    <row r="145" spans="1:14" x14ac:dyDescent="0.45">
      <c r="A145" s="6"/>
      <c r="B145" s="6"/>
      <c r="C145" s="6"/>
      <c r="D145" s="10" t="str">
        <f>IF(D144="","",IF(COUNTIF(GameLog[Date],"&gt;"&amp;D144)=0,"",_xlfn.MINIFS(GameLog[Date],GameLog[Date],"&gt;"&amp;D144)))</f>
        <v/>
      </c>
      <c r="E145" s="6" t="str">
        <f t="shared" si="4"/>
        <v/>
      </c>
      <c r="F145" s="6" t="str">
        <f>IF(D145="","",COUNTIF(GameLog[Date],D145))</f>
        <v/>
      </c>
      <c r="G145" s="6" t="str">
        <f>IF(D145="","",IF(WEEKDAY(D145,2)&lt;&gt;Game_Day,"Not a "&amp;INDEX({"Monday","Tuesday","Wednesday","Thursday","Friday","Saturday","Sunday"},Game_Day),""))</f>
        <v/>
      </c>
      <c r="H145" s="6"/>
      <c r="I145" s="6" t="str">
        <f ca="1">IFERROR(ROW(GameLog[#Headers])+MATCH(ROWS(I$5:I145),GameLog[Flag No],0),"")</f>
        <v/>
      </c>
      <c r="J145" s="10" t="str">
        <f ca="1">IF($I145="","",INDEX(GameLog[Date],$I145-ROW(GameLog[#Headers])))</f>
        <v/>
      </c>
      <c r="K145" s="6" t="str">
        <f ca="1">IF($I145="","",INDEX(GameLog[Player],$I145-ROW(GameLog[#Headers])))</f>
        <v/>
      </c>
      <c r="L145" s="6" t="str">
        <f ca="1">IF($I145="","",INDEX(GameLog[Pod],$I145-ROW(GameLog[#Headers])))</f>
        <v/>
      </c>
      <c r="M145" s="6" t="str">
        <f ca="1">IF($I145="","",INDEX(GameLog[Round],$I145-ROW(GameLog[#Headers])))</f>
        <v/>
      </c>
      <c r="N145" s="6" t="str">
        <f ca="1">IF($I145="","",INDEX(GameLog[Check],$I145-ROW(GameLog[#Headers])))</f>
        <v/>
      </c>
    </row>
    <row r="146" spans="1:14" x14ac:dyDescent="0.45">
      <c r="A146" s="6"/>
      <c r="B146" s="6"/>
      <c r="C146" s="6"/>
      <c r="D146" s="10" t="str">
        <f>IF(D145="","",IF(COUNTIF(GameLog[Date],"&gt;"&amp;D145)=0,"",_xlfn.MINIFS(GameLog[Date],GameLog[Date],"&gt;"&amp;D145)))</f>
        <v/>
      </c>
      <c r="E146" s="6" t="str">
        <f t="shared" si="4"/>
        <v/>
      </c>
      <c r="F146" s="6" t="str">
        <f>IF(D146="","",COUNTIF(GameLog[Date],D146))</f>
        <v/>
      </c>
      <c r="G146" s="6" t="str">
        <f>IF(D146="","",IF(WEEKDAY(D146,2)&lt;&gt;Game_Day,"Not a "&amp;INDEX({"Monday","Tuesday","Wednesday","Thursday","Friday","Saturday","Sunday"},Game_Day),""))</f>
        <v/>
      </c>
      <c r="H146" s="6"/>
      <c r="I146" s="6" t="str">
        <f ca="1">IFERROR(ROW(GameLog[#Headers])+MATCH(ROWS(I$5:I146),GameLog[Flag No],0),"")</f>
        <v/>
      </c>
      <c r="J146" s="10" t="str">
        <f ca="1">IF($I146="","",INDEX(GameLog[Date],$I146-ROW(GameLog[#Headers])))</f>
        <v/>
      </c>
      <c r="K146" s="6" t="str">
        <f ca="1">IF($I146="","",INDEX(GameLog[Player],$I146-ROW(GameLog[#Headers])))</f>
        <v/>
      </c>
      <c r="L146" s="6" t="str">
        <f ca="1">IF($I146="","",INDEX(GameLog[Pod],$I146-ROW(GameLog[#Headers])))</f>
        <v/>
      </c>
      <c r="M146" s="6" t="str">
        <f ca="1">IF($I146="","",INDEX(GameLog[Round],$I146-ROW(GameLog[#Headers])))</f>
        <v/>
      </c>
      <c r="N146" s="6" t="str">
        <f ca="1">IF($I146="","",INDEX(GameLog[Check],$I146-ROW(GameLog[#Headers])))</f>
        <v/>
      </c>
    </row>
    <row r="147" spans="1:14" x14ac:dyDescent="0.45">
      <c r="A147" s="6"/>
      <c r="B147" s="6"/>
      <c r="C147" s="6"/>
      <c r="D147" s="10" t="str">
        <f>IF(D146="","",IF(COUNTIF(GameLog[Date],"&gt;"&amp;D146)=0,"",_xlfn.MINIFS(GameLog[Date],GameLog[Date],"&gt;"&amp;D146)))</f>
        <v/>
      </c>
      <c r="E147" s="6" t="str">
        <f t="shared" si="4"/>
        <v/>
      </c>
      <c r="F147" s="6" t="str">
        <f>IF(D147="","",COUNTIF(GameLog[Date],D147))</f>
        <v/>
      </c>
      <c r="G147" s="6" t="str">
        <f>IF(D147="","",IF(WEEKDAY(D147,2)&lt;&gt;Game_Day,"Not a "&amp;INDEX({"Monday","Tuesday","Wednesday","Thursday","Friday","Saturday","Sunday"},Game_Day),""))</f>
        <v/>
      </c>
      <c r="H147" s="6"/>
      <c r="I147" s="6" t="str">
        <f ca="1">IFERROR(ROW(GameLog[#Headers])+MATCH(ROWS(I$5:I147),GameLog[Flag No],0),"")</f>
        <v/>
      </c>
      <c r="J147" s="10" t="str">
        <f ca="1">IF($I147="","",INDEX(GameLog[Date],$I147-ROW(GameLog[#Headers])))</f>
        <v/>
      </c>
      <c r="K147" s="6" t="str">
        <f ca="1">IF($I147="","",INDEX(GameLog[Player],$I147-ROW(GameLog[#Headers])))</f>
        <v/>
      </c>
      <c r="L147" s="6" t="str">
        <f ca="1">IF($I147="","",INDEX(GameLog[Pod],$I147-ROW(GameLog[#Headers])))</f>
        <v/>
      </c>
      <c r="M147" s="6" t="str">
        <f ca="1">IF($I147="","",INDEX(GameLog[Round],$I147-ROW(GameLog[#Headers])))</f>
        <v/>
      </c>
      <c r="N147" s="6" t="str">
        <f ca="1">IF($I147="","",INDEX(GameLog[Check],$I147-ROW(GameLog[#Headers])))</f>
        <v/>
      </c>
    </row>
    <row r="148" spans="1:14" x14ac:dyDescent="0.45">
      <c r="A148" s="6"/>
      <c r="B148" s="6"/>
      <c r="C148" s="6"/>
      <c r="D148" s="10" t="str">
        <f>IF(D147="","",IF(COUNTIF(GameLog[Date],"&gt;"&amp;D147)=0,"",_xlfn.MINIFS(GameLog[Date],GameLog[Date],"&gt;"&amp;D147)))</f>
        <v/>
      </c>
      <c r="E148" s="6" t="str">
        <f t="shared" si="4"/>
        <v/>
      </c>
      <c r="F148" s="6" t="str">
        <f>IF(D148="","",COUNTIF(GameLog[Date],D148))</f>
        <v/>
      </c>
      <c r="G148" s="6" t="str">
        <f>IF(D148="","",IF(WEEKDAY(D148,2)&lt;&gt;Game_Day,"Not a "&amp;INDEX({"Monday","Tuesday","Wednesday","Thursday","Friday","Saturday","Sunday"},Game_Day),""))</f>
        <v/>
      </c>
      <c r="H148" s="6"/>
      <c r="I148" s="6" t="str">
        <f ca="1">IFERROR(ROW(GameLog[#Headers])+MATCH(ROWS(I$5:I148),GameLog[Flag No],0),"")</f>
        <v/>
      </c>
      <c r="J148" s="10" t="str">
        <f ca="1">IF($I148="","",INDEX(GameLog[Date],$I148-ROW(GameLog[#Headers])))</f>
        <v/>
      </c>
      <c r="K148" s="6" t="str">
        <f ca="1">IF($I148="","",INDEX(GameLog[Player],$I148-ROW(GameLog[#Headers])))</f>
        <v/>
      </c>
      <c r="L148" s="6" t="str">
        <f ca="1">IF($I148="","",INDEX(GameLog[Pod],$I148-ROW(GameLog[#Headers])))</f>
        <v/>
      </c>
      <c r="M148" s="6" t="str">
        <f ca="1">IF($I148="","",INDEX(GameLog[Round],$I148-ROW(GameLog[#Headers])))</f>
        <v/>
      </c>
      <c r="N148" s="6" t="str">
        <f ca="1">IF($I148="","",INDEX(GameLog[Check],$I148-ROW(GameLog[#Headers])))</f>
        <v/>
      </c>
    </row>
    <row r="149" spans="1:14" x14ac:dyDescent="0.45">
      <c r="A149" s="6"/>
      <c r="B149" s="6"/>
      <c r="C149" s="6"/>
      <c r="D149" s="10" t="str">
        <f>IF(D148="","",IF(COUNTIF(GameLog[Date],"&gt;"&amp;D148)=0,"",_xlfn.MINIFS(GameLog[Date],GameLog[Date],"&gt;"&amp;D148)))</f>
        <v/>
      </c>
      <c r="E149" s="6" t="str">
        <f t="shared" si="4"/>
        <v/>
      </c>
      <c r="F149" s="6" t="str">
        <f>IF(D149="","",COUNTIF(GameLog[Date],D149))</f>
        <v/>
      </c>
      <c r="G149" s="6" t="str">
        <f>IF(D149="","",IF(WEEKDAY(D149,2)&lt;&gt;Game_Day,"Not a "&amp;INDEX({"Monday","Tuesday","Wednesday","Thursday","Friday","Saturday","Sunday"},Game_Day),""))</f>
        <v/>
      </c>
      <c r="H149" s="6"/>
      <c r="I149" s="6" t="str">
        <f ca="1">IFERROR(ROW(GameLog[#Headers])+MATCH(ROWS(I$5:I149),GameLog[Flag No],0),"")</f>
        <v/>
      </c>
      <c r="J149" s="10" t="str">
        <f ca="1">IF($I149="","",INDEX(GameLog[Date],$I149-ROW(GameLog[#Headers])))</f>
        <v/>
      </c>
      <c r="K149" s="6" t="str">
        <f ca="1">IF($I149="","",INDEX(GameLog[Player],$I149-ROW(GameLog[#Headers])))</f>
        <v/>
      </c>
      <c r="L149" s="6" t="str">
        <f ca="1">IF($I149="","",INDEX(GameLog[Pod],$I149-ROW(GameLog[#Headers])))</f>
        <v/>
      </c>
      <c r="M149" s="6" t="str">
        <f ca="1">IF($I149="","",INDEX(GameLog[Round],$I149-ROW(GameLog[#Headers])))</f>
        <v/>
      </c>
      <c r="N149" s="6" t="str">
        <f ca="1">IF($I149="","",INDEX(GameLog[Check],$I149-ROW(GameLog[#Headers])))</f>
        <v/>
      </c>
    </row>
    <row r="150" spans="1:14" x14ac:dyDescent="0.45">
      <c r="A150" s="6"/>
      <c r="B150" s="6"/>
      <c r="C150" s="6"/>
      <c r="D150" s="10" t="str">
        <f>IF(D149="","",IF(COUNTIF(GameLog[Date],"&gt;"&amp;D149)=0,"",_xlfn.MINIFS(GameLog[Date],GameLog[Date],"&gt;"&amp;D149)))</f>
        <v/>
      </c>
      <c r="E150" s="6" t="str">
        <f t="shared" si="4"/>
        <v/>
      </c>
      <c r="F150" s="6" t="str">
        <f>IF(D150="","",COUNTIF(GameLog[Date],D150))</f>
        <v/>
      </c>
      <c r="G150" s="6" t="str">
        <f>IF(D150="","",IF(WEEKDAY(D150,2)&lt;&gt;Game_Day,"Not a "&amp;INDEX({"Monday","Tuesday","Wednesday","Thursday","Friday","Saturday","Sunday"},Game_Day),""))</f>
        <v/>
      </c>
      <c r="H150" s="6"/>
      <c r="I150" s="6" t="str">
        <f ca="1">IFERROR(ROW(GameLog[#Headers])+MATCH(ROWS(I$5:I150),GameLog[Flag No],0),"")</f>
        <v/>
      </c>
      <c r="J150" s="10" t="str">
        <f ca="1">IF($I150="","",INDEX(GameLog[Date],$I150-ROW(GameLog[#Headers])))</f>
        <v/>
      </c>
      <c r="K150" s="6" t="str">
        <f ca="1">IF($I150="","",INDEX(GameLog[Player],$I150-ROW(GameLog[#Headers])))</f>
        <v/>
      </c>
      <c r="L150" s="6" t="str">
        <f ca="1">IF($I150="","",INDEX(GameLog[Pod],$I150-ROW(GameLog[#Headers])))</f>
        <v/>
      </c>
      <c r="M150" s="6" t="str">
        <f ca="1">IF($I150="","",INDEX(GameLog[Round],$I150-ROW(GameLog[#Headers])))</f>
        <v/>
      </c>
      <c r="N150" s="6" t="str">
        <f ca="1">IF($I150="","",INDEX(GameLog[Check],$I150-ROW(GameLog[#Headers])))</f>
        <v/>
      </c>
    </row>
    <row r="151" spans="1:14" x14ac:dyDescent="0.45">
      <c r="A151" s="6"/>
      <c r="B151" s="6"/>
      <c r="C151" s="6"/>
      <c r="D151" s="10" t="str">
        <f>IF(D150="","",IF(COUNTIF(GameLog[Date],"&gt;"&amp;D150)=0,"",_xlfn.MINIFS(GameLog[Date],GameLog[Date],"&gt;"&amp;D150)))</f>
        <v/>
      </c>
      <c r="E151" s="6" t="str">
        <f t="shared" si="4"/>
        <v/>
      </c>
      <c r="F151" s="6" t="str">
        <f>IF(D151="","",COUNTIF(GameLog[Date],D151))</f>
        <v/>
      </c>
      <c r="G151" s="6" t="str">
        <f>IF(D151="","",IF(WEEKDAY(D151,2)&lt;&gt;Game_Day,"Not a "&amp;INDEX({"Monday","Tuesday","Wednesday","Thursday","Friday","Saturday","Sunday"},Game_Day),""))</f>
        <v/>
      </c>
      <c r="H151" s="6"/>
      <c r="I151" s="6" t="str">
        <f ca="1">IFERROR(ROW(GameLog[#Headers])+MATCH(ROWS(I$5:I151),GameLog[Flag No],0),"")</f>
        <v/>
      </c>
      <c r="J151" s="10" t="str">
        <f ca="1">IF($I151="","",INDEX(GameLog[Date],$I151-ROW(GameLog[#Headers])))</f>
        <v/>
      </c>
      <c r="K151" s="6" t="str">
        <f ca="1">IF($I151="","",INDEX(GameLog[Player],$I151-ROW(GameLog[#Headers])))</f>
        <v/>
      </c>
      <c r="L151" s="6" t="str">
        <f ca="1">IF($I151="","",INDEX(GameLog[Pod],$I151-ROW(GameLog[#Headers])))</f>
        <v/>
      </c>
      <c r="M151" s="6" t="str">
        <f ca="1">IF($I151="","",INDEX(GameLog[Round],$I151-ROW(GameLog[#Headers])))</f>
        <v/>
      </c>
      <c r="N151" s="6" t="str">
        <f ca="1">IF($I151="","",INDEX(GameLog[Check],$I151-ROW(GameLog[#Headers])))</f>
        <v/>
      </c>
    </row>
    <row r="152" spans="1:14" x14ac:dyDescent="0.45">
      <c r="A152" s="6"/>
      <c r="B152" s="6"/>
      <c r="C152" s="6"/>
      <c r="D152" s="10" t="str">
        <f>IF(D151="","",IF(COUNTIF(GameLog[Date],"&gt;"&amp;D151)=0,"",_xlfn.MINIFS(GameLog[Date],GameLog[Date],"&gt;"&amp;D151)))</f>
        <v/>
      </c>
      <c r="E152" s="6" t="str">
        <f t="shared" si="4"/>
        <v/>
      </c>
      <c r="F152" s="6" t="str">
        <f>IF(D152="","",COUNTIF(GameLog[Date],D152))</f>
        <v/>
      </c>
      <c r="G152" s="6" t="str">
        <f>IF(D152="","",IF(WEEKDAY(D152,2)&lt;&gt;Game_Day,"Not a "&amp;INDEX({"Monday","Tuesday","Wednesday","Thursday","Friday","Saturday","Sunday"},Game_Day),""))</f>
        <v/>
      </c>
      <c r="H152" s="6"/>
      <c r="I152" s="6" t="str">
        <f ca="1">IFERROR(ROW(GameLog[#Headers])+MATCH(ROWS(I$5:I152),GameLog[Flag No],0),"")</f>
        <v/>
      </c>
      <c r="J152" s="10" t="str">
        <f ca="1">IF($I152="","",INDEX(GameLog[Date],$I152-ROW(GameLog[#Headers])))</f>
        <v/>
      </c>
      <c r="K152" s="6" t="str">
        <f ca="1">IF($I152="","",INDEX(GameLog[Player],$I152-ROW(GameLog[#Headers])))</f>
        <v/>
      </c>
      <c r="L152" s="6" t="str">
        <f ca="1">IF($I152="","",INDEX(GameLog[Pod],$I152-ROW(GameLog[#Headers])))</f>
        <v/>
      </c>
      <c r="M152" s="6" t="str">
        <f ca="1">IF($I152="","",INDEX(GameLog[Round],$I152-ROW(GameLog[#Headers])))</f>
        <v/>
      </c>
      <c r="N152" s="6" t="str">
        <f ca="1">IF($I152="","",INDEX(GameLog[Check],$I152-ROW(GameLog[#Headers])))</f>
        <v/>
      </c>
    </row>
    <row r="153" spans="1:14" x14ac:dyDescent="0.45">
      <c r="A153" s="6"/>
      <c r="B153" s="6"/>
      <c r="C153" s="6"/>
      <c r="D153" s="10" t="str">
        <f>IF(D152="","",IF(COUNTIF(GameLog[Date],"&gt;"&amp;D152)=0,"",_xlfn.MINIFS(GameLog[Date],GameLog[Date],"&gt;"&amp;D152)))</f>
        <v/>
      </c>
      <c r="E153" s="6" t="str">
        <f t="shared" si="4"/>
        <v/>
      </c>
      <c r="F153" s="6" t="str">
        <f>IF(D153="","",COUNTIF(GameLog[Date],D153))</f>
        <v/>
      </c>
      <c r="G153" s="6" t="str">
        <f>IF(D153="","",IF(WEEKDAY(D153,2)&lt;&gt;Game_Day,"Not a "&amp;INDEX({"Monday","Tuesday","Wednesday","Thursday","Friday","Saturday","Sunday"},Game_Day),""))</f>
        <v/>
      </c>
      <c r="H153" s="6"/>
      <c r="I153" s="6" t="str">
        <f ca="1">IFERROR(ROW(GameLog[#Headers])+MATCH(ROWS(I$5:I153),GameLog[Flag No],0),"")</f>
        <v/>
      </c>
      <c r="J153" s="10" t="str">
        <f ca="1">IF($I153="","",INDEX(GameLog[Date],$I153-ROW(GameLog[#Headers])))</f>
        <v/>
      </c>
      <c r="K153" s="6" t="str">
        <f ca="1">IF($I153="","",INDEX(GameLog[Player],$I153-ROW(GameLog[#Headers])))</f>
        <v/>
      </c>
      <c r="L153" s="6" t="str">
        <f ca="1">IF($I153="","",INDEX(GameLog[Pod],$I153-ROW(GameLog[#Headers])))</f>
        <v/>
      </c>
      <c r="M153" s="6" t="str">
        <f ca="1">IF($I153="","",INDEX(GameLog[Round],$I153-ROW(GameLog[#Headers])))</f>
        <v/>
      </c>
      <c r="N153" s="6" t="str">
        <f ca="1">IF($I153="","",INDEX(GameLog[Check],$I153-ROW(GameLog[#Headers])))</f>
        <v/>
      </c>
    </row>
    <row r="154" spans="1:14" x14ac:dyDescent="0.45">
      <c r="A154" s="6"/>
      <c r="B154" s="6"/>
      <c r="C154" s="6"/>
      <c r="D154" s="10" t="str">
        <f>IF(D153="","",IF(COUNTIF(GameLog[Date],"&gt;"&amp;D153)=0,"",_xlfn.MINIFS(GameLog[Date],GameLog[Date],"&gt;"&amp;D153)))</f>
        <v/>
      </c>
      <c r="E154" s="6" t="str">
        <f t="shared" si="4"/>
        <v/>
      </c>
      <c r="F154" s="6" t="str">
        <f>IF(D154="","",COUNTIF(GameLog[Date],D154))</f>
        <v/>
      </c>
      <c r="G154" s="6" t="str">
        <f>IF(D154="","",IF(WEEKDAY(D154,2)&lt;&gt;Game_Day,"Not a "&amp;INDEX({"Monday","Tuesday","Wednesday","Thursday","Friday","Saturday","Sunday"},Game_Day),""))</f>
        <v/>
      </c>
      <c r="H154" s="6"/>
      <c r="I154" s="6" t="str">
        <f ca="1">IFERROR(ROW(GameLog[#Headers])+MATCH(ROWS(I$5:I154),GameLog[Flag No],0),"")</f>
        <v/>
      </c>
      <c r="J154" s="10" t="str">
        <f ca="1">IF($I154="","",INDEX(GameLog[Date],$I154-ROW(GameLog[#Headers])))</f>
        <v/>
      </c>
      <c r="K154" s="6" t="str">
        <f ca="1">IF($I154="","",INDEX(GameLog[Player],$I154-ROW(GameLog[#Headers])))</f>
        <v/>
      </c>
      <c r="L154" s="6" t="str">
        <f ca="1">IF($I154="","",INDEX(GameLog[Pod],$I154-ROW(GameLog[#Headers])))</f>
        <v/>
      </c>
      <c r="M154" s="6" t="str">
        <f ca="1">IF($I154="","",INDEX(GameLog[Round],$I154-ROW(GameLog[#Headers])))</f>
        <v/>
      </c>
      <c r="N154" s="6" t="str">
        <f ca="1">IF($I154="","",INDEX(GameLog[Check],$I154-ROW(GameLog[#Headers])))</f>
        <v/>
      </c>
    </row>
    <row r="155" spans="1:14" x14ac:dyDescent="0.45">
      <c r="A155" s="6"/>
      <c r="B155" s="6"/>
      <c r="C155" s="6"/>
      <c r="D155" s="6"/>
      <c r="E155" s="6"/>
      <c r="F155" s="6"/>
      <c r="G155" s="6"/>
      <c r="H155" s="6"/>
      <c r="I155" s="6" t="str">
        <f ca="1">IFERROR(ROW(GameLog[#Headers])+MATCH(ROWS(I$5:I155),GameLog[Flag No],0),"")</f>
        <v/>
      </c>
      <c r="J155" s="10" t="str">
        <f ca="1">IF($I155="","",INDEX(GameLog[Date],$I155-ROW(GameLog[#Headers])))</f>
        <v/>
      </c>
      <c r="K155" s="6" t="str">
        <f ca="1">IF($I155="","",INDEX(GameLog[Player],$I155-ROW(GameLog[#Headers])))</f>
        <v/>
      </c>
      <c r="L155" s="6" t="str">
        <f ca="1">IF($I155="","",INDEX(GameLog[Pod],$I155-ROW(GameLog[#Headers])))</f>
        <v/>
      </c>
      <c r="M155" s="6" t="str">
        <f ca="1">IF($I155="","",INDEX(GameLog[Round],$I155-ROW(GameLog[#Headers])))</f>
        <v/>
      </c>
      <c r="N155" s="6" t="str">
        <f ca="1">IF($I155="","",INDEX(GameLog[Check],$I155-ROW(GameLog[#Headers])))</f>
        <v/>
      </c>
    </row>
    <row r="156" spans="1:14" x14ac:dyDescent="0.45">
      <c r="A156" s="6"/>
      <c r="B156" s="6"/>
      <c r="C156" s="6"/>
      <c r="D156" s="6"/>
      <c r="E156" s="6"/>
      <c r="F156" s="6"/>
      <c r="G156" s="6"/>
      <c r="H156" s="6"/>
      <c r="I156" s="6" t="str">
        <f ca="1">IFERROR(ROW(GameLog[#Headers])+MATCH(ROWS(I$5:I156),GameLog[Flag No],0),"")</f>
        <v/>
      </c>
      <c r="J156" s="10" t="str">
        <f ca="1">IF($I156="","",INDEX(GameLog[Date],$I156-ROW(GameLog[#Headers])))</f>
        <v/>
      </c>
      <c r="K156" s="6" t="str">
        <f ca="1">IF($I156="","",INDEX(GameLog[Player],$I156-ROW(GameLog[#Headers])))</f>
        <v/>
      </c>
      <c r="L156" s="6" t="str">
        <f ca="1">IF($I156="","",INDEX(GameLog[Pod],$I156-ROW(GameLog[#Headers])))</f>
        <v/>
      </c>
      <c r="M156" s="6" t="str">
        <f ca="1">IF($I156="","",INDEX(GameLog[Round],$I156-ROW(GameLog[#Headers])))</f>
        <v/>
      </c>
      <c r="N156" s="6" t="str">
        <f ca="1">IF($I156="","",INDEX(GameLog[Check],$I156-ROW(GameLog[#Headers])))</f>
        <v/>
      </c>
    </row>
    <row r="157" spans="1:14" x14ac:dyDescent="0.45">
      <c r="A157" s="6"/>
      <c r="B157" s="6"/>
      <c r="C157" s="6"/>
      <c r="D157" s="6"/>
      <c r="E157" s="6"/>
      <c r="F157" s="6"/>
      <c r="G157" s="6"/>
      <c r="H157" s="6"/>
      <c r="I157" s="6" t="str">
        <f ca="1">IFERROR(ROW(GameLog[#Headers])+MATCH(ROWS(I$5:I157),GameLog[Flag No],0),"")</f>
        <v/>
      </c>
      <c r="J157" s="10" t="str">
        <f ca="1">IF($I157="","",INDEX(GameLog[Date],$I157-ROW(GameLog[#Headers])))</f>
        <v/>
      </c>
      <c r="K157" s="6" t="str">
        <f ca="1">IF($I157="","",INDEX(GameLog[Player],$I157-ROW(GameLog[#Headers])))</f>
        <v/>
      </c>
      <c r="L157" s="6" t="str">
        <f ca="1">IF($I157="","",INDEX(GameLog[Pod],$I157-ROW(GameLog[#Headers])))</f>
        <v/>
      </c>
      <c r="M157" s="6" t="str">
        <f ca="1">IF($I157="","",INDEX(GameLog[Round],$I157-ROW(GameLog[#Headers])))</f>
        <v/>
      </c>
      <c r="N157" s="6" t="str">
        <f ca="1">IF($I157="","",INDEX(GameLog[Check],$I157-ROW(GameLog[#Headers])))</f>
        <v/>
      </c>
    </row>
    <row r="158" spans="1:14" x14ac:dyDescent="0.45">
      <c r="A158" s="6"/>
      <c r="B158" s="6"/>
      <c r="C158" s="6"/>
      <c r="D158" s="6"/>
      <c r="E158" s="6"/>
      <c r="F158" s="6"/>
      <c r="G158" s="6"/>
      <c r="H158" s="6"/>
      <c r="I158" s="6" t="str">
        <f ca="1">IFERROR(ROW(GameLog[#Headers])+MATCH(ROWS(I$5:I158),GameLog[Flag No],0),"")</f>
        <v/>
      </c>
      <c r="J158" s="10" t="str">
        <f ca="1">IF($I158="","",INDEX(GameLog[Date],$I158-ROW(GameLog[#Headers])))</f>
        <v/>
      </c>
      <c r="K158" s="6" t="str">
        <f ca="1">IF($I158="","",INDEX(GameLog[Player],$I158-ROW(GameLog[#Headers])))</f>
        <v/>
      </c>
      <c r="L158" s="6" t="str">
        <f ca="1">IF($I158="","",INDEX(GameLog[Pod],$I158-ROW(GameLog[#Headers])))</f>
        <v/>
      </c>
      <c r="M158" s="6" t="str">
        <f ca="1">IF($I158="","",INDEX(GameLog[Round],$I158-ROW(GameLog[#Headers])))</f>
        <v/>
      </c>
      <c r="N158" s="6" t="str">
        <f ca="1">IF($I158="","",INDEX(GameLog[Check],$I158-ROW(GameLog[#Headers])))</f>
        <v/>
      </c>
    </row>
    <row r="159" spans="1:14" x14ac:dyDescent="0.45">
      <c r="A159" s="6"/>
      <c r="B159" s="6"/>
      <c r="C159" s="6"/>
      <c r="D159" s="6"/>
      <c r="E159" s="6"/>
      <c r="F159" s="6"/>
      <c r="G159" s="6"/>
      <c r="H159" s="6"/>
      <c r="I159" s="6" t="str">
        <f ca="1">IFERROR(ROW(GameLog[#Headers])+MATCH(ROWS(I$5:I159),GameLog[Flag No],0),"")</f>
        <v/>
      </c>
      <c r="J159" s="10" t="str">
        <f ca="1">IF($I159="","",INDEX(GameLog[Date],$I159-ROW(GameLog[#Headers])))</f>
        <v/>
      </c>
      <c r="K159" s="6" t="str">
        <f ca="1">IF($I159="","",INDEX(GameLog[Player],$I159-ROW(GameLog[#Headers])))</f>
        <v/>
      </c>
      <c r="L159" s="6" t="str">
        <f ca="1">IF($I159="","",INDEX(GameLog[Pod],$I159-ROW(GameLog[#Headers])))</f>
        <v/>
      </c>
      <c r="M159" s="6" t="str">
        <f ca="1">IF($I159="","",INDEX(GameLog[Round],$I159-ROW(GameLog[#Headers])))</f>
        <v/>
      </c>
      <c r="N159" s="6" t="str">
        <f ca="1">IF($I159="","",INDEX(GameLog[Check],$I159-ROW(GameLog[#Headers])))</f>
        <v/>
      </c>
    </row>
    <row r="160" spans="1:14" x14ac:dyDescent="0.45">
      <c r="A160" s="6"/>
      <c r="B160" s="6"/>
      <c r="C160" s="6"/>
      <c r="D160" s="6"/>
      <c r="E160" s="6"/>
      <c r="F160" s="6"/>
      <c r="G160" s="6"/>
      <c r="H160" s="6"/>
      <c r="I160" s="6" t="str">
        <f ca="1">IFERROR(ROW(GameLog[#Headers])+MATCH(ROWS(I$5:I160),GameLog[Flag No],0),"")</f>
        <v/>
      </c>
      <c r="J160" s="10" t="str">
        <f ca="1">IF($I160="","",INDEX(GameLog[Date],$I160-ROW(GameLog[#Headers])))</f>
        <v/>
      </c>
      <c r="K160" s="6" t="str">
        <f ca="1">IF($I160="","",INDEX(GameLog[Player],$I160-ROW(GameLog[#Headers])))</f>
        <v/>
      </c>
      <c r="L160" s="6" t="str">
        <f ca="1">IF($I160="","",INDEX(GameLog[Pod],$I160-ROW(GameLog[#Headers])))</f>
        <v/>
      </c>
      <c r="M160" s="6" t="str">
        <f ca="1">IF($I160="","",INDEX(GameLog[Round],$I160-ROW(GameLog[#Headers])))</f>
        <v/>
      </c>
      <c r="N160" s="6" t="str">
        <f ca="1">IF($I160="","",INDEX(GameLog[Check],$I160-ROW(GameLog[#Headers])))</f>
        <v/>
      </c>
    </row>
    <row r="161" spans="1:14" x14ac:dyDescent="0.45">
      <c r="A161" s="6"/>
      <c r="B161" s="6"/>
      <c r="C161" s="6"/>
      <c r="D161" s="6"/>
      <c r="E161" s="6"/>
      <c r="F161" s="6"/>
      <c r="G161" s="6"/>
      <c r="H161" s="6"/>
      <c r="I161" s="6" t="str">
        <f ca="1">IFERROR(ROW(GameLog[#Headers])+MATCH(ROWS(I$5:I161),GameLog[Flag No],0),"")</f>
        <v/>
      </c>
      <c r="J161" s="10" t="str">
        <f ca="1">IF($I161="","",INDEX(GameLog[Date],$I161-ROW(GameLog[#Headers])))</f>
        <v/>
      </c>
      <c r="K161" s="6" t="str">
        <f ca="1">IF($I161="","",INDEX(GameLog[Player],$I161-ROW(GameLog[#Headers])))</f>
        <v/>
      </c>
      <c r="L161" s="6" t="str">
        <f ca="1">IF($I161="","",INDEX(GameLog[Pod],$I161-ROW(GameLog[#Headers])))</f>
        <v/>
      </c>
      <c r="M161" s="6" t="str">
        <f ca="1">IF($I161="","",INDEX(GameLog[Round],$I161-ROW(GameLog[#Headers])))</f>
        <v/>
      </c>
      <c r="N161" s="6" t="str">
        <f ca="1">IF($I161="","",INDEX(GameLog[Check],$I161-ROW(GameLog[#Headers])))</f>
        <v/>
      </c>
    </row>
    <row r="162" spans="1:14" x14ac:dyDescent="0.45">
      <c r="A162" s="6"/>
      <c r="B162" s="6"/>
      <c r="C162" s="6"/>
      <c r="D162" s="6"/>
      <c r="E162" s="6"/>
      <c r="F162" s="6"/>
      <c r="G162" s="6"/>
      <c r="H162" s="6"/>
      <c r="I162" s="6" t="str">
        <f ca="1">IFERROR(ROW(GameLog[#Headers])+MATCH(ROWS(I$5:I162),GameLog[Flag No],0),"")</f>
        <v/>
      </c>
      <c r="J162" s="10" t="str">
        <f ca="1">IF($I162="","",INDEX(GameLog[Date],$I162-ROW(GameLog[#Headers])))</f>
        <v/>
      </c>
      <c r="K162" s="6" t="str">
        <f ca="1">IF($I162="","",INDEX(GameLog[Player],$I162-ROW(GameLog[#Headers])))</f>
        <v/>
      </c>
      <c r="L162" s="6" t="str">
        <f ca="1">IF($I162="","",INDEX(GameLog[Pod],$I162-ROW(GameLog[#Headers])))</f>
        <v/>
      </c>
      <c r="M162" s="6" t="str">
        <f ca="1">IF($I162="","",INDEX(GameLog[Round],$I162-ROW(GameLog[#Headers])))</f>
        <v/>
      </c>
      <c r="N162" s="6" t="str">
        <f ca="1">IF($I162="","",INDEX(GameLog[Check],$I162-ROW(GameLog[#Headers])))</f>
        <v/>
      </c>
    </row>
    <row r="163" spans="1:14" x14ac:dyDescent="0.45">
      <c r="A163" s="6"/>
      <c r="B163" s="6"/>
      <c r="C163" s="6"/>
      <c r="D163" s="6"/>
      <c r="E163" s="6"/>
      <c r="F163" s="6"/>
      <c r="G163" s="6"/>
      <c r="H163" s="6"/>
      <c r="I163" s="6" t="str">
        <f ca="1">IFERROR(ROW(GameLog[#Headers])+MATCH(ROWS(I$5:I163),GameLog[Flag No],0),"")</f>
        <v/>
      </c>
      <c r="J163" s="10" t="str">
        <f ca="1">IF($I163="","",INDEX(GameLog[Date],$I163-ROW(GameLog[#Headers])))</f>
        <v/>
      </c>
      <c r="K163" s="6" t="str">
        <f ca="1">IF($I163="","",INDEX(GameLog[Player],$I163-ROW(GameLog[#Headers])))</f>
        <v/>
      </c>
      <c r="L163" s="6" t="str">
        <f ca="1">IF($I163="","",INDEX(GameLog[Pod],$I163-ROW(GameLog[#Headers])))</f>
        <v/>
      </c>
      <c r="M163" s="6" t="str">
        <f ca="1">IF($I163="","",INDEX(GameLog[Round],$I163-ROW(GameLog[#Headers])))</f>
        <v/>
      </c>
      <c r="N163" s="6" t="str">
        <f ca="1">IF($I163="","",INDEX(GameLog[Check],$I163-ROW(GameLog[#Headers])))</f>
        <v/>
      </c>
    </row>
    <row r="164" spans="1:14" x14ac:dyDescent="0.45">
      <c r="A164" s="6"/>
      <c r="B164" s="6"/>
      <c r="C164" s="6"/>
      <c r="D164" s="6"/>
      <c r="E164" s="6"/>
      <c r="F164" s="6"/>
      <c r="G164" s="6"/>
      <c r="H164" s="6"/>
      <c r="I164" s="6" t="str">
        <f ca="1">IFERROR(ROW(GameLog[#Headers])+MATCH(ROWS(I$5:I164),GameLog[Flag No],0),"")</f>
        <v/>
      </c>
      <c r="J164" s="10" t="str">
        <f ca="1">IF($I164="","",INDEX(GameLog[Date],$I164-ROW(GameLog[#Headers])))</f>
        <v/>
      </c>
      <c r="K164" s="6" t="str">
        <f ca="1">IF($I164="","",INDEX(GameLog[Player],$I164-ROW(GameLog[#Headers])))</f>
        <v/>
      </c>
      <c r="L164" s="6" t="str">
        <f ca="1">IF($I164="","",INDEX(GameLog[Pod],$I164-ROW(GameLog[#Headers])))</f>
        <v/>
      </c>
      <c r="M164" s="6" t="str">
        <f ca="1">IF($I164="","",INDEX(GameLog[Round],$I164-ROW(GameLog[#Headers])))</f>
        <v/>
      </c>
      <c r="N164" s="6" t="str">
        <f ca="1">IF($I164="","",INDEX(GameLog[Check],$I164-ROW(GameLog[#Headers])))</f>
        <v/>
      </c>
    </row>
    <row r="165" spans="1:14" x14ac:dyDescent="0.45">
      <c r="A165" s="6"/>
      <c r="B165" s="6"/>
      <c r="C165" s="6"/>
      <c r="D165" s="6"/>
      <c r="E165" s="6"/>
      <c r="F165" s="6"/>
      <c r="G165" s="6"/>
      <c r="H165" s="6"/>
      <c r="I165" s="6" t="str">
        <f ca="1">IFERROR(ROW(GameLog[#Headers])+MATCH(ROWS(I$5:I165),GameLog[Flag No],0),"")</f>
        <v/>
      </c>
      <c r="J165" s="10" t="str">
        <f ca="1">IF($I165="","",INDEX(GameLog[Date],$I165-ROW(GameLog[#Headers])))</f>
        <v/>
      </c>
      <c r="K165" s="6" t="str">
        <f ca="1">IF($I165="","",INDEX(GameLog[Player],$I165-ROW(GameLog[#Headers])))</f>
        <v/>
      </c>
      <c r="L165" s="6" t="str">
        <f ca="1">IF($I165="","",INDEX(GameLog[Pod],$I165-ROW(GameLog[#Headers])))</f>
        <v/>
      </c>
      <c r="M165" s="6" t="str">
        <f ca="1">IF($I165="","",INDEX(GameLog[Round],$I165-ROW(GameLog[#Headers])))</f>
        <v/>
      </c>
      <c r="N165" s="6" t="str">
        <f ca="1">IF($I165="","",INDEX(GameLog[Check],$I165-ROW(GameLog[#Headers])))</f>
        <v/>
      </c>
    </row>
    <row r="166" spans="1:14" x14ac:dyDescent="0.45">
      <c r="A166" s="6"/>
      <c r="B166" s="6"/>
      <c r="C166" s="6"/>
      <c r="D166" s="6"/>
      <c r="E166" s="6"/>
      <c r="F166" s="6"/>
      <c r="G166" s="6"/>
      <c r="H166" s="6"/>
      <c r="I166" s="6" t="str">
        <f ca="1">IFERROR(ROW(GameLog[#Headers])+MATCH(ROWS(I$5:I166),GameLog[Flag No],0),"")</f>
        <v/>
      </c>
      <c r="J166" s="10" t="str">
        <f ca="1">IF($I166="","",INDEX(GameLog[Date],$I166-ROW(GameLog[#Headers])))</f>
        <v/>
      </c>
      <c r="K166" s="6" t="str">
        <f ca="1">IF($I166="","",INDEX(GameLog[Player],$I166-ROW(GameLog[#Headers])))</f>
        <v/>
      </c>
      <c r="L166" s="6" t="str">
        <f ca="1">IF($I166="","",INDEX(GameLog[Pod],$I166-ROW(GameLog[#Headers])))</f>
        <v/>
      </c>
      <c r="M166" s="6" t="str">
        <f ca="1">IF($I166="","",INDEX(GameLog[Round],$I166-ROW(GameLog[#Headers])))</f>
        <v/>
      </c>
      <c r="N166" s="6" t="str">
        <f ca="1">IF($I166="","",INDEX(GameLog[Check],$I166-ROW(GameLog[#Headers])))</f>
        <v/>
      </c>
    </row>
    <row r="167" spans="1:14" x14ac:dyDescent="0.45">
      <c r="A167" s="6"/>
      <c r="B167" s="6"/>
      <c r="C167" s="6"/>
      <c r="D167" s="6"/>
      <c r="E167" s="6"/>
      <c r="F167" s="6"/>
      <c r="G167" s="6"/>
      <c r="H167" s="6"/>
      <c r="I167" s="6" t="str">
        <f ca="1">IFERROR(ROW(GameLog[#Headers])+MATCH(ROWS(I$5:I167),GameLog[Flag No],0),"")</f>
        <v/>
      </c>
      <c r="J167" s="10" t="str">
        <f ca="1">IF($I167="","",INDEX(GameLog[Date],$I167-ROW(GameLog[#Headers])))</f>
        <v/>
      </c>
      <c r="K167" s="6" t="str">
        <f ca="1">IF($I167="","",INDEX(GameLog[Player],$I167-ROW(GameLog[#Headers])))</f>
        <v/>
      </c>
      <c r="L167" s="6" t="str">
        <f ca="1">IF($I167="","",INDEX(GameLog[Pod],$I167-ROW(GameLog[#Headers])))</f>
        <v/>
      </c>
      <c r="M167" s="6" t="str">
        <f ca="1">IF($I167="","",INDEX(GameLog[Round],$I167-ROW(GameLog[#Headers])))</f>
        <v/>
      </c>
      <c r="N167" s="6" t="str">
        <f ca="1">IF($I167="","",INDEX(GameLog[Check],$I167-ROW(GameLog[#Headers])))</f>
        <v/>
      </c>
    </row>
    <row r="168" spans="1:14" x14ac:dyDescent="0.45">
      <c r="A168" s="6"/>
      <c r="B168" s="6"/>
      <c r="C168" s="6"/>
      <c r="D168" s="6"/>
      <c r="E168" s="6"/>
      <c r="F168" s="6"/>
      <c r="G168" s="6"/>
      <c r="H168" s="6"/>
      <c r="I168" s="6" t="str">
        <f ca="1">IFERROR(ROW(GameLog[#Headers])+MATCH(ROWS(I$5:I168),GameLog[Flag No],0),"")</f>
        <v/>
      </c>
      <c r="J168" s="10" t="str">
        <f ca="1">IF($I168="","",INDEX(GameLog[Date],$I168-ROW(GameLog[#Headers])))</f>
        <v/>
      </c>
      <c r="K168" s="6" t="str">
        <f ca="1">IF($I168="","",INDEX(GameLog[Player],$I168-ROW(GameLog[#Headers])))</f>
        <v/>
      </c>
      <c r="L168" s="6" t="str">
        <f ca="1">IF($I168="","",INDEX(GameLog[Pod],$I168-ROW(GameLog[#Headers])))</f>
        <v/>
      </c>
      <c r="M168" s="6" t="str">
        <f ca="1">IF($I168="","",INDEX(GameLog[Round],$I168-ROW(GameLog[#Headers])))</f>
        <v/>
      </c>
      <c r="N168" s="6" t="str">
        <f ca="1">IF($I168="","",INDEX(GameLog[Check],$I168-ROW(GameLog[#Headers])))</f>
        <v/>
      </c>
    </row>
    <row r="169" spans="1:14" x14ac:dyDescent="0.45">
      <c r="A169" s="6"/>
      <c r="B169" s="6"/>
      <c r="C169" s="6"/>
      <c r="D169" s="6"/>
      <c r="E169" s="6"/>
      <c r="F169" s="6"/>
      <c r="G169" s="6"/>
      <c r="H169" s="6"/>
      <c r="I169" s="6" t="str">
        <f ca="1">IFERROR(ROW(GameLog[#Headers])+MATCH(ROWS(I$5:I169),GameLog[Flag No],0),"")</f>
        <v/>
      </c>
      <c r="J169" s="10" t="str">
        <f ca="1">IF($I169="","",INDEX(GameLog[Date],$I169-ROW(GameLog[#Headers])))</f>
        <v/>
      </c>
      <c r="K169" s="6" t="str">
        <f ca="1">IF($I169="","",INDEX(GameLog[Player],$I169-ROW(GameLog[#Headers])))</f>
        <v/>
      </c>
      <c r="L169" s="6" t="str">
        <f ca="1">IF($I169="","",INDEX(GameLog[Pod],$I169-ROW(GameLog[#Headers])))</f>
        <v/>
      </c>
      <c r="M169" s="6" t="str">
        <f ca="1">IF($I169="","",INDEX(GameLog[Round],$I169-ROW(GameLog[#Headers])))</f>
        <v/>
      </c>
      <c r="N169" s="6" t="str">
        <f ca="1">IF($I169="","",INDEX(GameLog[Check],$I169-ROW(GameLog[#Headers])))</f>
        <v/>
      </c>
    </row>
    <row r="170" spans="1:14" x14ac:dyDescent="0.45">
      <c r="A170" s="6"/>
      <c r="B170" s="6"/>
      <c r="C170" s="6"/>
      <c r="D170" s="6"/>
      <c r="E170" s="6"/>
      <c r="F170" s="6"/>
      <c r="G170" s="6"/>
      <c r="H170" s="6"/>
      <c r="I170" s="6" t="str">
        <f ca="1">IFERROR(ROW(GameLog[#Headers])+MATCH(ROWS(I$5:I170),GameLog[Flag No],0),"")</f>
        <v/>
      </c>
      <c r="J170" s="10" t="str">
        <f ca="1">IF($I170="","",INDEX(GameLog[Date],$I170-ROW(GameLog[#Headers])))</f>
        <v/>
      </c>
      <c r="K170" s="6" t="str">
        <f ca="1">IF($I170="","",INDEX(GameLog[Player],$I170-ROW(GameLog[#Headers])))</f>
        <v/>
      </c>
      <c r="L170" s="6" t="str">
        <f ca="1">IF($I170="","",INDEX(GameLog[Pod],$I170-ROW(GameLog[#Headers])))</f>
        <v/>
      </c>
      <c r="M170" s="6" t="str">
        <f ca="1">IF($I170="","",INDEX(GameLog[Round],$I170-ROW(GameLog[#Headers])))</f>
        <v/>
      </c>
      <c r="N170" s="6" t="str">
        <f ca="1">IF($I170="","",INDEX(GameLog[Check],$I170-ROW(GameLog[#Headers])))</f>
        <v/>
      </c>
    </row>
    <row r="171" spans="1:14" x14ac:dyDescent="0.45">
      <c r="A171" s="6"/>
      <c r="B171" s="6"/>
      <c r="C171" s="6"/>
      <c r="D171" s="6"/>
      <c r="E171" s="6"/>
      <c r="F171" s="6"/>
      <c r="G171" s="6"/>
      <c r="H171" s="6"/>
      <c r="I171" s="6" t="str">
        <f ca="1">IFERROR(ROW(GameLog[#Headers])+MATCH(ROWS(I$5:I171),GameLog[Flag No],0),"")</f>
        <v/>
      </c>
      <c r="J171" s="10" t="str">
        <f ca="1">IF($I171="","",INDEX(GameLog[Date],$I171-ROW(GameLog[#Headers])))</f>
        <v/>
      </c>
      <c r="K171" s="6" t="str">
        <f ca="1">IF($I171="","",INDEX(GameLog[Player],$I171-ROW(GameLog[#Headers])))</f>
        <v/>
      </c>
      <c r="L171" s="6" t="str">
        <f ca="1">IF($I171="","",INDEX(GameLog[Pod],$I171-ROW(GameLog[#Headers])))</f>
        <v/>
      </c>
      <c r="M171" s="6" t="str">
        <f ca="1">IF($I171="","",INDEX(GameLog[Round],$I171-ROW(GameLog[#Headers])))</f>
        <v/>
      </c>
      <c r="N171" s="6" t="str">
        <f ca="1">IF($I171="","",INDEX(GameLog[Check],$I171-ROW(GameLog[#Headers])))</f>
        <v/>
      </c>
    </row>
    <row r="172" spans="1:14" x14ac:dyDescent="0.45">
      <c r="A172" s="6"/>
      <c r="B172" s="6"/>
      <c r="C172" s="6"/>
      <c r="D172" s="6"/>
      <c r="E172" s="6"/>
      <c r="F172" s="6"/>
      <c r="G172" s="6"/>
      <c r="H172" s="6"/>
      <c r="I172" s="6" t="str">
        <f ca="1">IFERROR(ROW(GameLog[#Headers])+MATCH(ROWS(I$5:I172),GameLog[Flag No],0),"")</f>
        <v/>
      </c>
      <c r="J172" s="10" t="str">
        <f ca="1">IF($I172="","",INDEX(GameLog[Date],$I172-ROW(GameLog[#Headers])))</f>
        <v/>
      </c>
      <c r="K172" s="6" t="str">
        <f ca="1">IF($I172="","",INDEX(GameLog[Player],$I172-ROW(GameLog[#Headers])))</f>
        <v/>
      </c>
      <c r="L172" s="6" t="str">
        <f ca="1">IF($I172="","",INDEX(GameLog[Pod],$I172-ROW(GameLog[#Headers])))</f>
        <v/>
      </c>
      <c r="M172" s="6" t="str">
        <f ca="1">IF($I172="","",INDEX(GameLog[Round],$I172-ROW(GameLog[#Headers])))</f>
        <v/>
      </c>
      <c r="N172" s="6" t="str">
        <f ca="1">IF($I172="","",INDEX(GameLog[Check],$I172-ROW(GameLog[#Headers])))</f>
        <v/>
      </c>
    </row>
    <row r="173" spans="1:14" x14ac:dyDescent="0.45">
      <c r="A173" s="6"/>
      <c r="B173" s="6"/>
      <c r="C173" s="6"/>
      <c r="D173" s="6"/>
      <c r="E173" s="6"/>
      <c r="F173" s="6"/>
      <c r="G173" s="6"/>
      <c r="H173" s="6"/>
      <c r="I173" s="6" t="str">
        <f ca="1">IFERROR(ROW(GameLog[#Headers])+MATCH(ROWS(I$5:I173),GameLog[Flag No],0),"")</f>
        <v/>
      </c>
      <c r="J173" s="10" t="str">
        <f ca="1">IF($I173="","",INDEX(GameLog[Date],$I173-ROW(GameLog[#Headers])))</f>
        <v/>
      </c>
      <c r="K173" s="6" t="str">
        <f ca="1">IF($I173="","",INDEX(GameLog[Player],$I173-ROW(GameLog[#Headers])))</f>
        <v/>
      </c>
      <c r="L173" s="6" t="str">
        <f ca="1">IF($I173="","",INDEX(GameLog[Pod],$I173-ROW(GameLog[#Headers])))</f>
        <v/>
      </c>
      <c r="M173" s="6" t="str">
        <f ca="1">IF($I173="","",INDEX(GameLog[Round],$I173-ROW(GameLog[#Headers])))</f>
        <v/>
      </c>
      <c r="N173" s="6" t="str">
        <f ca="1">IF($I173="","",INDEX(GameLog[Check],$I173-ROW(GameLog[#Headers])))</f>
        <v/>
      </c>
    </row>
    <row r="174" spans="1:14" x14ac:dyDescent="0.45">
      <c r="A174" s="6"/>
      <c r="B174" s="6"/>
      <c r="C174" s="6"/>
      <c r="D174" s="6"/>
      <c r="E174" s="6"/>
      <c r="F174" s="6"/>
      <c r="G174" s="6"/>
      <c r="H174" s="6"/>
      <c r="I174" s="6" t="str">
        <f ca="1">IFERROR(ROW(GameLog[#Headers])+MATCH(ROWS(I$5:I174),GameLog[Flag No],0),"")</f>
        <v/>
      </c>
      <c r="J174" s="10" t="str">
        <f ca="1">IF($I174="","",INDEX(GameLog[Date],$I174-ROW(GameLog[#Headers])))</f>
        <v/>
      </c>
      <c r="K174" s="6" t="str">
        <f ca="1">IF($I174="","",INDEX(GameLog[Player],$I174-ROW(GameLog[#Headers])))</f>
        <v/>
      </c>
      <c r="L174" s="6" t="str">
        <f ca="1">IF($I174="","",INDEX(GameLog[Pod],$I174-ROW(GameLog[#Headers])))</f>
        <v/>
      </c>
      <c r="M174" s="6" t="str">
        <f ca="1">IF($I174="","",INDEX(GameLog[Round],$I174-ROW(GameLog[#Headers])))</f>
        <v/>
      </c>
      <c r="N174" s="6" t="str">
        <f ca="1">IF($I174="","",INDEX(GameLog[Check],$I174-ROW(GameLog[#Headers])))</f>
        <v/>
      </c>
    </row>
    <row r="175" spans="1:14" x14ac:dyDescent="0.45">
      <c r="A175" s="6"/>
      <c r="B175" s="6"/>
      <c r="C175" s="6"/>
      <c r="D175" s="6"/>
      <c r="E175" s="6"/>
      <c r="F175" s="6"/>
      <c r="G175" s="6"/>
      <c r="H175" s="6"/>
      <c r="I175" s="6" t="str">
        <f ca="1">IFERROR(ROW(GameLog[#Headers])+MATCH(ROWS(I$5:I175),GameLog[Flag No],0),"")</f>
        <v/>
      </c>
      <c r="J175" s="10" t="str">
        <f ca="1">IF($I175="","",INDEX(GameLog[Date],$I175-ROW(GameLog[#Headers])))</f>
        <v/>
      </c>
      <c r="K175" s="6" t="str">
        <f ca="1">IF($I175="","",INDEX(GameLog[Player],$I175-ROW(GameLog[#Headers])))</f>
        <v/>
      </c>
      <c r="L175" s="6" t="str">
        <f ca="1">IF($I175="","",INDEX(GameLog[Pod],$I175-ROW(GameLog[#Headers])))</f>
        <v/>
      </c>
      <c r="M175" s="6" t="str">
        <f ca="1">IF($I175="","",INDEX(GameLog[Round],$I175-ROW(GameLog[#Headers])))</f>
        <v/>
      </c>
      <c r="N175" s="6" t="str">
        <f ca="1">IF($I175="","",INDEX(GameLog[Check],$I175-ROW(GameLog[#Headers])))</f>
        <v/>
      </c>
    </row>
    <row r="176" spans="1:14" x14ac:dyDescent="0.45">
      <c r="A176" s="6"/>
      <c r="B176" s="6"/>
      <c r="C176" s="6"/>
      <c r="D176" s="6"/>
      <c r="E176" s="6"/>
      <c r="F176" s="6"/>
      <c r="G176" s="6"/>
      <c r="H176" s="6"/>
      <c r="I176" s="6" t="str">
        <f ca="1">IFERROR(ROW(GameLog[#Headers])+MATCH(ROWS(I$5:I176),GameLog[Flag No],0),"")</f>
        <v/>
      </c>
      <c r="J176" s="10" t="str">
        <f ca="1">IF($I176="","",INDEX(GameLog[Date],$I176-ROW(GameLog[#Headers])))</f>
        <v/>
      </c>
      <c r="K176" s="6" t="str">
        <f ca="1">IF($I176="","",INDEX(GameLog[Player],$I176-ROW(GameLog[#Headers])))</f>
        <v/>
      </c>
      <c r="L176" s="6" t="str">
        <f ca="1">IF($I176="","",INDEX(GameLog[Pod],$I176-ROW(GameLog[#Headers])))</f>
        <v/>
      </c>
      <c r="M176" s="6" t="str">
        <f ca="1">IF($I176="","",INDEX(GameLog[Round],$I176-ROW(GameLog[#Headers])))</f>
        <v/>
      </c>
      <c r="N176" s="6" t="str">
        <f ca="1">IF($I176="","",INDEX(GameLog[Check],$I176-ROW(GameLog[#Headers])))</f>
        <v/>
      </c>
    </row>
    <row r="177" spans="1:14" x14ac:dyDescent="0.45">
      <c r="A177" s="6"/>
      <c r="B177" s="6"/>
      <c r="C177" s="6"/>
      <c r="D177" s="6"/>
      <c r="E177" s="6"/>
      <c r="F177" s="6"/>
      <c r="G177" s="6"/>
      <c r="H177" s="6"/>
      <c r="I177" s="6" t="str">
        <f ca="1">IFERROR(ROW(GameLog[#Headers])+MATCH(ROWS(I$5:I177),GameLog[Flag No],0),"")</f>
        <v/>
      </c>
      <c r="J177" s="10" t="str">
        <f ca="1">IF($I177="","",INDEX(GameLog[Date],$I177-ROW(GameLog[#Headers])))</f>
        <v/>
      </c>
      <c r="K177" s="6" t="str">
        <f ca="1">IF($I177="","",INDEX(GameLog[Player],$I177-ROW(GameLog[#Headers])))</f>
        <v/>
      </c>
      <c r="L177" s="6" t="str">
        <f ca="1">IF($I177="","",INDEX(GameLog[Pod],$I177-ROW(GameLog[#Headers])))</f>
        <v/>
      </c>
      <c r="M177" s="6" t="str">
        <f ca="1">IF($I177="","",INDEX(GameLog[Round],$I177-ROW(GameLog[#Headers])))</f>
        <v/>
      </c>
      <c r="N177" s="6" t="str">
        <f ca="1">IF($I177="","",INDEX(GameLog[Check],$I177-ROW(GameLog[#Headers])))</f>
        <v/>
      </c>
    </row>
    <row r="178" spans="1:14" x14ac:dyDescent="0.45">
      <c r="A178" s="6"/>
      <c r="B178" s="6"/>
      <c r="C178" s="6"/>
      <c r="D178" s="6"/>
      <c r="E178" s="6"/>
      <c r="F178" s="6"/>
      <c r="G178" s="6"/>
      <c r="H178" s="6"/>
      <c r="I178" s="6" t="str">
        <f ca="1">IFERROR(ROW(GameLog[#Headers])+MATCH(ROWS(I$5:I178),GameLog[Flag No],0),"")</f>
        <v/>
      </c>
      <c r="J178" s="10" t="str">
        <f ca="1">IF($I178="","",INDEX(GameLog[Date],$I178-ROW(GameLog[#Headers])))</f>
        <v/>
      </c>
      <c r="K178" s="6" t="str">
        <f ca="1">IF($I178="","",INDEX(GameLog[Player],$I178-ROW(GameLog[#Headers])))</f>
        <v/>
      </c>
      <c r="L178" s="6" t="str">
        <f ca="1">IF($I178="","",INDEX(GameLog[Pod],$I178-ROW(GameLog[#Headers])))</f>
        <v/>
      </c>
      <c r="M178" s="6" t="str">
        <f ca="1">IF($I178="","",INDEX(GameLog[Round],$I178-ROW(GameLog[#Headers])))</f>
        <v/>
      </c>
      <c r="N178" s="6" t="str">
        <f ca="1">IF($I178="","",INDEX(GameLog[Check],$I178-ROW(GameLog[#Headers])))</f>
        <v/>
      </c>
    </row>
    <row r="179" spans="1:14" x14ac:dyDescent="0.45">
      <c r="A179" s="6"/>
      <c r="B179" s="6"/>
      <c r="C179" s="6"/>
      <c r="D179" s="6"/>
      <c r="E179" s="6"/>
      <c r="F179" s="6"/>
      <c r="G179" s="6"/>
      <c r="H179" s="6"/>
      <c r="I179" s="6" t="str">
        <f ca="1">IFERROR(ROW(GameLog[#Headers])+MATCH(ROWS(I$5:I179),GameLog[Flag No],0),"")</f>
        <v/>
      </c>
      <c r="J179" s="10" t="str">
        <f ca="1">IF($I179="","",INDEX(GameLog[Date],$I179-ROW(GameLog[#Headers])))</f>
        <v/>
      </c>
      <c r="K179" s="6" t="str">
        <f ca="1">IF($I179="","",INDEX(GameLog[Player],$I179-ROW(GameLog[#Headers])))</f>
        <v/>
      </c>
      <c r="L179" s="6" t="str">
        <f ca="1">IF($I179="","",INDEX(GameLog[Pod],$I179-ROW(GameLog[#Headers])))</f>
        <v/>
      </c>
      <c r="M179" s="6" t="str">
        <f ca="1">IF($I179="","",INDEX(GameLog[Round],$I179-ROW(GameLog[#Headers])))</f>
        <v/>
      </c>
      <c r="N179" s="6" t="str">
        <f ca="1">IF($I179="","",INDEX(GameLog[Check],$I179-ROW(GameLog[#Headers])))</f>
        <v/>
      </c>
    </row>
    <row r="180" spans="1:14" x14ac:dyDescent="0.45">
      <c r="A180" s="6"/>
      <c r="B180" s="6"/>
      <c r="C180" s="6"/>
      <c r="D180" s="6"/>
      <c r="E180" s="6"/>
      <c r="F180" s="6"/>
      <c r="G180" s="6"/>
      <c r="H180" s="6"/>
      <c r="I180" s="6" t="str">
        <f ca="1">IFERROR(ROW(GameLog[#Headers])+MATCH(ROWS(I$5:I180),GameLog[Flag No],0),"")</f>
        <v/>
      </c>
      <c r="J180" s="10" t="str">
        <f ca="1">IF($I180="","",INDEX(GameLog[Date],$I180-ROW(GameLog[#Headers])))</f>
        <v/>
      </c>
      <c r="K180" s="6" t="str">
        <f ca="1">IF($I180="","",INDEX(GameLog[Player],$I180-ROW(GameLog[#Headers])))</f>
        <v/>
      </c>
      <c r="L180" s="6" t="str">
        <f ca="1">IF($I180="","",INDEX(GameLog[Pod],$I180-ROW(GameLog[#Headers])))</f>
        <v/>
      </c>
      <c r="M180" s="6" t="str">
        <f ca="1">IF($I180="","",INDEX(GameLog[Round],$I180-ROW(GameLog[#Headers])))</f>
        <v/>
      </c>
      <c r="N180" s="6" t="str">
        <f ca="1">IF($I180="","",INDEX(GameLog[Check],$I180-ROW(GameLog[#Headers])))</f>
        <v/>
      </c>
    </row>
    <row r="181" spans="1:14" x14ac:dyDescent="0.45">
      <c r="A181" s="6"/>
      <c r="B181" s="6"/>
      <c r="C181" s="6"/>
      <c r="D181" s="6"/>
      <c r="E181" s="6"/>
      <c r="F181" s="6"/>
      <c r="G181" s="6"/>
      <c r="H181" s="6"/>
      <c r="I181" s="6" t="str">
        <f ca="1">IFERROR(ROW(GameLog[#Headers])+MATCH(ROWS(I$5:I181),GameLog[Flag No],0),"")</f>
        <v/>
      </c>
      <c r="J181" s="10" t="str">
        <f ca="1">IF($I181="","",INDEX(GameLog[Date],$I181-ROW(GameLog[#Headers])))</f>
        <v/>
      </c>
      <c r="K181" s="6" t="str">
        <f ca="1">IF($I181="","",INDEX(GameLog[Player],$I181-ROW(GameLog[#Headers])))</f>
        <v/>
      </c>
      <c r="L181" s="6" t="str">
        <f ca="1">IF($I181="","",INDEX(GameLog[Pod],$I181-ROW(GameLog[#Headers])))</f>
        <v/>
      </c>
      <c r="M181" s="6" t="str">
        <f ca="1">IF($I181="","",INDEX(GameLog[Round],$I181-ROW(GameLog[#Headers])))</f>
        <v/>
      </c>
      <c r="N181" s="6" t="str">
        <f ca="1">IF($I181="","",INDEX(GameLog[Check],$I181-ROW(GameLog[#Headers])))</f>
        <v/>
      </c>
    </row>
    <row r="182" spans="1:14" x14ac:dyDescent="0.45">
      <c r="A182" s="6"/>
      <c r="B182" s="6"/>
      <c r="C182" s="6"/>
      <c r="D182" s="6"/>
      <c r="E182" s="6"/>
      <c r="F182" s="6"/>
      <c r="G182" s="6"/>
      <c r="H182" s="6"/>
      <c r="I182" s="6" t="str">
        <f ca="1">IFERROR(ROW(GameLog[#Headers])+MATCH(ROWS(I$5:I182),GameLog[Flag No],0),"")</f>
        <v/>
      </c>
      <c r="J182" s="10" t="str">
        <f ca="1">IF($I182="","",INDEX(GameLog[Date],$I182-ROW(GameLog[#Headers])))</f>
        <v/>
      </c>
      <c r="K182" s="6" t="str">
        <f ca="1">IF($I182="","",INDEX(GameLog[Player],$I182-ROW(GameLog[#Headers])))</f>
        <v/>
      </c>
      <c r="L182" s="6" t="str">
        <f ca="1">IF($I182="","",INDEX(GameLog[Pod],$I182-ROW(GameLog[#Headers])))</f>
        <v/>
      </c>
      <c r="M182" s="6" t="str">
        <f ca="1">IF($I182="","",INDEX(GameLog[Round],$I182-ROW(GameLog[#Headers])))</f>
        <v/>
      </c>
      <c r="N182" s="6" t="str">
        <f ca="1">IF($I182="","",INDEX(GameLog[Check],$I182-ROW(GameLog[#Headers])))</f>
        <v/>
      </c>
    </row>
    <row r="183" spans="1:14" x14ac:dyDescent="0.45">
      <c r="A183" s="6"/>
      <c r="B183" s="6"/>
      <c r="C183" s="6"/>
      <c r="D183" s="6"/>
      <c r="E183" s="6"/>
      <c r="F183" s="6"/>
      <c r="G183" s="6"/>
      <c r="H183" s="6"/>
      <c r="I183" s="6" t="str">
        <f ca="1">IFERROR(ROW(GameLog[#Headers])+MATCH(ROWS(I$5:I183),GameLog[Flag No],0),"")</f>
        <v/>
      </c>
      <c r="J183" s="10" t="str">
        <f ca="1">IF($I183="","",INDEX(GameLog[Date],$I183-ROW(GameLog[#Headers])))</f>
        <v/>
      </c>
      <c r="K183" s="6" t="str">
        <f ca="1">IF($I183="","",INDEX(GameLog[Player],$I183-ROW(GameLog[#Headers])))</f>
        <v/>
      </c>
      <c r="L183" s="6" t="str">
        <f ca="1">IF($I183="","",INDEX(GameLog[Pod],$I183-ROW(GameLog[#Headers])))</f>
        <v/>
      </c>
      <c r="M183" s="6" t="str">
        <f ca="1">IF($I183="","",INDEX(GameLog[Round],$I183-ROW(GameLog[#Headers])))</f>
        <v/>
      </c>
      <c r="N183" s="6" t="str">
        <f ca="1">IF($I183="","",INDEX(GameLog[Check],$I183-ROW(GameLog[#Headers])))</f>
        <v/>
      </c>
    </row>
    <row r="184" spans="1:14" x14ac:dyDescent="0.45">
      <c r="A184" s="6"/>
      <c r="B184" s="6"/>
      <c r="C184" s="6"/>
      <c r="D184" s="6"/>
      <c r="E184" s="6"/>
      <c r="F184" s="6"/>
      <c r="G184" s="6"/>
      <c r="H184" s="6"/>
      <c r="I184" s="6" t="str">
        <f ca="1">IFERROR(ROW(GameLog[#Headers])+MATCH(ROWS(I$5:I184),GameLog[Flag No],0),"")</f>
        <v/>
      </c>
      <c r="J184" s="10" t="str">
        <f ca="1">IF($I184="","",INDEX(GameLog[Date],$I184-ROW(GameLog[#Headers])))</f>
        <v/>
      </c>
      <c r="K184" s="6" t="str">
        <f ca="1">IF($I184="","",INDEX(GameLog[Player],$I184-ROW(GameLog[#Headers])))</f>
        <v/>
      </c>
      <c r="L184" s="6" t="str">
        <f ca="1">IF($I184="","",INDEX(GameLog[Pod],$I184-ROW(GameLog[#Headers])))</f>
        <v/>
      </c>
      <c r="M184" s="6" t="str">
        <f ca="1">IF($I184="","",INDEX(GameLog[Round],$I184-ROW(GameLog[#Headers])))</f>
        <v/>
      </c>
      <c r="N184" s="6" t="str">
        <f ca="1">IF($I184="","",INDEX(GameLog[Check],$I184-ROW(GameLog[#Headers])))</f>
        <v/>
      </c>
    </row>
    <row r="185" spans="1:14" x14ac:dyDescent="0.45">
      <c r="A185" s="6"/>
      <c r="B185" s="6"/>
      <c r="C185" s="6"/>
      <c r="D185" s="6"/>
      <c r="E185" s="6"/>
      <c r="F185" s="6"/>
      <c r="G185" s="6"/>
      <c r="H185" s="6"/>
      <c r="I185" s="6" t="str">
        <f ca="1">IFERROR(ROW(GameLog[#Headers])+MATCH(ROWS(I$5:I185),GameLog[Flag No],0),"")</f>
        <v/>
      </c>
      <c r="J185" s="10" t="str">
        <f ca="1">IF($I185="","",INDEX(GameLog[Date],$I185-ROW(GameLog[#Headers])))</f>
        <v/>
      </c>
      <c r="K185" s="6" t="str">
        <f ca="1">IF($I185="","",INDEX(GameLog[Player],$I185-ROW(GameLog[#Headers])))</f>
        <v/>
      </c>
      <c r="L185" s="6" t="str">
        <f ca="1">IF($I185="","",INDEX(GameLog[Pod],$I185-ROW(GameLog[#Headers])))</f>
        <v/>
      </c>
      <c r="M185" s="6" t="str">
        <f ca="1">IF($I185="","",INDEX(GameLog[Round],$I185-ROW(GameLog[#Headers])))</f>
        <v/>
      </c>
      <c r="N185" s="6" t="str">
        <f ca="1">IF($I185="","",INDEX(GameLog[Check],$I185-ROW(GameLog[#Headers])))</f>
        <v/>
      </c>
    </row>
    <row r="186" spans="1:14" x14ac:dyDescent="0.45">
      <c r="A186" s="6"/>
      <c r="B186" s="6"/>
      <c r="C186" s="6"/>
      <c r="D186" s="6"/>
      <c r="E186" s="6"/>
      <c r="F186" s="6"/>
      <c r="G186" s="6"/>
      <c r="H186" s="6"/>
      <c r="I186" s="6" t="str">
        <f ca="1">IFERROR(ROW(GameLog[#Headers])+MATCH(ROWS(I$5:I186),GameLog[Flag No],0),"")</f>
        <v/>
      </c>
      <c r="J186" s="10" t="str">
        <f ca="1">IF($I186="","",INDEX(GameLog[Date],$I186-ROW(GameLog[#Headers])))</f>
        <v/>
      </c>
      <c r="K186" s="6" t="str">
        <f ca="1">IF($I186="","",INDEX(GameLog[Player],$I186-ROW(GameLog[#Headers])))</f>
        <v/>
      </c>
      <c r="L186" s="6" t="str">
        <f ca="1">IF($I186="","",INDEX(GameLog[Pod],$I186-ROW(GameLog[#Headers])))</f>
        <v/>
      </c>
      <c r="M186" s="6" t="str">
        <f ca="1">IF($I186="","",INDEX(GameLog[Round],$I186-ROW(GameLog[#Headers])))</f>
        <v/>
      </c>
      <c r="N186" s="6" t="str">
        <f ca="1">IF($I186="","",INDEX(GameLog[Check],$I186-ROW(GameLog[#Headers])))</f>
        <v/>
      </c>
    </row>
    <row r="187" spans="1:14" x14ac:dyDescent="0.45">
      <c r="A187" s="6"/>
      <c r="B187" s="6"/>
      <c r="C187" s="6"/>
      <c r="D187" s="6"/>
      <c r="E187" s="6"/>
      <c r="F187" s="6"/>
      <c r="G187" s="6"/>
      <c r="H187" s="6"/>
      <c r="I187" s="6" t="str">
        <f ca="1">IFERROR(ROW(GameLog[#Headers])+MATCH(ROWS(I$5:I187),GameLog[Flag No],0),"")</f>
        <v/>
      </c>
      <c r="J187" s="10" t="str">
        <f ca="1">IF($I187="","",INDEX(GameLog[Date],$I187-ROW(GameLog[#Headers])))</f>
        <v/>
      </c>
      <c r="K187" s="6" t="str">
        <f ca="1">IF($I187="","",INDEX(GameLog[Player],$I187-ROW(GameLog[#Headers])))</f>
        <v/>
      </c>
      <c r="L187" s="6" t="str">
        <f ca="1">IF($I187="","",INDEX(GameLog[Pod],$I187-ROW(GameLog[#Headers])))</f>
        <v/>
      </c>
      <c r="M187" s="6" t="str">
        <f ca="1">IF($I187="","",INDEX(GameLog[Round],$I187-ROW(GameLog[#Headers])))</f>
        <v/>
      </c>
      <c r="N187" s="6" t="str">
        <f ca="1">IF($I187="","",INDEX(GameLog[Check],$I187-ROW(GameLog[#Headers])))</f>
        <v/>
      </c>
    </row>
    <row r="188" spans="1:14" x14ac:dyDescent="0.45">
      <c r="A188" s="6"/>
      <c r="B188" s="6"/>
      <c r="C188" s="6"/>
      <c r="D188" s="6"/>
      <c r="E188" s="6"/>
      <c r="F188" s="6"/>
      <c r="G188" s="6"/>
      <c r="H188" s="6"/>
      <c r="I188" s="6" t="str">
        <f ca="1">IFERROR(ROW(GameLog[#Headers])+MATCH(ROWS(I$5:I188),GameLog[Flag No],0),"")</f>
        <v/>
      </c>
      <c r="J188" s="10" t="str">
        <f ca="1">IF($I188="","",INDEX(GameLog[Date],$I188-ROW(GameLog[#Headers])))</f>
        <v/>
      </c>
      <c r="K188" s="6" t="str">
        <f ca="1">IF($I188="","",INDEX(GameLog[Player],$I188-ROW(GameLog[#Headers])))</f>
        <v/>
      </c>
      <c r="L188" s="6" t="str">
        <f ca="1">IF($I188="","",INDEX(GameLog[Pod],$I188-ROW(GameLog[#Headers])))</f>
        <v/>
      </c>
      <c r="M188" s="6" t="str">
        <f ca="1">IF($I188="","",INDEX(GameLog[Round],$I188-ROW(GameLog[#Headers])))</f>
        <v/>
      </c>
      <c r="N188" s="6" t="str">
        <f ca="1">IF($I188="","",INDEX(GameLog[Check],$I188-ROW(GameLog[#Headers])))</f>
        <v/>
      </c>
    </row>
    <row r="189" spans="1:14" x14ac:dyDescent="0.45">
      <c r="A189" s="6"/>
      <c r="B189" s="6"/>
      <c r="C189" s="6"/>
      <c r="D189" s="6"/>
      <c r="E189" s="6"/>
      <c r="F189" s="6"/>
      <c r="G189" s="6"/>
      <c r="H189" s="6"/>
      <c r="I189" s="6" t="str">
        <f ca="1">IFERROR(ROW(GameLog[#Headers])+MATCH(ROWS(I$5:I189),GameLog[Flag No],0),"")</f>
        <v/>
      </c>
      <c r="J189" s="10" t="str">
        <f ca="1">IF($I189="","",INDEX(GameLog[Date],$I189-ROW(GameLog[#Headers])))</f>
        <v/>
      </c>
      <c r="K189" s="6" t="str">
        <f ca="1">IF($I189="","",INDEX(GameLog[Player],$I189-ROW(GameLog[#Headers])))</f>
        <v/>
      </c>
      <c r="L189" s="6" t="str">
        <f ca="1">IF($I189="","",INDEX(GameLog[Pod],$I189-ROW(GameLog[#Headers])))</f>
        <v/>
      </c>
      <c r="M189" s="6" t="str">
        <f ca="1">IF($I189="","",INDEX(GameLog[Round],$I189-ROW(GameLog[#Headers])))</f>
        <v/>
      </c>
      <c r="N189" s="6" t="str">
        <f ca="1">IF($I189="","",INDEX(GameLog[Check],$I189-ROW(GameLog[#Headers])))</f>
        <v/>
      </c>
    </row>
    <row r="190" spans="1:14" x14ac:dyDescent="0.45">
      <c r="A190" s="6"/>
      <c r="B190" s="6"/>
      <c r="C190" s="6"/>
      <c r="D190" s="6"/>
      <c r="E190" s="6"/>
      <c r="F190" s="6"/>
      <c r="G190" s="6"/>
      <c r="H190" s="6"/>
      <c r="I190" s="6" t="str">
        <f ca="1">IFERROR(ROW(GameLog[#Headers])+MATCH(ROWS(I$5:I190),GameLog[Flag No],0),"")</f>
        <v/>
      </c>
      <c r="J190" s="10" t="str">
        <f ca="1">IF($I190="","",INDEX(GameLog[Date],$I190-ROW(GameLog[#Headers])))</f>
        <v/>
      </c>
      <c r="K190" s="6" t="str">
        <f ca="1">IF($I190="","",INDEX(GameLog[Player],$I190-ROW(GameLog[#Headers])))</f>
        <v/>
      </c>
      <c r="L190" s="6" t="str">
        <f ca="1">IF($I190="","",INDEX(GameLog[Pod],$I190-ROW(GameLog[#Headers])))</f>
        <v/>
      </c>
      <c r="M190" s="6" t="str">
        <f ca="1">IF($I190="","",INDEX(GameLog[Round],$I190-ROW(GameLog[#Headers])))</f>
        <v/>
      </c>
      <c r="N190" s="6" t="str">
        <f ca="1">IF($I190="","",INDEX(GameLog[Check],$I190-ROW(GameLog[#Headers])))</f>
        <v/>
      </c>
    </row>
    <row r="191" spans="1:14" x14ac:dyDescent="0.45">
      <c r="A191" s="6"/>
      <c r="B191" s="6"/>
      <c r="C191" s="6"/>
      <c r="D191" s="6"/>
      <c r="E191" s="6"/>
      <c r="F191" s="6"/>
      <c r="G191" s="6"/>
      <c r="H191" s="6"/>
      <c r="I191" s="6" t="str">
        <f ca="1">IFERROR(ROW(GameLog[#Headers])+MATCH(ROWS(I$5:I191),GameLog[Flag No],0),"")</f>
        <v/>
      </c>
      <c r="J191" s="10" t="str">
        <f ca="1">IF($I191="","",INDEX(GameLog[Date],$I191-ROW(GameLog[#Headers])))</f>
        <v/>
      </c>
      <c r="K191" s="6" t="str">
        <f ca="1">IF($I191="","",INDEX(GameLog[Player],$I191-ROW(GameLog[#Headers])))</f>
        <v/>
      </c>
      <c r="L191" s="6" t="str">
        <f ca="1">IF($I191="","",INDEX(GameLog[Pod],$I191-ROW(GameLog[#Headers])))</f>
        <v/>
      </c>
      <c r="M191" s="6" t="str">
        <f ca="1">IF($I191="","",INDEX(GameLog[Round],$I191-ROW(GameLog[#Headers])))</f>
        <v/>
      </c>
      <c r="N191" s="6" t="str">
        <f ca="1">IF($I191="","",INDEX(GameLog[Check],$I191-ROW(GameLog[#Headers])))</f>
        <v/>
      </c>
    </row>
    <row r="192" spans="1:14" x14ac:dyDescent="0.45">
      <c r="A192" s="6"/>
      <c r="B192" s="6"/>
      <c r="C192" s="6"/>
      <c r="D192" s="6"/>
      <c r="E192" s="6"/>
      <c r="F192" s="6"/>
      <c r="G192" s="6"/>
      <c r="H192" s="6"/>
      <c r="I192" s="6" t="str">
        <f ca="1">IFERROR(ROW(GameLog[#Headers])+MATCH(ROWS(I$5:I192),GameLog[Flag No],0),"")</f>
        <v/>
      </c>
      <c r="J192" s="10" t="str">
        <f ca="1">IF($I192="","",INDEX(GameLog[Date],$I192-ROW(GameLog[#Headers])))</f>
        <v/>
      </c>
      <c r="K192" s="6" t="str">
        <f ca="1">IF($I192="","",INDEX(GameLog[Player],$I192-ROW(GameLog[#Headers])))</f>
        <v/>
      </c>
      <c r="L192" s="6" t="str">
        <f ca="1">IF($I192="","",INDEX(GameLog[Pod],$I192-ROW(GameLog[#Headers])))</f>
        <v/>
      </c>
      <c r="M192" s="6" t="str">
        <f ca="1">IF($I192="","",INDEX(GameLog[Round],$I192-ROW(GameLog[#Headers])))</f>
        <v/>
      </c>
      <c r="N192" s="6" t="str">
        <f ca="1">IF($I192="","",INDEX(GameLog[Check],$I192-ROW(GameLog[#Headers])))</f>
        <v/>
      </c>
    </row>
    <row r="193" spans="1:14" x14ac:dyDescent="0.45">
      <c r="A193" s="6"/>
      <c r="B193" s="6"/>
      <c r="C193" s="6"/>
      <c r="D193" s="6"/>
      <c r="E193" s="6"/>
      <c r="F193" s="6"/>
      <c r="G193" s="6"/>
      <c r="H193" s="6"/>
      <c r="I193" s="6" t="str">
        <f ca="1">IFERROR(ROW(GameLog[#Headers])+MATCH(ROWS(I$5:I193),GameLog[Flag No],0),"")</f>
        <v/>
      </c>
      <c r="J193" s="10" t="str">
        <f ca="1">IF($I193="","",INDEX(GameLog[Date],$I193-ROW(GameLog[#Headers])))</f>
        <v/>
      </c>
      <c r="K193" s="6" t="str">
        <f ca="1">IF($I193="","",INDEX(GameLog[Player],$I193-ROW(GameLog[#Headers])))</f>
        <v/>
      </c>
      <c r="L193" s="6" t="str">
        <f ca="1">IF($I193="","",INDEX(GameLog[Pod],$I193-ROW(GameLog[#Headers])))</f>
        <v/>
      </c>
      <c r="M193" s="6" t="str">
        <f ca="1">IF($I193="","",INDEX(GameLog[Round],$I193-ROW(GameLog[#Headers])))</f>
        <v/>
      </c>
      <c r="N193" s="6" t="str">
        <f ca="1">IF($I193="","",INDEX(GameLog[Check],$I193-ROW(GameLog[#Headers])))</f>
        <v/>
      </c>
    </row>
    <row r="194" spans="1:14" x14ac:dyDescent="0.45">
      <c r="A194" s="6"/>
      <c r="B194" s="6"/>
      <c r="C194" s="6"/>
      <c r="D194" s="6"/>
      <c r="E194" s="6"/>
      <c r="F194" s="6"/>
      <c r="G194" s="6"/>
      <c r="H194" s="6"/>
      <c r="I194" s="6" t="str">
        <f ca="1">IFERROR(ROW(GameLog[#Headers])+MATCH(ROWS(I$5:I194),GameLog[Flag No],0),"")</f>
        <v/>
      </c>
      <c r="J194" s="10" t="str">
        <f ca="1">IF($I194="","",INDEX(GameLog[Date],$I194-ROW(GameLog[#Headers])))</f>
        <v/>
      </c>
      <c r="K194" s="6" t="str">
        <f ca="1">IF($I194="","",INDEX(GameLog[Player],$I194-ROW(GameLog[#Headers])))</f>
        <v/>
      </c>
      <c r="L194" s="6" t="str">
        <f ca="1">IF($I194="","",INDEX(GameLog[Pod],$I194-ROW(GameLog[#Headers])))</f>
        <v/>
      </c>
      <c r="M194" s="6" t="str">
        <f ca="1">IF($I194="","",INDEX(GameLog[Round],$I194-ROW(GameLog[#Headers])))</f>
        <v/>
      </c>
      <c r="N194" s="6" t="str">
        <f ca="1">IF($I194="","",INDEX(GameLog[Check],$I194-ROW(GameLog[#Headers])))</f>
        <v/>
      </c>
    </row>
    <row r="195" spans="1:14" x14ac:dyDescent="0.45">
      <c r="A195" s="6"/>
      <c r="B195" s="6"/>
      <c r="C195" s="6"/>
      <c r="D195" s="6"/>
      <c r="E195" s="6"/>
      <c r="F195" s="6"/>
      <c r="G195" s="6"/>
      <c r="H195" s="6"/>
      <c r="I195" s="6" t="str">
        <f ca="1">IFERROR(ROW(GameLog[#Headers])+MATCH(ROWS(I$5:I195),GameLog[Flag No],0),"")</f>
        <v/>
      </c>
      <c r="J195" s="10" t="str">
        <f ca="1">IF($I195="","",INDEX(GameLog[Date],$I195-ROW(GameLog[#Headers])))</f>
        <v/>
      </c>
      <c r="K195" s="6" t="str">
        <f ca="1">IF($I195="","",INDEX(GameLog[Player],$I195-ROW(GameLog[#Headers])))</f>
        <v/>
      </c>
      <c r="L195" s="6" t="str">
        <f ca="1">IF($I195="","",INDEX(GameLog[Pod],$I195-ROW(GameLog[#Headers])))</f>
        <v/>
      </c>
      <c r="M195" s="6" t="str">
        <f ca="1">IF($I195="","",INDEX(GameLog[Round],$I195-ROW(GameLog[#Headers])))</f>
        <v/>
      </c>
      <c r="N195" s="6" t="str">
        <f ca="1">IF($I195="","",INDEX(GameLog[Check],$I195-ROW(GameLog[#Headers])))</f>
        <v/>
      </c>
    </row>
    <row r="196" spans="1:14" x14ac:dyDescent="0.45">
      <c r="A196" s="6"/>
      <c r="B196" s="6"/>
      <c r="C196" s="6"/>
      <c r="D196" s="6"/>
      <c r="E196" s="6"/>
      <c r="F196" s="6"/>
      <c r="G196" s="6"/>
      <c r="H196" s="6"/>
      <c r="I196" s="6" t="str">
        <f ca="1">IFERROR(ROW(GameLog[#Headers])+MATCH(ROWS(I$5:I196),GameLog[Flag No],0),"")</f>
        <v/>
      </c>
      <c r="J196" s="10" t="str">
        <f ca="1">IF($I196="","",INDEX(GameLog[Date],$I196-ROW(GameLog[#Headers])))</f>
        <v/>
      </c>
      <c r="K196" s="6" t="str">
        <f ca="1">IF($I196="","",INDEX(GameLog[Player],$I196-ROW(GameLog[#Headers])))</f>
        <v/>
      </c>
      <c r="L196" s="6" t="str">
        <f ca="1">IF($I196="","",INDEX(GameLog[Pod],$I196-ROW(GameLog[#Headers])))</f>
        <v/>
      </c>
      <c r="M196" s="6" t="str">
        <f ca="1">IF($I196="","",INDEX(GameLog[Round],$I196-ROW(GameLog[#Headers])))</f>
        <v/>
      </c>
      <c r="N196" s="6" t="str">
        <f ca="1">IF($I196="","",INDEX(GameLog[Check],$I196-ROW(GameLog[#Headers])))</f>
        <v/>
      </c>
    </row>
    <row r="197" spans="1:14" x14ac:dyDescent="0.45">
      <c r="A197" s="6"/>
      <c r="B197" s="6"/>
      <c r="C197" s="6"/>
      <c r="D197" s="6"/>
      <c r="E197" s="6"/>
      <c r="F197" s="6"/>
      <c r="G197" s="6"/>
      <c r="H197" s="6"/>
      <c r="I197" s="6" t="str">
        <f ca="1">IFERROR(ROW(GameLog[#Headers])+MATCH(ROWS(I$5:I197),GameLog[Flag No],0),"")</f>
        <v/>
      </c>
      <c r="J197" s="10" t="str">
        <f ca="1">IF($I197="","",INDEX(GameLog[Date],$I197-ROW(GameLog[#Headers])))</f>
        <v/>
      </c>
      <c r="K197" s="6" t="str">
        <f ca="1">IF($I197="","",INDEX(GameLog[Player],$I197-ROW(GameLog[#Headers])))</f>
        <v/>
      </c>
      <c r="L197" s="6" t="str">
        <f ca="1">IF($I197="","",INDEX(GameLog[Pod],$I197-ROW(GameLog[#Headers])))</f>
        <v/>
      </c>
      <c r="M197" s="6" t="str">
        <f ca="1">IF($I197="","",INDEX(GameLog[Round],$I197-ROW(GameLog[#Headers])))</f>
        <v/>
      </c>
      <c r="N197" s="6" t="str">
        <f ca="1">IF($I197="","",INDEX(GameLog[Check],$I197-ROW(GameLog[#Headers])))</f>
        <v/>
      </c>
    </row>
    <row r="198" spans="1:14" x14ac:dyDescent="0.45">
      <c r="A198" s="6"/>
      <c r="B198" s="6"/>
      <c r="C198" s="6"/>
      <c r="D198" s="6"/>
      <c r="E198" s="6"/>
      <c r="F198" s="6"/>
      <c r="G198" s="6"/>
      <c r="H198" s="6"/>
      <c r="I198" s="6" t="str">
        <f ca="1">IFERROR(ROW(GameLog[#Headers])+MATCH(ROWS(I$5:I198),GameLog[Flag No],0),"")</f>
        <v/>
      </c>
      <c r="J198" s="10" t="str">
        <f ca="1">IF($I198="","",INDEX(GameLog[Date],$I198-ROW(GameLog[#Headers])))</f>
        <v/>
      </c>
      <c r="K198" s="6" t="str">
        <f ca="1">IF($I198="","",INDEX(GameLog[Player],$I198-ROW(GameLog[#Headers])))</f>
        <v/>
      </c>
      <c r="L198" s="6" t="str">
        <f ca="1">IF($I198="","",INDEX(GameLog[Pod],$I198-ROW(GameLog[#Headers])))</f>
        <v/>
      </c>
      <c r="M198" s="6" t="str">
        <f ca="1">IF($I198="","",INDEX(GameLog[Round],$I198-ROW(GameLog[#Headers])))</f>
        <v/>
      </c>
      <c r="N198" s="6" t="str">
        <f ca="1">IF($I198="","",INDEX(GameLog[Check],$I198-ROW(GameLog[#Headers])))</f>
        <v/>
      </c>
    </row>
    <row r="199" spans="1:14" x14ac:dyDescent="0.45">
      <c r="A199" s="6"/>
      <c r="B199" s="6"/>
      <c r="C199" s="6"/>
      <c r="D199" s="6"/>
      <c r="E199" s="6"/>
      <c r="F199" s="6"/>
      <c r="G199" s="6"/>
      <c r="H199" s="6"/>
      <c r="I199" s="6" t="str">
        <f ca="1">IFERROR(ROW(GameLog[#Headers])+MATCH(ROWS(I$5:I199),GameLog[Flag No],0),"")</f>
        <v/>
      </c>
      <c r="J199" s="10" t="str">
        <f ca="1">IF($I199="","",INDEX(GameLog[Date],$I199-ROW(GameLog[#Headers])))</f>
        <v/>
      </c>
      <c r="K199" s="6" t="str">
        <f ca="1">IF($I199="","",INDEX(GameLog[Player],$I199-ROW(GameLog[#Headers])))</f>
        <v/>
      </c>
      <c r="L199" s="6" t="str">
        <f ca="1">IF($I199="","",INDEX(GameLog[Pod],$I199-ROW(GameLog[#Headers])))</f>
        <v/>
      </c>
      <c r="M199" s="6" t="str">
        <f ca="1">IF($I199="","",INDEX(GameLog[Round],$I199-ROW(GameLog[#Headers])))</f>
        <v/>
      </c>
      <c r="N199" s="6" t="str">
        <f ca="1">IF($I199="","",INDEX(GameLog[Check],$I199-ROW(GameLog[#Headers])))</f>
        <v/>
      </c>
    </row>
    <row r="200" spans="1:14" x14ac:dyDescent="0.45">
      <c r="A200" s="6"/>
      <c r="B200" s="6"/>
      <c r="C200" s="6"/>
      <c r="D200" s="6"/>
      <c r="E200" s="6"/>
      <c r="F200" s="6"/>
      <c r="G200" s="6"/>
      <c r="H200" s="6"/>
      <c r="I200" s="6" t="str">
        <f ca="1">IFERROR(ROW(GameLog[#Headers])+MATCH(ROWS(I$5:I200),GameLog[Flag No],0),"")</f>
        <v/>
      </c>
      <c r="J200" s="10" t="str">
        <f ca="1">IF($I200="","",INDEX(GameLog[Date],$I200-ROW(GameLog[#Headers])))</f>
        <v/>
      </c>
      <c r="K200" s="6" t="str">
        <f ca="1">IF($I200="","",INDEX(GameLog[Player],$I200-ROW(GameLog[#Headers])))</f>
        <v/>
      </c>
      <c r="L200" s="6" t="str">
        <f ca="1">IF($I200="","",INDEX(GameLog[Pod],$I200-ROW(GameLog[#Headers])))</f>
        <v/>
      </c>
      <c r="M200" s="6" t="str">
        <f ca="1">IF($I200="","",INDEX(GameLog[Round],$I200-ROW(GameLog[#Headers])))</f>
        <v/>
      </c>
      <c r="N200" s="6" t="str">
        <f ca="1">IF($I200="","",INDEX(GameLog[Check],$I200-ROW(GameLog[#Headers])))</f>
        <v/>
      </c>
    </row>
    <row r="201" spans="1:14" x14ac:dyDescent="0.45">
      <c r="A201" s="6"/>
      <c r="B201" s="6"/>
      <c r="C201" s="6"/>
      <c r="D201" s="6"/>
      <c r="E201" s="6"/>
      <c r="F201" s="6"/>
      <c r="G201" s="6"/>
      <c r="H201" s="6"/>
      <c r="I201" s="6" t="str">
        <f ca="1">IFERROR(ROW(GameLog[#Headers])+MATCH(ROWS(I$5:I201),GameLog[Flag No],0),"")</f>
        <v/>
      </c>
      <c r="J201" s="10" t="str">
        <f ca="1">IF($I201="","",INDEX(GameLog[Date],$I201-ROW(GameLog[#Headers])))</f>
        <v/>
      </c>
      <c r="K201" s="6" t="str">
        <f ca="1">IF($I201="","",INDEX(GameLog[Player],$I201-ROW(GameLog[#Headers])))</f>
        <v/>
      </c>
      <c r="L201" s="6" t="str">
        <f ca="1">IF($I201="","",INDEX(GameLog[Pod],$I201-ROW(GameLog[#Headers])))</f>
        <v/>
      </c>
      <c r="M201" s="6" t="str">
        <f ca="1">IF($I201="","",INDEX(GameLog[Round],$I201-ROW(GameLog[#Headers])))</f>
        <v/>
      </c>
      <c r="N201" s="6" t="str">
        <f ca="1">IF($I201="","",INDEX(GameLog[Check],$I201-ROW(GameLog[#Headers])))</f>
        <v/>
      </c>
    </row>
    <row r="202" spans="1:14" x14ac:dyDescent="0.45">
      <c r="A202" s="6"/>
      <c r="B202" s="6"/>
      <c r="C202" s="6"/>
      <c r="D202" s="6"/>
      <c r="E202" s="6"/>
      <c r="F202" s="6"/>
      <c r="G202" s="6"/>
      <c r="H202" s="6"/>
      <c r="I202" s="6" t="str">
        <f ca="1">IFERROR(ROW(GameLog[#Headers])+MATCH(ROWS(I$5:I202),GameLog[Flag No],0),"")</f>
        <v/>
      </c>
      <c r="J202" s="10" t="str">
        <f ca="1">IF($I202="","",INDEX(GameLog[Date],$I202-ROW(GameLog[#Headers])))</f>
        <v/>
      </c>
      <c r="K202" s="6" t="str">
        <f ca="1">IF($I202="","",INDEX(GameLog[Player],$I202-ROW(GameLog[#Headers])))</f>
        <v/>
      </c>
      <c r="L202" s="6" t="str">
        <f ca="1">IF($I202="","",INDEX(GameLog[Pod],$I202-ROW(GameLog[#Headers])))</f>
        <v/>
      </c>
      <c r="M202" s="6" t="str">
        <f ca="1">IF($I202="","",INDEX(GameLog[Round],$I202-ROW(GameLog[#Headers])))</f>
        <v/>
      </c>
      <c r="N202" s="6" t="str">
        <f ca="1">IF($I202="","",INDEX(GameLog[Check],$I202-ROW(GameLog[#Headers])))</f>
        <v/>
      </c>
    </row>
    <row r="203" spans="1:14" x14ac:dyDescent="0.45">
      <c r="A203" s="6"/>
      <c r="B203" s="6"/>
      <c r="C203" s="6"/>
      <c r="D203" s="6"/>
      <c r="E203" s="6"/>
      <c r="F203" s="6"/>
      <c r="G203" s="6"/>
      <c r="H203" s="6"/>
      <c r="I203" s="6" t="str">
        <f ca="1">IFERROR(ROW(GameLog[#Headers])+MATCH(ROWS(I$5:I203),GameLog[Flag No],0),"")</f>
        <v/>
      </c>
      <c r="J203" s="10" t="str">
        <f ca="1">IF($I203="","",INDEX(GameLog[Date],$I203-ROW(GameLog[#Headers])))</f>
        <v/>
      </c>
      <c r="K203" s="6" t="str">
        <f ca="1">IF($I203="","",INDEX(GameLog[Player],$I203-ROW(GameLog[#Headers])))</f>
        <v/>
      </c>
      <c r="L203" s="6" t="str">
        <f ca="1">IF($I203="","",INDEX(GameLog[Pod],$I203-ROW(GameLog[#Headers])))</f>
        <v/>
      </c>
      <c r="M203" s="6" t="str">
        <f ca="1">IF($I203="","",INDEX(GameLog[Round],$I203-ROW(GameLog[#Headers])))</f>
        <v/>
      </c>
      <c r="N203" s="6" t="str">
        <f ca="1">IF($I203="","",INDEX(GameLog[Check],$I203-ROW(GameLog[#Headers])))</f>
        <v/>
      </c>
    </row>
    <row r="204" spans="1:14" x14ac:dyDescent="0.45">
      <c r="A204" s="6"/>
      <c r="B204" s="6"/>
      <c r="C204" s="6"/>
      <c r="D204" s="6"/>
      <c r="E204" s="6"/>
      <c r="F204" s="6"/>
      <c r="G204" s="6"/>
      <c r="H204" s="6"/>
      <c r="I204" s="6" t="str">
        <f ca="1">IFERROR(ROW(GameLog[#Headers])+MATCH(ROWS(I$5:I204),GameLog[Flag No],0),"")</f>
        <v/>
      </c>
      <c r="J204" s="10" t="str">
        <f ca="1">IF($I204="","",INDEX(GameLog[Date],$I204-ROW(GameLog[#Headers])))</f>
        <v/>
      </c>
      <c r="K204" s="6" t="str">
        <f ca="1">IF($I204="","",INDEX(GameLog[Player],$I204-ROW(GameLog[#Headers])))</f>
        <v/>
      </c>
      <c r="L204" s="6" t="str">
        <f ca="1">IF($I204="","",INDEX(GameLog[Pod],$I204-ROW(GameLog[#Headers])))</f>
        <v/>
      </c>
      <c r="M204" s="6" t="str">
        <f ca="1">IF($I204="","",INDEX(GameLog[Round],$I204-ROW(GameLog[#Headers])))</f>
        <v/>
      </c>
      <c r="N204" s="6" t="str">
        <f ca="1">IF($I204="","",INDEX(GameLog[Check],$I204-ROW(GameLog[#Headers])))</f>
        <v/>
      </c>
    </row>
    <row r="205" spans="1:14" x14ac:dyDescent="0.45">
      <c r="A205" s="6"/>
      <c r="B205" s="6"/>
      <c r="C205" s="6"/>
      <c r="D205" s="6"/>
      <c r="E205" s="6"/>
      <c r="F205" s="6"/>
      <c r="G205" s="6"/>
      <c r="H205" s="6"/>
      <c r="I205" s="6" t="str">
        <f ca="1">IFERROR(ROW(GameLog[#Headers])+MATCH(ROWS(I$5:I205),GameLog[Flag No],0),"")</f>
        <v/>
      </c>
      <c r="J205" s="10" t="str">
        <f ca="1">IF($I205="","",INDEX(GameLog[Date],$I205-ROW(GameLog[#Headers])))</f>
        <v/>
      </c>
      <c r="K205" s="6" t="str">
        <f ca="1">IF($I205="","",INDEX(GameLog[Player],$I205-ROW(GameLog[#Headers])))</f>
        <v/>
      </c>
      <c r="L205" s="6" t="str">
        <f ca="1">IF($I205="","",INDEX(GameLog[Pod],$I205-ROW(GameLog[#Headers])))</f>
        <v/>
      </c>
      <c r="M205" s="6" t="str">
        <f ca="1">IF($I205="","",INDEX(GameLog[Round],$I205-ROW(GameLog[#Headers])))</f>
        <v/>
      </c>
      <c r="N205" s="6" t="str">
        <f ca="1">IF($I205="","",INDEX(GameLog[Check],$I205-ROW(GameLog[#Headers])))</f>
        <v/>
      </c>
    </row>
    <row r="206" spans="1:14" x14ac:dyDescent="0.45">
      <c r="A206" s="6"/>
      <c r="B206" s="6"/>
      <c r="C206" s="6"/>
      <c r="D206" s="6"/>
      <c r="E206" s="6"/>
      <c r="F206" s="6"/>
      <c r="G206" s="6"/>
      <c r="H206" s="6"/>
      <c r="I206" s="6" t="str">
        <f ca="1">IFERROR(ROW(GameLog[#Headers])+MATCH(ROWS(I$5:I206),GameLog[Flag No],0),"")</f>
        <v/>
      </c>
      <c r="J206" s="10" t="str">
        <f ca="1">IF($I206="","",INDEX(GameLog[Date],$I206-ROW(GameLog[#Headers])))</f>
        <v/>
      </c>
      <c r="K206" s="6" t="str">
        <f ca="1">IF($I206="","",INDEX(GameLog[Player],$I206-ROW(GameLog[#Headers])))</f>
        <v/>
      </c>
      <c r="L206" s="6" t="str">
        <f ca="1">IF($I206="","",INDEX(GameLog[Pod],$I206-ROW(GameLog[#Headers])))</f>
        <v/>
      </c>
      <c r="M206" s="6" t="str">
        <f ca="1">IF($I206="","",INDEX(GameLog[Round],$I206-ROW(GameLog[#Headers])))</f>
        <v/>
      </c>
      <c r="N206" s="6" t="str">
        <f ca="1">IF($I206="","",INDEX(GameLog[Check],$I206-ROW(GameLog[#Headers])))</f>
        <v/>
      </c>
    </row>
    <row r="207" spans="1:14" x14ac:dyDescent="0.45">
      <c r="A207" s="6"/>
      <c r="B207" s="6"/>
      <c r="C207" s="6"/>
      <c r="D207" s="6"/>
      <c r="E207" s="6"/>
      <c r="F207" s="6"/>
      <c r="G207" s="6"/>
      <c r="H207" s="6"/>
      <c r="I207" s="6" t="str">
        <f ca="1">IFERROR(ROW(GameLog[#Headers])+MATCH(ROWS(I$5:I207),GameLog[Flag No],0),"")</f>
        <v/>
      </c>
      <c r="J207" s="10" t="str">
        <f ca="1">IF($I207="","",INDEX(GameLog[Date],$I207-ROW(GameLog[#Headers])))</f>
        <v/>
      </c>
      <c r="K207" s="6" t="str">
        <f ca="1">IF($I207="","",INDEX(GameLog[Player],$I207-ROW(GameLog[#Headers])))</f>
        <v/>
      </c>
      <c r="L207" s="6" t="str">
        <f ca="1">IF($I207="","",INDEX(GameLog[Pod],$I207-ROW(GameLog[#Headers])))</f>
        <v/>
      </c>
      <c r="M207" s="6" t="str">
        <f ca="1">IF($I207="","",INDEX(GameLog[Round],$I207-ROW(GameLog[#Headers])))</f>
        <v/>
      </c>
      <c r="N207" s="6" t="str">
        <f ca="1">IF($I207="","",INDEX(GameLog[Check],$I207-ROW(GameLog[#Headers])))</f>
        <v/>
      </c>
    </row>
    <row r="208" spans="1:14" x14ac:dyDescent="0.45">
      <c r="A208" s="6"/>
      <c r="B208" s="6"/>
      <c r="C208" s="6"/>
      <c r="D208" s="6"/>
      <c r="E208" s="6"/>
      <c r="F208" s="6"/>
      <c r="G208" s="6"/>
      <c r="H208" s="6"/>
      <c r="I208" s="6" t="str">
        <f ca="1">IFERROR(ROW(GameLog[#Headers])+MATCH(ROWS(I$5:I208),GameLog[Flag No],0),"")</f>
        <v/>
      </c>
      <c r="J208" s="10" t="str">
        <f ca="1">IF($I208="","",INDEX(GameLog[Date],$I208-ROW(GameLog[#Headers])))</f>
        <v/>
      </c>
      <c r="K208" s="6" t="str">
        <f ca="1">IF($I208="","",INDEX(GameLog[Player],$I208-ROW(GameLog[#Headers])))</f>
        <v/>
      </c>
      <c r="L208" s="6" t="str">
        <f ca="1">IF($I208="","",INDEX(GameLog[Pod],$I208-ROW(GameLog[#Headers])))</f>
        <v/>
      </c>
      <c r="M208" s="6" t="str">
        <f ca="1">IF($I208="","",INDEX(GameLog[Round],$I208-ROW(GameLog[#Headers])))</f>
        <v/>
      </c>
      <c r="N208" s="6" t="str">
        <f ca="1">IF($I208="","",INDEX(GameLog[Check],$I208-ROW(GameLog[#Headers])))</f>
        <v/>
      </c>
    </row>
    <row r="209" spans="1:14" x14ac:dyDescent="0.45">
      <c r="A209" s="6"/>
      <c r="B209" s="6"/>
      <c r="C209" s="6"/>
      <c r="D209" s="6"/>
      <c r="E209" s="6"/>
      <c r="F209" s="6"/>
      <c r="G209" s="6"/>
      <c r="H209" s="6"/>
      <c r="I209" s="6" t="str">
        <f ca="1">IFERROR(ROW(GameLog[#Headers])+MATCH(ROWS(I$5:I209),GameLog[Flag No],0),"")</f>
        <v/>
      </c>
      <c r="J209" s="10" t="str">
        <f ca="1">IF($I209="","",INDEX(GameLog[Date],$I209-ROW(GameLog[#Headers])))</f>
        <v/>
      </c>
      <c r="K209" s="6" t="str">
        <f ca="1">IF($I209="","",INDEX(GameLog[Player],$I209-ROW(GameLog[#Headers])))</f>
        <v/>
      </c>
      <c r="L209" s="6" t="str">
        <f ca="1">IF($I209="","",INDEX(GameLog[Pod],$I209-ROW(GameLog[#Headers])))</f>
        <v/>
      </c>
      <c r="M209" s="6" t="str">
        <f ca="1">IF($I209="","",INDEX(GameLog[Round],$I209-ROW(GameLog[#Headers])))</f>
        <v/>
      </c>
      <c r="N209" s="6" t="str">
        <f ca="1">IF($I209="","",INDEX(GameLog[Check],$I209-ROW(GameLog[#Headers])))</f>
        <v/>
      </c>
    </row>
    <row r="210" spans="1:14" x14ac:dyDescent="0.45">
      <c r="A210" s="6"/>
      <c r="B210" s="6"/>
      <c r="C210" s="6"/>
      <c r="D210" s="6"/>
      <c r="E210" s="6"/>
      <c r="F210" s="6"/>
      <c r="G210" s="6"/>
      <c r="H210" s="6"/>
      <c r="I210" s="6" t="str">
        <f ca="1">IFERROR(ROW(GameLog[#Headers])+MATCH(ROWS(I$5:I210),GameLog[Flag No],0),"")</f>
        <v/>
      </c>
      <c r="J210" s="10" t="str">
        <f ca="1">IF($I210="","",INDEX(GameLog[Date],$I210-ROW(GameLog[#Headers])))</f>
        <v/>
      </c>
      <c r="K210" s="6" t="str">
        <f ca="1">IF($I210="","",INDEX(GameLog[Player],$I210-ROW(GameLog[#Headers])))</f>
        <v/>
      </c>
      <c r="L210" s="6" t="str">
        <f ca="1">IF($I210="","",INDEX(GameLog[Pod],$I210-ROW(GameLog[#Headers])))</f>
        <v/>
      </c>
      <c r="M210" s="6" t="str">
        <f ca="1">IF($I210="","",INDEX(GameLog[Round],$I210-ROW(GameLog[#Headers])))</f>
        <v/>
      </c>
      <c r="N210" s="6" t="str">
        <f ca="1">IF($I210="","",INDEX(GameLog[Check],$I210-ROW(GameLog[#Headers])))</f>
        <v/>
      </c>
    </row>
    <row r="211" spans="1:14" x14ac:dyDescent="0.45">
      <c r="A211" s="6"/>
      <c r="B211" s="6"/>
      <c r="C211" s="6"/>
      <c r="D211" s="6"/>
      <c r="E211" s="6"/>
      <c r="F211" s="6"/>
      <c r="G211" s="6"/>
      <c r="H211" s="6"/>
      <c r="I211" s="6" t="str">
        <f ca="1">IFERROR(ROW(GameLog[#Headers])+MATCH(ROWS(I$5:I211),GameLog[Flag No],0),"")</f>
        <v/>
      </c>
      <c r="J211" s="10" t="str">
        <f ca="1">IF($I211="","",INDEX(GameLog[Date],$I211-ROW(GameLog[#Headers])))</f>
        <v/>
      </c>
      <c r="K211" s="6" t="str">
        <f ca="1">IF($I211="","",INDEX(GameLog[Player],$I211-ROW(GameLog[#Headers])))</f>
        <v/>
      </c>
      <c r="L211" s="6" t="str">
        <f ca="1">IF($I211="","",INDEX(GameLog[Pod],$I211-ROW(GameLog[#Headers])))</f>
        <v/>
      </c>
      <c r="M211" s="6" t="str">
        <f ca="1">IF($I211="","",INDEX(GameLog[Round],$I211-ROW(GameLog[#Headers])))</f>
        <v/>
      </c>
      <c r="N211" s="6" t="str">
        <f ca="1">IF($I211="","",INDEX(GameLog[Check],$I211-ROW(GameLog[#Headers])))</f>
        <v/>
      </c>
    </row>
    <row r="212" spans="1:14" x14ac:dyDescent="0.45">
      <c r="A212" s="6"/>
      <c r="B212" s="6"/>
      <c r="C212" s="6"/>
      <c r="D212" s="6"/>
      <c r="E212" s="6"/>
      <c r="F212" s="6"/>
      <c r="G212" s="6"/>
      <c r="H212" s="6"/>
      <c r="I212" s="6" t="str">
        <f ca="1">IFERROR(ROW(GameLog[#Headers])+MATCH(ROWS(I$5:I212),GameLog[Flag No],0),"")</f>
        <v/>
      </c>
      <c r="J212" s="10" t="str">
        <f ca="1">IF($I212="","",INDEX(GameLog[Date],$I212-ROW(GameLog[#Headers])))</f>
        <v/>
      </c>
      <c r="K212" s="6" t="str">
        <f ca="1">IF($I212="","",INDEX(GameLog[Player],$I212-ROW(GameLog[#Headers])))</f>
        <v/>
      </c>
      <c r="L212" s="6" t="str">
        <f ca="1">IF($I212="","",INDEX(GameLog[Pod],$I212-ROW(GameLog[#Headers])))</f>
        <v/>
      </c>
      <c r="M212" s="6" t="str">
        <f ca="1">IF($I212="","",INDEX(GameLog[Round],$I212-ROW(GameLog[#Headers])))</f>
        <v/>
      </c>
      <c r="N212" s="6" t="str">
        <f ca="1">IF($I212="","",INDEX(GameLog[Check],$I212-ROW(GameLog[#Headers])))</f>
        <v/>
      </c>
    </row>
    <row r="213" spans="1:14" x14ac:dyDescent="0.45">
      <c r="A213" s="6"/>
      <c r="B213" s="6"/>
      <c r="C213" s="6"/>
      <c r="D213" s="6"/>
      <c r="E213" s="6"/>
      <c r="F213" s="6"/>
      <c r="G213" s="6"/>
      <c r="H213" s="6"/>
      <c r="I213" s="6" t="str">
        <f ca="1">IFERROR(ROW(GameLog[#Headers])+MATCH(ROWS(I$5:I213),GameLog[Flag No],0),"")</f>
        <v/>
      </c>
      <c r="J213" s="10" t="str">
        <f ca="1">IF($I213="","",INDEX(GameLog[Date],$I213-ROW(GameLog[#Headers])))</f>
        <v/>
      </c>
      <c r="K213" s="6" t="str">
        <f ca="1">IF($I213="","",INDEX(GameLog[Player],$I213-ROW(GameLog[#Headers])))</f>
        <v/>
      </c>
      <c r="L213" s="6" t="str">
        <f ca="1">IF($I213="","",INDEX(GameLog[Pod],$I213-ROW(GameLog[#Headers])))</f>
        <v/>
      </c>
      <c r="M213" s="6" t="str">
        <f ca="1">IF($I213="","",INDEX(GameLog[Round],$I213-ROW(GameLog[#Headers])))</f>
        <v/>
      </c>
      <c r="N213" s="6" t="str">
        <f ca="1">IF($I213="","",INDEX(GameLog[Check],$I213-ROW(GameLog[#Headers])))</f>
        <v/>
      </c>
    </row>
    <row r="214" spans="1:14" x14ac:dyDescent="0.45">
      <c r="A214" s="6"/>
      <c r="B214" s="6"/>
      <c r="C214" s="6"/>
      <c r="D214" s="6"/>
      <c r="E214" s="6"/>
      <c r="F214" s="6"/>
      <c r="G214" s="6"/>
      <c r="H214" s="6"/>
      <c r="I214" s="6" t="str">
        <f ca="1">IFERROR(ROW(GameLog[#Headers])+MATCH(ROWS(I$5:I214),GameLog[Flag No],0),"")</f>
        <v/>
      </c>
      <c r="J214" s="10" t="str">
        <f ca="1">IF($I214="","",INDEX(GameLog[Date],$I214-ROW(GameLog[#Headers])))</f>
        <v/>
      </c>
      <c r="K214" s="6" t="str">
        <f ca="1">IF($I214="","",INDEX(GameLog[Player],$I214-ROW(GameLog[#Headers])))</f>
        <v/>
      </c>
      <c r="L214" s="6" t="str">
        <f ca="1">IF($I214="","",INDEX(GameLog[Pod],$I214-ROW(GameLog[#Headers])))</f>
        <v/>
      </c>
      <c r="M214" s="6" t="str">
        <f ca="1">IF($I214="","",INDEX(GameLog[Round],$I214-ROW(GameLog[#Headers])))</f>
        <v/>
      </c>
      <c r="N214" s="6" t="str">
        <f ca="1">IF($I214="","",INDEX(GameLog[Check],$I214-ROW(GameLog[#Headers])))</f>
        <v/>
      </c>
    </row>
    <row r="215" spans="1:14" x14ac:dyDescent="0.45">
      <c r="A215" s="6"/>
      <c r="B215" s="6"/>
      <c r="C215" s="6"/>
      <c r="D215" s="6"/>
      <c r="E215" s="6"/>
      <c r="F215" s="6"/>
      <c r="G215" s="6"/>
      <c r="H215" s="6"/>
      <c r="I215" s="6" t="str">
        <f ca="1">IFERROR(ROW(GameLog[#Headers])+MATCH(ROWS(I$5:I215),GameLog[Flag No],0),"")</f>
        <v/>
      </c>
      <c r="J215" s="10" t="str">
        <f ca="1">IF($I215="","",INDEX(GameLog[Date],$I215-ROW(GameLog[#Headers])))</f>
        <v/>
      </c>
      <c r="K215" s="6" t="str">
        <f ca="1">IF($I215="","",INDEX(GameLog[Player],$I215-ROW(GameLog[#Headers])))</f>
        <v/>
      </c>
      <c r="L215" s="6" t="str">
        <f ca="1">IF($I215="","",INDEX(GameLog[Pod],$I215-ROW(GameLog[#Headers])))</f>
        <v/>
      </c>
      <c r="M215" s="6" t="str">
        <f ca="1">IF($I215="","",INDEX(GameLog[Round],$I215-ROW(GameLog[#Headers])))</f>
        <v/>
      </c>
      <c r="N215" s="6" t="str">
        <f ca="1">IF($I215="","",INDEX(GameLog[Check],$I215-ROW(GameLog[#Headers])))</f>
        <v/>
      </c>
    </row>
    <row r="216" spans="1:14" x14ac:dyDescent="0.45">
      <c r="A216" s="6"/>
      <c r="B216" s="6"/>
      <c r="C216" s="6"/>
      <c r="D216" s="6"/>
      <c r="E216" s="6"/>
      <c r="F216" s="6"/>
      <c r="G216" s="6"/>
      <c r="H216" s="6"/>
      <c r="I216" s="6" t="str">
        <f ca="1">IFERROR(ROW(GameLog[#Headers])+MATCH(ROWS(I$5:I216),GameLog[Flag No],0),"")</f>
        <v/>
      </c>
      <c r="J216" s="10" t="str">
        <f ca="1">IF($I216="","",INDEX(GameLog[Date],$I216-ROW(GameLog[#Headers])))</f>
        <v/>
      </c>
      <c r="K216" s="6" t="str">
        <f ca="1">IF($I216="","",INDEX(GameLog[Player],$I216-ROW(GameLog[#Headers])))</f>
        <v/>
      </c>
      <c r="L216" s="6" t="str">
        <f ca="1">IF($I216="","",INDEX(GameLog[Pod],$I216-ROW(GameLog[#Headers])))</f>
        <v/>
      </c>
      <c r="M216" s="6" t="str">
        <f ca="1">IF($I216="","",INDEX(GameLog[Round],$I216-ROW(GameLog[#Headers])))</f>
        <v/>
      </c>
      <c r="N216" s="6" t="str">
        <f ca="1">IF($I216="","",INDEX(GameLog[Check],$I216-ROW(GameLog[#Headers])))</f>
        <v/>
      </c>
    </row>
    <row r="217" spans="1:14" x14ac:dyDescent="0.45">
      <c r="A217" s="6"/>
      <c r="B217" s="6"/>
      <c r="C217" s="6"/>
      <c r="D217" s="6"/>
      <c r="E217" s="6"/>
      <c r="F217" s="6"/>
      <c r="G217" s="6"/>
      <c r="H217" s="6"/>
      <c r="I217" s="6" t="str">
        <f ca="1">IFERROR(ROW(GameLog[#Headers])+MATCH(ROWS(I$5:I217),GameLog[Flag No],0),"")</f>
        <v/>
      </c>
      <c r="J217" s="10" t="str">
        <f ca="1">IF($I217="","",INDEX(GameLog[Date],$I217-ROW(GameLog[#Headers])))</f>
        <v/>
      </c>
      <c r="K217" s="6" t="str">
        <f ca="1">IF($I217="","",INDEX(GameLog[Player],$I217-ROW(GameLog[#Headers])))</f>
        <v/>
      </c>
      <c r="L217" s="6" t="str">
        <f ca="1">IF($I217="","",INDEX(GameLog[Pod],$I217-ROW(GameLog[#Headers])))</f>
        <v/>
      </c>
      <c r="M217" s="6" t="str">
        <f ca="1">IF($I217="","",INDEX(GameLog[Round],$I217-ROW(GameLog[#Headers])))</f>
        <v/>
      </c>
      <c r="N217" s="6" t="str">
        <f ca="1">IF($I217="","",INDEX(GameLog[Check],$I217-ROW(GameLog[#Headers])))</f>
        <v/>
      </c>
    </row>
    <row r="218" spans="1:14" x14ac:dyDescent="0.45">
      <c r="A218" s="6"/>
      <c r="B218" s="6"/>
      <c r="C218" s="6"/>
      <c r="D218" s="6"/>
      <c r="E218" s="6"/>
      <c r="F218" s="6"/>
      <c r="G218" s="6"/>
      <c r="H218" s="6"/>
      <c r="I218" s="6" t="str">
        <f ca="1">IFERROR(ROW(GameLog[#Headers])+MATCH(ROWS(I$5:I218),GameLog[Flag No],0),"")</f>
        <v/>
      </c>
      <c r="J218" s="10" t="str">
        <f ca="1">IF($I218="","",INDEX(GameLog[Date],$I218-ROW(GameLog[#Headers])))</f>
        <v/>
      </c>
      <c r="K218" s="6" t="str">
        <f ca="1">IF($I218="","",INDEX(GameLog[Player],$I218-ROW(GameLog[#Headers])))</f>
        <v/>
      </c>
      <c r="L218" s="6" t="str">
        <f ca="1">IF($I218="","",INDEX(GameLog[Pod],$I218-ROW(GameLog[#Headers])))</f>
        <v/>
      </c>
      <c r="M218" s="6" t="str">
        <f ca="1">IF($I218="","",INDEX(GameLog[Round],$I218-ROW(GameLog[#Headers])))</f>
        <v/>
      </c>
      <c r="N218" s="6" t="str">
        <f ca="1">IF($I218="","",INDEX(GameLog[Check],$I218-ROW(GameLog[#Headers])))</f>
        <v/>
      </c>
    </row>
    <row r="219" spans="1:14" x14ac:dyDescent="0.45">
      <c r="A219" s="6"/>
      <c r="B219" s="6"/>
      <c r="C219" s="6"/>
      <c r="D219" s="6"/>
      <c r="E219" s="6"/>
      <c r="F219" s="6"/>
      <c r="G219" s="6"/>
      <c r="H219" s="6"/>
      <c r="I219" s="6" t="str">
        <f ca="1">IFERROR(ROW(GameLog[#Headers])+MATCH(ROWS(I$5:I219),GameLog[Flag No],0),"")</f>
        <v/>
      </c>
      <c r="J219" s="10" t="str">
        <f ca="1">IF($I219="","",INDEX(GameLog[Date],$I219-ROW(GameLog[#Headers])))</f>
        <v/>
      </c>
      <c r="K219" s="6" t="str">
        <f ca="1">IF($I219="","",INDEX(GameLog[Player],$I219-ROW(GameLog[#Headers])))</f>
        <v/>
      </c>
      <c r="L219" s="6" t="str">
        <f ca="1">IF($I219="","",INDEX(GameLog[Pod],$I219-ROW(GameLog[#Headers])))</f>
        <v/>
      </c>
      <c r="M219" s="6" t="str">
        <f ca="1">IF($I219="","",INDEX(GameLog[Round],$I219-ROW(GameLog[#Headers])))</f>
        <v/>
      </c>
      <c r="N219" s="6" t="str">
        <f ca="1">IF($I219="","",INDEX(GameLog[Check],$I219-ROW(GameLog[#Headers])))</f>
        <v/>
      </c>
    </row>
    <row r="220" spans="1:14" x14ac:dyDescent="0.45">
      <c r="A220" s="6"/>
      <c r="B220" s="6"/>
      <c r="C220" s="6"/>
      <c r="D220" s="6"/>
      <c r="E220" s="6"/>
      <c r="F220" s="6"/>
      <c r="G220" s="6"/>
      <c r="H220" s="6"/>
      <c r="I220" s="6" t="str">
        <f ca="1">IFERROR(ROW(GameLog[#Headers])+MATCH(ROWS(I$5:I220),GameLog[Flag No],0),"")</f>
        <v/>
      </c>
      <c r="J220" s="10" t="str">
        <f ca="1">IF($I220="","",INDEX(GameLog[Date],$I220-ROW(GameLog[#Headers])))</f>
        <v/>
      </c>
      <c r="K220" s="6" t="str">
        <f ca="1">IF($I220="","",INDEX(GameLog[Player],$I220-ROW(GameLog[#Headers])))</f>
        <v/>
      </c>
      <c r="L220" s="6" t="str">
        <f ca="1">IF($I220="","",INDEX(GameLog[Pod],$I220-ROW(GameLog[#Headers])))</f>
        <v/>
      </c>
      <c r="M220" s="6" t="str">
        <f ca="1">IF($I220="","",INDEX(GameLog[Round],$I220-ROW(GameLog[#Headers])))</f>
        <v/>
      </c>
      <c r="N220" s="6" t="str">
        <f ca="1">IF($I220="","",INDEX(GameLog[Check],$I220-ROW(GameLog[#Headers])))</f>
        <v/>
      </c>
    </row>
    <row r="221" spans="1:14" x14ac:dyDescent="0.45">
      <c r="A221" s="6"/>
      <c r="B221" s="6"/>
      <c r="C221" s="6"/>
      <c r="D221" s="6"/>
      <c r="E221" s="6"/>
      <c r="F221" s="6"/>
      <c r="G221" s="6"/>
      <c r="H221" s="6"/>
      <c r="I221" s="6" t="str">
        <f ca="1">IFERROR(ROW(GameLog[#Headers])+MATCH(ROWS(I$5:I221),GameLog[Flag No],0),"")</f>
        <v/>
      </c>
      <c r="J221" s="10" t="str">
        <f ca="1">IF($I221="","",INDEX(GameLog[Date],$I221-ROW(GameLog[#Headers])))</f>
        <v/>
      </c>
      <c r="K221" s="6" t="str">
        <f ca="1">IF($I221="","",INDEX(GameLog[Player],$I221-ROW(GameLog[#Headers])))</f>
        <v/>
      </c>
      <c r="L221" s="6" t="str">
        <f ca="1">IF($I221="","",INDEX(GameLog[Pod],$I221-ROW(GameLog[#Headers])))</f>
        <v/>
      </c>
      <c r="M221" s="6" t="str">
        <f ca="1">IF($I221="","",INDEX(GameLog[Round],$I221-ROW(GameLog[#Headers])))</f>
        <v/>
      </c>
      <c r="N221" s="6" t="str">
        <f ca="1">IF($I221="","",INDEX(GameLog[Check],$I221-ROW(GameLog[#Headers])))</f>
        <v/>
      </c>
    </row>
    <row r="222" spans="1:14" x14ac:dyDescent="0.45">
      <c r="A222" s="6"/>
      <c r="B222" s="6"/>
      <c r="C222" s="6"/>
      <c r="D222" s="6"/>
      <c r="E222" s="6"/>
      <c r="F222" s="6"/>
      <c r="G222" s="6"/>
      <c r="H222" s="6"/>
      <c r="I222" s="6" t="str">
        <f ca="1">IFERROR(ROW(GameLog[#Headers])+MATCH(ROWS(I$5:I222),GameLog[Flag No],0),"")</f>
        <v/>
      </c>
      <c r="J222" s="10" t="str">
        <f ca="1">IF($I222="","",INDEX(GameLog[Date],$I222-ROW(GameLog[#Headers])))</f>
        <v/>
      </c>
      <c r="K222" s="6" t="str">
        <f ca="1">IF($I222="","",INDEX(GameLog[Player],$I222-ROW(GameLog[#Headers])))</f>
        <v/>
      </c>
      <c r="L222" s="6" t="str">
        <f ca="1">IF($I222="","",INDEX(GameLog[Pod],$I222-ROW(GameLog[#Headers])))</f>
        <v/>
      </c>
      <c r="M222" s="6" t="str">
        <f ca="1">IF($I222="","",INDEX(GameLog[Round],$I222-ROW(GameLog[#Headers])))</f>
        <v/>
      </c>
      <c r="N222" s="6" t="str">
        <f ca="1">IF($I222="","",INDEX(GameLog[Check],$I222-ROW(GameLog[#Headers])))</f>
        <v/>
      </c>
    </row>
    <row r="223" spans="1:14" x14ac:dyDescent="0.45">
      <c r="A223" s="6"/>
      <c r="B223" s="6"/>
      <c r="C223" s="6"/>
      <c r="D223" s="6"/>
      <c r="E223" s="6"/>
      <c r="F223" s="6"/>
      <c r="G223" s="6"/>
      <c r="H223" s="6"/>
      <c r="I223" s="6" t="str">
        <f ca="1">IFERROR(ROW(GameLog[#Headers])+MATCH(ROWS(I$5:I223),GameLog[Flag No],0),"")</f>
        <v/>
      </c>
      <c r="J223" s="10" t="str">
        <f ca="1">IF($I223="","",INDEX(GameLog[Date],$I223-ROW(GameLog[#Headers])))</f>
        <v/>
      </c>
      <c r="K223" s="6" t="str">
        <f ca="1">IF($I223="","",INDEX(GameLog[Player],$I223-ROW(GameLog[#Headers])))</f>
        <v/>
      </c>
      <c r="L223" s="6" t="str">
        <f ca="1">IF($I223="","",INDEX(GameLog[Pod],$I223-ROW(GameLog[#Headers])))</f>
        <v/>
      </c>
      <c r="M223" s="6" t="str">
        <f ca="1">IF($I223="","",INDEX(GameLog[Round],$I223-ROW(GameLog[#Headers])))</f>
        <v/>
      </c>
      <c r="N223" s="6" t="str">
        <f ca="1">IF($I223="","",INDEX(GameLog[Check],$I223-ROW(GameLog[#Headers])))</f>
        <v/>
      </c>
    </row>
    <row r="224" spans="1:14" x14ac:dyDescent="0.45">
      <c r="A224" s="6"/>
      <c r="B224" s="6"/>
      <c r="C224" s="6"/>
      <c r="D224" s="6"/>
      <c r="E224" s="6"/>
      <c r="F224" s="6"/>
      <c r="G224" s="6"/>
      <c r="H224" s="6"/>
      <c r="I224" s="6" t="str">
        <f ca="1">IFERROR(ROW(GameLog[#Headers])+MATCH(ROWS(I$5:I224),GameLog[Flag No],0),"")</f>
        <v/>
      </c>
      <c r="J224" s="10" t="str">
        <f ca="1">IF($I224="","",INDEX(GameLog[Date],$I224-ROW(GameLog[#Headers])))</f>
        <v/>
      </c>
      <c r="K224" s="6" t="str">
        <f ca="1">IF($I224="","",INDEX(GameLog[Player],$I224-ROW(GameLog[#Headers])))</f>
        <v/>
      </c>
      <c r="L224" s="6" t="str">
        <f ca="1">IF($I224="","",INDEX(GameLog[Pod],$I224-ROW(GameLog[#Headers])))</f>
        <v/>
      </c>
      <c r="M224" s="6" t="str">
        <f ca="1">IF($I224="","",INDEX(GameLog[Round],$I224-ROW(GameLog[#Headers])))</f>
        <v/>
      </c>
      <c r="N224" s="6" t="str">
        <f ca="1">IF($I224="","",INDEX(GameLog[Check],$I224-ROW(GameLog[#Headers])))</f>
        <v/>
      </c>
    </row>
    <row r="225" spans="1:14" x14ac:dyDescent="0.45">
      <c r="A225" s="6"/>
      <c r="B225" s="6"/>
      <c r="C225" s="6"/>
      <c r="D225" s="6"/>
      <c r="E225" s="6"/>
      <c r="F225" s="6"/>
      <c r="G225" s="6"/>
      <c r="H225" s="6"/>
      <c r="I225" s="6" t="str">
        <f ca="1">IFERROR(ROW(GameLog[#Headers])+MATCH(ROWS(I$5:I225),GameLog[Flag No],0),"")</f>
        <v/>
      </c>
      <c r="J225" s="10" t="str">
        <f ca="1">IF($I225="","",INDEX(GameLog[Date],$I225-ROW(GameLog[#Headers])))</f>
        <v/>
      </c>
      <c r="K225" s="6" t="str">
        <f ca="1">IF($I225="","",INDEX(GameLog[Player],$I225-ROW(GameLog[#Headers])))</f>
        <v/>
      </c>
      <c r="L225" s="6" t="str">
        <f ca="1">IF($I225="","",INDEX(GameLog[Pod],$I225-ROW(GameLog[#Headers])))</f>
        <v/>
      </c>
      <c r="M225" s="6" t="str">
        <f ca="1">IF($I225="","",INDEX(GameLog[Round],$I225-ROW(GameLog[#Headers])))</f>
        <v/>
      </c>
      <c r="N225" s="6" t="str">
        <f ca="1">IF($I225="","",INDEX(GameLog[Check],$I225-ROW(GameLog[#Headers])))</f>
        <v/>
      </c>
    </row>
    <row r="226" spans="1:14" x14ac:dyDescent="0.45">
      <c r="A226" s="6"/>
      <c r="B226" s="6"/>
      <c r="C226" s="6"/>
      <c r="D226" s="6"/>
      <c r="E226" s="6"/>
      <c r="F226" s="6"/>
      <c r="G226" s="6"/>
      <c r="H226" s="6"/>
      <c r="I226" s="6" t="str">
        <f ca="1">IFERROR(ROW(GameLog[#Headers])+MATCH(ROWS(I$5:I226),GameLog[Flag No],0),"")</f>
        <v/>
      </c>
      <c r="J226" s="10" t="str">
        <f ca="1">IF($I226="","",INDEX(GameLog[Date],$I226-ROW(GameLog[#Headers])))</f>
        <v/>
      </c>
      <c r="K226" s="6" t="str">
        <f ca="1">IF($I226="","",INDEX(GameLog[Player],$I226-ROW(GameLog[#Headers])))</f>
        <v/>
      </c>
      <c r="L226" s="6" t="str">
        <f ca="1">IF($I226="","",INDEX(GameLog[Pod],$I226-ROW(GameLog[#Headers])))</f>
        <v/>
      </c>
      <c r="M226" s="6" t="str">
        <f ca="1">IF($I226="","",INDEX(GameLog[Round],$I226-ROW(GameLog[#Headers])))</f>
        <v/>
      </c>
      <c r="N226" s="6" t="str">
        <f ca="1">IF($I226="","",INDEX(GameLog[Check],$I226-ROW(GameLog[#Headers])))</f>
        <v/>
      </c>
    </row>
    <row r="227" spans="1:14" x14ac:dyDescent="0.45">
      <c r="A227" s="6"/>
      <c r="B227" s="6"/>
      <c r="C227" s="6"/>
      <c r="D227" s="6"/>
      <c r="E227" s="6"/>
      <c r="F227" s="6"/>
      <c r="G227" s="6"/>
      <c r="H227" s="6"/>
      <c r="I227" s="6" t="str">
        <f ca="1">IFERROR(ROW(GameLog[#Headers])+MATCH(ROWS(I$5:I227),GameLog[Flag No],0),"")</f>
        <v/>
      </c>
      <c r="J227" s="10" t="str">
        <f ca="1">IF($I227="","",INDEX(GameLog[Date],$I227-ROW(GameLog[#Headers])))</f>
        <v/>
      </c>
      <c r="K227" s="6" t="str">
        <f ca="1">IF($I227="","",INDEX(GameLog[Player],$I227-ROW(GameLog[#Headers])))</f>
        <v/>
      </c>
      <c r="L227" s="6" t="str">
        <f ca="1">IF($I227="","",INDEX(GameLog[Pod],$I227-ROW(GameLog[#Headers])))</f>
        <v/>
      </c>
      <c r="M227" s="6" t="str">
        <f ca="1">IF($I227="","",INDEX(GameLog[Round],$I227-ROW(GameLog[#Headers])))</f>
        <v/>
      </c>
      <c r="N227" s="6" t="str">
        <f ca="1">IF($I227="","",INDEX(GameLog[Check],$I227-ROW(GameLog[#Headers])))</f>
        <v/>
      </c>
    </row>
    <row r="228" spans="1:14" x14ac:dyDescent="0.45">
      <c r="A228" s="6"/>
      <c r="B228" s="6"/>
      <c r="C228" s="6"/>
      <c r="D228" s="6"/>
      <c r="E228" s="6"/>
      <c r="F228" s="6"/>
      <c r="G228" s="6"/>
      <c r="H228" s="6"/>
      <c r="I228" s="6" t="str">
        <f ca="1">IFERROR(ROW(GameLog[#Headers])+MATCH(ROWS(I$5:I228),GameLog[Flag No],0),"")</f>
        <v/>
      </c>
      <c r="J228" s="10" t="str">
        <f ca="1">IF($I228="","",INDEX(GameLog[Date],$I228-ROW(GameLog[#Headers])))</f>
        <v/>
      </c>
      <c r="K228" s="6" t="str">
        <f ca="1">IF($I228="","",INDEX(GameLog[Player],$I228-ROW(GameLog[#Headers])))</f>
        <v/>
      </c>
      <c r="L228" s="6" t="str">
        <f ca="1">IF($I228="","",INDEX(GameLog[Pod],$I228-ROW(GameLog[#Headers])))</f>
        <v/>
      </c>
      <c r="M228" s="6" t="str">
        <f ca="1">IF($I228="","",INDEX(GameLog[Round],$I228-ROW(GameLog[#Headers])))</f>
        <v/>
      </c>
      <c r="N228" s="6" t="str">
        <f ca="1">IF($I228="","",INDEX(GameLog[Check],$I228-ROW(GameLog[#Headers])))</f>
        <v/>
      </c>
    </row>
    <row r="229" spans="1:14" x14ac:dyDescent="0.45">
      <c r="A229" s="6"/>
      <c r="B229" s="6"/>
      <c r="C229" s="6"/>
      <c r="D229" s="6"/>
      <c r="E229" s="6"/>
      <c r="F229" s="6"/>
      <c r="G229" s="6"/>
      <c r="H229" s="6"/>
      <c r="I229" s="6" t="str">
        <f ca="1">IFERROR(ROW(GameLog[#Headers])+MATCH(ROWS(I$5:I229),GameLog[Flag No],0),"")</f>
        <v/>
      </c>
      <c r="J229" s="10" t="str">
        <f ca="1">IF($I229="","",INDEX(GameLog[Date],$I229-ROW(GameLog[#Headers])))</f>
        <v/>
      </c>
      <c r="K229" s="6" t="str">
        <f ca="1">IF($I229="","",INDEX(GameLog[Player],$I229-ROW(GameLog[#Headers])))</f>
        <v/>
      </c>
      <c r="L229" s="6" t="str">
        <f ca="1">IF($I229="","",INDEX(GameLog[Pod],$I229-ROW(GameLog[#Headers])))</f>
        <v/>
      </c>
      <c r="M229" s="6" t="str">
        <f ca="1">IF($I229="","",INDEX(GameLog[Round],$I229-ROW(GameLog[#Headers])))</f>
        <v/>
      </c>
      <c r="N229" s="6" t="str">
        <f ca="1">IF($I229="","",INDEX(GameLog[Check],$I229-ROW(GameLog[#Headers])))</f>
        <v/>
      </c>
    </row>
    <row r="230" spans="1:14" x14ac:dyDescent="0.45">
      <c r="A230" s="6"/>
      <c r="B230" s="6"/>
      <c r="C230" s="6"/>
      <c r="D230" s="6"/>
      <c r="E230" s="6"/>
      <c r="F230" s="6"/>
      <c r="G230" s="6"/>
      <c r="H230" s="6"/>
      <c r="I230" s="6" t="str">
        <f ca="1">IFERROR(ROW(GameLog[#Headers])+MATCH(ROWS(I$5:I230),GameLog[Flag No],0),"")</f>
        <v/>
      </c>
      <c r="J230" s="10" t="str">
        <f ca="1">IF($I230="","",INDEX(GameLog[Date],$I230-ROW(GameLog[#Headers])))</f>
        <v/>
      </c>
      <c r="K230" s="6" t="str">
        <f ca="1">IF($I230="","",INDEX(GameLog[Player],$I230-ROW(GameLog[#Headers])))</f>
        <v/>
      </c>
      <c r="L230" s="6" t="str">
        <f ca="1">IF($I230="","",INDEX(GameLog[Pod],$I230-ROW(GameLog[#Headers])))</f>
        <v/>
      </c>
      <c r="M230" s="6" t="str">
        <f ca="1">IF($I230="","",INDEX(GameLog[Round],$I230-ROW(GameLog[#Headers])))</f>
        <v/>
      </c>
      <c r="N230" s="6" t="str">
        <f ca="1">IF($I230="","",INDEX(GameLog[Check],$I230-ROW(GameLog[#Headers])))</f>
        <v/>
      </c>
    </row>
    <row r="231" spans="1:14" x14ac:dyDescent="0.45">
      <c r="A231" s="6"/>
      <c r="B231" s="6"/>
      <c r="C231" s="6"/>
      <c r="D231" s="6"/>
      <c r="E231" s="6"/>
      <c r="F231" s="6"/>
      <c r="G231" s="6"/>
      <c r="H231" s="6"/>
      <c r="I231" s="6" t="str">
        <f ca="1">IFERROR(ROW(GameLog[#Headers])+MATCH(ROWS(I$5:I231),GameLog[Flag No],0),"")</f>
        <v/>
      </c>
      <c r="J231" s="10" t="str">
        <f ca="1">IF($I231="","",INDEX(GameLog[Date],$I231-ROW(GameLog[#Headers])))</f>
        <v/>
      </c>
      <c r="K231" s="6" t="str">
        <f ca="1">IF($I231="","",INDEX(GameLog[Player],$I231-ROW(GameLog[#Headers])))</f>
        <v/>
      </c>
      <c r="L231" s="6" t="str">
        <f ca="1">IF($I231="","",INDEX(GameLog[Pod],$I231-ROW(GameLog[#Headers])))</f>
        <v/>
      </c>
      <c r="M231" s="6" t="str">
        <f ca="1">IF($I231="","",INDEX(GameLog[Round],$I231-ROW(GameLog[#Headers])))</f>
        <v/>
      </c>
      <c r="N231" s="6" t="str">
        <f ca="1">IF($I231="","",INDEX(GameLog[Check],$I231-ROW(GameLog[#Headers])))</f>
        <v/>
      </c>
    </row>
    <row r="232" spans="1:14" x14ac:dyDescent="0.45">
      <c r="A232" s="6"/>
      <c r="B232" s="6"/>
      <c r="C232" s="6"/>
      <c r="D232" s="6"/>
      <c r="E232" s="6"/>
      <c r="F232" s="6"/>
      <c r="G232" s="6"/>
      <c r="H232" s="6"/>
      <c r="I232" s="6" t="str">
        <f ca="1">IFERROR(ROW(GameLog[#Headers])+MATCH(ROWS(I$5:I232),GameLog[Flag No],0),"")</f>
        <v/>
      </c>
      <c r="J232" s="10" t="str">
        <f ca="1">IF($I232="","",INDEX(GameLog[Date],$I232-ROW(GameLog[#Headers])))</f>
        <v/>
      </c>
      <c r="K232" s="6" t="str">
        <f ca="1">IF($I232="","",INDEX(GameLog[Player],$I232-ROW(GameLog[#Headers])))</f>
        <v/>
      </c>
      <c r="L232" s="6" t="str">
        <f ca="1">IF($I232="","",INDEX(GameLog[Pod],$I232-ROW(GameLog[#Headers])))</f>
        <v/>
      </c>
      <c r="M232" s="6" t="str">
        <f ca="1">IF($I232="","",INDEX(GameLog[Round],$I232-ROW(GameLog[#Headers])))</f>
        <v/>
      </c>
      <c r="N232" s="6" t="str">
        <f ca="1">IF($I232="","",INDEX(GameLog[Check],$I232-ROW(GameLog[#Headers])))</f>
        <v/>
      </c>
    </row>
    <row r="233" spans="1:14" x14ac:dyDescent="0.45">
      <c r="A233" s="6"/>
      <c r="B233" s="6"/>
      <c r="C233" s="6"/>
      <c r="D233" s="6"/>
      <c r="E233" s="6"/>
      <c r="F233" s="6"/>
      <c r="G233" s="6"/>
      <c r="H233" s="6"/>
      <c r="I233" s="6" t="str">
        <f ca="1">IFERROR(ROW(GameLog[#Headers])+MATCH(ROWS(I$5:I233),GameLog[Flag No],0),"")</f>
        <v/>
      </c>
      <c r="J233" s="10" t="str">
        <f ca="1">IF($I233="","",INDEX(GameLog[Date],$I233-ROW(GameLog[#Headers])))</f>
        <v/>
      </c>
      <c r="K233" s="6" t="str">
        <f ca="1">IF($I233="","",INDEX(GameLog[Player],$I233-ROW(GameLog[#Headers])))</f>
        <v/>
      </c>
      <c r="L233" s="6" t="str">
        <f ca="1">IF($I233="","",INDEX(GameLog[Pod],$I233-ROW(GameLog[#Headers])))</f>
        <v/>
      </c>
      <c r="M233" s="6" t="str">
        <f ca="1">IF($I233="","",INDEX(GameLog[Round],$I233-ROW(GameLog[#Headers])))</f>
        <v/>
      </c>
      <c r="N233" s="6" t="str">
        <f ca="1">IF($I233="","",INDEX(GameLog[Check],$I233-ROW(GameLog[#Headers])))</f>
        <v/>
      </c>
    </row>
    <row r="234" spans="1:14" x14ac:dyDescent="0.45">
      <c r="A234" s="6"/>
      <c r="B234" s="6"/>
      <c r="C234" s="6"/>
      <c r="D234" s="6"/>
      <c r="E234" s="6"/>
      <c r="F234" s="6"/>
      <c r="G234" s="6"/>
      <c r="H234" s="6"/>
      <c r="I234" s="6" t="str">
        <f ca="1">IFERROR(ROW(GameLog[#Headers])+MATCH(ROWS(I$5:I234),GameLog[Flag No],0),"")</f>
        <v/>
      </c>
      <c r="J234" s="10" t="str">
        <f ca="1">IF($I234="","",INDEX(GameLog[Date],$I234-ROW(GameLog[#Headers])))</f>
        <v/>
      </c>
      <c r="K234" s="6" t="str">
        <f ca="1">IF($I234="","",INDEX(GameLog[Player],$I234-ROW(GameLog[#Headers])))</f>
        <v/>
      </c>
      <c r="L234" s="6" t="str">
        <f ca="1">IF($I234="","",INDEX(GameLog[Pod],$I234-ROW(GameLog[#Headers])))</f>
        <v/>
      </c>
      <c r="M234" s="6" t="str">
        <f ca="1">IF($I234="","",INDEX(GameLog[Round],$I234-ROW(GameLog[#Headers])))</f>
        <v/>
      </c>
      <c r="N234" s="6" t="str">
        <f ca="1">IF($I234="","",INDEX(GameLog[Check],$I234-ROW(GameLog[#Headers])))</f>
        <v/>
      </c>
    </row>
    <row r="235" spans="1:14" x14ac:dyDescent="0.45">
      <c r="A235" s="6"/>
      <c r="B235" s="6"/>
      <c r="C235" s="6"/>
      <c r="D235" s="6"/>
      <c r="E235" s="6"/>
      <c r="F235" s="6"/>
      <c r="G235" s="6"/>
      <c r="H235" s="6"/>
      <c r="I235" s="6" t="str">
        <f ca="1">IFERROR(ROW(GameLog[#Headers])+MATCH(ROWS(I$5:I235),GameLog[Flag No],0),"")</f>
        <v/>
      </c>
      <c r="J235" s="10" t="str">
        <f ca="1">IF($I235="","",INDEX(GameLog[Date],$I235-ROW(GameLog[#Headers])))</f>
        <v/>
      </c>
      <c r="K235" s="6" t="str">
        <f ca="1">IF($I235="","",INDEX(GameLog[Player],$I235-ROW(GameLog[#Headers])))</f>
        <v/>
      </c>
      <c r="L235" s="6" t="str">
        <f ca="1">IF($I235="","",INDEX(GameLog[Pod],$I235-ROW(GameLog[#Headers])))</f>
        <v/>
      </c>
      <c r="M235" s="6" t="str">
        <f ca="1">IF($I235="","",INDEX(GameLog[Round],$I235-ROW(GameLog[#Headers])))</f>
        <v/>
      </c>
      <c r="N235" s="6" t="str">
        <f ca="1">IF($I235="","",INDEX(GameLog[Check],$I235-ROW(GameLog[#Headers])))</f>
        <v/>
      </c>
    </row>
    <row r="236" spans="1:14" x14ac:dyDescent="0.45">
      <c r="A236" s="6"/>
      <c r="B236" s="6"/>
      <c r="C236" s="6"/>
      <c r="D236" s="6"/>
      <c r="E236" s="6"/>
      <c r="F236" s="6"/>
      <c r="G236" s="6"/>
      <c r="H236" s="6"/>
      <c r="I236" s="6" t="str">
        <f ca="1">IFERROR(ROW(GameLog[#Headers])+MATCH(ROWS(I$5:I236),GameLog[Flag No],0),"")</f>
        <v/>
      </c>
      <c r="J236" s="10" t="str">
        <f ca="1">IF($I236="","",INDEX(GameLog[Date],$I236-ROW(GameLog[#Headers])))</f>
        <v/>
      </c>
      <c r="K236" s="6" t="str">
        <f ca="1">IF($I236="","",INDEX(GameLog[Player],$I236-ROW(GameLog[#Headers])))</f>
        <v/>
      </c>
      <c r="L236" s="6" t="str">
        <f ca="1">IF($I236="","",INDEX(GameLog[Pod],$I236-ROW(GameLog[#Headers])))</f>
        <v/>
      </c>
      <c r="M236" s="6" t="str">
        <f ca="1">IF($I236="","",INDEX(GameLog[Round],$I236-ROW(GameLog[#Headers])))</f>
        <v/>
      </c>
      <c r="N236" s="6" t="str">
        <f ca="1">IF($I236="","",INDEX(GameLog[Check],$I236-ROW(GameLog[#Headers])))</f>
        <v/>
      </c>
    </row>
    <row r="237" spans="1:14" x14ac:dyDescent="0.45">
      <c r="A237" s="6"/>
      <c r="B237" s="6"/>
      <c r="C237" s="6"/>
      <c r="D237" s="6"/>
      <c r="E237" s="6"/>
      <c r="F237" s="6"/>
      <c r="G237" s="6"/>
      <c r="H237" s="6"/>
      <c r="I237" s="6" t="str">
        <f ca="1">IFERROR(ROW(GameLog[#Headers])+MATCH(ROWS(I$5:I237),GameLog[Flag No],0),"")</f>
        <v/>
      </c>
      <c r="J237" s="10" t="str">
        <f ca="1">IF($I237="","",INDEX(GameLog[Date],$I237-ROW(GameLog[#Headers])))</f>
        <v/>
      </c>
      <c r="K237" s="6" t="str">
        <f ca="1">IF($I237="","",INDEX(GameLog[Player],$I237-ROW(GameLog[#Headers])))</f>
        <v/>
      </c>
      <c r="L237" s="6" t="str">
        <f ca="1">IF($I237="","",INDEX(GameLog[Pod],$I237-ROW(GameLog[#Headers])))</f>
        <v/>
      </c>
      <c r="M237" s="6" t="str">
        <f ca="1">IF($I237="","",INDEX(GameLog[Round],$I237-ROW(GameLog[#Headers])))</f>
        <v/>
      </c>
      <c r="N237" s="6" t="str">
        <f ca="1">IF($I237="","",INDEX(GameLog[Check],$I237-ROW(GameLog[#Headers])))</f>
        <v/>
      </c>
    </row>
    <row r="238" spans="1:14" x14ac:dyDescent="0.45">
      <c r="A238" s="6"/>
      <c r="B238" s="6"/>
      <c r="C238" s="6"/>
      <c r="D238" s="6"/>
      <c r="E238" s="6"/>
      <c r="F238" s="6"/>
      <c r="G238" s="6"/>
      <c r="H238" s="6"/>
      <c r="I238" s="6" t="str">
        <f ca="1">IFERROR(ROW(GameLog[#Headers])+MATCH(ROWS(I$5:I238),GameLog[Flag No],0),"")</f>
        <v/>
      </c>
      <c r="J238" s="10" t="str">
        <f ca="1">IF($I238="","",INDEX(GameLog[Date],$I238-ROW(GameLog[#Headers])))</f>
        <v/>
      </c>
      <c r="K238" s="6" t="str">
        <f ca="1">IF($I238="","",INDEX(GameLog[Player],$I238-ROW(GameLog[#Headers])))</f>
        <v/>
      </c>
      <c r="L238" s="6" t="str">
        <f ca="1">IF($I238="","",INDEX(GameLog[Pod],$I238-ROW(GameLog[#Headers])))</f>
        <v/>
      </c>
      <c r="M238" s="6" t="str">
        <f ca="1">IF($I238="","",INDEX(GameLog[Round],$I238-ROW(GameLog[#Headers])))</f>
        <v/>
      </c>
      <c r="N238" s="6" t="str">
        <f ca="1">IF($I238="","",INDEX(GameLog[Check],$I238-ROW(GameLog[#Headers])))</f>
        <v/>
      </c>
    </row>
    <row r="239" spans="1:14" x14ac:dyDescent="0.45">
      <c r="A239" s="6"/>
      <c r="B239" s="6"/>
      <c r="C239" s="6"/>
      <c r="D239" s="6"/>
      <c r="E239" s="6"/>
      <c r="F239" s="6"/>
      <c r="G239" s="6"/>
      <c r="H239" s="6"/>
      <c r="I239" s="6" t="str">
        <f ca="1">IFERROR(ROW(GameLog[#Headers])+MATCH(ROWS(I$5:I239),GameLog[Flag No],0),"")</f>
        <v/>
      </c>
      <c r="J239" s="10" t="str">
        <f ca="1">IF($I239="","",INDEX(GameLog[Date],$I239-ROW(GameLog[#Headers])))</f>
        <v/>
      </c>
      <c r="K239" s="6" t="str">
        <f ca="1">IF($I239="","",INDEX(GameLog[Player],$I239-ROW(GameLog[#Headers])))</f>
        <v/>
      </c>
      <c r="L239" s="6" t="str">
        <f ca="1">IF($I239="","",INDEX(GameLog[Pod],$I239-ROW(GameLog[#Headers])))</f>
        <v/>
      </c>
      <c r="M239" s="6" t="str">
        <f ca="1">IF($I239="","",INDEX(GameLog[Round],$I239-ROW(GameLog[#Headers])))</f>
        <v/>
      </c>
      <c r="N239" s="6" t="str">
        <f ca="1">IF($I239="","",INDEX(GameLog[Check],$I239-ROW(GameLog[#Headers])))</f>
        <v/>
      </c>
    </row>
    <row r="240" spans="1:14" x14ac:dyDescent="0.45">
      <c r="A240" s="6"/>
      <c r="B240" s="6"/>
      <c r="C240" s="6"/>
      <c r="D240" s="6"/>
      <c r="E240" s="6"/>
      <c r="F240" s="6"/>
      <c r="G240" s="6"/>
      <c r="H240" s="6"/>
      <c r="I240" s="6" t="str">
        <f ca="1">IFERROR(ROW(GameLog[#Headers])+MATCH(ROWS(I$5:I240),GameLog[Flag No],0),"")</f>
        <v/>
      </c>
      <c r="J240" s="10" t="str">
        <f ca="1">IF($I240="","",INDEX(GameLog[Date],$I240-ROW(GameLog[#Headers])))</f>
        <v/>
      </c>
      <c r="K240" s="6" t="str">
        <f ca="1">IF($I240="","",INDEX(GameLog[Player],$I240-ROW(GameLog[#Headers])))</f>
        <v/>
      </c>
      <c r="L240" s="6" t="str">
        <f ca="1">IF($I240="","",INDEX(GameLog[Pod],$I240-ROW(GameLog[#Headers])))</f>
        <v/>
      </c>
      <c r="M240" s="6" t="str">
        <f ca="1">IF($I240="","",INDEX(GameLog[Round],$I240-ROW(GameLog[#Headers])))</f>
        <v/>
      </c>
      <c r="N240" s="6" t="str">
        <f ca="1">IF($I240="","",INDEX(GameLog[Check],$I240-ROW(GameLog[#Headers])))</f>
        <v/>
      </c>
    </row>
    <row r="241" spans="1:14" x14ac:dyDescent="0.45">
      <c r="A241" s="6"/>
      <c r="B241" s="6"/>
      <c r="C241" s="6"/>
      <c r="D241" s="6"/>
      <c r="E241" s="6"/>
      <c r="F241" s="6"/>
      <c r="G241" s="6"/>
      <c r="H241" s="6"/>
      <c r="I241" s="6" t="str">
        <f ca="1">IFERROR(ROW(GameLog[#Headers])+MATCH(ROWS(I$5:I241),GameLog[Flag No],0),"")</f>
        <v/>
      </c>
      <c r="J241" s="10" t="str">
        <f ca="1">IF($I241="","",INDEX(GameLog[Date],$I241-ROW(GameLog[#Headers])))</f>
        <v/>
      </c>
      <c r="K241" s="6" t="str">
        <f ca="1">IF($I241="","",INDEX(GameLog[Player],$I241-ROW(GameLog[#Headers])))</f>
        <v/>
      </c>
      <c r="L241" s="6" t="str">
        <f ca="1">IF($I241="","",INDEX(GameLog[Pod],$I241-ROW(GameLog[#Headers])))</f>
        <v/>
      </c>
      <c r="M241" s="6" t="str">
        <f ca="1">IF($I241="","",INDEX(GameLog[Round],$I241-ROW(GameLog[#Headers])))</f>
        <v/>
      </c>
      <c r="N241" s="6" t="str">
        <f ca="1">IF($I241="","",INDEX(GameLog[Check],$I241-ROW(GameLog[#Headers])))</f>
        <v/>
      </c>
    </row>
    <row r="242" spans="1:14" x14ac:dyDescent="0.45">
      <c r="A242" s="6"/>
      <c r="B242" s="6"/>
      <c r="C242" s="6"/>
      <c r="D242" s="6"/>
      <c r="E242" s="6"/>
      <c r="F242" s="6"/>
      <c r="G242" s="6"/>
      <c r="H242" s="6"/>
      <c r="I242" s="6" t="str">
        <f ca="1">IFERROR(ROW(GameLog[#Headers])+MATCH(ROWS(I$5:I242),GameLog[Flag No],0),"")</f>
        <v/>
      </c>
      <c r="J242" s="10" t="str">
        <f ca="1">IF($I242="","",INDEX(GameLog[Date],$I242-ROW(GameLog[#Headers])))</f>
        <v/>
      </c>
      <c r="K242" s="6" t="str">
        <f ca="1">IF($I242="","",INDEX(GameLog[Player],$I242-ROW(GameLog[#Headers])))</f>
        <v/>
      </c>
      <c r="L242" s="6" t="str">
        <f ca="1">IF($I242="","",INDEX(GameLog[Pod],$I242-ROW(GameLog[#Headers])))</f>
        <v/>
      </c>
      <c r="M242" s="6" t="str">
        <f ca="1">IF($I242="","",INDEX(GameLog[Round],$I242-ROW(GameLog[#Headers])))</f>
        <v/>
      </c>
      <c r="N242" s="6" t="str">
        <f ca="1">IF($I242="","",INDEX(GameLog[Check],$I242-ROW(GameLog[#Headers])))</f>
        <v/>
      </c>
    </row>
    <row r="243" spans="1:14" x14ac:dyDescent="0.45">
      <c r="A243" s="6"/>
      <c r="B243" s="6"/>
      <c r="C243" s="6"/>
      <c r="D243" s="6"/>
      <c r="E243" s="6"/>
      <c r="F243" s="6"/>
      <c r="G243" s="6"/>
      <c r="H243" s="6"/>
      <c r="I243" s="6" t="str">
        <f ca="1">IFERROR(ROW(GameLog[#Headers])+MATCH(ROWS(I$5:I243),GameLog[Flag No],0),"")</f>
        <v/>
      </c>
      <c r="J243" s="10" t="str">
        <f ca="1">IF($I243="","",INDEX(GameLog[Date],$I243-ROW(GameLog[#Headers])))</f>
        <v/>
      </c>
      <c r="K243" s="6" t="str">
        <f ca="1">IF($I243="","",INDEX(GameLog[Player],$I243-ROW(GameLog[#Headers])))</f>
        <v/>
      </c>
      <c r="L243" s="6" t="str">
        <f ca="1">IF($I243="","",INDEX(GameLog[Pod],$I243-ROW(GameLog[#Headers])))</f>
        <v/>
      </c>
      <c r="M243" s="6" t="str">
        <f ca="1">IF($I243="","",INDEX(GameLog[Round],$I243-ROW(GameLog[#Headers])))</f>
        <v/>
      </c>
      <c r="N243" s="6" t="str">
        <f ca="1">IF($I243="","",INDEX(GameLog[Check],$I243-ROW(GameLog[#Headers])))</f>
        <v/>
      </c>
    </row>
    <row r="244" spans="1:14" x14ac:dyDescent="0.45">
      <c r="A244" s="6"/>
      <c r="B244" s="6"/>
      <c r="C244" s="6"/>
      <c r="D244" s="6"/>
      <c r="E244" s="6"/>
      <c r="F244" s="6"/>
      <c r="G244" s="6"/>
      <c r="H244" s="6"/>
      <c r="I244" s="6" t="str">
        <f ca="1">IFERROR(ROW(GameLog[#Headers])+MATCH(ROWS(I$5:I244),GameLog[Flag No],0),"")</f>
        <v/>
      </c>
      <c r="J244" s="10" t="str">
        <f ca="1">IF($I244="","",INDEX(GameLog[Date],$I244-ROW(GameLog[#Headers])))</f>
        <v/>
      </c>
      <c r="K244" s="6" t="str">
        <f ca="1">IF($I244="","",INDEX(GameLog[Player],$I244-ROW(GameLog[#Headers])))</f>
        <v/>
      </c>
      <c r="L244" s="6" t="str">
        <f ca="1">IF($I244="","",INDEX(GameLog[Pod],$I244-ROW(GameLog[#Headers])))</f>
        <v/>
      </c>
      <c r="M244" s="6" t="str">
        <f ca="1">IF($I244="","",INDEX(GameLog[Round],$I244-ROW(GameLog[#Headers])))</f>
        <v/>
      </c>
      <c r="N244" s="6" t="str">
        <f ca="1">IF($I244="","",INDEX(GameLog[Check],$I244-ROW(GameLog[#Headers])))</f>
        <v/>
      </c>
    </row>
    <row r="245" spans="1:14" x14ac:dyDescent="0.45">
      <c r="A245" s="6"/>
      <c r="B245" s="6"/>
      <c r="C245" s="6"/>
      <c r="D245" s="6"/>
      <c r="E245" s="6"/>
      <c r="F245" s="6"/>
      <c r="G245" s="6"/>
      <c r="H245" s="6"/>
      <c r="I245" s="6" t="str">
        <f ca="1">IFERROR(ROW(GameLog[#Headers])+MATCH(ROWS(I$5:I245),GameLog[Flag No],0),"")</f>
        <v/>
      </c>
      <c r="J245" s="10" t="str">
        <f ca="1">IF($I245="","",INDEX(GameLog[Date],$I245-ROW(GameLog[#Headers])))</f>
        <v/>
      </c>
      <c r="K245" s="6" t="str">
        <f ca="1">IF($I245="","",INDEX(GameLog[Player],$I245-ROW(GameLog[#Headers])))</f>
        <v/>
      </c>
      <c r="L245" s="6" t="str">
        <f ca="1">IF($I245="","",INDEX(GameLog[Pod],$I245-ROW(GameLog[#Headers])))</f>
        <v/>
      </c>
      <c r="M245" s="6" t="str">
        <f ca="1">IF($I245="","",INDEX(GameLog[Round],$I245-ROW(GameLog[#Headers])))</f>
        <v/>
      </c>
      <c r="N245" s="6" t="str">
        <f ca="1">IF($I245="","",INDEX(GameLog[Check],$I245-ROW(GameLog[#Headers])))</f>
        <v/>
      </c>
    </row>
    <row r="246" spans="1:14" x14ac:dyDescent="0.45">
      <c r="A246" s="6"/>
      <c r="B246" s="6"/>
      <c r="C246" s="6"/>
      <c r="D246" s="6"/>
      <c r="E246" s="6"/>
      <c r="F246" s="6"/>
      <c r="G246" s="6"/>
      <c r="H246" s="6"/>
      <c r="I246" s="6" t="str">
        <f ca="1">IFERROR(ROW(GameLog[#Headers])+MATCH(ROWS(I$5:I246),GameLog[Flag No],0),"")</f>
        <v/>
      </c>
      <c r="J246" s="10" t="str">
        <f ca="1">IF($I246="","",INDEX(GameLog[Date],$I246-ROW(GameLog[#Headers])))</f>
        <v/>
      </c>
      <c r="K246" s="6" t="str">
        <f ca="1">IF($I246="","",INDEX(GameLog[Player],$I246-ROW(GameLog[#Headers])))</f>
        <v/>
      </c>
      <c r="L246" s="6" t="str">
        <f ca="1">IF($I246="","",INDEX(GameLog[Pod],$I246-ROW(GameLog[#Headers])))</f>
        <v/>
      </c>
      <c r="M246" s="6" t="str">
        <f ca="1">IF($I246="","",INDEX(GameLog[Round],$I246-ROW(GameLog[#Headers])))</f>
        <v/>
      </c>
      <c r="N246" s="6" t="str">
        <f ca="1">IF($I246="","",INDEX(GameLog[Check],$I246-ROW(GameLog[#Headers])))</f>
        <v/>
      </c>
    </row>
    <row r="247" spans="1:14" x14ac:dyDescent="0.45">
      <c r="A247" s="6"/>
      <c r="B247" s="6"/>
      <c r="C247" s="6"/>
      <c r="D247" s="6"/>
      <c r="E247" s="6"/>
      <c r="F247" s="6"/>
      <c r="G247" s="6"/>
      <c r="H247" s="6"/>
      <c r="I247" s="6" t="str">
        <f ca="1">IFERROR(ROW(GameLog[#Headers])+MATCH(ROWS(I$5:I247),GameLog[Flag No],0),"")</f>
        <v/>
      </c>
      <c r="J247" s="10" t="str">
        <f ca="1">IF($I247="","",INDEX(GameLog[Date],$I247-ROW(GameLog[#Headers])))</f>
        <v/>
      </c>
      <c r="K247" s="6" t="str">
        <f ca="1">IF($I247="","",INDEX(GameLog[Player],$I247-ROW(GameLog[#Headers])))</f>
        <v/>
      </c>
      <c r="L247" s="6" t="str">
        <f ca="1">IF($I247="","",INDEX(GameLog[Pod],$I247-ROW(GameLog[#Headers])))</f>
        <v/>
      </c>
      <c r="M247" s="6" t="str">
        <f ca="1">IF($I247="","",INDEX(GameLog[Round],$I247-ROW(GameLog[#Headers])))</f>
        <v/>
      </c>
      <c r="N247" s="6" t="str">
        <f ca="1">IF($I247="","",INDEX(GameLog[Check],$I247-ROW(GameLog[#Headers])))</f>
        <v/>
      </c>
    </row>
    <row r="248" spans="1:14" x14ac:dyDescent="0.45">
      <c r="A248" s="6"/>
      <c r="B248" s="6"/>
      <c r="C248" s="6"/>
      <c r="D248" s="6"/>
      <c r="E248" s="6"/>
      <c r="F248" s="6"/>
      <c r="G248" s="6"/>
      <c r="H248" s="6"/>
      <c r="I248" s="6" t="str">
        <f ca="1">IFERROR(ROW(GameLog[#Headers])+MATCH(ROWS(I$5:I248),GameLog[Flag No],0),"")</f>
        <v/>
      </c>
      <c r="J248" s="10" t="str">
        <f ca="1">IF($I248="","",INDEX(GameLog[Date],$I248-ROW(GameLog[#Headers])))</f>
        <v/>
      </c>
      <c r="K248" s="6" t="str">
        <f ca="1">IF($I248="","",INDEX(GameLog[Player],$I248-ROW(GameLog[#Headers])))</f>
        <v/>
      </c>
      <c r="L248" s="6" t="str">
        <f ca="1">IF($I248="","",INDEX(GameLog[Pod],$I248-ROW(GameLog[#Headers])))</f>
        <v/>
      </c>
      <c r="M248" s="6" t="str">
        <f ca="1">IF($I248="","",INDEX(GameLog[Round],$I248-ROW(GameLog[#Headers])))</f>
        <v/>
      </c>
      <c r="N248" s="6" t="str">
        <f ca="1">IF($I248="","",INDEX(GameLog[Check],$I248-ROW(GameLog[#Headers])))</f>
        <v/>
      </c>
    </row>
    <row r="249" spans="1:14" x14ac:dyDescent="0.45">
      <c r="A249" s="6"/>
      <c r="B249" s="6"/>
      <c r="C249" s="6"/>
      <c r="D249" s="6"/>
      <c r="E249" s="6"/>
      <c r="F249" s="6"/>
      <c r="G249" s="6"/>
      <c r="H249" s="6"/>
      <c r="I249" s="6" t="str">
        <f ca="1">IFERROR(ROW(GameLog[#Headers])+MATCH(ROWS(I$5:I249),GameLog[Flag No],0),"")</f>
        <v/>
      </c>
      <c r="J249" s="10" t="str">
        <f ca="1">IF($I249="","",INDEX(GameLog[Date],$I249-ROW(GameLog[#Headers])))</f>
        <v/>
      </c>
      <c r="K249" s="6" t="str">
        <f ca="1">IF($I249="","",INDEX(GameLog[Player],$I249-ROW(GameLog[#Headers])))</f>
        <v/>
      </c>
      <c r="L249" s="6" t="str">
        <f ca="1">IF($I249="","",INDEX(GameLog[Pod],$I249-ROW(GameLog[#Headers])))</f>
        <v/>
      </c>
      <c r="M249" s="6" t="str">
        <f ca="1">IF($I249="","",INDEX(GameLog[Round],$I249-ROW(GameLog[#Headers])))</f>
        <v/>
      </c>
      <c r="N249" s="6" t="str">
        <f ca="1">IF($I249="","",INDEX(GameLog[Check],$I249-ROW(GameLog[#Headers])))</f>
        <v/>
      </c>
    </row>
    <row r="250" spans="1:14" x14ac:dyDescent="0.45">
      <c r="A250" s="6"/>
      <c r="B250" s="6"/>
      <c r="C250" s="6"/>
      <c r="D250" s="6"/>
      <c r="E250" s="6"/>
      <c r="F250" s="6"/>
      <c r="G250" s="6"/>
      <c r="H250" s="6"/>
      <c r="I250" s="6" t="str">
        <f ca="1">IFERROR(ROW(GameLog[#Headers])+MATCH(ROWS(I$5:I250),GameLog[Flag No],0),"")</f>
        <v/>
      </c>
      <c r="J250" s="10" t="str">
        <f ca="1">IF($I250="","",INDEX(GameLog[Date],$I250-ROW(GameLog[#Headers])))</f>
        <v/>
      </c>
      <c r="K250" s="6" t="str">
        <f ca="1">IF($I250="","",INDEX(GameLog[Player],$I250-ROW(GameLog[#Headers])))</f>
        <v/>
      </c>
      <c r="L250" s="6" t="str">
        <f ca="1">IF($I250="","",INDEX(GameLog[Pod],$I250-ROW(GameLog[#Headers])))</f>
        <v/>
      </c>
      <c r="M250" s="6" t="str">
        <f ca="1">IF($I250="","",INDEX(GameLog[Round],$I250-ROW(GameLog[#Headers])))</f>
        <v/>
      </c>
      <c r="N250" s="6" t="str">
        <f ca="1">IF($I250="","",INDEX(GameLog[Check],$I250-ROW(GameLog[#Headers])))</f>
        <v/>
      </c>
    </row>
    <row r="251" spans="1:14" x14ac:dyDescent="0.45">
      <c r="A251" s="6"/>
      <c r="B251" s="6"/>
      <c r="C251" s="6"/>
      <c r="D251" s="6"/>
      <c r="E251" s="6"/>
      <c r="F251" s="6"/>
      <c r="G251" s="6"/>
      <c r="H251" s="6"/>
      <c r="I251" s="6" t="str">
        <f ca="1">IFERROR(ROW(GameLog[#Headers])+MATCH(ROWS(I$5:I251),GameLog[Flag No],0),"")</f>
        <v/>
      </c>
      <c r="J251" s="10" t="str">
        <f ca="1">IF($I251="","",INDEX(GameLog[Date],$I251-ROW(GameLog[#Headers])))</f>
        <v/>
      </c>
      <c r="K251" s="6" t="str">
        <f ca="1">IF($I251="","",INDEX(GameLog[Player],$I251-ROW(GameLog[#Headers])))</f>
        <v/>
      </c>
      <c r="L251" s="6" t="str">
        <f ca="1">IF($I251="","",INDEX(GameLog[Pod],$I251-ROW(GameLog[#Headers])))</f>
        <v/>
      </c>
      <c r="M251" s="6" t="str">
        <f ca="1">IF($I251="","",INDEX(GameLog[Round],$I251-ROW(GameLog[#Headers])))</f>
        <v/>
      </c>
      <c r="N251" s="6" t="str">
        <f ca="1">IF($I251="","",INDEX(GameLog[Check],$I251-ROW(GameLog[#Headers])))</f>
        <v/>
      </c>
    </row>
    <row r="252" spans="1:14" x14ac:dyDescent="0.45">
      <c r="A252" s="6"/>
      <c r="B252" s="6"/>
      <c r="C252" s="6"/>
      <c r="D252" s="6"/>
      <c r="E252" s="6"/>
      <c r="F252" s="6"/>
      <c r="G252" s="6"/>
      <c r="H252" s="6"/>
      <c r="I252" s="6" t="str">
        <f ca="1">IFERROR(ROW(GameLog[#Headers])+MATCH(ROWS(I$5:I252),GameLog[Flag No],0),"")</f>
        <v/>
      </c>
      <c r="J252" s="10" t="str">
        <f ca="1">IF($I252="","",INDEX(GameLog[Date],$I252-ROW(GameLog[#Headers])))</f>
        <v/>
      </c>
      <c r="K252" s="6" t="str">
        <f ca="1">IF($I252="","",INDEX(GameLog[Player],$I252-ROW(GameLog[#Headers])))</f>
        <v/>
      </c>
      <c r="L252" s="6" t="str">
        <f ca="1">IF($I252="","",INDEX(GameLog[Pod],$I252-ROW(GameLog[#Headers])))</f>
        <v/>
      </c>
      <c r="M252" s="6" t="str">
        <f ca="1">IF($I252="","",INDEX(GameLog[Round],$I252-ROW(GameLog[#Headers])))</f>
        <v/>
      </c>
      <c r="N252" s="6" t="str">
        <f ca="1">IF($I252="","",INDEX(GameLog[Check],$I252-ROW(GameLog[#Headers])))</f>
        <v/>
      </c>
    </row>
    <row r="253" spans="1:14" x14ac:dyDescent="0.45">
      <c r="A253" s="6"/>
      <c r="B253" s="6"/>
      <c r="C253" s="6"/>
      <c r="D253" s="6"/>
      <c r="E253" s="6"/>
      <c r="F253" s="6"/>
      <c r="G253" s="6"/>
      <c r="H253" s="6"/>
      <c r="I253" s="6" t="str">
        <f ca="1">IFERROR(ROW(GameLog[#Headers])+MATCH(ROWS(I$5:I253),GameLog[Flag No],0),"")</f>
        <v/>
      </c>
      <c r="J253" s="10" t="str">
        <f ca="1">IF($I253="","",INDEX(GameLog[Date],$I253-ROW(GameLog[#Headers])))</f>
        <v/>
      </c>
      <c r="K253" s="6" t="str">
        <f ca="1">IF($I253="","",INDEX(GameLog[Player],$I253-ROW(GameLog[#Headers])))</f>
        <v/>
      </c>
      <c r="L253" s="6" t="str">
        <f ca="1">IF($I253="","",INDEX(GameLog[Pod],$I253-ROW(GameLog[#Headers])))</f>
        <v/>
      </c>
      <c r="M253" s="6" t="str">
        <f ca="1">IF($I253="","",INDEX(GameLog[Round],$I253-ROW(GameLog[#Headers])))</f>
        <v/>
      </c>
      <c r="N253" s="6" t="str">
        <f ca="1">IF($I253="","",INDEX(GameLog[Check],$I253-ROW(GameLog[#Headers])))</f>
        <v/>
      </c>
    </row>
    <row r="254" spans="1:14" x14ac:dyDescent="0.45">
      <c r="A254" s="6"/>
      <c r="B254" s="6"/>
      <c r="C254" s="6"/>
      <c r="D254" s="6"/>
      <c r="E254" s="6"/>
      <c r="F254" s="6"/>
      <c r="G254" s="6"/>
      <c r="H254" s="6"/>
      <c r="I254" s="6" t="str">
        <f ca="1">IFERROR(ROW(GameLog[#Headers])+MATCH(ROWS(I$5:I254),GameLog[Flag No],0),"")</f>
        <v/>
      </c>
      <c r="J254" s="10" t="str">
        <f ca="1">IF($I254="","",INDEX(GameLog[Date],$I254-ROW(GameLog[#Headers])))</f>
        <v/>
      </c>
      <c r="K254" s="6" t="str">
        <f ca="1">IF($I254="","",INDEX(GameLog[Player],$I254-ROW(GameLog[#Headers])))</f>
        <v/>
      </c>
      <c r="L254" s="6" t="str">
        <f ca="1">IF($I254="","",INDEX(GameLog[Pod],$I254-ROW(GameLog[#Headers])))</f>
        <v/>
      </c>
      <c r="M254" s="6" t="str">
        <f ca="1">IF($I254="","",INDEX(GameLog[Round],$I254-ROW(GameLog[#Headers])))</f>
        <v/>
      </c>
      <c r="N254" s="6" t="str">
        <f ca="1">IF($I254="","",INDEX(GameLog[Check],$I254-ROW(GameLog[#Headers])))</f>
        <v/>
      </c>
    </row>
    <row r="255" spans="1:14" x14ac:dyDescent="0.45">
      <c r="A255" s="6"/>
      <c r="B255" s="6"/>
      <c r="C255" s="6"/>
      <c r="D255" s="6"/>
      <c r="E255" s="6"/>
      <c r="F255" s="6"/>
      <c r="G255" s="6"/>
      <c r="H255" s="6"/>
      <c r="I255" s="6" t="str">
        <f ca="1">IFERROR(ROW(GameLog[#Headers])+MATCH(ROWS(I$5:I255),GameLog[Flag No],0),"")</f>
        <v/>
      </c>
      <c r="J255" s="10" t="str">
        <f ca="1">IF($I255="","",INDEX(GameLog[Date],$I255-ROW(GameLog[#Headers])))</f>
        <v/>
      </c>
      <c r="K255" s="6" t="str">
        <f ca="1">IF($I255="","",INDEX(GameLog[Player],$I255-ROW(GameLog[#Headers])))</f>
        <v/>
      </c>
      <c r="L255" s="6" t="str">
        <f ca="1">IF($I255="","",INDEX(GameLog[Pod],$I255-ROW(GameLog[#Headers])))</f>
        <v/>
      </c>
      <c r="M255" s="6" t="str">
        <f ca="1">IF($I255="","",INDEX(GameLog[Round],$I255-ROW(GameLog[#Headers])))</f>
        <v/>
      </c>
      <c r="N255" s="6" t="str">
        <f ca="1">IF($I255="","",INDEX(GameLog[Check],$I255-ROW(GameLog[#Headers])))</f>
        <v/>
      </c>
    </row>
    <row r="256" spans="1:14" x14ac:dyDescent="0.45">
      <c r="A256" s="6"/>
      <c r="B256" s="6"/>
      <c r="C256" s="6"/>
      <c r="D256" s="6"/>
      <c r="E256" s="6"/>
      <c r="F256" s="6"/>
      <c r="G256" s="6"/>
      <c r="H256" s="6"/>
      <c r="I256" s="6" t="str">
        <f ca="1">IFERROR(ROW(GameLog[#Headers])+MATCH(ROWS(I$5:I256),GameLog[Flag No],0),"")</f>
        <v/>
      </c>
      <c r="J256" s="10" t="str">
        <f ca="1">IF($I256="","",INDEX(GameLog[Date],$I256-ROW(GameLog[#Headers])))</f>
        <v/>
      </c>
      <c r="K256" s="6" t="str">
        <f ca="1">IF($I256="","",INDEX(GameLog[Player],$I256-ROW(GameLog[#Headers])))</f>
        <v/>
      </c>
      <c r="L256" s="6" t="str">
        <f ca="1">IF($I256="","",INDEX(GameLog[Pod],$I256-ROW(GameLog[#Headers])))</f>
        <v/>
      </c>
      <c r="M256" s="6" t="str">
        <f ca="1">IF($I256="","",INDEX(GameLog[Round],$I256-ROW(GameLog[#Headers])))</f>
        <v/>
      </c>
      <c r="N256" s="6" t="str">
        <f ca="1">IF($I256="","",INDEX(GameLog[Check],$I256-ROW(GameLog[#Headers])))</f>
        <v/>
      </c>
    </row>
    <row r="257" spans="1:14" x14ac:dyDescent="0.45">
      <c r="A257" s="6"/>
      <c r="B257" s="6"/>
      <c r="C257" s="6"/>
      <c r="D257" s="6"/>
      <c r="E257" s="6"/>
      <c r="F257" s="6"/>
      <c r="G257" s="6"/>
      <c r="H257" s="6"/>
      <c r="I257" s="6" t="str">
        <f ca="1">IFERROR(ROW(GameLog[#Headers])+MATCH(ROWS(I$5:I257),GameLog[Flag No],0),"")</f>
        <v/>
      </c>
      <c r="J257" s="10" t="str">
        <f ca="1">IF($I257="","",INDEX(GameLog[Date],$I257-ROW(GameLog[#Headers])))</f>
        <v/>
      </c>
      <c r="K257" s="6" t="str">
        <f ca="1">IF($I257="","",INDEX(GameLog[Player],$I257-ROW(GameLog[#Headers])))</f>
        <v/>
      </c>
      <c r="L257" s="6" t="str">
        <f ca="1">IF($I257="","",INDEX(GameLog[Pod],$I257-ROW(GameLog[#Headers])))</f>
        <v/>
      </c>
      <c r="M257" s="6" t="str">
        <f ca="1">IF($I257="","",INDEX(GameLog[Round],$I257-ROW(GameLog[#Headers])))</f>
        <v/>
      </c>
      <c r="N257" s="6" t="str">
        <f ca="1">IF($I257="","",INDEX(GameLog[Check],$I257-ROW(GameLog[#Headers])))</f>
        <v/>
      </c>
    </row>
    <row r="258" spans="1:14" x14ac:dyDescent="0.45">
      <c r="A258" s="6"/>
      <c r="B258" s="6"/>
      <c r="C258" s="6"/>
      <c r="D258" s="6"/>
      <c r="E258" s="6"/>
      <c r="F258" s="6"/>
      <c r="G258" s="6"/>
      <c r="H258" s="6"/>
      <c r="I258" s="6" t="str">
        <f ca="1">IFERROR(ROW(GameLog[#Headers])+MATCH(ROWS(I$5:I258),GameLog[Flag No],0),"")</f>
        <v/>
      </c>
      <c r="J258" s="10" t="str">
        <f ca="1">IF($I258="","",INDEX(GameLog[Date],$I258-ROW(GameLog[#Headers])))</f>
        <v/>
      </c>
      <c r="K258" s="6" t="str">
        <f ca="1">IF($I258="","",INDEX(GameLog[Player],$I258-ROW(GameLog[#Headers])))</f>
        <v/>
      </c>
      <c r="L258" s="6" t="str">
        <f ca="1">IF($I258="","",INDEX(GameLog[Pod],$I258-ROW(GameLog[#Headers])))</f>
        <v/>
      </c>
      <c r="M258" s="6" t="str">
        <f ca="1">IF($I258="","",INDEX(GameLog[Round],$I258-ROW(GameLog[#Headers])))</f>
        <v/>
      </c>
      <c r="N258" s="6" t="str">
        <f ca="1">IF($I258="","",INDEX(GameLog[Check],$I258-ROW(GameLog[#Headers])))</f>
        <v/>
      </c>
    </row>
    <row r="259" spans="1:14" x14ac:dyDescent="0.45">
      <c r="A259" s="6"/>
      <c r="B259" s="6"/>
      <c r="C259" s="6"/>
      <c r="D259" s="6"/>
      <c r="E259" s="6"/>
      <c r="F259" s="6"/>
      <c r="G259" s="6"/>
      <c r="H259" s="6"/>
      <c r="I259" s="6" t="str">
        <f ca="1">IFERROR(ROW(GameLog[#Headers])+MATCH(ROWS(I$5:I259),GameLog[Flag No],0),"")</f>
        <v/>
      </c>
      <c r="J259" s="10" t="str">
        <f ca="1">IF($I259="","",INDEX(GameLog[Date],$I259-ROW(GameLog[#Headers])))</f>
        <v/>
      </c>
      <c r="K259" s="6" t="str">
        <f ca="1">IF($I259="","",INDEX(GameLog[Player],$I259-ROW(GameLog[#Headers])))</f>
        <v/>
      </c>
      <c r="L259" s="6" t="str">
        <f ca="1">IF($I259="","",INDEX(GameLog[Pod],$I259-ROW(GameLog[#Headers])))</f>
        <v/>
      </c>
      <c r="M259" s="6" t="str">
        <f ca="1">IF($I259="","",INDEX(GameLog[Round],$I259-ROW(GameLog[#Headers])))</f>
        <v/>
      </c>
      <c r="N259" s="6" t="str">
        <f ca="1">IF($I259="","",INDEX(GameLog[Check],$I259-ROW(GameLog[#Headers])))</f>
        <v/>
      </c>
    </row>
    <row r="260" spans="1:14" x14ac:dyDescent="0.45">
      <c r="A260" s="6"/>
      <c r="B260" s="6"/>
      <c r="C260" s="6"/>
      <c r="D260" s="6"/>
      <c r="E260" s="6"/>
      <c r="F260" s="6"/>
      <c r="G260" s="6"/>
      <c r="H260" s="6"/>
      <c r="I260" s="6" t="str">
        <f ca="1">IFERROR(ROW(GameLog[#Headers])+MATCH(ROWS(I$5:I260),GameLog[Flag No],0),"")</f>
        <v/>
      </c>
      <c r="J260" s="10" t="str">
        <f ca="1">IF($I260="","",INDEX(GameLog[Date],$I260-ROW(GameLog[#Headers])))</f>
        <v/>
      </c>
      <c r="K260" s="6" t="str">
        <f ca="1">IF($I260="","",INDEX(GameLog[Player],$I260-ROW(GameLog[#Headers])))</f>
        <v/>
      </c>
      <c r="L260" s="6" t="str">
        <f ca="1">IF($I260="","",INDEX(GameLog[Pod],$I260-ROW(GameLog[#Headers])))</f>
        <v/>
      </c>
      <c r="M260" s="6" t="str">
        <f ca="1">IF($I260="","",INDEX(GameLog[Round],$I260-ROW(GameLog[#Headers])))</f>
        <v/>
      </c>
      <c r="N260" s="6" t="str">
        <f ca="1">IF($I260="","",INDEX(GameLog[Check],$I260-ROW(GameLog[#Headers])))</f>
        <v/>
      </c>
    </row>
    <row r="261" spans="1:14" x14ac:dyDescent="0.45">
      <c r="A261" s="6"/>
      <c r="B261" s="6"/>
      <c r="C261" s="6"/>
      <c r="D261" s="6"/>
      <c r="E261" s="6"/>
      <c r="F261" s="6"/>
      <c r="G261" s="6"/>
      <c r="H261" s="6"/>
      <c r="I261" s="6" t="str">
        <f ca="1">IFERROR(ROW(GameLog[#Headers])+MATCH(ROWS(I$5:I261),GameLog[Flag No],0),"")</f>
        <v/>
      </c>
      <c r="J261" s="10" t="str">
        <f ca="1">IF($I261="","",INDEX(GameLog[Date],$I261-ROW(GameLog[#Headers])))</f>
        <v/>
      </c>
      <c r="K261" s="6" t="str">
        <f ca="1">IF($I261="","",INDEX(GameLog[Player],$I261-ROW(GameLog[#Headers])))</f>
        <v/>
      </c>
      <c r="L261" s="6" t="str">
        <f ca="1">IF($I261="","",INDEX(GameLog[Pod],$I261-ROW(GameLog[#Headers])))</f>
        <v/>
      </c>
      <c r="M261" s="6" t="str">
        <f ca="1">IF($I261="","",INDEX(GameLog[Round],$I261-ROW(GameLog[#Headers])))</f>
        <v/>
      </c>
      <c r="N261" s="6" t="str">
        <f ca="1">IF($I261="","",INDEX(GameLog[Check],$I261-ROW(GameLog[#Headers])))</f>
        <v/>
      </c>
    </row>
    <row r="262" spans="1:14" x14ac:dyDescent="0.45">
      <c r="A262" s="6"/>
      <c r="B262" s="6"/>
      <c r="C262" s="6"/>
      <c r="D262" s="6"/>
      <c r="E262" s="6"/>
      <c r="F262" s="6"/>
      <c r="G262" s="6"/>
      <c r="H262" s="6"/>
      <c r="I262" s="6" t="str">
        <f ca="1">IFERROR(ROW(GameLog[#Headers])+MATCH(ROWS(I$5:I262),GameLog[Flag No],0),"")</f>
        <v/>
      </c>
      <c r="J262" s="10" t="str">
        <f ca="1">IF($I262="","",INDEX(GameLog[Date],$I262-ROW(GameLog[#Headers])))</f>
        <v/>
      </c>
      <c r="K262" s="6" t="str">
        <f ca="1">IF($I262="","",INDEX(GameLog[Player],$I262-ROW(GameLog[#Headers])))</f>
        <v/>
      </c>
      <c r="L262" s="6" t="str">
        <f ca="1">IF($I262="","",INDEX(GameLog[Pod],$I262-ROW(GameLog[#Headers])))</f>
        <v/>
      </c>
      <c r="M262" s="6" t="str">
        <f ca="1">IF($I262="","",INDEX(GameLog[Round],$I262-ROW(GameLog[#Headers])))</f>
        <v/>
      </c>
      <c r="N262" s="6" t="str">
        <f ca="1">IF($I262="","",INDEX(GameLog[Check],$I262-ROW(GameLog[#Headers])))</f>
        <v/>
      </c>
    </row>
    <row r="263" spans="1:14" x14ac:dyDescent="0.45">
      <c r="A263" s="6"/>
      <c r="B263" s="6"/>
      <c r="C263" s="6"/>
      <c r="D263" s="6"/>
      <c r="E263" s="6"/>
      <c r="F263" s="6"/>
      <c r="G263" s="6"/>
      <c r="H263" s="6"/>
      <c r="I263" s="6" t="str">
        <f ca="1">IFERROR(ROW(GameLog[#Headers])+MATCH(ROWS(I$5:I263),GameLog[Flag No],0),"")</f>
        <v/>
      </c>
      <c r="J263" s="10" t="str">
        <f ca="1">IF($I263="","",INDEX(GameLog[Date],$I263-ROW(GameLog[#Headers])))</f>
        <v/>
      </c>
      <c r="K263" s="6" t="str">
        <f ca="1">IF($I263="","",INDEX(GameLog[Player],$I263-ROW(GameLog[#Headers])))</f>
        <v/>
      </c>
      <c r="L263" s="6" t="str">
        <f ca="1">IF($I263="","",INDEX(GameLog[Pod],$I263-ROW(GameLog[#Headers])))</f>
        <v/>
      </c>
      <c r="M263" s="6" t="str">
        <f ca="1">IF($I263="","",INDEX(GameLog[Round],$I263-ROW(GameLog[#Headers])))</f>
        <v/>
      </c>
      <c r="N263" s="6" t="str">
        <f ca="1">IF($I263="","",INDEX(GameLog[Check],$I263-ROW(GameLog[#Headers])))</f>
        <v/>
      </c>
    </row>
    <row r="264" spans="1:14" x14ac:dyDescent="0.45">
      <c r="A264" s="6"/>
      <c r="B264" s="6"/>
      <c r="C264" s="6"/>
      <c r="D264" s="6"/>
      <c r="E264" s="6"/>
      <c r="F264" s="6"/>
      <c r="G264" s="6"/>
      <c r="H264" s="6"/>
      <c r="I264" s="6" t="str">
        <f ca="1">IFERROR(ROW(GameLog[#Headers])+MATCH(ROWS(I$5:I264),GameLog[Flag No],0),"")</f>
        <v/>
      </c>
      <c r="J264" s="10" t="str">
        <f ca="1">IF($I264="","",INDEX(GameLog[Date],$I264-ROW(GameLog[#Headers])))</f>
        <v/>
      </c>
      <c r="K264" s="6" t="str">
        <f ca="1">IF($I264="","",INDEX(GameLog[Player],$I264-ROW(GameLog[#Headers])))</f>
        <v/>
      </c>
      <c r="L264" s="6" t="str">
        <f ca="1">IF($I264="","",INDEX(GameLog[Pod],$I264-ROW(GameLog[#Headers])))</f>
        <v/>
      </c>
      <c r="M264" s="6" t="str">
        <f ca="1">IF($I264="","",INDEX(GameLog[Round],$I264-ROW(GameLog[#Headers])))</f>
        <v/>
      </c>
      <c r="N264" s="6" t="str">
        <f ca="1">IF($I264="","",INDEX(GameLog[Check],$I264-ROW(GameLog[#Headers])))</f>
        <v/>
      </c>
    </row>
    <row r="265" spans="1:14" x14ac:dyDescent="0.45">
      <c r="A265" s="6"/>
      <c r="B265" s="6"/>
      <c r="C265" s="6"/>
      <c r="D265" s="6"/>
      <c r="E265" s="6"/>
      <c r="F265" s="6"/>
      <c r="G265" s="6"/>
      <c r="H265" s="6"/>
      <c r="I265" s="6" t="str">
        <f ca="1">IFERROR(ROW(GameLog[#Headers])+MATCH(ROWS(I$5:I265),GameLog[Flag No],0),"")</f>
        <v/>
      </c>
      <c r="J265" s="10" t="str">
        <f ca="1">IF($I265="","",INDEX(GameLog[Date],$I265-ROW(GameLog[#Headers])))</f>
        <v/>
      </c>
      <c r="K265" s="6" t="str">
        <f ca="1">IF($I265="","",INDEX(GameLog[Player],$I265-ROW(GameLog[#Headers])))</f>
        <v/>
      </c>
      <c r="L265" s="6" t="str">
        <f ca="1">IF($I265="","",INDEX(GameLog[Pod],$I265-ROW(GameLog[#Headers])))</f>
        <v/>
      </c>
      <c r="M265" s="6" t="str">
        <f ca="1">IF($I265="","",INDEX(GameLog[Round],$I265-ROW(GameLog[#Headers])))</f>
        <v/>
      </c>
      <c r="N265" s="6" t="str">
        <f ca="1">IF($I265="","",INDEX(GameLog[Check],$I265-ROW(GameLog[#Headers])))</f>
        <v/>
      </c>
    </row>
    <row r="266" spans="1:14" x14ac:dyDescent="0.45">
      <c r="A266" s="6"/>
      <c r="B266" s="6"/>
      <c r="C266" s="6"/>
      <c r="D266" s="6"/>
      <c r="E266" s="6"/>
      <c r="F266" s="6"/>
      <c r="G266" s="6"/>
      <c r="H266" s="6"/>
      <c r="I266" s="6" t="str">
        <f ca="1">IFERROR(ROW(GameLog[#Headers])+MATCH(ROWS(I$5:I266),GameLog[Flag No],0),"")</f>
        <v/>
      </c>
      <c r="J266" s="10" t="str">
        <f ca="1">IF($I266="","",INDEX(GameLog[Date],$I266-ROW(GameLog[#Headers])))</f>
        <v/>
      </c>
      <c r="K266" s="6" t="str">
        <f ca="1">IF($I266="","",INDEX(GameLog[Player],$I266-ROW(GameLog[#Headers])))</f>
        <v/>
      </c>
      <c r="L266" s="6" t="str">
        <f ca="1">IF($I266="","",INDEX(GameLog[Pod],$I266-ROW(GameLog[#Headers])))</f>
        <v/>
      </c>
      <c r="M266" s="6" t="str">
        <f ca="1">IF($I266="","",INDEX(GameLog[Round],$I266-ROW(GameLog[#Headers])))</f>
        <v/>
      </c>
      <c r="N266" s="6" t="str">
        <f ca="1">IF($I266="","",INDEX(GameLog[Check],$I266-ROW(GameLog[#Headers])))</f>
        <v/>
      </c>
    </row>
    <row r="267" spans="1:14" x14ac:dyDescent="0.45">
      <c r="A267" s="6"/>
      <c r="B267" s="6"/>
      <c r="C267" s="6"/>
      <c r="D267" s="6"/>
      <c r="E267" s="6"/>
      <c r="F267" s="6"/>
      <c r="G267" s="6"/>
      <c r="H267" s="6"/>
      <c r="I267" s="6" t="str">
        <f ca="1">IFERROR(ROW(GameLog[#Headers])+MATCH(ROWS(I$5:I267),GameLog[Flag No],0),"")</f>
        <v/>
      </c>
      <c r="J267" s="10" t="str">
        <f ca="1">IF($I267="","",INDEX(GameLog[Date],$I267-ROW(GameLog[#Headers])))</f>
        <v/>
      </c>
      <c r="K267" s="6" t="str">
        <f ca="1">IF($I267="","",INDEX(GameLog[Player],$I267-ROW(GameLog[#Headers])))</f>
        <v/>
      </c>
      <c r="L267" s="6" t="str">
        <f ca="1">IF($I267="","",INDEX(GameLog[Pod],$I267-ROW(GameLog[#Headers])))</f>
        <v/>
      </c>
      <c r="M267" s="6" t="str">
        <f ca="1">IF($I267="","",INDEX(GameLog[Round],$I267-ROW(GameLog[#Headers])))</f>
        <v/>
      </c>
      <c r="N267" s="6" t="str">
        <f ca="1">IF($I267="","",INDEX(GameLog[Check],$I267-ROW(GameLog[#Headers])))</f>
        <v/>
      </c>
    </row>
    <row r="268" spans="1:14" x14ac:dyDescent="0.45">
      <c r="A268" s="6"/>
      <c r="B268" s="6"/>
      <c r="C268" s="6"/>
      <c r="D268" s="6"/>
      <c r="E268" s="6"/>
      <c r="F268" s="6"/>
      <c r="G268" s="6"/>
      <c r="H268" s="6"/>
      <c r="I268" s="6" t="str">
        <f ca="1">IFERROR(ROW(GameLog[#Headers])+MATCH(ROWS(I$5:I268),GameLog[Flag No],0),"")</f>
        <v/>
      </c>
      <c r="J268" s="10" t="str">
        <f ca="1">IF($I268="","",INDEX(GameLog[Date],$I268-ROW(GameLog[#Headers])))</f>
        <v/>
      </c>
      <c r="K268" s="6" t="str">
        <f ca="1">IF($I268="","",INDEX(GameLog[Player],$I268-ROW(GameLog[#Headers])))</f>
        <v/>
      </c>
      <c r="L268" s="6" t="str">
        <f ca="1">IF($I268="","",INDEX(GameLog[Pod],$I268-ROW(GameLog[#Headers])))</f>
        <v/>
      </c>
      <c r="M268" s="6" t="str">
        <f ca="1">IF($I268="","",INDEX(GameLog[Round],$I268-ROW(GameLog[#Headers])))</f>
        <v/>
      </c>
      <c r="N268" s="6" t="str">
        <f ca="1">IF($I268="","",INDEX(GameLog[Check],$I268-ROW(GameLog[#Headers])))</f>
        <v/>
      </c>
    </row>
    <row r="269" spans="1:14" x14ac:dyDescent="0.45">
      <c r="A269" s="6"/>
      <c r="B269" s="6"/>
      <c r="C269" s="6"/>
      <c r="D269" s="6"/>
      <c r="E269" s="6"/>
      <c r="F269" s="6"/>
      <c r="G269" s="6"/>
      <c r="H269" s="6"/>
      <c r="I269" s="6" t="str">
        <f ca="1">IFERROR(ROW(GameLog[#Headers])+MATCH(ROWS(I$5:I269),GameLog[Flag No],0),"")</f>
        <v/>
      </c>
      <c r="J269" s="10" t="str">
        <f ca="1">IF($I269="","",INDEX(GameLog[Date],$I269-ROW(GameLog[#Headers])))</f>
        <v/>
      </c>
      <c r="K269" s="6" t="str">
        <f ca="1">IF($I269="","",INDEX(GameLog[Player],$I269-ROW(GameLog[#Headers])))</f>
        <v/>
      </c>
      <c r="L269" s="6" t="str">
        <f ca="1">IF($I269="","",INDEX(GameLog[Pod],$I269-ROW(GameLog[#Headers])))</f>
        <v/>
      </c>
      <c r="M269" s="6" t="str">
        <f ca="1">IF($I269="","",INDEX(GameLog[Round],$I269-ROW(GameLog[#Headers])))</f>
        <v/>
      </c>
      <c r="N269" s="6" t="str">
        <f ca="1">IF($I269="","",INDEX(GameLog[Check],$I269-ROW(GameLog[#Headers])))</f>
        <v/>
      </c>
    </row>
    <row r="270" spans="1:14" x14ac:dyDescent="0.45">
      <c r="A270" s="6"/>
      <c r="B270" s="6"/>
      <c r="C270" s="6"/>
      <c r="D270" s="6"/>
      <c r="E270" s="6"/>
      <c r="F270" s="6"/>
      <c r="G270" s="6"/>
      <c r="H270" s="6"/>
      <c r="I270" s="6" t="str">
        <f ca="1">IFERROR(ROW(GameLog[#Headers])+MATCH(ROWS(I$5:I270),GameLog[Flag No],0),"")</f>
        <v/>
      </c>
      <c r="J270" s="10" t="str">
        <f ca="1">IF($I270="","",INDEX(GameLog[Date],$I270-ROW(GameLog[#Headers])))</f>
        <v/>
      </c>
      <c r="K270" s="6" t="str">
        <f ca="1">IF($I270="","",INDEX(GameLog[Player],$I270-ROW(GameLog[#Headers])))</f>
        <v/>
      </c>
      <c r="L270" s="6" t="str">
        <f ca="1">IF($I270="","",INDEX(GameLog[Pod],$I270-ROW(GameLog[#Headers])))</f>
        <v/>
      </c>
      <c r="M270" s="6" t="str">
        <f ca="1">IF($I270="","",INDEX(GameLog[Round],$I270-ROW(GameLog[#Headers])))</f>
        <v/>
      </c>
      <c r="N270" s="6" t="str">
        <f ca="1">IF($I270="","",INDEX(GameLog[Check],$I270-ROW(GameLog[#Headers])))</f>
        <v/>
      </c>
    </row>
    <row r="271" spans="1:14" x14ac:dyDescent="0.45">
      <c r="A271" s="6"/>
      <c r="B271" s="6"/>
      <c r="C271" s="6"/>
      <c r="D271" s="6"/>
      <c r="E271" s="6"/>
      <c r="F271" s="6"/>
      <c r="G271" s="6"/>
      <c r="H271" s="6"/>
      <c r="I271" s="6" t="str">
        <f ca="1">IFERROR(ROW(GameLog[#Headers])+MATCH(ROWS(I$5:I271),GameLog[Flag No],0),"")</f>
        <v/>
      </c>
      <c r="J271" s="10" t="str">
        <f ca="1">IF($I271="","",INDEX(GameLog[Date],$I271-ROW(GameLog[#Headers])))</f>
        <v/>
      </c>
      <c r="K271" s="6" t="str">
        <f ca="1">IF($I271="","",INDEX(GameLog[Player],$I271-ROW(GameLog[#Headers])))</f>
        <v/>
      </c>
      <c r="L271" s="6" t="str">
        <f ca="1">IF($I271="","",INDEX(GameLog[Pod],$I271-ROW(GameLog[#Headers])))</f>
        <v/>
      </c>
      <c r="M271" s="6" t="str">
        <f ca="1">IF($I271="","",INDEX(GameLog[Round],$I271-ROW(GameLog[#Headers])))</f>
        <v/>
      </c>
      <c r="N271" s="6" t="str">
        <f ca="1">IF($I271="","",INDEX(GameLog[Check],$I271-ROW(GameLog[#Headers])))</f>
        <v/>
      </c>
    </row>
    <row r="272" spans="1:14" x14ac:dyDescent="0.45">
      <c r="A272" s="6"/>
      <c r="B272" s="6"/>
      <c r="C272" s="6"/>
      <c r="D272" s="6"/>
      <c r="E272" s="6"/>
      <c r="F272" s="6"/>
      <c r="G272" s="6"/>
      <c r="H272" s="6"/>
      <c r="I272" s="6" t="str">
        <f ca="1">IFERROR(ROW(GameLog[#Headers])+MATCH(ROWS(I$5:I272),GameLog[Flag No],0),"")</f>
        <v/>
      </c>
      <c r="J272" s="10" t="str">
        <f ca="1">IF($I272="","",INDEX(GameLog[Date],$I272-ROW(GameLog[#Headers])))</f>
        <v/>
      </c>
      <c r="K272" s="6" t="str">
        <f ca="1">IF($I272="","",INDEX(GameLog[Player],$I272-ROW(GameLog[#Headers])))</f>
        <v/>
      </c>
      <c r="L272" s="6" t="str">
        <f ca="1">IF($I272="","",INDEX(GameLog[Pod],$I272-ROW(GameLog[#Headers])))</f>
        <v/>
      </c>
      <c r="M272" s="6" t="str">
        <f ca="1">IF($I272="","",INDEX(GameLog[Round],$I272-ROW(GameLog[#Headers])))</f>
        <v/>
      </c>
      <c r="N272" s="6" t="str">
        <f ca="1">IF($I272="","",INDEX(GameLog[Check],$I272-ROW(GameLog[#Headers])))</f>
        <v/>
      </c>
    </row>
    <row r="273" spans="1:14" x14ac:dyDescent="0.45">
      <c r="A273" s="6"/>
      <c r="B273" s="6"/>
      <c r="C273" s="6"/>
      <c r="D273" s="6"/>
      <c r="E273" s="6"/>
      <c r="F273" s="6"/>
      <c r="G273" s="6"/>
      <c r="H273" s="6"/>
      <c r="I273" s="6" t="str">
        <f ca="1">IFERROR(ROW(GameLog[#Headers])+MATCH(ROWS(I$5:I273),GameLog[Flag No],0),"")</f>
        <v/>
      </c>
      <c r="J273" s="10" t="str">
        <f ca="1">IF($I273="","",INDEX(GameLog[Date],$I273-ROW(GameLog[#Headers])))</f>
        <v/>
      </c>
      <c r="K273" s="6" t="str">
        <f ca="1">IF($I273="","",INDEX(GameLog[Player],$I273-ROW(GameLog[#Headers])))</f>
        <v/>
      </c>
      <c r="L273" s="6" t="str">
        <f ca="1">IF($I273="","",INDEX(GameLog[Pod],$I273-ROW(GameLog[#Headers])))</f>
        <v/>
      </c>
      <c r="M273" s="6" t="str">
        <f ca="1">IF($I273="","",INDEX(GameLog[Round],$I273-ROW(GameLog[#Headers])))</f>
        <v/>
      </c>
      <c r="N273" s="6" t="str">
        <f ca="1">IF($I273="","",INDEX(GameLog[Check],$I273-ROW(GameLog[#Headers])))</f>
        <v/>
      </c>
    </row>
    <row r="274" spans="1:14" x14ac:dyDescent="0.45">
      <c r="A274" s="6"/>
      <c r="B274" s="6"/>
      <c r="C274" s="6"/>
      <c r="D274" s="6"/>
      <c r="E274" s="6"/>
      <c r="F274" s="6"/>
      <c r="G274" s="6"/>
      <c r="H274" s="6"/>
      <c r="I274" s="6" t="str">
        <f ca="1">IFERROR(ROW(GameLog[#Headers])+MATCH(ROWS(I$5:I274),GameLog[Flag No],0),"")</f>
        <v/>
      </c>
      <c r="J274" s="10" t="str">
        <f ca="1">IF($I274="","",INDEX(GameLog[Date],$I274-ROW(GameLog[#Headers])))</f>
        <v/>
      </c>
      <c r="K274" s="6" t="str">
        <f ca="1">IF($I274="","",INDEX(GameLog[Player],$I274-ROW(GameLog[#Headers])))</f>
        <v/>
      </c>
      <c r="L274" s="6" t="str">
        <f ca="1">IF($I274="","",INDEX(GameLog[Pod],$I274-ROW(GameLog[#Headers])))</f>
        <v/>
      </c>
      <c r="M274" s="6" t="str">
        <f ca="1">IF($I274="","",INDEX(GameLog[Round],$I274-ROW(GameLog[#Headers])))</f>
        <v/>
      </c>
      <c r="N274" s="6" t="str">
        <f ca="1">IF($I274="","",INDEX(GameLog[Check],$I274-ROW(GameLog[#Headers])))</f>
        <v/>
      </c>
    </row>
    <row r="275" spans="1:14" x14ac:dyDescent="0.45">
      <c r="A275" s="6"/>
      <c r="B275" s="6"/>
      <c r="C275" s="6"/>
      <c r="D275" s="6"/>
      <c r="E275" s="6"/>
      <c r="F275" s="6"/>
      <c r="G275" s="6"/>
      <c r="H275" s="6"/>
      <c r="I275" s="6" t="str">
        <f ca="1">IFERROR(ROW(GameLog[#Headers])+MATCH(ROWS(I$5:I275),GameLog[Flag No],0),"")</f>
        <v/>
      </c>
      <c r="J275" s="10" t="str">
        <f ca="1">IF($I275="","",INDEX(GameLog[Date],$I275-ROW(GameLog[#Headers])))</f>
        <v/>
      </c>
      <c r="K275" s="6" t="str">
        <f ca="1">IF($I275="","",INDEX(GameLog[Player],$I275-ROW(GameLog[#Headers])))</f>
        <v/>
      </c>
      <c r="L275" s="6" t="str">
        <f ca="1">IF($I275="","",INDEX(GameLog[Pod],$I275-ROW(GameLog[#Headers])))</f>
        <v/>
      </c>
      <c r="M275" s="6" t="str">
        <f ca="1">IF($I275="","",INDEX(GameLog[Round],$I275-ROW(GameLog[#Headers])))</f>
        <v/>
      </c>
      <c r="N275" s="6" t="str">
        <f ca="1">IF($I275="","",INDEX(GameLog[Check],$I275-ROW(GameLog[#Headers])))</f>
        <v/>
      </c>
    </row>
    <row r="276" spans="1:14" x14ac:dyDescent="0.45">
      <c r="A276" s="6"/>
      <c r="B276" s="6"/>
      <c r="C276" s="6"/>
      <c r="D276" s="6"/>
      <c r="E276" s="6"/>
      <c r="F276" s="6"/>
      <c r="G276" s="6"/>
      <c r="H276" s="6"/>
      <c r="I276" s="6" t="str">
        <f ca="1">IFERROR(ROW(GameLog[#Headers])+MATCH(ROWS(I$5:I276),GameLog[Flag No],0),"")</f>
        <v/>
      </c>
      <c r="J276" s="10" t="str">
        <f ca="1">IF($I276="","",INDEX(GameLog[Date],$I276-ROW(GameLog[#Headers])))</f>
        <v/>
      </c>
      <c r="K276" s="6" t="str">
        <f ca="1">IF($I276="","",INDEX(GameLog[Player],$I276-ROW(GameLog[#Headers])))</f>
        <v/>
      </c>
      <c r="L276" s="6" t="str">
        <f ca="1">IF($I276="","",INDEX(GameLog[Pod],$I276-ROW(GameLog[#Headers])))</f>
        <v/>
      </c>
      <c r="M276" s="6" t="str">
        <f ca="1">IF($I276="","",INDEX(GameLog[Round],$I276-ROW(GameLog[#Headers])))</f>
        <v/>
      </c>
      <c r="N276" s="6" t="str">
        <f ca="1">IF($I276="","",INDEX(GameLog[Check],$I276-ROW(GameLog[#Headers])))</f>
        <v/>
      </c>
    </row>
    <row r="277" spans="1:14" x14ac:dyDescent="0.45">
      <c r="A277" s="6"/>
      <c r="B277" s="6"/>
      <c r="C277" s="6"/>
      <c r="D277" s="6"/>
      <c r="E277" s="6"/>
      <c r="F277" s="6"/>
      <c r="G277" s="6"/>
      <c r="H277" s="6"/>
      <c r="I277" s="6" t="str">
        <f ca="1">IFERROR(ROW(GameLog[#Headers])+MATCH(ROWS(I$5:I277),GameLog[Flag No],0),"")</f>
        <v/>
      </c>
      <c r="J277" s="10" t="str">
        <f ca="1">IF($I277="","",INDEX(GameLog[Date],$I277-ROW(GameLog[#Headers])))</f>
        <v/>
      </c>
      <c r="K277" s="6" t="str">
        <f ca="1">IF($I277="","",INDEX(GameLog[Player],$I277-ROW(GameLog[#Headers])))</f>
        <v/>
      </c>
      <c r="L277" s="6" t="str">
        <f ca="1">IF($I277="","",INDEX(GameLog[Pod],$I277-ROW(GameLog[#Headers])))</f>
        <v/>
      </c>
      <c r="M277" s="6" t="str">
        <f ca="1">IF($I277="","",INDEX(GameLog[Round],$I277-ROW(GameLog[#Headers])))</f>
        <v/>
      </c>
      <c r="N277" s="6" t="str">
        <f ca="1">IF($I277="","",INDEX(GameLog[Check],$I277-ROW(GameLog[#Headers])))</f>
        <v/>
      </c>
    </row>
    <row r="278" spans="1:14" x14ac:dyDescent="0.45">
      <c r="A278" s="6"/>
      <c r="B278" s="6"/>
      <c r="C278" s="6"/>
      <c r="D278" s="6"/>
      <c r="E278" s="6"/>
      <c r="F278" s="6"/>
      <c r="G278" s="6"/>
      <c r="H278" s="6"/>
      <c r="I278" s="6" t="str">
        <f ca="1">IFERROR(ROW(GameLog[#Headers])+MATCH(ROWS(I$5:I278),GameLog[Flag No],0),"")</f>
        <v/>
      </c>
      <c r="J278" s="10" t="str">
        <f ca="1">IF($I278="","",INDEX(GameLog[Date],$I278-ROW(GameLog[#Headers])))</f>
        <v/>
      </c>
      <c r="K278" s="6" t="str">
        <f ca="1">IF($I278="","",INDEX(GameLog[Player],$I278-ROW(GameLog[#Headers])))</f>
        <v/>
      </c>
      <c r="L278" s="6" t="str">
        <f ca="1">IF($I278="","",INDEX(GameLog[Pod],$I278-ROW(GameLog[#Headers])))</f>
        <v/>
      </c>
      <c r="M278" s="6" t="str">
        <f ca="1">IF($I278="","",INDEX(GameLog[Round],$I278-ROW(GameLog[#Headers])))</f>
        <v/>
      </c>
      <c r="N278" s="6" t="str">
        <f ca="1">IF($I278="","",INDEX(GameLog[Check],$I278-ROW(GameLog[#Headers])))</f>
        <v/>
      </c>
    </row>
    <row r="279" spans="1:14" x14ac:dyDescent="0.45">
      <c r="A279" s="6"/>
      <c r="B279" s="6"/>
      <c r="C279" s="6"/>
      <c r="D279" s="6"/>
      <c r="E279" s="6"/>
      <c r="F279" s="6"/>
      <c r="G279" s="6"/>
      <c r="H279" s="6"/>
      <c r="I279" s="6" t="str">
        <f ca="1">IFERROR(ROW(GameLog[#Headers])+MATCH(ROWS(I$5:I279),GameLog[Flag No],0),"")</f>
        <v/>
      </c>
      <c r="J279" s="10" t="str">
        <f ca="1">IF($I279="","",INDEX(GameLog[Date],$I279-ROW(GameLog[#Headers])))</f>
        <v/>
      </c>
      <c r="K279" s="6" t="str">
        <f ca="1">IF($I279="","",INDEX(GameLog[Player],$I279-ROW(GameLog[#Headers])))</f>
        <v/>
      </c>
      <c r="L279" s="6" t="str">
        <f ca="1">IF($I279="","",INDEX(GameLog[Pod],$I279-ROW(GameLog[#Headers])))</f>
        <v/>
      </c>
      <c r="M279" s="6" t="str">
        <f ca="1">IF($I279="","",INDEX(GameLog[Round],$I279-ROW(GameLog[#Headers])))</f>
        <v/>
      </c>
      <c r="N279" s="6" t="str">
        <f ca="1">IF($I279="","",INDEX(GameLog[Check],$I279-ROW(GameLog[#Headers])))</f>
        <v/>
      </c>
    </row>
    <row r="280" spans="1:14" x14ac:dyDescent="0.45">
      <c r="A280" s="6"/>
      <c r="B280" s="6"/>
      <c r="C280" s="6"/>
      <c r="D280" s="6"/>
      <c r="E280" s="6"/>
      <c r="F280" s="6"/>
      <c r="G280" s="6"/>
      <c r="H280" s="6"/>
      <c r="I280" s="6" t="str">
        <f ca="1">IFERROR(ROW(GameLog[#Headers])+MATCH(ROWS(I$5:I280),GameLog[Flag No],0),"")</f>
        <v/>
      </c>
      <c r="J280" s="10" t="str">
        <f ca="1">IF($I280="","",INDEX(GameLog[Date],$I280-ROW(GameLog[#Headers])))</f>
        <v/>
      </c>
      <c r="K280" s="6" t="str">
        <f ca="1">IF($I280="","",INDEX(GameLog[Player],$I280-ROW(GameLog[#Headers])))</f>
        <v/>
      </c>
      <c r="L280" s="6" t="str">
        <f ca="1">IF($I280="","",INDEX(GameLog[Pod],$I280-ROW(GameLog[#Headers])))</f>
        <v/>
      </c>
      <c r="M280" s="6" t="str">
        <f ca="1">IF($I280="","",INDEX(GameLog[Round],$I280-ROW(GameLog[#Headers])))</f>
        <v/>
      </c>
      <c r="N280" s="6" t="str">
        <f ca="1">IF($I280="","",INDEX(GameLog[Check],$I280-ROW(GameLog[#Headers])))</f>
        <v/>
      </c>
    </row>
    <row r="281" spans="1:14" x14ac:dyDescent="0.45">
      <c r="A281" s="6"/>
      <c r="B281" s="6"/>
      <c r="C281" s="6"/>
      <c r="D281" s="6"/>
      <c r="E281" s="6"/>
      <c r="F281" s="6"/>
      <c r="G281" s="6"/>
      <c r="H281" s="6"/>
      <c r="I281" s="6" t="str">
        <f ca="1">IFERROR(ROW(GameLog[#Headers])+MATCH(ROWS(I$5:I281),GameLog[Flag No],0),"")</f>
        <v/>
      </c>
      <c r="J281" s="10" t="str">
        <f ca="1">IF($I281="","",INDEX(GameLog[Date],$I281-ROW(GameLog[#Headers])))</f>
        <v/>
      </c>
      <c r="K281" s="6" t="str">
        <f ca="1">IF($I281="","",INDEX(GameLog[Player],$I281-ROW(GameLog[#Headers])))</f>
        <v/>
      </c>
      <c r="L281" s="6" t="str">
        <f ca="1">IF($I281="","",INDEX(GameLog[Pod],$I281-ROW(GameLog[#Headers])))</f>
        <v/>
      </c>
      <c r="M281" s="6" t="str">
        <f ca="1">IF($I281="","",INDEX(GameLog[Round],$I281-ROW(GameLog[#Headers])))</f>
        <v/>
      </c>
      <c r="N281" s="6" t="str">
        <f ca="1">IF($I281="","",INDEX(GameLog[Check],$I281-ROW(GameLog[#Headers])))</f>
        <v/>
      </c>
    </row>
    <row r="282" spans="1:14" x14ac:dyDescent="0.45">
      <c r="A282" s="6"/>
      <c r="B282" s="6"/>
      <c r="C282" s="6"/>
      <c r="D282" s="6"/>
      <c r="E282" s="6"/>
      <c r="F282" s="6"/>
      <c r="G282" s="6"/>
      <c r="H282" s="6"/>
      <c r="I282" s="6" t="str">
        <f ca="1">IFERROR(ROW(GameLog[#Headers])+MATCH(ROWS(I$5:I282),GameLog[Flag No],0),"")</f>
        <v/>
      </c>
      <c r="J282" s="10" t="str">
        <f ca="1">IF($I282="","",INDEX(GameLog[Date],$I282-ROW(GameLog[#Headers])))</f>
        <v/>
      </c>
      <c r="K282" s="6" t="str">
        <f ca="1">IF($I282="","",INDEX(GameLog[Player],$I282-ROW(GameLog[#Headers])))</f>
        <v/>
      </c>
      <c r="L282" s="6" t="str">
        <f ca="1">IF($I282="","",INDEX(GameLog[Pod],$I282-ROW(GameLog[#Headers])))</f>
        <v/>
      </c>
      <c r="M282" s="6" t="str">
        <f ca="1">IF($I282="","",INDEX(GameLog[Round],$I282-ROW(GameLog[#Headers])))</f>
        <v/>
      </c>
      <c r="N282" s="6" t="str">
        <f ca="1">IF($I282="","",INDEX(GameLog[Check],$I282-ROW(GameLog[#Headers])))</f>
        <v/>
      </c>
    </row>
    <row r="283" spans="1:14" x14ac:dyDescent="0.45">
      <c r="A283" s="6"/>
      <c r="B283" s="6"/>
      <c r="C283" s="6"/>
      <c r="D283" s="6"/>
      <c r="E283" s="6"/>
      <c r="F283" s="6"/>
      <c r="G283" s="6"/>
      <c r="H283" s="6"/>
      <c r="I283" s="6" t="str">
        <f ca="1">IFERROR(ROW(GameLog[#Headers])+MATCH(ROWS(I$5:I283),GameLog[Flag No],0),"")</f>
        <v/>
      </c>
      <c r="J283" s="10" t="str">
        <f ca="1">IF($I283="","",INDEX(GameLog[Date],$I283-ROW(GameLog[#Headers])))</f>
        <v/>
      </c>
      <c r="K283" s="6" t="str">
        <f ca="1">IF($I283="","",INDEX(GameLog[Player],$I283-ROW(GameLog[#Headers])))</f>
        <v/>
      </c>
      <c r="L283" s="6" t="str">
        <f ca="1">IF($I283="","",INDEX(GameLog[Pod],$I283-ROW(GameLog[#Headers])))</f>
        <v/>
      </c>
      <c r="M283" s="6" t="str">
        <f ca="1">IF($I283="","",INDEX(GameLog[Round],$I283-ROW(GameLog[#Headers])))</f>
        <v/>
      </c>
      <c r="N283" s="6" t="str">
        <f ca="1">IF($I283="","",INDEX(GameLog[Check],$I283-ROW(GameLog[#Headers])))</f>
        <v/>
      </c>
    </row>
    <row r="284" spans="1:14" x14ac:dyDescent="0.45">
      <c r="A284" s="6"/>
      <c r="B284" s="6"/>
      <c r="C284" s="6"/>
      <c r="D284" s="6"/>
      <c r="E284" s="6"/>
      <c r="F284" s="6"/>
      <c r="G284" s="6"/>
      <c r="H284" s="6"/>
      <c r="I284" s="6" t="str">
        <f ca="1">IFERROR(ROW(GameLog[#Headers])+MATCH(ROWS(I$5:I284),GameLog[Flag No],0),"")</f>
        <v/>
      </c>
      <c r="J284" s="10" t="str">
        <f ca="1">IF($I284="","",INDEX(GameLog[Date],$I284-ROW(GameLog[#Headers])))</f>
        <v/>
      </c>
      <c r="K284" s="6" t="str">
        <f ca="1">IF($I284="","",INDEX(GameLog[Player],$I284-ROW(GameLog[#Headers])))</f>
        <v/>
      </c>
      <c r="L284" s="6" t="str">
        <f ca="1">IF($I284="","",INDEX(GameLog[Pod],$I284-ROW(GameLog[#Headers])))</f>
        <v/>
      </c>
      <c r="M284" s="6" t="str">
        <f ca="1">IF($I284="","",INDEX(GameLog[Round],$I284-ROW(GameLog[#Headers])))</f>
        <v/>
      </c>
      <c r="N284" s="6" t="str">
        <f ca="1">IF($I284="","",INDEX(GameLog[Check],$I284-ROW(GameLog[#Headers])))</f>
        <v/>
      </c>
    </row>
    <row r="285" spans="1:14" x14ac:dyDescent="0.45">
      <c r="A285" s="6"/>
      <c r="B285" s="6"/>
      <c r="C285" s="6"/>
      <c r="D285" s="6"/>
      <c r="E285" s="6"/>
      <c r="F285" s="6"/>
      <c r="G285" s="6"/>
      <c r="H285" s="6"/>
      <c r="I285" s="6" t="str">
        <f ca="1">IFERROR(ROW(GameLog[#Headers])+MATCH(ROWS(I$5:I285),GameLog[Flag No],0),"")</f>
        <v/>
      </c>
      <c r="J285" s="10" t="str">
        <f ca="1">IF($I285="","",INDEX(GameLog[Date],$I285-ROW(GameLog[#Headers])))</f>
        <v/>
      </c>
      <c r="K285" s="6" t="str">
        <f ca="1">IF($I285="","",INDEX(GameLog[Player],$I285-ROW(GameLog[#Headers])))</f>
        <v/>
      </c>
      <c r="L285" s="6" t="str">
        <f ca="1">IF($I285="","",INDEX(GameLog[Pod],$I285-ROW(GameLog[#Headers])))</f>
        <v/>
      </c>
      <c r="M285" s="6" t="str">
        <f ca="1">IF($I285="","",INDEX(GameLog[Round],$I285-ROW(GameLog[#Headers])))</f>
        <v/>
      </c>
      <c r="N285" s="6" t="str">
        <f ca="1">IF($I285="","",INDEX(GameLog[Check],$I285-ROW(GameLog[#Headers])))</f>
        <v/>
      </c>
    </row>
    <row r="286" spans="1:14" x14ac:dyDescent="0.45">
      <c r="A286" s="6"/>
      <c r="B286" s="6"/>
      <c r="C286" s="6"/>
      <c r="D286" s="6"/>
      <c r="E286" s="6"/>
      <c r="F286" s="6"/>
      <c r="G286" s="6"/>
      <c r="H286" s="6"/>
      <c r="I286" s="6" t="str">
        <f ca="1">IFERROR(ROW(GameLog[#Headers])+MATCH(ROWS(I$5:I286),GameLog[Flag No],0),"")</f>
        <v/>
      </c>
      <c r="J286" s="10" t="str">
        <f ca="1">IF($I286="","",INDEX(GameLog[Date],$I286-ROW(GameLog[#Headers])))</f>
        <v/>
      </c>
      <c r="K286" s="6" t="str">
        <f ca="1">IF($I286="","",INDEX(GameLog[Player],$I286-ROW(GameLog[#Headers])))</f>
        <v/>
      </c>
      <c r="L286" s="6" t="str">
        <f ca="1">IF($I286="","",INDEX(GameLog[Pod],$I286-ROW(GameLog[#Headers])))</f>
        <v/>
      </c>
      <c r="M286" s="6" t="str">
        <f ca="1">IF($I286="","",INDEX(GameLog[Round],$I286-ROW(GameLog[#Headers])))</f>
        <v/>
      </c>
      <c r="N286" s="6" t="str">
        <f ca="1">IF($I286="","",INDEX(GameLog[Check],$I286-ROW(GameLog[#Headers])))</f>
        <v/>
      </c>
    </row>
    <row r="287" spans="1:14" x14ac:dyDescent="0.45">
      <c r="A287" s="6"/>
      <c r="B287" s="6"/>
      <c r="C287" s="6"/>
      <c r="D287" s="6"/>
      <c r="E287" s="6"/>
      <c r="F287" s="6"/>
      <c r="G287" s="6"/>
      <c r="H287" s="6"/>
      <c r="I287" s="6" t="str">
        <f ca="1">IFERROR(ROW(GameLog[#Headers])+MATCH(ROWS(I$5:I287),GameLog[Flag No],0),"")</f>
        <v/>
      </c>
      <c r="J287" s="10" t="str">
        <f ca="1">IF($I287="","",INDEX(GameLog[Date],$I287-ROW(GameLog[#Headers])))</f>
        <v/>
      </c>
      <c r="K287" s="6" t="str">
        <f ca="1">IF($I287="","",INDEX(GameLog[Player],$I287-ROW(GameLog[#Headers])))</f>
        <v/>
      </c>
      <c r="L287" s="6" t="str">
        <f ca="1">IF($I287="","",INDEX(GameLog[Pod],$I287-ROW(GameLog[#Headers])))</f>
        <v/>
      </c>
      <c r="M287" s="6" t="str">
        <f ca="1">IF($I287="","",INDEX(GameLog[Round],$I287-ROW(GameLog[#Headers])))</f>
        <v/>
      </c>
      <c r="N287" s="6" t="str">
        <f ca="1">IF($I287="","",INDEX(GameLog[Check],$I287-ROW(GameLog[#Headers])))</f>
        <v/>
      </c>
    </row>
    <row r="288" spans="1:14" x14ac:dyDescent="0.45">
      <c r="A288" s="6"/>
      <c r="B288" s="6"/>
      <c r="C288" s="6"/>
      <c r="D288" s="6"/>
      <c r="E288" s="6"/>
      <c r="F288" s="6"/>
      <c r="G288" s="6"/>
      <c r="H288" s="6"/>
      <c r="I288" s="6" t="str">
        <f ca="1">IFERROR(ROW(GameLog[#Headers])+MATCH(ROWS(I$5:I288),GameLog[Flag No],0),"")</f>
        <v/>
      </c>
      <c r="J288" s="10" t="str">
        <f ca="1">IF($I288="","",INDEX(GameLog[Date],$I288-ROW(GameLog[#Headers])))</f>
        <v/>
      </c>
      <c r="K288" s="6" t="str">
        <f ca="1">IF($I288="","",INDEX(GameLog[Player],$I288-ROW(GameLog[#Headers])))</f>
        <v/>
      </c>
      <c r="L288" s="6" t="str">
        <f ca="1">IF($I288="","",INDEX(GameLog[Pod],$I288-ROW(GameLog[#Headers])))</f>
        <v/>
      </c>
      <c r="M288" s="6" t="str">
        <f ca="1">IF($I288="","",INDEX(GameLog[Round],$I288-ROW(GameLog[#Headers])))</f>
        <v/>
      </c>
      <c r="N288" s="6" t="str">
        <f ca="1">IF($I288="","",INDEX(GameLog[Check],$I288-ROW(GameLog[#Headers])))</f>
        <v/>
      </c>
    </row>
    <row r="289" spans="1:14" x14ac:dyDescent="0.45">
      <c r="A289" s="6"/>
      <c r="B289" s="6"/>
      <c r="C289" s="6"/>
      <c r="D289" s="6"/>
      <c r="E289" s="6"/>
      <c r="F289" s="6"/>
      <c r="G289" s="6"/>
      <c r="H289" s="6"/>
      <c r="I289" s="6" t="str">
        <f ca="1">IFERROR(ROW(GameLog[#Headers])+MATCH(ROWS(I$5:I289),GameLog[Flag No],0),"")</f>
        <v/>
      </c>
      <c r="J289" s="10" t="str">
        <f ca="1">IF($I289="","",INDEX(GameLog[Date],$I289-ROW(GameLog[#Headers])))</f>
        <v/>
      </c>
      <c r="K289" s="6" t="str">
        <f ca="1">IF($I289="","",INDEX(GameLog[Player],$I289-ROW(GameLog[#Headers])))</f>
        <v/>
      </c>
      <c r="L289" s="6" t="str">
        <f ca="1">IF($I289="","",INDEX(GameLog[Pod],$I289-ROW(GameLog[#Headers])))</f>
        <v/>
      </c>
      <c r="M289" s="6" t="str">
        <f ca="1">IF($I289="","",INDEX(GameLog[Round],$I289-ROW(GameLog[#Headers])))</f>
        <v/>
      </c>
      <c r="N289" s="6" t="str">
        <f ca="1">IF($I289="","",INDEX(GameLog[Check],$I289-ROW(GameLog[#Headers])))</f>
        <v/>
      </c>
    </row>
    <row r="290" spans="1:14" x14ac:dyDescent="0.45">
      <c r="A290" s="6"/>
      <c r="B290" s="6"/>
      <c r="C290" s="6"/>
      <c r="D290" s="6"/>
      <c r="E290" s="6"/>
      <c r="F290" s="6"/>
      <c r="G290" s="6"/>
      <c r="H290" s="6"/>
      <c r="I290" s="6" t="str">
        <f ca="1">IFERROR(ROW(GameLog[#Headers])+MATCH(ROWS(I$5:I290),GameLog[Flag No],0),"")</f>
        <v/>
      </c>
      <c r="J290" s="10" t="str">
        <f ca="1">IF($I290="","",INDEX(GameLog[Date],$I290-ROW(GameLog[#Headers])))</f>
        <v/>
      </c>
      <c r="K290" s="6" t="str">
        <f ca="1">IF($I290="","",INDEX(GameLog[Player],$I290-ROW(GameLog[#Headers])))</f>
        <v/>
      </c>
      <c r="L290" s="6" t="str">
        <f ca="1">IF($I290="","",INDEX(GameLog[Pod],$I290-ROW(GameLog[#Headers])))</f>
        <v/>
      </c>
      <c r="M290" s="6" t="str">
        <f ca="1">IF($I290="","",INDEX(GameLog[Round],$I290-ROW(GameLog[#Headers])))</f>
        <v/>
      </c>
      <c r="N290" s="6" t="str">
        <f ca="1">IF($I290="","",INDEX(GameLog[Check],$I290-ROW(GameLog[#Headers])))</f>
        <v/>
      </c>
    </row>
    <row r="291" spans="1:14" x14ac:dyDescent="0.45">
      <c r="A291" s="6"/>
      <c r="B291" s="6"/>
      <c r="C291" s="6"/>
      <c r="D291" s="6"/>
      <c r="E291" s="6"/>
      <c r="F291" s="6"/>
      <c r="G291" s="6"/>
      <c r="H291" s="6"/>
      <c r="I291" s="6" t="str">
        <f ca="1">IFERROR(ROW(GameLog[#Headers])+MATCH(ROWS(I$5:I291),GameLog[Flag No],0),"")</f>
        <v/>
      </c>
      <c r="J291" s="10" t="str">
        <f ca="1">IF($I291="","",INDEX(GameLog[Date],$I291-ROW(GameLog[#Headers])))</f>
        <v/>
      </c>
      <c r="K291" s="6" t="str">
        <f ca="1">IF($I291="","",INDEX(GameLog[Player],$I291-ROW(GameLog[#Headers])))</f>
        <v/>
      </c>
      <c r="L291" s="6" t="str">
        <f ca="1">IF($I291="","",INDEX(GameLog[Pod],$I291-ROW(GameLog[#Headers])))</f>
        <v/>
      </c>
      <c r="M291" s="6" t="str">
        <f ca="1">IF($I291="","",INDEX(GameLog[Round],$I291-ROW(GameLog[#Headers])))</f>
        <v/>
      </c>
      <c r="N291" s="6" t="str">
        <f ca="1">IF($I291="","",INDEX(GameLog[Check],$I291-ROW(GameLog[#Headers])))</f>
        <v/>
      </c>
    </row>
    <row r="292" spans="1:14" x14ac:dyDescent="0.45">
      <c r="A292" s="6"/>
      <c r="B292" s="6"/>
      <c r="C292" s="6"/>
      <c r="D292" s="6"/>
      <c r="E292" s="6"/>
      <c r="F292" s="6"/>
      <c r="G292" s="6"/>
      <c r="H292" s="6"/>
      <c r="I292" s="6" t="str">
        <f ca="1">IFERROR(ROW(GameLog[#Headers])+MATCH(ROWS(I$5:I292),GameLog[Flag No],0),"")</f>
        <v/>
      </c>
      <c r="J292" s="10" t="str">
        <f ca="1">IF($I292="","",INDEX(GameLog[Date],$I292-ROW(GameLog[#Headers])))</f>
        <v/>
      </c>
      <c r="K292" s="6" t="str">
        <f ca="1">IF($I292="","",INDEX(GameLog[Player],$I292-ROW(GameLog[#Headers])))</f>
        <v/>
      </c>
      <c r="L292" s="6" t="str">
        <f ca="1">IF($I292="","",INDEX(GameLog[Pod],$I292-ROW(GameLog[#Headers])))</f>
        <v/>
      </c>
      <c r="M292" s="6" t="str">
        <f ca="1">IF($I292="","",INDEX(GameLog[Round],$I292-ROW(GameLog[#Headers])))</f>
        <v/>
      </c>
      <c r="N292" s="6" t="str">
        <f ca="1">IF($I292="","",INDEX(GameLog[Check],$I292-ROW(GameLog[#Headers])))</f>
        <v/>
      </c>
    </row>
    <row r="293" spans="1:14" x14ac:dyDescent="0.45">
      <c r="A293" s="6"/>
      <c r="B293" s="6"/>
      <c r="C293" s="6"/>
      <c r="D293" s="6"/>
      <c r="E293" s="6"/>
      <c r="F293" s="6"/>
      <c r="G293" s="6"/>
      <c r="H293" s="6"/>
      <c r="I293" s="6" t="str">
        <f ca="1">IFERROR(ROW(GameLog[#Headers])+MATCH(ROWS(I$5:I293),GameLog[Flag No],0),"")</f>
        <v/>
      </c>
      <c r="J293" s="10" t="str">
        <f ca="1">IF($I293="","",INDEX(GameLog[Date],$I293-ROW(GameLog[#Headers])))</f>
        <v/>
      </c>
      <c r="K293" s="6" t="str">
        <f ca="1">IF($I293="","",INDEX(GameLog[Player],$I293-ROW(GameLog[#Headers])))</f>
        <v/>
      </c>
      <c r="L293" s="6" t="str">
        <f ca="1">IF($I293="","",INDEX(GameLog[Pod],$I293-ROW(GameLog[#Headers])))</f>
        <v/>
      </c>
      <c r="M293" s="6" t="str">
        <f ca="1">IF($I293="","",INDEX(GameLog[Round],$I293-ROW(GameLog[#Headers])))</f>
        <v/>
      </c>
      <c r="N293" s="6" t="str">
        <f ca="1">IF($I293="","",INDEX(GameLog[Check],$I293-ROW(GameLog[#Headers])))</f>
        <v/>
      </c>
    </row>
    <row r="294" spans="1:14" x14ac:dyDescent="0.45">
      <c r="A294" s="6"/>
      <c r="B294" s="6"/>
      <c r="C294" s="6"/>
      <c r="D294" s="6"/>
      <c r="E294" s="6"/>
      <c r="F294" s="6"/>
      <c r="G294" s="6"/>
      <c r="H294" s="6"/>
      <c r="I294" s="6" t="str">
        <f ca="1">IFERROR(ROW(GameLog[#Headers])+MATCH(ROWS(I$5:I294),GameLog[Flag No],0),"")</f>
        <v/>
      </c>
      <c r="J294" s="10" t="str">
        <f ca="1">IF($I294="","",INDEX(GameLog[Date],$I294-ROW(GameLog[#Headers])))</f>
        <v/>
      </c>
      <c r="K294" s="6" t="str">
        <f ca="1">IF($I294="","",INDEX(GameLog[Player],$I294-ROW(GameLog[#Headers])))</f>
        <v/>
      </c>
      <c r="L294" s="6" t="str">
        <f ca="1">IF($I294="","",INDEX(GameLog[Pod],$I294-ROW(GameLog[#Headers])))</f>
        <v/>
      </c>
      <c r="M294" s="6" t="str">
        <f ca="1">IF($I294="","",INDEX(GameLog[Round],$I294-ROW(GameLog[#Headers])))</f>
        <v/>
      </c>
      <c r="N294" s="6" t="str">
        <f ca="1">IF($I294="","",INDEX(GameLog[Check],$I294-ROW(GameLog[#Headers])))</f>
        <v/>
      </c>
    </row>
    <row r="295" spans="1:14" x14ac:dyDescent="0.45">
      <c r="A295" s="6"/>
      <c r="B295" s="6"/>
      <c r="C295" s="6"/>
      <c r="D295" s="6"/>
      <c r="E295" s="6"/>
      <c r="F295" s="6"/>
      <c r="G295" s="6"/>
      <c r="H295" s="6"/>
      <c r="I295" s="6" t="str">
        <f ca="1">IFERROR(ROW(GameLog[#Headers])+MATCH(ROWS(I$5:I295),GameLog[Flag No],0),"")</f>
        <v/>
      </c>
      <c r="J295" s="10" t="str">
        <f ca="1">IF($I295="","",INDEX(GameLog[Date],$I295-ROW(GameLog[#Headers])))</f>
        <v/>
      </c>
      <c r="K295" s="6" t="str">
        <f ca="1">IF($I295="","",INDEX(GameLog[Player],$I295-ROW(GameLog[#Headers])))</f>
        <v/>
      </c>
      <c r="L295" s="6" t="str">
        <f ca="1">IF($I295="","",INDEX(GameLog[Pod],$I295-ROW(GameLog[#Headers])))</f>
        <v/>
      </c>
      <c r="M295" s="6" t="str">
        <f ca="1">IF($I295="","",INDEX(GameLog[Round],$I295-ROW(GameLog[#Headers])))</f>
        <v/>
      </c>
      <c r="N295" s="6" t="str">
        <f ca="1">IF($I295="","",INDEX(GameLog[Check],$I295-ROW(GameLog[#Headers])))</f>
        <v/>
      </c>
    </row>
    <row r="296" spans="1:14" x14ac:dyDescent="0.45">
      <c r="A296" s="6"/>
      <c r="B296" s="6"/>
      <c r="C296" s="6"/>
      <c r="D296" s="6"/>
      <c r="E296" s="6"/>
      <c r="F296" s="6"/>
      <c r="G296" s="6"/>
      <c r="H296" s="6"/>
      <c r="I296" s="6" t="str">
        <f ca="1">IFERROR(ROW(GameLog[#Headers])+MATCH(ROWS(I$5:I296),GameLog[Flag No],0),"")</f>
        <v/>
      </c>
      <c r="J296" s="10" t="str">
        <f ca="1">IF($I296="","",INDEX(GameLog[Date],$I296-ROW(GameLog[#Headers])))</f>
        <v/>
      </c>
      <c r="K296" s="6" t="str">
        <f ca="1">IF($I296="","",INDEX(GameLog[Player],$I296-ROW(GameLog[#Headers])))</f>
        <v/>
      </c>
      <c r="L296" s="6" t="str">
        <f ca="1">IF($I296="","",INDEX(GameLog[Pod],$I296-ROW(GameLog[#Headers])))</f>
        <v/>
      </c>
      <c r="M296" s="6" t="str">
        <f ca="1">IF($I296="","",INDEX(GameLog[Round],$I296-ROW(GameLog[#Headers])))</f>
        <v/>
      </c>
      <c r="N296" s="6" t="str">
        <f ca="1">IF($I296="","",INDEX(GameLog[Check],$I296-ROW(GameLog[#Headers])))</f>
        <v/>
      </c>
    </row>
    <row r="297" spans="1:14" x14ac:dyDescent="0.45">
      <c r="A297" s="6"/>
      <c r="B297" s="6"/>
      <c r="C297" s="6"/>
      <c r="D297" s="6"/>
      <c r="E297" s="6"/>
      <c r="F297" s="6"/>
      <c r="G297" s="6"/>
      <c r="H297" s="6"/>
      <c r="I297" s="6" t="str">
        <f ca="1">IFERROR(ROW(GameLog[#Headers])+MATCH(ROWS(I$5:I297),GameLog[Flag No],0),"")</f>
        <v/>
      </c>
      <c r="J297" s="10" t="str">
        <f ca="1">IF($I297="","",INDEX(GameLog[Date],$I297-ROW(GameLog[#Headers])))</f>
        <v/>
      </c>
      <c r="K297" s="6" t="str">
        <f ca="1">IF($I297="","",INDEX(GameLog[Player],$I297-ROW(GameLog[#Headers])))</f>
        <v/>
      </c>
      <c r="L297" s="6" t="str">
        <f ca="1">IF($I297="","",INDEX(GameLog[Pod],$I297-ROW(GameLog[#Headers])))</f>
        <v/>
      </c>
      <c r="M297" s="6" t="str">
        <f ca="1">IF($I297="","",INDEX(GameLog[Round],$I297-ROW(GameLog[#Headers])))</f>
        <v/>
      </c>
      <c r="N297" s="6" t="str">
        <f ca="1">IF($I297="","",INDEX(GameLog[Check],$I297-ROW(GameLog[#Headers])))</f>
        <v/>
      </c>
    </row>
    <row r="298" spans="1:14" x14ac:dyDescent="0.45">
      <c r="A298" s="6"/>
      <c r="B298" s="6"/>
      <c r="C298" s="6"/>
      <c r="D298" s="6"/>
      <c r="E298" s="6"/>
      <c r="F298" s="6"/>
      <c r="G298" s="6"/>
      <c r="H298" s="6"/>
      <c r="I298" s="6" t="str">
        <f ca="1">IFERROR(ROW(GameLog[#Headers])+MATCH(ROWS(I$5:I298),GameLog[Flag No],0),"")</f>
        <v/>
      </c>
      <c r="J298" s="10" t="str">
        <f ca="1">IF($I298="","",INDEX(GameLog[Date],$I298-ROW(GameLog[#Headers])))</f>
        <v/>
      </c>
      <c r="K298" s="6" t="str">
        <f ca="1">IF($I298="","",INDEX(GameLog[Player],$I298-ROW(GameLog[#Headers])))</f>
        <v/>
      </c>
      <c r="L298" s="6" t="str">
        <f ca="1">IF($I298="","",INDEX(GameLog[Pod],$I298-ROW(GameLog[#Headers])))</f>
        <v/>
      </c>
      <c r="M298" s="6" t="str">
        <f ca="1">IF($I298="","",INDEX(GameLog[Round],$I298-ROW(GameLog[#Headers])))</f>
        <v/>
      </c>
      <c r="N298" s="6" t="str">
        <f ca="1">IF($I298="","",INDEX(GameLog[Check],$I298-ROW(GameLog[#Headers])))</f>
        <v/>
      </c>
    </row>
    <row r="299" spans="1:14" x14ac:dyDescent="0.45">
      <c r="A299" s="6"/>
      <c r="B299" s="6"/>
      <c r="C299" s="6"/>
      <c r="D299" s="6"/>
      <c r="E299" s="6"/>
      <c r="F299" s="6"/>
      <c r="G299" s="6"/>
      <c r="H299" s="6"/>
      <c r="I299" s="6" t="str">
        <f ca="1">IFERROR(ROW(GameLog[#Headers])+MATCH(ROWS(I$5:I299),GameLog[Flag No],0),"")</f>
        <v/>
      </c>
      <c r="J299" s="10" t="str">
        <f ca="1">IF($I299="","",INDEX(GameLog[Date],$I299-ROW(GameLog[#Headers])))</f>
        <v/>
      </c>
      <c r="K299" s="6" t="str">
        <f ca="1">IF($I299="","",INDEX(GameLog[Player],$I299-ROW(GameLog[#Headers])))</f>
        <v/>
      </c>
      <c r="L299" s="6" t="str">
        <f ca="1">IF($I299="","",INDEX(GameLog[Pod],$I299-ROW(GameLog[#Headers])))</f>
        <v/>
      </c>
      <c r="M299" s="6" t="str">
        <f ca="1">IF($I299="","",INDEX(GameLog[Round],$I299-ROW(GameLog[#Headers])))</f>
        <v/>
      </c>
      <c r="N299" s="6" t="str">
        <f ca="1">IF($I299="","",INDEX(GameLog[Check],$I299-ROW(GameLog[#Headers])))</f>
        <v/>
      </c>
    </row>
    <row r="300" spans="1:14" x14ac:dyDescent="0.45">
      <c r="A300" s="6"/>
      <c r="B300" s="6"/>
      <c r="C300" s="6"/>
      <c r="D300" s="6"/>
      <c r="E300" s="6"/>
      <c r="F300" s="6"/>
      <c r="G300" s="6"/>
      <c r="H300" s="6"/>
      <c r="I300" s="6" t="str">
        <f ca="1">IFERROR(ROW(GameLog[#Headers])+MATCH(ROWS(I$5:I300),GameLog[Flag No],0),"")</f>
        <v/>
      </c>
      <c r="J300" s="10" t="str">
        <f ca="1">IF($I300="","",INDEX(GameLog[Date],$I300-ROW(GameLog[#Headers])))</f>
        <v/>
      </c>
      <c r="K300" s="6" t="str">
        <f ca="1">IF($I300="","",INDEX(GameLog[Player],$I300-ROW(GameLog[#Headers])))</f>
        <v/>
      </c>
      <c r="L300" s="6" t="str">
        <f ca="1">IF($I300="","",INDEX(GameLog[Pod],$I300-ROW(GameLog[#Headers])))</f>
        <v/>
      </c>
      <c r="M300" s="6" t="str">
        <f ca="1">IF($I300="","",INDEX(GameLog[Round],$I300-ROW(GameLog[#Headers])))</f>
        <v/>
      </c>
      <c r="N300" s="6" t="str">
        <f ca="1">IF($I300="","",INDEX(GameLog[Check],$I300-ROW(GameLog[#Headers])))</f>
        <v/>
      </c>
    </row>
    <row r="301" spans="1:14" x14ac:dyDescent="0.45">
      <c r="A301" s="6"/>
      <c r="B301" s="6"/>
      <c r="C301" s="6"/>
      <c r="D301" s="6"/>
      <c r="E301" s="6"/>
      <c r="F301" s="6"/>
      <c r="G301" s="6"/>
      <c r="H301" s="6"/>
      <c r="I301" s="6" t="str">
        <f ca="1">IFERROR(ROW(GameLog[#Headers])+MATCH(ROWS(I$5:I301),GameLog[Flag No],0),"")</f>
        <v/>
      </c>
      <c r="J301" s="10" t="str">
        <f ca="1">IF($I301="","",INDEX(GameLog[Date],$I301-ROW(GameLog[#Headers])))</f>
        <v/>
      </c>
      <c r="K301" s="6" t="str">
        <f ca="1">IF($I301="","",INDEX(GameLog[Player],$I301-ROW(GameLog[#Headers])))</f>
        <v/>
      </c>
      <c r="L301" s="6" t="str">
        <f ca="1">IF($I301="","",INDEX(GameLog[Pod],$I301-ROW(GameLog[#Headers])))</f>
        <v/>
      </c>
      <c r="M301" s="6" t="str">
        <f ca="1">IF($I301="","",INDEX(GameLog[Round],$I301-ROW(GameLog[#Headers])))</f>
        <v/>
      </c>
      <c r="N301" s="6" t="str">
        <f ca="1">IF($I301="","",INDEX(GameLog[Check],$I301-ROW(GameLog[#Headers])))</f>
        <v/>
      </c>
    </row>
    <row r="302" spans="1:14" x14ac:dyDescent="0.45">
      <c r="A302" s="6"/>
      <c r="B302" s="6"/>
      <c r="C302" s="6"/>
      <c r="D302" s="6"/>
      <c r="E302" s="6"/>
      <c r="F302" s="6"/>
      <c r="G302" s="6"/>
      <c r="H302" s="6"/>
      <c r="I302" s="6" t="str">
        <f ca="1">IFERROR(ROW(GameLog[#Headers])+MATCH(ROWS(I$5:I302),GameLog[Flag No],0),"")</f>
        <v/>
      </c>
      <c r="J302" s="10" t="str">
        <f ca="1">IF($I302="","",INDEX(GameLog[Date],$I302-ROW(GameLog[#Headers])))</f>
        <v/>
      </c>
      <c r="K302" s="6" t="str">
        <f ca="1">IF($I302="","",INDEX(GameLog[Player],$I302-ROW(GameLog[#Headers])))</f>
        <v/>
      </c>
      <c r="L302" s="6" t="str">
        <f ca="1">IF($I302="","",INDEX(GameLog[Pod],$I302-ROW(GameLog[#Headers])))</f>
        <v/>
      </c>
      <c r="M302" s="6" t="str">
        <f ca="1">IF($I302="","",INDEX(GameLog[Round],$I302-ROW(GameLog[#Headers])))</f>
        <v/>
      </c>
      <c r="N302" s="6" t="str">
        <f ca="1">IF($I302="","",INDEX(GameLog[Check],$I302-ROW(GameLog[#Headers])))</f>
        <v/>
      </c>
    </row>
    <row r="303" spans="1:14" x14ac:dyDescent="0.45">
      <c r="A303" s="6"/>
      <c r="B303" s="6"/>
      <c r="C303" s="6"/>
      <c r="D303" s="6"/>
      <c r="E303" s="6"/>
      <c r="F303" s="6"/>
      <c r="G303" s="6"/>
      <c r="H303" s="6"/>
      <c r="I303" s="6" t="str">
        <f ca="1">IFERROR(ROW(GameLog[#Headers])+MATCH(ROWS(I$5:I303),GameLog[Flag No],0),"")</f>
        <v/>
      </c>
      <c r="J303" s="10" t="str">
        <f ca="1">IF($I303="","",INDEX(GameLog[Date],$I303-ROW(GameLog[#Headers])))</f>
        <v/>
      </c>
      <c r="K303" s="6" t="str">
        <f ca="1">IF($I303="","",INDEX(GameLog[Player],$I303-ROW(GameLog[#Headers])))</f>
        <v/>
      </c>
      <c r="L303" s="6" t="str">
        <f ca="1">IF($I303="","",INDEX(GameLog[Pod],$I303-ROW(GameLog[#Headers])))</f>
        <v/>
      </c>
      <c r="M303" s="6" t="str">
        <f ca="1">IF($I303="","",INDEX(GameLog[Round],$I303-ROW(GameLog[#Headers])))</f>
        <v/>
      </c>
      <c r="N303" s="6" t="str">
        <f ca="1">IF($I303="","",INDEX(GameLog[Check],$I303-ROW(GameLog[#Headers])))</f>
        <v/>
      </c>
    </row>
    <row r="304" spans="1:14" x14ac:dyDescent="0.45">
      <c r="A304" s="6"/>
      <c r="B304" s="6"/>
      <c r="C304" s="6"/>
      <c r="D304" s="6"/>
      <c r="E304" s="6"/>
      <c r="F304" s="6"/>
      <c r="G304" s="6"/>
      <c r="H304" s="6"/>
      <c r="I304" s="6" t="str">
        <f ca="1">IFERROR(ROW(GameLog[#Headers])+MATCH(ROWS(I$5:I304),GameLog[Flag No],0),"")</f>
        <v/>
      </c>
      <c r="J304" s="10" t="str">
        <f ca="1">IF($I304="","",INDEX(GameLog[Date],$I304-ROW(GameLog[#Headers])))</f>
        <v/>
      </c>
      <c r="K304" s="6" t="str">
        <f ca="1">IF($I304="","",INDEX(GameLog[Player],$I304-ROW(GameLog[#Headers])))</f>
        <v/>
      </c>
      <c r="L304" s="6" t="str">
        <f ca="1">IF($I304="","",INDEX(GameLog[Pod],$I304-ROW(GameLog[#Headers])))</f>
        <v/>
      </c>
      <c r="M304" s="6" t="str">
        <f ca="1">IF($I304="","",INDEX(GameLog[Round],$I304-ROW(GameLog[#Headers])))</f>
        <v/>
      </c>
      <c r="N304" s="6" t="str">
        <f ca="1">IF($I304="","",INDEX(GameLog[Check],$I304-ROW(GameLog[#Headers])))</f>
        <v/>
      </c>
    </row>
    <row r="305" spans="1:14" x14ac:dyDescent="0.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</sheetData>
  <conditionalFormatting sqref="B12">
    <cfRule type="expression" dxfId="6" priority="1">
      <formula>$B$12&gt;0</formula>
    </cfRule>
    <cfRule type="expression" dxfId="5" priority="2">
      <formula>$B$12=0</formula>
    </cfRule>
  </conditionalFormatting>
  <conditionalFormatting sqref="B14">
    <cfRule type="expression" dxfId="4" priority="3">
      <formula>$B$14&gt;0</formula>
    </cfRule>
    <cfRule type="expression" dxfId="3" priority="4">
      <formula>$B$14=0</formula>
    </cfRule>
  </conditionalFormatting>
  <conditionalFormatting sqref="B15">
    <cfRule type="expression" dxfId="2" priority="5">
      <formula>$B$15&gt;0</formula>
    </cfRule>
    <cfRule type="expression" dxfId="1" priority="6">
      <formula>$B$15=0</formula>
    </cfRule>
  </conditionalFormatting>
  <conditionalFormatting sqref="D5:G154">
    <cfRule type="expression" dxfId="0" priority="7">
      <formula>$G5&lt;&gt;""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Entry</vt:lpstr>
      <vt:lpstr>Data</vt:lpstr>
      <vt:lpstr>Players</vt:lpstr>
      <vt:lpstr>Checks</vt:lpstr>
      <vt:lpstr>Game_Day</vt:lpstr>
      <vt:lpstr>PlayerList</vt:lpstr>
      <vt:lpstr>Pod_Max</vt:lpstr>
      <vt:lpstr>Pod_Min</vt:lpstr>
      <vt:lpstr>Round_Max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Bryce Carter</cp:lastModifiedBy>
  <dcterms:created xsi:type="dcterms:W3CDTF">2026-10-13T19:11:43Z</dcterms:created>
  <dcterms:modified xsi:type="dcterms:W3CDTF">2026-10-13T21:22:51Z</dcterms:modified>
</cp:coreProperties>
</file>